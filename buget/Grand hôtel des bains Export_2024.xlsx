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caminale/Documents/hotel/code/hotel-marketing/buget/"/>
    </mc:Choice>
  </mc:AlternateContent>
  <xr:revisionPtr revIDLastSave="0" documentId="13_ncr:1_{E45CEB4B-F93B-2845-8B26-F312B9DF9691}" xr6:coauthVersionLast="47" xr6:coauthVersionMax="47" xr10:uidLastSave="{00000000-0000-0000-0000-000000000000}"/>
  <bookViews>
    <workbookView xWindow="0" yWindow="680" windowWidth="34560" windowHeight="19780" xr2:uid="{00000000-000D-0000-FFFF-FFFF00000000}"/>
  </bookViews>
  <sheets>
    <sheet name="Payées" sheetId="1" r:id="rId1"/>
  </sheets>
  <definedNames>
    <definedName name="_xlnm.Print_Area" localSheetId="0">Payées!$A$1:$P$2950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48" i="1" l="1"/>
  <c r="F2948" i="1"/>
  <c r="G2946" i="1"/>
  <c r="F2946" i="1"/>
  <c r="G2945" i="1"/>
  <c r="F2945" i="1"/>
  <c r="G2943" i="1"/>
  <c r="F2943" i="1"/>
  <c r="G2942" i="1"/>
  <c r="F2942" i="1"/>
  <c r="G2941" i="1"/>
  <c r="F2941" i="1"/>
  <c r="G2940" i="1"/>
  <c r="F2940" i="1"/>
  <c r="G2936" i="1"/>
  <c r="F2936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5" i="1"/>
  <c r="F2925" i="1"/>
  <c r="G2924" i="1"/>
  <c r="F2924" i="1"/>
  <c r="G2920" i="1"/>
  <c r="F2920" i="1"/>
  <c r="G2919" i="1"/>
  <c r="F2919" i="1"/>
  <c r="G2915" i="1"/>
  <c r="F2915" i="1"/>
  <c r="G2914" i="1"/>
  <c r="F2914" i="1"/>
  <c r="G2913" i="1"/>
  <c r="F2913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6" i="1"/>
  <c r="F2896" i="1"/>
  <c r="G2895" i="1"/>
  <c r="F2895" i="1"/>
  <c r="G2894" i="1"/>
  <c r="F2894" i="1"/>
  <c r="G2888" i="1"/>
  <c r="F2888" i="1"/>
  <c r="G2886" i="1"/>
  <c r="F2886" i="1"/>
  <c r="G2885" i="1"/>
  <c r="F2885" i="1"/>
  <c r="G2884" i="1"/>
  <c r="F2884" i="1"/>
  <c r="G2883" i="1"/>
  <c r="F2883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5" i="1"/>
  <c r="F2865" i="1"/>
  <c r="G2863" i="1"/>
  <c r="F2863" i="1"/>
  <c r="G2859" i="1"/>
  <c r="F2859" i="1"/>
  <c r="G2858" i="1"/>
  <c r="F2858" i="1"/>
  <c r="G2857" i="1"/>
  <c r="F2857" i="1"/>
  <c r="G2856" i="1"/>
  <c r="F2856" i="1"/>
  <c r="G2855" i="1"/>
  <c r="F2855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4" i="1"/>
  <c r="F2844" i="1"/>
  <c r="G2843" i="1"/>
  <c r="F2843" i="1"/>
  <c r="G2842" i="1"/>
  <c r="F2842" i="1"/>
  <c r="G2841" i="1"/>
  <c r="F2841" i="1"/>
  <c r="G2839" i="1"/>
  <c r="F2839" i="1"/>
  <c r="G2838" i="1"/>
  <c r="F2838" i="1"/>
  <c r="G2837" i="1"/>
  <c r="F2837" i="1"/>
  <c r="G2833" i="1"/>
  <c r="F2833" i="1"/>
  <c r="G2832" i="1"/>
  <c r="F2832" i="1"/>
  <c r="G2831" i="1"/>
  <c r="F2831" i="1"/>
  <c r="G2830" i="1"/>
  <c r="F2830" i="1"/>
  <c r="G2829" i="1"/>
  <c r="F2829" i="1"/>
  <c r="G2827" i="1"/>
  <c r="F2827" i="1"/>
  <c r="G2826" i="1"/>
  <c r="F2826" i="1"/>
  <c r="G2825" i="1"/>
  <c r="F2825" i="1"/>
  <c r="G2824" i="1"/>
  <c r="F2824" i="1"/>
  <c r="G2821" i="1"/>
  <c r="F2821" i="1"/>
  <c r="G2820" i="1"/>
  <c r="F2820" i="1"/>
  <c r="G2819" i="1"/>
  <c r="F2819" i="1"/>
  <c r="G2818" i="1"/>
  <c r="F2818" i="1"/>
  <c r="G2815" i="1"/>
  <c r="F2815" i="1"/>
  <c r="G2814" i="1"/>
  <c r="F2814" i="1"/>
  <c r="G2813" i="1"/>
  <c r="F2813" i="1"/>
  <c r="G2812" i="1"/>
  <c r="F2812" i="1"/>
  <c r="G2811" i="1"/>
  <c r="F2811" i="1"/>
  <c r="G2809" i="1"/>
  <c r="F2809" i="1"/>
  <c r="G2808" i="1"/>
  <c r="F2808" i="1"/>
  <c r="G2804" i="1"/>
  <c r="F2804" i="1"/>
  <c r="G2803" i="1"/>
  <c r="F2803" i="1"/>
  <c r="G2802" i="1"/>
  <c r="F2802" i="1"/>
  <c r="G2801" i="1"/>
  <c r="F2801" i="1"/>
  <c r="G2800" i="1"/>
  <c r="F2800" i="1"/>
  <c r="G2798" i="1"/>
  <c r="F2798" i="1"/>
  <c r="G2797" i="1"/>
  <c r="F2797" i="1"/>
  <c r="G2795" i="1"/>
  <c r="F2795" i="1"/>
  <c r="G2794" i="1"/>
  <c r="F2794" i="1"/>
  <c r="G2792" i="1"/>
  <c r="F2792" i="1"/>
  <c r="G2791" i="1"/>
  <c r="F2791" i="1"/>
  <c r="G2789" i="1"/>
  <c r="F2789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0" i="1"/>
  <c r="F2780" i="1"/>
  <c r="G2779" i="1"/>
  <c r="F2779" i="1"/>
  <c r="G2778" i="1"/>
  <c r="F2778" i="1"/>
  <c r="G2775" i="1"/>
  <c r="F2775" i="1"/>
  <c r="G2773" i="1"/>
  <c r="F2773" i="1"/>
  <c r="G2772" i="1"/>
  <c r="F2772" i="1"/>
  <c r="G2771" i="1"/>
  <c r="F2771" i="1"/>
  <c r="G2770" i="1"/>
  <c r="F2770" i="1"/>
  <c r="G2767" i="1"/>
  <c r="F2767" i="1"/>
  <c r="G2766" i="1"/>
  <c r="F2766" i="1"/>
  <c r="G2760" i="1"/>
  <c r="F2760" i="1"/>
  <c r="G2759" i="1"/>
  <c r="F2759" i="1"/>
  <c r="G2756" i="1"/>
  <c r="F2756" i="1"/>
  <c r="G2755" i="1"/>
  <c r="F2755" i="1"/>
  <c r="G2754" i="1"/>
  <c r="F2754" i="1"/>
  <c r="G2753" i="1"/>
  <c r="F2753" i="1"/>
  <c r="G2750" i="1"/>
  <c r="F2750" i="1"/>
  <c r="G2749" i="1"/>
  <c r="F2749" i="1"/>
  <c r="G2746" i="1"/>
  <c r="F2746" i="1"/>
  <c r="G2742" i="1"/>
  <c r="F2742" i="1"/>
  <c r="G2741" i="1"/>
  <c r="F2741" i="1"/>
  <c r="G2740" i="1"/>
  <c r="F2740" i="1"/>
  <c r="G2738" i="1"/>
  <c r="F2738" i="1"/>
  <c r="G2737" i="1"/>
  <c r="F2737" i="1"/>
  <c r="G2735" i="1"/>
  <c r="F2735" i="1"/>
  <c r="G2734" i="1"/>
  <c r="F2734" i="1"/>
  <c r="G2732" i="1"/>
  <c r="F2732" i="1"/>
  <c r="G2731" i="1"/>
  <c r="F2731" i="1"/>
  <c r="G2730" i="1"/>
  <c r="F2730" i="1"/>
  <c r="G2727" i="1"/>
  <c r="F2727" i="1"/>
  <c r="G2726" i="1"/>
  <c r="F2726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8" i="1"/>
  <c r="F2708" i="1"/>
  <c r="G2705" i="1"/>
  <c r="F2705" i="1"/>
  <c r="G2704" i="1"/>
  <c r="F2704" i="1"/>
  <c r="G2702" i="1"/>
  <c r="F2702" i="1"/>
  <c r="G2699" i="1"/>
  <c r="F2699" i="1"/>
  <c r="G2698" i="1"/>
  <c r="F2698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89" i="1"/>
  <c r="F2689" i="1"/>
  <c r="G2688" i="1"/>
  <c r="F2688" i="1"/>
  <c r="G2687" i="1"/>
  <c r="F2687" i="1"/>
  <c r="G2685" i="1"/>
  <c r="F2685" i="1"/>
  <c r="G2684" i="1"/>
  <c r="F2684" i="1"/>
  <c r="G2682" i="1"/>
  <c r="F2682" i="1"/>
  <c r="G2681" i="1"/>
  <c r="F2681" i="1"/>
  <c r="G2680" i="1"/>
  <c r="F2680" i="1"/>
  <c r="G2679" i="1"/>
  <c r="F2679" i="1"/>
  <c r="G2678" i="1"/>
  <c r="F2678" i="1"/>
  <c r="G2675" i="1"/>
  <c r="F2675" i="1"/>
  <c r="G2674" i="1"/>
  <c r="F2674" i="1"/>
  <c r="G2673" i="1"/>
  <c r="F2673" i="1"/>
  <c r="G2672" i="1"/>
  <c r="F2672" i="1"/>
  <c r="G2669" i="1"/>
  <c r="F2669" i="1"/>
  <c r="G2668" i="1"/>
  <c r="F2668" i="1"/>
  <c r="G2666" i="1"/>
  <c r="F2666" i="1"/>
  <c r="G2664" i="1"/>
  <c r="F2664" i="1"/>
  <c r="G2658" i="1"/>
  <c r="F2658" i="1"/>
  <c r="G2657" i="1"/>
  <c r="F2657" i="1"/>
  <c r="G2656" i="1"/>
  <c r="F2656" i="1"/>
  <c r="G2655" i="1"/>
  <c r="F2655" i="1"/>
  <c r="G2654" i="1"/>
  <c r="F2654" i="1"/>
  <c r="G2652" i="1"/>
  <c r="F2652" i="1"/>
  <c r="G2649" i="1"/>
  <c r="F2649" i="1"/>
  <c r="G2648" i="1"/>
  <c r="F2648" i="1"/>
  <c r="G2645" i="1"/>
  <c r="F2645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6" i="1"/>
  <c r="F2606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3" i="1"/>
  <c r="F2593" i="1"/>
  <c r="G2592" i="1"/>
  <c r="F2592" i="1"/>
  <c r="G2591" i="1"/>
  <c r="F2591" i="1"/>
  <c r="G2587" i="1"/>
  <c r="F2587" i="1"/>
  <c r="G2583" i="1"/>
  <c r="F2583" i="1"/>
  <c r="G2582" i="1"/>
  <c r="F2582" i="1"/>
  <c r="G2580" i="1"/>
  <c r="F2580" i="1"/>
  <c r="G2579" i="1"/>
  <c r="F2579" i="1"/>
  <c r="G2578" i="1"/>
  <c r="F2578" i="1"/>
  <c r="G2577" i="1"/>
  <c r="F2577" i="1"/>
  <c r="G2575" i="1"/>
  <c r="F2575" i="1"/>
  <c r="G2574" i="1"/>
  <c r="F2574" i="1"/>
  <c r="G2572" i="1"/>
  <c r="F2572" i="1"/>
  <c r="G2570" i="1"/>
  <c r="F2570" i="1"/>
  <c r="G2569" i="1"/>
  <c r="F2569" i="1"/>
  <c r="G2566" i="1"/>
  <c r="F2566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48" i="1"/>
  <c r="F2548" i="1"/>
  <c r="G2547" i="1"/>
  <c r="F2547" i="1"/>
  <c r="G2545" i="1"/>
  <c r="F2545" i="1"/>
  <c r="G2542" i="1"/>
  <c r="F2542" i="1"/>
  <c r="G2541" i="1"/>
  <c r="F2541" i="1"/>
  <c r="G2540" i="1"/>
  <c r="F2540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1" i="1"/>
  <c r="F2521" i="1"/>
  <c r="G2520" i="1"/>
  <c r="F2520" i="1"/>
  <c r="G2517" i="1"/>
  <c r="F2517" i="1"/>
  <c r="G2516" i="1"/>
  <c r="F2516" i="1"/>
  <c r="G2515" i="1"/>
  <c r="F2515" i="1"/>
  <c r="G2514" i="1"/>
  <c r="F2514" i="1"/>
  <c r="G2509" i="1"/>
  <c r="F2509" i="1"/>
  <c r="G2504" i="1"/>
  <c r="F2504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89" i="1"/>
  <c r="F2489" i="1"/>
  <c r="G2488" i="1"/>
  <c r="F2488" i="1"/>
  <c r="G2487" i="1"/>
  <c r="F2487" i="1"/>
  <c r="G2483" i="1"/>
  <c r="F2483" i="1"/>
  <c r="G2482" i="1"/>
  <c r="F2482" i="1"/>
  <c r="G2480" i="1"/>
  <c r="F2480" i="1"/>
  <c r="G2479" i="1"/>
  <c r="F2479" i="1"/>
  <c r="G2477" i="1"/>
  <c r="F2477" i="1"/>
  <c r="G2475" i="1"/>
  <c r="F2475" i="1"/>
  <c r="G2474" i="1"/>
  <c r="F2474" i="1"/>
  <c r="G2472" i="1"/>
  <c r="F2472" i="1"/>
  <c r="G2470" i="1"/>
  <c r="F2470" i="1"/>
  <c r="G2469" i="1"/>
  <c r="F2469" i="1"/>
  <c r="G2468" i="1"/>
  <c r="F2468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8" i="1"/>
  <c r="F2458" i="1"/>
  <c r="G2456" i="1"/>
  <c r="F2456" i="1"/>
  <c r="G2455" i="1"/>
  <c r="F2455" i="1"/>
  <c r="G2454" i="1"/>
  <c r="F2454" i="1"/>
  <c r="G2452" i="1"/>
  <c r="F2452" i="1"/>
  <c r="G2450" i="1"/>
  <c r="F2450" i="1"/>
  <c r="G2449" i="1"/>
  <c r="F2449" i="1"/>
  <c r="G2448" i="1"/>
  <c r="F2448" i="1"/>
  <c r="G2447" i="1"/>
  <c r="F2447" i="1"/>
  <c r="G2446" i="1"/>
  <c r="F2446" i="1"/>
  <c r="G2442" i="1"/>
  <c r="F2442" i="1"/>
  <c r="G2441" i="1"/>
  <c r="F2441" i="1"/>
  <c r="G2438" i="1"/>
  <c r="F2438" i="1"/>
  <c r="G2437" i="1"/>
  <c r="F2437" i="1"/>
  <c r="G2436" i="1"/>
  <c r="F2436" i="1"/>
  <c r="G2432" i="1"/>
  <c r="F2432" i="1"/>
  <c r="G2431" i="1"/>
  <c r="F2431" i="1"/>
  <c r="G2429" i="1"/>
  <c r="F2429" i="1"/>
  <c r="G2426" i="1"/>
  <c r="F2426" i="1"/>
  <c r="G2425" i="1"/>
  <c r="F2425" i="1"/>
  <c r="G2424" i="1"/>
  <c r="F2424" i="1"/>
  <c r="G2422" i="1"/>
  <c r="F2422" i="1"/>
  <c r="G2420" i="1"/>
  <c r="F2420" i="1"/>
  <c r="G2418" i="1"/>
  <c r="F2418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7" i="1"/>
  <c r="F2397" i="1"/>
  <c r="G2396" i="1"/>
  <c r="F2396" i="1"/>
  <c r="G2394" i="1"/>
  <c r="F2394" i="1"/>
  <c r="G2393" i="1"/>
  <c r="F2393" i="1"/>
  <c r="G2390" i="1"/>
  <c r="F2390" i="1"/>
  <c r="G2389" i="1"/>
  <c r="F2389" i="1"/>
  <c r="G2388" i="1"/>
  <c r="F2388" i="1"/>
  <c r="G2387" i="1"/>
  <c r="F2387" i="1"/>
  <c r="G2386" i="1"/>
  <c r="F2386" i="1"/>
  <c r="G2382" i="1"/>
  <c r="F2382" i="1"/>
  <c r="G2381" i="1"/>
  <c r="F2381" i="1"/>
  <c r="G2380" i="1"/>
  <c r="F2380" i="1"/>
  <c r="G2375" i="1"/>
  <c r="F2375" i="1"/>
  <c r="G2374" i="1"/>
  <c r="F2374" i="1"/>
  <c r="G2373" i="1"/>
  <c r="F2373" i="1"/>
  <c r="G2372" i="1"/>
  <c r="F2372" i="1"/>
  <c r="G2371" i="1"/>
  <c r="F2371" i="1"/>
  <c r="G2369" i="1"/>
  <c r="F2369" i="1"/>
  <c r="G2368" i="1"/>
  <c r="F2368" i="1"/>
  <c r="G2367" i="1"/>
  <c r="F2367" i="1"/>
  <c r="G2366" i="1"/>
  <c r="F2366" i="1"/>
  <c r="G2362" i="1"/>
  <c r="F2362" i="1"/>
  <c r="G2359" i="1"/>
  <c r="F2359" i="1"/>
  <c r="G2354" i="1"/>
  <c r="F2354" i="1"/>
  <c r="G2353" i="1"/>
  <c r="F2353" i="1"/>
  <c r="G2350" i="1"/>
  <c r="F2350" i="1"/>
  <c r="G2349" i="1"/>
  <c r="F2349" i="1"/>
  <c r="G2347" i="1"/>
  <c r="F2347" i="1"/>
  <c r="G2346" i="1"/>
  <c r="F2346" i="1"/>
  <c r="G2344" i="1"/>
  <c r="F2344" i="1"/>
  <c r="G2343" i="1"/>
  <c r="F2343" i="1"/>
  <c r="G2342" i="1"/>
  <c r="F2342" i="1"/>
  <c r="G2341" i="1"/>
  <c r="F2341" i="1"/>
  <c r="G2339" i="1"/>
  <c r="F2339" i="1"/>
  <c r="G2338" i="1"/>
  <c r="F2338" i="1"/>
  <c r="G2336" i="1"/>
  <c r="F2336" i="1"/>
  <c r="G2335" i="1"/>
  <c r="F2335" i="1"/>
  <c r="G2334" i="1"/>
  <c r="F2334" i="1"/>
  <c r="G2331" i="1"/>
  <c r="F2331" i="1"/>
  <c r="G2329" i="1"/>
  <c r="F2329" i="1"/>
  <c r="G2328" i="1"/>
  <c r="F2328" i="1"/>
  <c r="G2325" i="1"/>
  <c r="F2325" i="1"/>
  <c r="G2324" i="1"/>
  <c r="F2324" i="1"/>
  <c r="G2323" i="1"/>
  <c r="F2323" i="1"/>
  <c r="G2322" i="1"/>
  <c r="F2322" i="1"/>
  <c r="G2321" i="1"/>
  <c r="F2321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08" i="1"/>
  <c r="F2308" i="1"/>
  <c r="G2305" i="1"/>
  <c r="F2305" i="1"/>
  <c r="G2302" i="1"/>
  <c r="F2302" i="1"/>
  <c r="G2300" i="1"/>
  <c r="F2300" i="1"/>
  <c r="G2298" i="1"/>
  <c r="F2298" i="1"/>
  <c r="G2296" i="1"/>
  <c r="F2296" i="1"/>
  <c r="G2295" i="1"/>
  <c r="F2295" i="1"/>
  <c r="G2293" i="1"/>
  <c r="F2293" i="1"/>
  <c r="G2292" i="1"/>
  <c r="F2292" i="1"/>
  <c r="G2290" i="1"/>
  <c r="F2290" i="1"/>
  <c r="G2289" i="1"/>
  <c r="F2289" i="1"/>
  <c r="G2288" i="1"/>
  <c r="F2288" i="1"/>
  <c r="G2287" i="1"/>
  <c r="F2287" i="1"/>
  <c r="G2286" i="1"/>
  <c r="F2286" i="1"/>
  <c r="G2284" i="1"/>
  <c r="F2284" i="1"/>
  <c r="G2283" i="1"/>
  <c r="F2283" i="1"/>
  <c r="G2282" i="1"/>
  <c r="F2282" i="1"/>
  <c r="G2281" i="1"/>
  <c r="F2281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0" i="1"/>
  <c r="F2270" i="1"/>
  <c r="G2269" i="1"/>
  <c r="F2269" i="1"/>
  <c r="G2267" i="1"/>
  <c r="F2267" i="1"/>
  <c r="G2266" i="1"/>
  <c r="F2266" i="1"/>
  <c r="G2263" i="1"/>
  <c r="F2263" i="1"/>
  <c r="G2262" i="1"/>
  <c r="F2262" i="1"/>
  <c r="G2261" i="1"/>
  <c r="F2261" i="1"/>
  <c r="G2259" i="1"/>
  <c r="F2259" i="1"/>
  <c r="G2256" i="1"/>
  <c r="F2256" i="1"/>
  <c r="G2252" i="1"/>
  <c r="F2252" i="1"/>
  <c r="G2251" i="1"/>
  <c r="F2251" i="1"/>
  <c r="G2250" i="1"/>
  <c r="F2250" i="1"/>
  <c r="G2248" i="1"/>
  <c r="F2248" i="1"/>
  <c r="G2246" i="1"/>
  <c r="F2246" i="1"/>
  <c r="G2244" i="1"/>
  <c r="F2244" i="1"/>
  <c r="G2242" i="1"/>
  <c r="F2242" i="1"/>
  <c r="G2240" i="1"/>
  <c r="F2240" i="1"/>
  <c r="G2236" i="1"/>
  <c r="F2236" i="1"/>
  <c r="G2235" i="1"/>
  <c r="F2235" i="1"/>
  <c r="G2234" i="1"/>
  <c r="F2234" i="1"/>
  <c r="G2233" i="1"/>
  <c r="F2233" i="1"/>
  <c r="G2232" i="1"/>
  <c r="F2232" i="1"/>
  <c r="G2230" i="1"/>
  <c r="F2230" i="1"/>
  <c r="G2229" i="1"/>
  <c r="F2229" i="1"/>
  <c r="G2228" i="1"/>
  <c r="F2228" i="1"/>
  <c r="G2225" i="1"/>
  <c r="F2225" i="1"/>
  <c r="G2222" i="1"/>
  <c r="F2222" i="1"/>
  <c r="G2220" i="1"/>
  <c r="F2220" i="1"/>
  <c r="G2219" i="1"/>
  <c r="F2219" i="1"/>
  <c r="G2216" i="1"/>
  <c r="F2216" i="1"/>
  <c r="G2215" i="1"/>
  <c r="F2215" i="1"/>
  <c r="G2214" i="1"/>
  <c r="F2214" i="1"/>
  <c r="G2213" i="1"/>
  <c r="F2213" i="1"/>
  <c r="G2212" i="1"/>
  <c r="F2212" i="1"/>
  <c r="G2210" i="1"/>
  <c r="F2210" i="1"/>
  <c r="G2207" i="1"/>
  <c r="F2207" i="1"/>
  <c r="G2204" i="1"/>
  <c r="F2204" i="1"/>
  <c r="G2203" i="1"/>
  <c r="F2203" i="1"/>
  <c r="G2202" i="1"/>
  <c r="F2202" i="1"/>
  <c r="G2201" i="1"/>
  <c r="F2201" i="1"/>
  <c r="G2199" i="1"/>
  <c r="F2199" i="1"/>
  <c r="G2198" i="1"/>
  <c r="F2198" i="1"/>
  <c r="G2197" i="1"/>
  <c r="F2197" i="1"/>
  <c r="G2196" i="1"/>
  <c r="F2196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2" i="1"/>
  <c r="F2172" i="1"/>
  <c r="G2171" i="1"/>
  <c r="F2171" i="1"/>
  <c r="G2164" i="1"/>
  <c r="F2164" i="1"/>
  <c r="G2163" i="1"/>
  <c r="F2163" i="1"/>
  <c r="G2161" i="1"/>
  <c r="F2161" i="1"/>
  <c r="G2160" i="1"/>
  <c r="F2160" i="1"/>
  <c r="G2159" i="1"/>
  <c r="F2159" i="1"/>
  <c r="G2157" i="1"/>
  <c r="F2157" i="1"/>
  <c r="G2155" i="1"/>
  <c r="F2155" i="1"/>
  <c r="G2154" i="1"/>
  <c r="F2154" i="1"/>
  <c r="G2153" i="1"/>
  <c r="F2153" i="1"/>
  <c r="G2152" i="1"/>
  <c r="F2152" i="1"/>
  <c r="G2150" i="1"/>
  <c r="F2150" i="1"/>
  <c r="G2149" i="1"/>
  <c r="F2149" i="1"/>
  <c r="G2147" i="1"/>
  <c r="F2147" i="1"/>
  <c r="G2146" i="1"/>
  <c r="F2146" i="1"/>
  <c r="G2142" i="1"/>
  <c r="F2142" i="1"/>
  <c r="G2141" i="1"/>
  <c r="F2141" i="1"/>
  <c r="G2139" i="1"/>
  <c r="F2139" i="1"/>
  <c r="G2137" i="1"/>
  <c r="F2137" i="1"/>
  <c r="G2136" i="1"/>
  <c r="F2136" i="1"/>
  <c r="G2132" i="1"/>
  <c r="F2132" i="1"/>
  <c r="G2131" i="1"/>
  <c r="F2131" i="1"/>
  <c r="G2128" i="1"/>
  <c r="F2128" i="1"/>
  <c r="G2127" i="1"/>
  <c r="F2127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09" i="1"/>
  <c r="F2109" i="1"/>
  <c r="G2108" i="1"/>
  <c r="F2108" i="1"/>
  <c r="G2107" i="1"/>
  <c r="F2107" i="1"/>
  <c r="G2106" i="1"/>
  <c r="F2106" i="1"/>
  <c r="G2105" i="1"/>
  <c r="F2105" i="1"/>
  <c r="G2103" i="1"/>
  <c r="F2103" i="1"/>
  <c r="G2102" i="1"/>
  <c r="F2102" i="1"/>
  <c r="G2101" i="1"/>
  <c r="F2101" i="1"/>
  <c r="G2099" i="1"/>
  <c r="F2099" i="1"/>
  <c r="G2097" i="1"/>
  <c r="F2097" i="1"/>
  <c r="G2096" i="1"/>
  <c r="F2096" i="1"/>
  <c r="G2095" i="1"/>
  <c r="F2095" i="1"/>
  <c r="G2094" i="1"/>
  <c r="F2094" i="1"/>
  <c r="G2093" i="1"/>
  <c r="F2093" i="1"/>
  <c r="G2091" i="1"/>
  <c r="F2091" i="1"/>
  <c r="G2090" i="1"/>
  <c r="F2090" i="1"/>
  <c r="G2086" i="1"/>
  <c r="F2086" i="1"/>
  <c r="G2085" i="1"/>
  <c r="F2085" i="1"/>
  <c r="G2080" i="1"/>
  <c r="F2080" i="1"/>
  <c r="G2077" i="1"/>
  <c r="F2077" i="1"/>
  <c r="G2073" i="1"/>
  <c r="F2073" i="1"/>
  <c r="G2070" i="1"/>
  <c r="F2070" i="1"/>
  <c r="G2069" i="1"/>
  <c r="F2069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58" i="1"/>
  <c r="F2058" i="1"/>
  <c r="G2055" i="1"/>
  <c r="F2055" i="1"/>
  <c r="G2054" i="1"/>
  <c r="F2054" i="1"/>
  <c r="G2053" i="1"/>
  <c r="F2053" i="1"/>
  <c r="G2052" i="1"/>
  <c r="F2052" i="1"/>
  <c r="G2051" i="1"/>
  <c r="F2051" i="1"/>
  <c r="G2045" i="1"/>
  <c r="F2045" i="1"/>
  <c r="G2044" i="1"/>
  <c r="F2044" i="1"/>
  <c r="G2043" i="1"/>
  <c r="F2043" i="1"/>
  <c r="G2042" i="1"/>
  <c r="F2042" i="1"/>
  <c r="G2039" i="1"/>
  <c r="F2039" i="1"/>
  <c r="G2036" i="1"/>
  <c r="F2036" i="1"/>
  <c r="G2035" i="1"/>
  <c r="F2035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2" i="1"/>
  <c r="F2022" i="1"/>
  <c r="G2020" i="1"/>
  <c r="F2020" i="1"/>
  <c r="G2018" i="1"/>
  <c r="F2018" i="1"/>
  <c r="G2017" i="1"/>
  <c r="F2017" i="1"/>
  <c r="G2015" i="1"/>
  <c r="F2015" i="1"/>
  <c r="G2013" i="1"/>
  <c r="F2013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3" i="1"/>
  <c r="F2003" i="1"/>
  <c r="G2002" i="1"/>
  <c r="F2002" i="1"/>
  <c r="G2000" i="1"/>
  <c r="F2000" i="1"/>
  <c r="G1999" i="1"/>
  <c r="F1999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7" i="1"/>
  <c r="F1977" i="1"/>
  <c r="G1976" i="1"/>
  <c r="F1976" i="1"/>
  <c r="G1973" i="1"/>
  <c r="F1973" i="1"/>
  <c r="G1972" i="1"/>
  <c r="F1972" i="1"/>
  <c r="G1970" i="1"/>
  <c r="F1970" i="1"/>
  <c r="G1969" i="1"/>
  <c r="F1969" i="1"/>
  <c r="G1968" i="1"/>
  <c r="F1968" i="1"/>
  <c r="G1967" i="1"/>
  <c r="F1967" i="1"/>
  <c r="G1965" i="1"/>
  <c r="F1965" i="1"/>
  <c r="G1964" i="1"/>
  <c r="F1964" i="1"/>
  <c r="G1963" i="1"/>
  <c r="F1963" i="1"/>
  <c r="G1959" i="1"/>
  <c r="F1959" i="1"/>
  <c r="G1958" i="1"/>
  <c r="F1958" i="1"/>
  <c r="G1957" i="1"/>
  <c r="F1957" i="1"/>
  <c r="G1955" i="1"/>
  <c r="F1955" i="1"/>
  <c r="G1954" i="1"/>
  <c r="F1954" i="1"/>
  <c r="G1953" i="1"/>
  <c r="F1953" i="1"/>
  <c r="G1952" i="1"/>
  <c r="F1952" i="1"/>
  <c r="G1950" i="1"/>
  <c r="F1950" i="1"/>
  <c r="G1948" i="1"/>
  <c r="F1948" i="1"/>
  <c r="G1943" i="1"/>
  <c r="F1943" i="1"/>
  <c r="G1942" i="1"/>
  <c r="F1942" i="1"/>
  <c r="G1937" i="1"/>
  <c r="F1937" i="1"/>
  <c r="G1936" i="1"/>
  <c r="F1936" i="1"/>
  <c r="G1934" i="1"/>
  <c r="F1934" i="1"/>
  <c r="G1933" i="1"/>
  <c r="F1933" i="1"/>
  <c r="G1932" i="1"/>
  <c r="F1932" i="1"/>
  <c r="G1930" i="1"/>
  <c r="F1930" i="1"/>
  <c r="G1927" i="1"/>
  <c r="F1927" i="1"/>
  <c r="G1925" i="1"/>
  <c r="F1925" i="1"/>
  <c r="G1921" i="1"/>
  <c r="F1921" i="1"/>
  <c r="G1919" i="1"/>
  <c r="F1919" i="1"/>
  <c r="G1912" i="1"/>
  <c r="F1912" i="1"/>
  <c r="G1910" i="1"/>
  <c r="F1910" i="1"/>
  <c r="G1909" i="1"/>
  <c r="F1909" i="1"/>
  <c r="G1907" i="1"/>
  <c r="F1907" i="1"/>
  <c r="G1903" i="1"/>
  <c r="F1903" i="1"/>
  <c r="G1896" i="1"/>
  <c r="F1896" i="1"/>
  <c r="G1895" i="1"/>
  <c r="F1895" i="1"/>
  <c r="G1894" i="1"/>
  <c r="F1894" i="1"/>
  <c r="G1888" i="1"/>
  <c r="F1888" i="1"/>
  <c r="G1887" i="1"/>
  <c r="F1887" i="1"/>
  <c r="G1886" i="1"/>
  <c r="F1886" i="1"/>
  <c r="G1883" i="1"/>
  <c r="F1883" i="1"/>
  <c r="G1882" i="1"/>
  <c r="F1882" i="1"/>
  <c r="G1880" i="1"/>
  <c r="F1880" i="1"/>
  <c r="G1878" i="1"/>
  <c r="F1878" i="1"/>
  <c r="G1876" i="1"/>
  <c r="F1876" i="1"/>
  <c r="G1875" i="1"/>
  <c r="F1875" i="1"/>
  <c r="G1874" i="1"/>
  <c r="F1874" i="1"/>
  <c r="G1872" i="1"/>
  <c r="F1872" i="1"/>
  <c r="G1871" i="1"/>
  <c r="F1871" i="1"/>
  <c r="G1870" i="1"/>
  <c r="F1870" i="1"/>
  <c r="G1869" i="1"/>
  <c r="F1869" i="1"/>
  <c r="G1868" i="1"/>
  <c r="F1868" i="1"/>
  <c r="G1860" i="1"/>
  <c r="F1860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0" i="1"/>
  <c r="F1850" i="1"/>
  <c r="G1849" i="1"/>
  <c r="F1849" i="1"/>
  <c r="G1848" i="1"/>
  <c r="F1848" i="1"/>
  <c r="G1847" i="1"/>
  <c r="F1847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6" i="1"/>
  <c r="F1836" i="1"/>
  <c r="G1830" i="1"/>
  <c r="F1830" i="1"/>
  <c r="G1828" i="1"/>
  <c r="F1828" i="1"/>
  <c r="G1827" i="1"/>
  <c r="F1827" i="1"/>
  <c r="G1826" i="1"/>
  <c r="F1826" i="1"/>
  <c r="G1825" i="1"/>
  <c r="F1825" i="1"/>
  <c r="G1824" i="1"/>
  <c r="F1824" i="1"/>
  <c r="G1821" i="1"/>
  <c r="F1821" i="1"/>
  <c r="G1814" i="1"/>
  <c r="F1814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4" i="1"/>
  <c r="F1804" i="1"/>
  <c r="G1803" i="1"/>
  <c r="F1803" i="1"/>
  <c r="G1802" i="1"/>
  <c r="F1802" i="1"/>
  <c r="G1801" i="1"/>
  <c r="F1801" i="1"/>
  <c r="G1800" i="1"/>
  <c r="F1800" i="1"/>
  <c r="G1798" i="1"/>
  <c r="F1798" i="1"/>
  <c r="G1797" i="1"/>
  <c r="F1797" i="1"/>
  <c r="G1796" i="1"/>
  <c r="F1796" i="1"/>
  <c r="G1795" i="1"/>
  <c r="F1795" i="1"/>
  <c r="G1793" i="1"/>
  <c r="F1793" i="1"/>
  <c r="G1788" i="1"/>
  <c r="F1788" i="1"/>
  <c r="G1781" i="1"/>
  <c r="F1781" i="1"/>
  <c r="G1778" i="1"/>
  <c r="F1778" i="1"/>
  <c r="G1777" i="1"/>
  <c r="F1777" i="1"/>
  <c r="G1776" i="1"/>
  <c r="F1776" i="1"/>
  <c r="G1775" i="1"/>
  <c r="F1775" i="1"/>
  <c r="G1773" i="1"/>
  <c r="F1773" i="1"/>
  <c r="G1772" i="1"/>
  <c r="F1772" i="1"/>
  <c r="G1769" i="1"/>
  <c r="F1769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59" i="1"/>
  <c r="F1759" i="1"/>
  <c r="G1758" i="1"/>
  <c r="F1758" i="1"/>
  <c r="G1757" i="1"/>
  <c r="F1757" i="1"/>
  <c r="G1754" i="1"/>
  <c r="F1754" i="1"/>
  <c r="G1753" i="1"/>
  <c r="F1753" i="1"/>
  <c r="G1752" i="1"/>
  <c r="F1752" i="1"/>
  <c r="G1751" i="1"/>
  <c r="F1751" i="1"/>
  <c r="G1748" i="1"/>
  <c r="F1748" i="1"/>
  <c r="G1747" i="1"/>
  <c r="F1747" i="1"/>
  <c r="G1746" i="1"/>
  <c r="F1746" i="1"/>
  <c r="G1737" i="1"/>
  <c r="F1737" i="1"/>
  <c r="G1735" i="1"/>
  <c r="F1735" i="1"/>
  <c r="G1734" i="1"/>
  <c r="F1734" i="1"/>
  <c r="G1733" i="1"/>
  <c r="F1733" i="1"/>
  <c r="G1732" i="1"/>
  <c r="F1732" i="1"/>
  <c r="G1731" i="1"/>
  <c r="F1731" i="1"/>
  <c r="G1729" i="1"/>
  <c r="F1729" i="1"/>
  <c r="G1728" i="1"/>
  <c r="F1728" i="1"/>
  <c r="G1724" i="1"/>
  <c r="F1724" i="1"/>
  <c r="G1720" i="1"/>
  <c r="F1720" i="1"/>
  <c r="G1719" i="1"/>
  <c r="F1719" i="1"/>
  <c r="G1717" i="1"/>
  <c r="F1717" i="1"/>
  <c r="G1716" i="1"/>
  <c r="F1716" i="1"/>
  <c r="G1715" i="1"/>
  <c r="F1715" i="1"/>
  <c r="G1714" i="1"/>
  <c r="F1714" i="1"/>
  <c r="G1712" i="1"/>
  <c r="F1712" i="1"/>
  <c r="G1710" i="1"/>
  <c r="F1710" i="1"/>
  <c r="G1708" i="1"/>
  <c r="F1708" i="1"/>
  <c r="G1706" i="1"/>
  <c r="F1706" i="1"/>
  <c r="G1705" i="1"/>
  <c r="F1705" i="1"/>
  <c r="G1703" i="1"/>
  <c r="F1703" i="1"/>
  <c r="G1699" i="1"/>
  <c r="F1699" i="1"/>
  <c r="G1695" i="1"/>
  <c r="F1695" i="1"/>
  <c r="G1694" i="1"/>
  <c r="F1694" i="1"/>
  <c r="G1693" i="1"/>
  <c r="F1693" i="1"/>
  <c r="G1692" i="1"/>
  <c r="F1692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0" i="1"/>
  <c r="F1680" i="1"/>
  <c r="G1679" i="1"/>
  <c r="F1679" i="1"/>
  <c r="G1678" i="1"/>
  <c r="F1678" i="1"/>
  <c r="G1677" i="1"/>
  <c r="F1677" i="1"/>
  <c r="G1675" i="1"/>
  <c r="F1675" i="1"/>
  <c r="G1670" i="1"/>
  <c r="F1670" i="1"/>
  <c r="G1669" i="1"/>
  <c r="F1669" i="1"/>
  <c r="G1666" i="1"/>
  <c r="F1666" i="1"/>
  <c r="G1665" i="1"/>
  <c r="F1665" i="1"/>
  <c r="G1663" i="1"/>
  <c r="F1663" i="1"/>
  <c r="G1661" i="1"/>
  <c r="F1661" i="1"/>
  <c r="G1660" i="1"/>
  <c r="F1660" i="1"/>
  <c r="G1659" i="1"/>
  <c r="F1659" i="1"/>
  <c r="G1657" i="1"/>
  <c r="F1657" i="1"/>
  <c r="G1656" i="1"/>
  <c r="F1656" i="1"/>
  <c r="G1655" i="1"/>
  <c r="F1655" i="1"/>
  <c r="G1650" i="1"/>
  <c r="F1650" i="1"/>
  <c r="G1648" i="1"/>
  <c r="F1648" i="1"/>
  <c r="G1647" i="1"/>
  <c r="F1647" i="1"/>
  <c r="G1645" i="1"/>
  <c r="F1645" i="1"/>
  <c r="G1644" i="1"/>
  <c r="F1644" i="1"/>
  <c r="G1640" i="1"/>
  <c r="F1640" i="1"/>
  <c r="G1635" i="1"/>
  <c r="F1635" i="1"/>
  <c r="G1630" i="1"/>
  <c r="F1630" i="1"/>
  <c r="G1629" i="1"/>
  <c r="F1629" i="1"/>
  <c r="G1626" i="1"/>
  <c r="F1626" i="1"/>
  <c r="G1625" i="1"/>
  <c r="F1625" i="1"/>
  <c r="G1623" i="1"/>
  <c r="F1623" i="1"/>
  <c r="G1622" i="1"/>
  <c r="F1622" i="1"/>
  <c r="G1619" i="1"/>
  <c r="F1619" i="1"/>
  <c r="G1618" i="1"/>
  <c r="F1618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1" i="1"/>
  <c r="F1601" i="1"/>
  <c r="G1600" i="1"/>
  <c r="F1600" i="1"/>
  <c r="G1599" i="1"/>
  <c r="F1599" i="1"/>
  <c r="G1598" i="1"/>
  <c r="F1598" i="1"/>
  <c r="G1597" i="1"/>
  <c r="F1597" i="1"/>
  <c r="G1594" i="1"/>
  <c r="F1594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8" i="1"/>
  <c r="F1578" i="1"/>
  <c r="G1577" i="1"/>
  <c r="F1577" i="1"/>
  <c r="G1575" i="1"/>
  <c r="F1575" i="1"/>
  <c r="G1574" i="1"/>
  <c r="F1574" i="1"/>
  <c r="G1572" i="1"/>
  <c r="F1572" i="1"/>
  <c r="G1571" i="1"/>
  <c r="F1571" i="1"/>
  <c r="G1570" i="1"/>
  <c r="F1570" i="1"/>
  <c r="G1568" i="1"/>
  <c r="F1568" i="1"/>
  <c r="G1565" i="1"/>
  <c r="F1565" i="1"/>
  <c r="G1564" i="1"/>
  <c r="F1564" i="1"/>
  <c r="G1563" i="1"/>
  <c r="F1563" i="1"/>
  <c r="G1562" i="1"/>
  <c r="F1562" i="1"/>
  <c r="G1561" i="1"/>
  <c r="F1561" i="1"/>
  <c r="G1559" i="1"/>
  <c r="F1559" i="1"/>
  <c r="G1558" i="1"/>
  <c r="F1558" i="1"/>
  <c r="G1557" i="1"/>
  <c r="F1557" i="1"/>
  <c r="G1556" i="1"/>
  <c r="F1556" i="1"/>
  <c r="G1555" i="1"/>
  <c r="F1555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4" i="1"/>
  <c r="F1534" i="1"/>
  <c r="G1531" i="1"/>
  <c r="F1531" i="1"/>
  <c r="G1526" i="1"/>
  <c r="F1526" i="1"/>
  <c r="G1525" i="1"/>
  <c r="F1525" i="1"/>
  <c r="G1524" i="1"/>
  <c r="F1524" i="1"/>
  <c r="G1523" i="1"/>
  <c r="F1523" i="1"/>
  <c r="G1521" i="1"/>
  <c r="F1521" i="1"/>
  <c r="G1520" i="1"/>
  <c r="F1520" i="1"/>
  <c r="G1519" i="1"/>
  <c r="F1519" i="1"/>
  <c r="G1517" i="1"/>
  <c r="F1517" i="1"/>
  <c r="G1515" i="1"/>
  <c r="F1515" i="1"/>
  <c r="G1513" i="1"/>
  <c r="F1513" i="1"/>
  <c r="G1509" i="1"/>
  <c r="F1509" i="1"/>
  <c r="G1508" i="1"/>
  <c r="F1508" i="1"/>
  <c r="G1507" i="1"/>
  <c r="F1507" i="1"/>
  <c r="G1506" i="1"/>
  <c r="F1506" i="1"/>
  <c r="G1505" i="1"/>
  <c r="F1505" i="1"/>
  <c r="G1503" i="1"/>
  <c r="F1503" i="1"/>
  <c r="G1502" i="1"/>
  <c r="F1502" i="1"/>
  <c r="G1498" i="1"/>
  <c r="F1498" i="1"/>
  <c r="G1496" i="1"/>
  <c r="F1496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0" i="1"/>
  <c r="F1480" i="1"/>
  <c r="G1479" i="1"/>
  <c r="F1479" i="1"/>
  <c r="G1471" i="1"/>
  <c r="F1471" i="1"/>
  <c r="G1466" i="1"/>
  <c r="F1466" i="1"/>
  <c r="G1465" i="1"/>
  <c r="F1465" i="1"/>
  <c r="G1463" i="1"/>
  <c r="F1463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1" i="1"/>
  <c r="F1451" i="1"/>
  <c r="G1450" i="1"/>
  <c r="F1450" i="1"/>
  <c r="G1448" i="1"/>
  <c r="F1448" i="1"/>
  <c r="G1447" i="1"/>
  <c r="F1447" i="1"/>
  <c r="G1446" i="1"/>
  <c r="F1446" i="1"/>
  <c r="G1445" i="1"/>
  <c r="F1445" i="1"/>
  <c r="G1442" i="1"/>
  <c r="F1442" i="1"/>
  <c r="G1441" i="1"/>
  <c r="F1441" i="1"/>
  <c r="G1440" i="1"/>
  <c r="F1440" i="1"/>
  <c r="G1439" i="1"/>
  <c r="F1439" i="1"/>
  <c r="G1438" i="1"/>
  <c r="F1438" i="1"/>
  <c r="G1434" i="1"/>
  <c r="F1434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18" i="1"/>
  <c r="F1418" i="1"/>
  <c r="G1413" i="1"/>
  <c r="F1413" i="1"/>
  <c r="G1411" i="1"/>
  <c r="F1411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0" i="1"/>
  <c r="F1400" i="1"/>
  <c r="G1399" i="1"/>
  <c r="F1399" i="1"/>
  <c r="G1397" i="1"/>
  <c r="F1397" i="1"/>
  <c r="G1396" i="1"/>
  <c r="F1396" i="1"/>
  <c r="G1395" i="1"/>
  <c r="F1395" i="1"/>
  <c r="G1393" i="1"/>
  <c r="F1393" i="1"/>
  <c r="G1392" i="1"/>
  <c r="F1392" i="1"/>
  <c r="G1390" i="1"/>
  <c r="F1390" i="1"/>
  <c r="G1387" i="1"/>
  <c r="F1387" i="1"/>
  <c r="G1386" i="1"/>
  <c r="F1386" i="1"/>
  <c r="G1384" i="1"/>
  <c r="F1384" i="1"/>
  <c r="G1383" i="1"/>
  <c r="F1383" i="1"/>
  <c r="G1382" i="1"/>
  <c r="F1382" i="1"/>
  <c r="G1379" i="1"/>
  <c r="F1379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3" i="1"/>
  <c r="F1363" i="1"/>
  <c r="G1362" i="1"/>
  <c r="F1362" i="1"/>
  <c r="G1361" i="1"/>
  <c r="F1361" i="1"/>
  <c r="G1360" i="1"/>
  <c r="F1360" i="1"/>
  <c r="G1356" i="1"/>
  <c r="F1356" i="1"/>
  <c r="G1355" i="1"/>
  <c r="F1355" i="1"/>
  <c r="G1353" i="1"/>
  <c r="F1353" i="1"/>
  <c r="G1351" i="1"/>
  <c r="F1351" i="1"/>
  <c r="G1350" i="1"/>
  <c r="F1350" i="1"/>
  <c r="G1348" i="1"/>
  <c r="F1348" i="1"/>
  <c r="G1345" i="1"/>
  <c r="F1345" i="1"/>
  <c r="G1343" i="1"/>
  <c r="F1343" i="1"/>
  <c r="G1341" i="1"/>
  <c r="F1341" i="1"/>
  <c r="G1340" i="1"/>
  <c r="F1340" i="1"/>
  <c r="G1339" i="1"/>
  <c r="F1339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0" i="1"/>
  <c r="F1320" i="1"/>
  <c r="G1319" i="1"/>
  <c r="F1319" i="1"/>
  <c r="G1310" i="1"/>
  <c r="F1310" i="1"/>
  <c r="G1309" i="1"/>
  <c r="F1309" i="1"/>
  <c r="G1305" i="1"/>
  <c r="F1305" i="1"/>
  <c r="G1304" i="1"/>
  <c r="F1304" i="1"/>
  <c r="G1302" i="1"/>
  <c r="F1302" i="1"/>
  <c r="G1291" i="1"/>
  <c r="F1291" i="1"/>
  <c r="G1287" i="1"/>
  <c r="F1287" i="1"/>
  <c r="G1285" i="1"/>
  <c r="F1285" i="1"/>
  <c r="G1284" i="1"/>
  <c r="F1284" i="1"/>
  <c r="G1281" i="1"/>
  <c r="F1281" i="1"/>
  <c r="G1273" i="1"/>
  <c r="F1273" i="1"/>
  <c r="G1263" i="1"/>
  <c r="F1263" i="1"/>
  <c r="G1262" i="1"/>
  <c r="F1262" i="1"/>
  <c r="G1260" i="1"/>
  <c r="F1260" i="1"/>
  <c r="G1259" i="1"/>
  <c r="F1259" i="1"/>
  <c r="G1257" i="1"/>
  <c r="F1257" i="1"/>
  <c r="G1244" i="1"/>
  <c r="F1244" i="1"/>
  <c r="G1242" i="1"/>
  <c r="F1242" i="1"/>
  <c r="G1239" i="1"/>
  <c r="F1239" i="1"/>
  <c r="G1237" i="1"/>
  <c r="F1237" i="1"/>
  <c r="G1234" i="1"/>
  <c r="F1234" i="1"/>
  <c r="G1232" i="1"/>
  <c r="F1232" i="1"/>
  <c r="G1228" i="1"/>
  <c r="F1228" i="1"/>
  <c r="G1227" i="1"/>
  <c r="F1227" i="1"/>
  <c r="G1225" i="1"/>
  <c r="F1225" i="1"/>
  <c r="G1223" i="1"/>
  <c r="F1223" i="1"/>
  <c r="G1216" i="1"/>
  <c r="F1216" i="1"/>
  <c r="G1213" i="1"/>
  <c r="F1213" i="1"/>
  <c r="G1212" i="1"/>
  <c r="F1212" i="1"/>
  <c r="G1204" i="1"/>
  <c r="F1204" i="1"/>
  <c r="G1201" i="1"/>
  <c r="F1201" i="1"/>
  <c r="G1199" i="1"/>
  <c r="F1199" i="1"/>
  <c r="G1188" i="1"/>
  <c r="F1188" i="1"/>
  <c r="G1186" i="1"/>
  <c r="F1186" i="1"/>
  <c r="G1177" i="1"/>
  <c r="F1177" i="1"/>
  <c r="G1174" i="1"/>
  <c r="F1174" i="1"/>
  <c r="G1171" i="1"/>
  <c r="F1171" i="1"/>
  <c r="G1166" i="1"/>
  <c r="F1166" i="1"/>
  <c r="G1160" i="1"/>
  <c r="F1160" i="1"/>
  <c r="G1157" i="1"/>
  <c r="F1157" i="1"/>
  <c r="G1153" i="1"/>
  <c r="F1153" i="1"/>
  <c r="G1152" i="1"/>
  <c r="F1152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6" i="1"/>
  <c r="F1106" i="1"/>
  <c r="G1105" i="1"/>
  <c r="F1105" i="1"/>
  <c r="G1104" i="1"/>
  <c r="F1104" i="1"/>
  <c r="G1102" i="1"/>
  <c r="F1102" i="1"/>
  <c r="G1101" i="1"/>
  <c r="F1101" i="1"/>
  <c r="G1100" i="1"/>
  <c r="F1100" i="1"/>
  <c r="G1097" i="1"/>
  <c r="F1097" i="1"/>
  <c r="G1096" i="1"/>
  <c r="F1096" i="1"/>
  <c r="G1095" i="1"/>
  <c r="F1095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6" i="1"/>
  <c r="F1086" i="1"/>
  <c r="G1085" i="1"/>
  <c r="F1085" i="1"/>
  <c r="G1082" i="1"/>
  <c r="F1082" i="1"/>
  <c r="G1080" i="1"/>
  <c r="F1080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7" i="1"/>
  <c r="F1067" i="1"/>
  <c r="G1063" i="1"/>
  <c r="F1063" i="1"/>
  <c r="G1062" i="1"/>
  <c r="F1062" i="1"/>
  <c r="G1060" i="1"/>
  <c r="F1060" i="1"/>
  <c r="G1053" i="1"/>
  <c r="F1053" i="1"/>
  <c r="G1052" i="1"/>
  <c r="F1052" i="1"/>
  <c r="G1051" i="1"/>
  <c r="F1051" i="1"/>
  <c r="G1050" i="1"/>
  <c r="F1050" i="1"/>
  <c r="G1048" i="1"/>
  <c r="F1048" i="1"/>
  <c r="G1046" i="1"/>
  <c r="F1046" i="1"/>
  <c r="G1045" i="1"/>
  <c r="F1045" i="1"/>
  <c r="G1044" i="1"/>
  <c r="F1044" i="1"/>
  <c r="G1043" i="1"/>
  <c r="F1043" i="1"/>
  <c r="G1040" i="1"/>
  <c r="F1040" i="1"/>
  <c r="G1039" i="1"/>
  <c r="F1039" i="1"/>
  <c r="G1038" i="1"/>
  <c r="F1038" i="1"/>
  <c r="G1036" i="1"/>
  <c r="F1036" i="1"/>
  <c r="G1035" i="1"/>
  <c r="F1035" i="1"/>
  <c r="G1033" i="1"/>
  <c r="F1033" i="1"/>
  <c r="G1032" i="1"/>
  <c r="F1032" i="1"/>
  <c r="G1031" i="1"/>
  <c r="F1031" i="1"/>
  <c r="G1030" i="1"/>
  <c r="F1030" i="1"/>
  <c r="G1029" i="1"/>
  <c r="F1029" i="1"/>
  <c r="G1027" i="1"/>
  <c r="F1027" i="1"/>
  <c r="G1026" i="1"/>
  <c r="F1026" i="1"/>
  <c r="G1025" i="1"/>
  <c r="F1025" i="1"/>
  <c r="G1023" i="1"/>
  <c r="F1023" i="1"/>
  <c r="G1022" i="1"/>
  <c r="F1022" i="1"/>
  <c r="G1021" i="1"/>
  <c r="F1021" i="1"/>
  <c r="G1019" i="1"/>
  <c r="F1019" i="1"/>
  <c r="G1018" i="1"/>
  <c r="F1018" i="1"/>
  <c r="G1016" i="1"/>
  <c r="F1016" i="1"/>
  <c r="G1014" i="1"/>
  <c r="F1014" i="1"/>
  <c r="G1013" i="1"/>
  <c r="F1013" i="1"/>
  <c r="G1012" i="1"/>
  <c r="F1012" i="1"/>
  <c r="G1009" i="1"/>
  <c r="F1009" i="1"/>
  <c r="G1008" i="1"/>
  <c r="F1008" i="1"/>
  <c r="G1007" i="1"/>
  <c r="F1007" i="1"/>
  <c r="G1005" i="1"/>
  <c r="F1005" i="1"/>
  <c r="G1004" i="1"/>
  <c r="F1004" i="1"/>
  <c r="G1003" i="1"/>
  <c r="F1003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1" i="1"/>
  <c r="F991" i="1"/>
  <c r="G989" i="1"/>
  <c r="F989" i="1"/>
  <c r="G988" i="1"/>
  <c r="F988" i="1"/>
  <c r="G983" i="1"/>
  <c r="F983" i="1"/>
  <c r="G981" i="1"/>
  <c r="F981" i="1"/>
  <c r="G980" i="1"/>
  <c r="F980" i="1"/>
  <c r="G978" i="1"/>
  <c r="F978" i="1"/>
  <c r="G977" i="1"/>
  <c r="F977" i="1"/>
  <c r="G975" i="1"/>
  <c r="F975" i="1"/>
  <c r="G974" i="1"/>
  <c r="F974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2" i="1"/>
  <c r="F952" i="1"/>
  <c r="G951" i="1"/>
  <c r="F951" i="1"/>
  <c r="G948" i="1"/>
  <c r="F948" i="1"/>
  <c r="G946" i="1"/>
  <c r="F946" i="1"/>
  <c r="G945" i="1"/>
  <c r="F945" i="1"/>
  <c r="G944" i="1"/>
  <c r="F944" i="1"/>
  <c r="G943" i="1"/>
  <c r="F943" i="1"/>
  <c r="G942" i="1"/>
  <c r="F942" i="1"/>
  <c r="G940" i="1"/>
  <c r="F940" i="1"/>
  <c r="G937" i="1"/>
  <c r="F937" i="1"/>
  <c r="G936" i="1"/>
  <c r="F936" i="1"/>
  <c r="G935" i="1"/>
  <c r="F935" i="1"/>
  <c r="G933" i="1"/>
  <c r="F933" i="1"/>
  <c r="G932" i="1"/>
  <c r="F932" i="1"/>
  <c r="G930" i="1"/>
  <c r="F930" i="1"/>
  <c r="G928" i="1"/>
  <c r="F928" i="1"/>
  <c r="G927" i="1"/>
  <c r="F927" i="1"/>
  <c r="G925" i="1"/>
  <c r="F925" i="1"/>
  <c r="G923" i="1"/>
  <c r="F923" i="1"/>
  <c r="G922" i="1"/>
  <c r="F922" i="1"/>
  <c r="G921" i="1"/>
  <c r="F921" i="1"/>
  <c r="G920" i="1"/>
  <c r="F920" i="1"/>
  <c r="G918" i="1"/>
  <c r="F918" i="1"/>
  <c r="G917" i="1"/>
  <c r="F917" i="1"/>
  <c r="G916" i="1"/>
  <c r="F916" i="1"/>
  <c r="G915" i="1"/>
  <c r="F915" i="1"/>
  <c r="G914" i="1"/>
  <c r="F914" i="1"/>
  <c r="G912" i="1"/>
  <c r="F912" i="1"/>
  <c r="G910" i="1"/>
  <c r="F910" i="1"/>
  <c r="G907" i="1"/>
  <c r="F907" i="1"/>
  <c r="G905" i="1"/>
  <c r="F905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2" i="1"/>
  <c r="F892" i="1"/>
  <c r="G885" i="1"/>
  <c r="F885" i="1"/>
  <c r="G881" i="1"/>
  <c r="F881" i="1"/>
  <c r="G880" i="1"/>
  <c r="F880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66" i="1"/>
  <c r="F866" i="1"/>
  <c r="G865" i="1"/>
  <c r="F865" i="1"/>
  <c r="G864" i="1"/>
  <c r="F864" i="1"/>
  <c r="G863" i="1"/>
  <c r="F863" i="1"/>
  <c r="G861" i="1"/>
  <c r="F861" i="1"/>
  <c r="G860" i="1"/>
  <c r="F860" i="1"/>
  <c r="G859" i="1"/>
  <c r="F859" i="1"/>
  <c r="G858" i="1"/>
  <c r="F858" i="1"/>
  <c r="G857" i="1"/>
  <c r="F857" i="1"/>
  <c r="G855" i="1"/>
  <c r="F855" i="1"/>
  <c r="G854" i="1"/>
  <c r="F854" i="1"/>
  <c r="G853" i="1"/>
  <c r="F853" i="1"/>
  <c r="G851" i="1"/>
  <c r="F851" i="1"/>
  <c r="G850" i="1"/>
  <c r="F850" i="1"/>
  <c r="G848" i="1"/>
  <c r="F848" i="1"/>
  <c r="G847" i="1"/>
  <c r="F847" i="1"/>
  <c r="G842" i="1"/>
  <c r="F842" i="1"/>
  <c r="G841" i="1"/>
  <c r="F841" i="1"/>
  <c r="G840" i="1"/>
  <c r="F840" i="1"/>
  <c r="G838" i="1"/>
  <c r="F838" i="1"/>
  <c r="G837" i="1"/>
  <c r="F837" i="1"/>
  <c r="G836" i="1"/>
  <c r="F836" i="1"/>
  <c r="G835" i="1"/>
  <c r="F835" i="1"/>
  <c r="G833" i="1"/>
  <c r="F833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7" i="1"/>
  <c r="F817" i="1"/>
  <c r="G816" i="1"/>
  <c r="F816" i="1"/>
  <c r="G814" i="1"/>
  <c r="F814" i="1"/>
  <c r="G810" i="1"/>
  <c r="F810" i="1"/>
  <c r="G809" i="1"/>
  <c r="F809" i="1"/>
  <c r="G807" i="1"/>
  <c r="F807" i="1"/>
  <c r="G805" i="1"/>
  <c r="F805" i="1"/>
  <c r="G803" i="1"/>
  <c r="F803" i="1"/>
  <c r="G802" i="1"/>
  <c r="F802" i="1"/>
  <c r="G800" i="1"/>
  <c r="F800" i="1"/>
  <c r="G798" i="1"/>
  <c r="F798" i="1"/>
  <c r="G797" i="1"/>
  <c r="F797" i="1"/>
  <c r="G796" i="1"/>
  <c r="F796" i="1"/>
  <c r="G795" i="1"/>
  <c r="F795" i="1"/>
  <c r="G791" i="1"/>
  <c r="F791" i="1"/>
  <c r="G789" i="1"/>
  <c r="F789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7" i="1"/>
  <c r="F777" i="1"/>
  <c r="G776" i="1"/>
  <c r="F776" i="1"/>
  <c r="G775" i="1"/>
  <c r="F775" i="1"/>
  <c r="G774" i="1"/>
  <c r="F774" i="1"/>
  <c r="G772" i="1"/>
  <c r="F772" i="1"/>
  <c r="G771" i="1"/>
  <c r="F771" i="1"/>
  <c r="G770" i="1"/>
  <c r="F770" i="1"/>
  <c r="G769" i="1"/>
  <c r="F769" i="1"/>
  <c r="G767" i="1"/>
  <c r="F767" i="1"/>
  <c r="G766" i="1"/>
  <c r="F766" i="1"/>
  <c r="G765" i="1"/>
  <c r="F765" i="1"/>
  <c r="G764" i="1"/>
  <c r="F764" i="1"/>
  <c r="G762" i="1"/>
  <c r="F762" i="1"/>
  <c r="G761" i="1"/>
  <c r="F761" i="1"/>
  <c r="G758" i="1"/>
  <c r="F758" i="1"/>
  <c r="G757" i="1"/>
  <c r="F757" i="1"/>
  <c r="G754" i="1"/>
  <c r="F754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2" i="1"/>
  <c r="F732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1" i="1"/>
  <c r="F711" i="1"/>
  <c r="G707" i="1"/>
  <c r="F707" i="1"/>
  <c r="G706" i="1"/>
  <c r="F706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4" i="1"/>
  <c r="F694" i="1"/>
  <c r="G692" i="1"/>
  <c r="F692" i="1"/>
  <c r="G691" i="1"/>
  <c r="F691" i="1"/>
  <c r="G689" i="1"/>
  <c r="F689" i="1"/>
  <c r="G688" i="1"/>
  <c r="F688" i="1"/>
  <c r="G683" i="1"/>
  <c r="F683" i="1"/>
  <c r="G682" i="1"/>
  <c r="F682" i="1"/>
  <c r="G681" i="1"/>
  <c r="F681" i="1"/>
  <c r="G680" i="1"/>
  <c r="F680" i="1"/>
  <c r="G679" i="1"/>
  <c r="F679" i="1"/>
  <c r="G677" i="1"/>
  <c r="F677" i="1"/>
  <c r="G676" i="1"/>
  <c r="F676" i="1"/>
  <c r="G675" i="1"/>
  <c r="F675" i="1"/>
  <c r="G674" i="1"/>
  <c r="F674" i="1"/>
  <c r="G672" i="1"/>
  <c r="F672" i="1"/>
  <c r="G671" i="1"/>
  <c r="F671" i="1"/>
  <c r="G670" i="1"/>
  <c r="F670" i="1"/>
  <c r="G666" i="1"/>
  <c r="F666" i="1"/>
  <c r="G663" i="1"/>
  <c r="F663" i="1"/>
  <c r="G662" i="1"/>
  <c r="F662" i="1"/>
  <c r="G660" i="1"/>
  <c r="F660" i="1"/>
  <c r="G659" i="1"/>
  <c r="F659" i="1"/>
  <c r="G658" i="1"/>
  <c r="F658" i="1"/>
  <c r="G657" i="1"/>
  <c r="F657" i="1"/>
  <c r="G654" i="1"/>
  <c r="F654" i="1"/>
  <c r="G653" i="1"/>
  <c r="F653" i="1"/>
  <c r="G649" i="1"/>
  <c r="F649" i="1"/>
  <c r="G648" i="1"/>
  <c r="F648" i="1"/>
  <c r="G646" i="1"/>
  <c r="F646" i="1"/>
  <c r="G645" i="1"/>
  <c r="F645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0" i="1"/>
  <c r="F630" i="1"/>
  <c r="G629" i="1"/>
  <c r="F629" i="1"/>
  <c r="G628" i="1"/>
  <c r="F628" i="1"/>
  <c r="G627" i="1"/>
  <c r="F627" i="1"/>
  <c r="G626" i="1"/>
  <c r="F626" i="1"/>
  <c r="G623" i="1"/>
  <c r="F623" i="1"/>
  <c r="G622" i="1"/>
  <c r="F622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1" i="1"/>
  <c r="F611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6" i="1"/>
  <c r="F596" i="1"/>
  <c r="G595" i="1"/>
  <c r="F595" i="1"/>
  <c r="G594" i="1"/>
  <c r="F594" i="1"/>
  <c r="G593" i="1"/>
  <c r="F593" i="1"/>
  <c r="G591" i="1"/>
  <c r="F591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79" i="1"/>
  <c r="F579" i="1"/>
  <c r="G577" i="1"/>
  <c r="F577" i="1"/>
  <c r="G576" i="1"/>
  <c r="F576" i="1"/>
  <c r="G574" i="1"/>
  <c r="F574" i="1"/>
  <c r="G572" i="1"/>
  <c r="F572" i="1"/>
  <c r="G569" i="1"/>
  <c r="F569" i="1"/>
  <c r="G568" i="1"/>
  <c r="F568" i="1"/>
  <c r="G565" i="1"/>
  <c r="F565" i="1"/>
  <c r="G563" i="1"/>
  <c r="F563" i="1"/>
  <c r="G562" i="1"/>
  <c r="F562" i="1"/>
  <c r="G560" i="1"/>
  <c r="F560" i="1"/>
  <c r="G559" i="1"/>
  <c r="F559" i="1"/>
  <c r="G558" i="1"/>
  <c r="F558" i="1"/>
  <c r="G552" i="1"/>
  <c r="F552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29" i="1"/>
  <c r="F529" i="1"/>
  <c r="G528" i="1"/>
  <c r="F528" i="1"/>
  <c r="G527" i="1"/>
  <c r="F527" i="1"/>
  <c r="G526" i="1"/>
  <c r="F526" i="1"/>
  <c r="G524" i="1"/>
  <c r="F524" i="1"/>
  <c r="G522" i="1"/>
  <c r="F522" i="1"/>
  <c r="G521" i="1"/>
  <c r="F521" i="1"/>
  <c r="G519" i="1"/>
  <c r="F519" i="1"/>
  <c r="G515" i="1"/>
  <c r="F515" i="1"/>
  <c r="G513" i="1"/>
  <c r="F513" i="1"/>
  <c r="G511" i="1"/>
  <c r="F511" i="1"/>
  <c r="G509" i="1"/>
  <c r="F509" i="1"/>
  <c r="G505" i="1"/>
  <c r="F505" i="1"/>
  <c r="G504" i="1"/>
  <c r="F504" i="1"/>
  <c r="G503" i="1"/>
  <c r="F503" i="1"/>
  <c r="G501" i="1"/>
  <c r="F501" i="1"/>
  <c r="G500" i="1"/>
  <c r="F500" i="1"/>
  <c r="G499" i="1"/>
  <c r="F499" i="1"/>
  <c r="G497" i="1"/>
  <c r="F497" i="1"/>
  <c r="G496" i="1"/>
  <c r="F496" i="1"/>
  <c r="G495" i="1"/>
  <c r="F495" i="1"/>
  <c r="G494" i="1"/>
  <c r="F494" i="1"/>
  <c r="G491" i="1"/>
  <c r="F491" i="1"/>
  <c r="G489" i="1"/>
  <c r="F489" i="1"/>
  <c r="G488" i="1"/>
  <c r="F488" i="1"/>
  <c r="G486" i="1"/>
  <c r="F486" i="1"/>
  <c r="G485" i="1"/>
  <c r="F485" i="1"/>
  <c r="G484" i="1"/>
  <c r="F484" i="1"/>
  <c r="G481" i="1"/>
  <c r="F481" i="1"/>
  <c r="G480" i="1"/>
  <c r="F480" i="1"/>
  <c r="G479" i="1"/>
  <c r="F479" i="1"/>
  <c r="G478" i="1"/>
  <c r="F478" i="1"/>
  <c r="G475" i="1"/>
  <c r="F475" i="1"/>
  <c r="G473" i="1"/>
  <c r="F473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2" i="1"/>
  <c r="F462" i="1"/>
  <c r="G459" i="1"/>
  <c r="F459" i="1"/>
  <c r="G458" i="1"/>
  <c r="F458" i="1"/>
  <c r="G456" i="1"/>
  <c r="F456" i="1"/>
  <c r="G454" i="1"/>
  <c r="F454" i="1"/>
  <c r="G453" i="1"/>
  <c r="F453" i="1"/>
  <c r="G451" i="1"/>
  <c r="F451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4" i="1"/>
  <c r="F434" i="1"/>
  <c r="G432" i="1"/>
  <c r="F432" i="1"/>
  <c r="G431" i="1"/>
  <c r="F431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19" i="1"/>
  <c r="F419" i="1"/>
  <c r="G418" i="1"/>
  <c r="F418" i="1"/>
  <c r="G417" i="1"/>
  <c r="F417" i="1"/>
  <c r="G416" i="1"/>
  <c r="F416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1" i="1"/>
  <c r="F391" i="1"/>
  <c r="G390" i="1"/>
  <c r="F390" i="1"/>
  <c r="G388" i="1"/>
  <c r="F388" i="1"/>
  <c r="G386" i="1"/>
  <c r="F386" i="1"/>
  <c r="G385" i="1"/>
  <c r="F385" i="1"/>
  <c r="G384" i="1"/>
  <c r="F384" i="1"/>
  <c r="G383" i="1"/>
  <c r="F383" i="1"/>
  <c r="G381" i="1"/>
  <c r="F381" i="1"/>
  <c r="G380" i="1"/>
  <c r="F380" i="1"/>
  <c r="G376" i="1"/>
  <c r="F376" i="1"/>
  <c r="G375" i="1"/>
  <c r="F375" i="1"/>
  <c r="G374" i="1"/>
  <c r="F374" i="1"/>
  <c r="G372" i="1"/>
  <c r="F372" i="1"/>
  <c r="G370" i="1"/>
  <c r="F370" i="1"/>
  <c r="G369" i="1"/>
  <c r="F369" i="1"/>
  <c r="G368" i="1"/>
  <c r="F368" i="1"/>
  <c r="G367" i="1"/>
  <c r="F367" i="1"/>
  <c r="G366" i="1"/>
  <c r="F366" i="1"/>
  <c r="G364" i="1"/>
  <c r="F364" i="1"/>
  <c r="G363" i="1"/>
  <c r="F363" i="1"/>
  <c r="G362" i="1"/>
  <c r="F362" i="1"/>
  <c r="G361" i="1"/>
  <c r="F361" i="1"/>
  <c r="G360" i="1"/>
  <c r="F360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3" i="1"/>
  <c r="F343" i="1"/>
  <c r="G342" i="1"/>
  <c r="F342" i="1"/>
  <c r="G339" i="1"/>
  <c r="F339" i="1"/>
  <c r="G337" i="1"/>
  <c r="F337" i="1"/>
  <c r="G336" i="1"/>
  <c r="F336" i="1"/>
  <c r="G335" i="1"/>
  <c r="F335" i="1"/>
  <c r="G334" i="1"/>
  <c r="F334" i="1"/>
  <c r="G333" i="1"/>
  <c r="F333" i="1"/>
  <c r="G329" i="1"/>
  <c r="F329" i="1"/>
  <c r="G328" i="1"/>
  <c r="F328" i="1"/>
  <c r="G326" i="1"/>
  <c r="F326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0" i="1"/>
  <c r="F310" i="1"/>
  <c r="G309" i="1"/>
  <c r="F309" i="1"/>
  <c r="G308" i="1"/>
  <c r="F308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8" i="1"/>
  <c r="F298" i="1"/>
  <c r="G297" i="1"/>
  <c r="F297" i="1"/>
  <c r="G296" i="1"/>
  <c r="F296" i="1"/>
  <c r="G295" i="1"/>
  <c r="F295" i="1"/>
  <c r="G294" i="1"/>
  <c r="F294" i="1"/>
  <c r="G292" i="1"/>
  <c r="F292" i="1"/>
  <c r="G290" i="1"/>
  <c r="F290" i="1"/>
  <c r="G289" i="1"/>
  <c r="F289" i="1"/>
  <c r="G288" i="1"/>
  <c r="F288" i="1"/>
  <c r="G286" i="1"/>
  <c r="F286" i="1"/>
  <c r="G283" i="1"/>
  <c r="F283" i="1"/>
  <c r="G282" i="1"/>
  <c r="F282" i="1"/>
  <c r="G281" i="1"/>
  <c r="F281" i="1"/>
  <c r="G280" i="1"/>
  <c r="F280" i="1"/>
  <c r="G279" i="1"/>
  <c r="F279" i="1"/>
  <c r="G277" i="1"/>
  <c r="F277" i="1"/>
  <c r="G276" i="1"/>
  <c r="F276" i="1"/>
  <c r="G275" i="1"/>
  <c r="F275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6" i="1"/>
  <c r="F266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5" i="1"/>
  <c r="F245" i="1"/>
  <c r="G244" i="1"/>
  <c r="F244" i="1"/>
  <c r="G243" i="1"/>
  <c r="F243" i="1"/>
  <c r="G242" i="1"/>
  <c r="F242" i="1"/>
  <c r="G240" i="1"/>
  <c r="F240" i="1"/>
  <c r="G239" i="1"/>
  <c r="F239" i="1"/>
  <c r="G238" i="1"/>
  <c r="F238" i="1"/>
  <c r="G235" i="1"/>
  <c r="F235" i="1"/>
  <c r="G234" i="1"/>
  <c r="F234" i="1"/>
  <c r="G233" i="1"/>
  <c r="F233" i="1"/>
  <c r="G232" i="1"/>
  <c r="F232" i="1"/>
  <c r="G231" i="1"/>
  <c r="F231" i="1"/>
  <c r="G225" i="1"/>
  <c r="F225" i="1"/>
  <c r="G224" i="1"/>
  <c r="F224" i="1"/>
  <c r="G222" i="1"/>
  <c r="F222" i="1"/>
  <c r="G221" i="1"/>
  <c r="F221" i="1"/>
  <c r="G214" i="1"/>
  <c r="F214" i="1"/>
  <c r="G212" i="1"/>
  <c r="F212" i="1"/>
  <c r="G211" i="1"/>
  <c r="F211" i="1"/>
  <c r="G209" i="1"/>
  <c r="F209" i="1"/>
  <c r="G208" i="1"/>
  <c r="F208" i="1"/>
  <c r="G207" i="1"/>
  <c r="F207" i="1"/>
  <c r="G205" i="1"/>
  <c r="F205" i="1"/>
  <c r="G204" i="1"/>
  <c r="F204" i="1"/>
  <c r="G203" i="1"/>
  <c r="F203" i="1"/>
  <c r="G202" i="1"/>
  <c r="F202" i="1"/>
  <c r="G201" i="1"/>
  <c r="F201" i="1"/>
  <c r="G199" i="1"/>
  <c r="F199" i="1"/>
  <c r="G198" i="1"/>
  <c r="F198" i="1"/>
  <c r="G195" i="1"/>
  <c r="F195" i="1"/>
  <c r="G193" i="1"/>
  <c r="F193" i="1"/>
  <c r="G192" i="1"/>
  <c r="F192" i="1"/>
  <c r="G191" i="1"/>
  <c r="F191" i="1"/>
  <c r="G190" i="1"/>
  <c r="F190" i="1"/>
  <c r="G188" i="1"/>
  <c r="F188" i="1"/>
  <c r="G187" i="1"/>
  <c r="F187" i="1"/>
  <c r="G186" i="1"/>
  <c r="F186" i="1"/>
  <c r="G185" i="1"/>
  <c r="F185" i="1"/>
  <c r="G184" i="1"/>
  <c r="F184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5" i="1"/>
  <c r="F175" i="1"/>
  <c r="G173" i="1"/>
  <c r="F173" i="1"/>
  <c r="G172" i="1"/>
  <c r="F172" i="1"/>
  <c r="G171" i="1"/>
  <c r="F171" i="1"/>
  <c r="G169" i="1"/>
  <c r="F169" i="1"/>
  <c r="G168" i="1"/>
  <c r="F168" i="1"/>
  <c r="G166" i="1"/>
  <c r="F166" i="1"/>
  <c r="G165" i="1"/>
  <c r="F165" i="1"/>
  <c r="G163" i="1"/>
  <c r="F163" i="1"/>
  <c r="G162" i="1"/>
  <c r="F162" i="1"/>
  <c r="G161" i="1"/>
  <c r="F161" i="1"/>
  <c r="G159" i="1"/>
  <c r="F159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38" i="1"/>
  <c r="F138" i="1"/>
  <c r="G137" i="1"/>
  <c r="F137" i="1"/>
  <c r="G136" i="1"/>
  <c r="F136" i="1"/>
  <c r="G135" i="1"/>
  <c r="F135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3" i="1"/>
  <c r="F123" i="1"/>
  <c r="G122" i="1"/>
  <c r="F122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0" i="1"/>
  <c r="F110" i="1"/>
  <c r="G108" i="1"/>
  <c r="F108" i="1"/>
  <c r="G107" i="1"/>
  <c r="F107" i="1"/>
  <c r="G105" i="1"/>
  <c r="F105" i="1"/>
  <c r="G103" i="1"/>
  <c r="F103" i="1"/>
  <c r="G102" i="1"/>
  <c r="F102" i="1"/>
  <c r="G101" i="1"/>
  <c r="F101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1" i="1"/>
  <c r="F91" i="1"/>
  <c r="G88" i="1"/>
  <c r="F88" i="1"/>
  <c r="G87" i="1"/>
  <c r="F87" i="1"/>
  <c r="G85" i="1"/>
  <c r="F85" i="1"/>
  <c r="G84" i="1"/>
  <c r="F84" i="1"/>
  <c r="G83" i="1"/>
  <c r="F83" i="1"/>
  <c r="G81" i="1"/>
  <c r="F81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0" i="1"/>
  <c r="F70" i="1"/>
  <c r="G69" i="1"/>
  <c r="F69" i="1"/>
  <c r="G68" i="1"/>
  <c r="F68" i="1"/>
  <c r="G67" i="1"/>
  <c r="F67" i="1"/>
  <c r="G66" i="1"/>
  <c r="F66" i="1"/>
  <c r="G63" i="1"/>
  <c r="F63" i="1"/>
  <c r="G60" i="1"/>
  <c r="F60" i="1"/>
  <c r="G59" i="1"/>
  <c r="F59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3" i="1"/>
  <c r="F33" i="1"/>
  <c r="G32" i="1"/>
  <c r="F32" i="1"/>
  <c r="G31" i="1"/>
  <c r="F31" i="1"/>
  <c r="G29" i="1"/>
  <c r="F29" i="1"/>
  <c r="G28" i="1"/>
  <c r="F28" i="1"/>
  <c r="G27" i="1"/>
  <c r="F27" i="1"/>
  <c r="G26" i="1"/>
  <c r="F26" i="1"/>
  <c r="G25" i="1"/>
  <c r="F25" i="1"/>
  <c r="G24" i="1"/>
  <c r="F24" i="1"/>
  <c r="G22" i="1"/>
  <c r="F22" i="1"/>
  <c r="G21" i="1"/>
  <c r="F21" i="1"/>
  <c r="G19" i="1"/>
  <c r="F19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<sst xmlns="http://schemas.openxmlformats.org/spreadsheetml/2006/main" count="20378" uniqueCount="3572">
  <si>
    <t>Entreprise : Grand hôtel des bains</t>
  </si>
  <si>
    <t>Type d'opération</t>
  </si>
  <si>
    <t>Catégorie détaillée</t>
  </si>
  <si>
    <t>Catégorie</t>
  </si>
  <si>
    <t>Intitulé</t>
  </si>
  <si>
    <t>Montant TTC</t>
  </si>
  <si>
    <t>Date de règlement</t>
  </si>
  <si>
    <t>Date de facturation</t>
  </si>
  <si>
    <t>Identifiant unique de l'opération</t>
  </si>
  <si>
    <t>Compte bancaire</t>
  </si>
  <si>
    <t>Mémo</t>
  </si>
  <si>
    <t>Entreprise</t>
  </si>
  <si>
    <t>Devise</t>
  </si>
  <si>
    <t>Réconcilié</t>
  </si>
  <si>
    <t>Ignorée</t>
  </si>
  <si>
    <t>Synchronisée</t>
  </si>
  <si>
    <t>External Id</t>
  </si>
  <si>
    <t>Décaissement</t>
  </si>
  <si>
    <t>frais bancaire</t>
  </si>
  <si>
    <t>COMM. CAUTIONS -</t>
  </si>
  <si>
    <t>Marze</t>
  </si>
  <si>
    <t>Grand hôtel des bains</t>
  </si>
  <si>
    <t>EUR</t>
  </si>
  <si>
    <t>faux</t>
  </si>
  <si>
    <t>vrai</t>
  </si>
  <si>
    <t>297212120</t>
  </si>
  <si>
    <t>Fournisseurs / F.G / AUTRES / LAVAGE LINGE</t>
  </si>
  <si>
    <t>LAVAGE LINGE</t>
  </si>
  <si>
    <t>RET DAB BPS MRZ AUBENAS CARTE ******9655 RETRAIT LE 02/01/2024 A 16:10 - PDE0512</t>
  </si>
  <si>
    <t>297212149</t>
  </si>
  <si>
    <t>Prêts / PRET MARZE 2030 150 KE</t>
  </si>
  <si>
    <t>PRET MARZE 2030 150 KE</t>
  </si>
  <si>
    <t>ECH PRET DONT CAP 3422,41 ASS. 0,00E INT. 407,04 COM. 0,00E - 9062097</t>
  </si>
  <si>
    <t>297212142</t>
  </si>
  <si>
    <t>Fournisseurs / F.G / LOCATION</t>
  </si>
  <si>
    <t>LOCATION</t>
  </si>
  <si>
    <t>PRLV SEPA Xerox Financia 3665721 FR30PF2112674 - 0BNS0GZ</t>
  </si>
  <si>
    <t>297212145</t>
  </si>
  <si>
    <t>Prêts / BPI 2031 350 KE</t>
  </si>
  <si>
    <t>BPI 2031 350 KE</t>
  </si>
  <si>
    <t>PRLV SEPA BPIFRANCE 4413548 F2401/000069903 RUM-01255916 - 0BNUVC0</t>
  </si>
  <si>
    <t>297212141</t>
  </si>
  <si>
    <t>PRLV SEPA LOCAM PRELEVEMENT LOCAM PARTENAIRE DE LD159120820200062519 - 0BNY51H</t>
  </si>
  <si>
    <t>297212148</t>
  </si>
  <si>
    <t>Fournisseurs / F.G / PETIT MATERIEL</t>
  </si>
  <si>
    <t>PETIT MATERIEL</t>
  </si>
  <si>
    <t>SAMSE 311223 - 5388043</t>
  </si>
  <si>
    <t>297212131</t>
  </si>
  <si>
    <t>DESCOURS RAA 311223 - 5388042</t>
  </si>
  <si>
    <t>297212151</t>
  </si>
  <si>
    <t>GOOGLE *ADS2632</t>
  </si>
  <si>
    <t>Carte Visa Platinum Business DD - Xxxxxxxxxxxx9655</t>
  </si>
  <si>
    <t>297212146</t>
  </si>
  <si>
    <t>FRAIS PAI CB DD HORS EEE XCPCB210 2023122900399200000001 COMMISSION CB 281223 CANVA* I0 - 0399200</t>
  </si>
  <si>
    <t>297875928</t>
  </si>
  <si>
    <t>ABON CYBERPLUS XCBVX665 2023123100032018000001 HABILITATION P8806895 - 0032018</t>
  </si>
  <si>
    <t>297875931</t>
  </si>
  <si>
    <t>Fournisseurs / F.G / TELEPHONE INTERNET</t>
  </si>
  <si>
    <t>TELEPHONE INTERNET</t>
  </si>
  <si>
    <t>PRLV SEPA Orange SA Votre abonnement fixe: 04XXXXX21 ++M0021517012 - 0BNMHCG</t>
  </si>
  <si>
    <t>297875932</t>
  </si>
  <si>
    <t>Fournisseurs / F.G / PUB/COM</t>
  </si>
  <si>
    <t>PUB/COM</t>
  </si>
  <si>
    <t>PRLV SEPA GIE CHARMHOTEL COTISATION CHARMHOTEL ++OCTOBRE2011 - 0BOMFVL</t>
  </si>
  <si>
    <t>297875930</t>
  </si>
  <si>
    <t>Fournisseurs / F.G / MAINTENANCE</t>
  </si>
  <si>
    <t>MAINTENANCE</t>
  </si>
  <si>
    <t>PRLV SEPA INFHOTIK DISTR MAINTENANCE INFHOTIK JANVIER 202 C-10-48-201109-10041889-7 - 0BOM6GL</t>
  </si>
  <si>
    <t>299073413</t>
  </si>
  <si>
    <t>MANUEL PRADAL</t>
  </si>
  <si>
    <t>299073410</t>
  </si>
  <si>
    <t>LA POSTE 070030</t>
  </si>
  <si>
    <t>299073412</t>
  </si>
  <si>
    <t>Crédit agricol</t>
  </si>
  <si>
    <t>Prêts / PRET CA 2030 518 KE</t>
  </si>
  <si>
    <t>PRET CA 2030 518 KE</t>
  </si>
  <si>
    <t>REMBOURSEMENT DE PRET 00001519822 INTERETS 05/01/24</t>
  </si>
  <si>
    <t>299174791</t>
  </si>
  <si>
    <t>REMBOURSEMENT DE PRET 00001519822 CAPITAL 05/01/24</t>
  </si>
  <si>
    <t>299174802</t>
  </si>
  <si>
    <t>Fournisseurs / F.G / EAU</t>
  </si>
  <si>
    <t>EAU</t>
  </si>
  <si>
    <t>PRLV SEPA REGIE SYNDICAT PRELEVEMENT SEBA FR62ZZZ81CBFD-2618032217-29089 - 0BOXCXF</t>
  </si>
  <si>
    <t>299499474</t>
  </si>
  <si>
    <t>PRLV SEPA REGIE SYNDICAT PRELEVEMENT SEBA FR62ZZZ81CBFD-2618032232-29090 - 0BOXDGH</t>
  </si>
  <si>
    <t>299499475</t>
  </si>
  <si>
    <t>PRELEVEMENT Abonnement vente à distance</t>
  </si>
  <si>
    <t>299557265</t>
  </si>
  <si>
    <t>PRLV SEPA Orange SA Votre abonnement internet (factu M0037206468 - 0BOO7TY</t>
  </si>
  <si>
    <t>300248524</t>
  </si>
  <si>
    <t>ECH PRET DONT CAP 778,40 ASS. 0,00E INT. 56,83 COM. 0,00E - 9062099</t>
  </si>
  <si>
    <t>300248523</t>
  </si>
  <si>
    <t>ECH PRET DONT CAP 1012,78 ASS. 0,00E INT. 102,82 COM. 0,00E - 9062098</t>
  </si>
  <si>
    <t>300248527</t>
  </si>
  <si>
    <t>COM CB 5667966016 - NB0001/738291 - 0034291</t>
  </si>
  <si>
    <t>300248525</t>
  </si>
  <si>
    <t>ARRETE COMPTE 4 EME TRIMESTRE 2023 - 1199021</t>
  </si>
  <si>
    <t>300248533</t>
  </si>
  <si>
    <t>VIR PERM MR CAMINALE OLI LOCATION MAJIDA - 1221215</t>
  </si>
  <si>
    <t>300248536</t>
  </si>
  <si>
    <t>Fournisseurs / F.G / DIVERS / Autre</t>
  </si>
  <si>
    <t>Autre</t>
  </si>
  <si>
    <t>DAC COMAVIA</t>
  </si>
  <si>
    <t>300248517</t>
  </si>
  <si>
    <t>Fournisseurs / MP / EPICERIE</t>
  </si>
  <si>
    <t>EPICERIE</t>
  </si>
  <si>
    <t>MARRONS IMBERT</t>
  </si>
  <si>
    <t>300248531</t>
  </si>
  <si>
    <t>FACEBK 9VTR4WTT</t>
  </si>
  <si>
    <t>300248542</t>
  </si>
  <si>
    <t>Fournisseurs / F.G / COMMISSION</t>
  </si>
  <si>
    <t>COMMISSION</t>
  </si>
  <si>
    <t>COMMISSIONS FACTURE NUMERO 20240101007799259</t>
  </si>
  <si>
    <t>Compte chèque *2765* OLD</t>
  </si>
  <si>
    <t>298159613</t>
  </si>
  <si>
    <t>Fournisseurs / F.G / ASSURANCE</t>
  </si>
  <si>
    <t>ASSURANCE</t>
  </si>
  <si>
    <t>PRLV SEPA AXA I0000744868318-CONTRAT0000005851 00AX000000000007242082 - 0BO6LX2</t>
  </si>
  <si>
    <t>301567794</t>
  </si>
  <si>
    <t>PRLV SEPA AXA I0000744868317-CONTRAT0000005927 00AX000000000007242074 - 0BO6NE3</t>
  </si>
  <si>
    <t>301567792</t>
  </si>
  <si>
    <t>PRLV SEPA AXA I0000745026824-CONTRAT0000010175 00AX000000000011646934 - 0BO6JZK</t>
  </si>
  <si>
    <t>301567784</t>
  </si>
  <si>
    <t>PRLV SEPA AXA I0000744868320-CONTRAT0000005863 00AX000000000007242109 - 0BO4X1L</t>
  </si>
  <si>
    <t>301567802</t>
  </si>
  <si>
    <t>PRLV SEPA AXA I0000745125761-CONTRAT0000010436 00AX000000000013353338 - 0BO4WSO</t>
  </si>
  <si>
    <t>301567803</t>
  </si>
  <si>
    <t>PRLV SEPA AXA I0000744868319-CONTRAT0000005877 00AX000000000007242097 - 0BO4XDU</t>
  </si>
  <si>
    <t>301567790</t>
  </si>
  <si>
    <t>PRLV SEPA AXA I0000745040167-CONTRAT0000010237 00AX000000000011935983 - 0BO4UCX</t>
  </si>
  <si>
    <t>301567805</t>
  </si>
  <si>
    <t>PRLV SEPA AXA I0000744868321-CONTRAT0000005877 00AX000000000007242122 - 0BO4U68</t>
  </si>
  <si>
    <t>301567807</t>
  </si>
  <si>
    <t>IMPOT / SACEM</t>
  </si>
  <si>
    <t>SACEM</t>
  </si>
  <si>
    <t>PRLV SEPA SPRE Prelevement SPRE 15-MAN-2563709-544222805-01 - 0BQBHEF</t>
  </si>
  <si>
    <t>301567811</t>
  </si>
  <si>
    <t>Fournisseurs / F.G / BURAUTIQUE</t>
  </si>
  <si>
    <t>BURAUTIQUE</t>
  </si>
  <si>
    <t>PRLV SEPA IWINERESTO XXZZZA00272820067113 - 0BP8OWR</t>
  </si>
  <si>
    <t>301567789</t>
  </si>
  <si>
    <t>CGF17389PAUL1</t>
  </si>
  <si>
    <t>301567806</t>
  </si>
  <si>
    <t>301567814</t>
  </si>
  <si>
    <t>Fournisseurs / F.G / FRAIS REPRESENTATION</t>
  </si>
  <si>
    <t>FRAIS REPRESENTATION</t>
  </si>
  <si>
    <t>2THELOO GARE DE</t>
  </si>
  <si>
    <t>301567813</t>
  </si>
  <si>
    <t>301567808</t>
  </si>
  <si>
    <t>CYBER+ PAIEMENT ABONNEMT XCPSD033 2024011000055477000001 ABONNEMENT PSD0006262976 - 0055477</t>
  </si>
  <si>
    <t>302192569</t>
  </si>
  <si>
    <t>PRLV SEPA CEGID SAS FA002-01093848 00RC0000019770055000002B00 - 0BOT7RP</t>
  </si>
  <si>
    <t>302192570</t>
  </si>
  <si>
    <t>VIR SEPA RHONE ALPES LIN 20173843 20173843 - 4740283</t>
  </si>
  <si>
    <t>302192572</t>
  </si>
  <si>
    <t>CHEQUE 000000256700 - 0000227</t>
  </si>
  <si>
    <t>302192573</t>
  </si>
  <si>
    <t>EFFIA</t>
  </si>
  <si>
    <t>302192574</t>
  </si>
  <si>
    <t>COMMISSION CARTE 3097105 001 103638 11/01</t>
  </si>
  <si>
    <t>302569480</t>
  </si>
  <si>
    <t>INTERETS ET COMMISSIONS</t>
  </si>
  <si>
    <t>303543850</t>
  </si>
  <si>
    <t>IMPOT / TAXES SEJOUR</t>
  </si>
  <si>
    <t>TAXES SEJOUR</t>
  </si>
  <si>
    <t>VIR SEPA REGIE DE RECETT abv1702762265erap abv1702762265erap - 4831034</t>
  </si>
  <si>
    <t>304294477</t>
  </si>
  <si>
    <t>VIR SEPA REGIE DE RECETT ABV1702762601ERAP ABV1702762601ERAP - 4831121</t>
  </si>
  <si>
    <t>304294484</t>
  </si>
  <si>
    <t>VIR SEPA piscine assista FACTURE 455 FACTURE 455 - 4831205</t>
  </si>
  <si>
    <t>304294494</t>
  </si>
  <si>
    <t>CHEQUE 252330004240115051027910 1600 3000402569131231415030004 - 0000040</t>
  </si>
  <si>
    <t>304294476</t>
  </si>
  <si>
    <t>PRLV SEPA Free Pro FACTURE FREEPRO 15/01/2024 F2024 JNRUMSATHERMALECLIMA020230706103 - 0BR1YJI</t>
  </si>
  <si>
    <t>304294487</t>
  </si>
  <si>
    <t>INVESTISSEMENT / IVESTISSEMENT BTP</t>
  </si>
  <si>
    <t>IVESTISSEMENT BTP</t>
  </si>
  <si>
    <t>VIR SEPA Ricardo Gomes D Virement de Sa Thermale Et Clima Virement de Sa Thermale Et Clima - 4804385</t>
  </si>
  <si>
    <t>304294485</t>
  </si>
  <si>
    <t>Fournisseurs / MP / BOUCHERIE</t>
  </si>
  <si>
    <t>BOUCHERIE</t>
  </si>
  <si>
    <t>SARL CHANEAC</t>
  </si>
  <si>
    <t>304294478</t>
  </si>
  <si>
    <t>M.O / Urssaf</t>
  </si>
  <si>
    <t>Urssaf</t>
  </si>
  <si>
    <t>PRLV SEPA URSSAF RHONE A UR 827000002110121762 DEC 237 T1430653867203200001297356941940 - 0BRHNAI</t>
  </si>
  <si>
    <t>304977806</t>
  </si>
  <si>
    <t>Amazon Prime*NM</t>
  </si>
  <si>
    <t>304977790</t>
  </si>
  <si>
    <t>PRELEVEMENT Offre Compte à composer Pro</t>
  </si>
  <si>
    <t>305133207</t>
  </si>
  <si>
    <t>M.O / Salaire</t>
  </si>
  <si>
    <t>Salaire</t>
  </si>
  <si>
    <t>VIR SEPA MADAME AUBRY CA P8806895 Salaire - 4896220</t>
  </si>
  <si>
    <t>305616695</t>
  </si>
  <si>
    <t>VIR SEPA AUBRY ALEXANDRA P8806895 Salaire - 4896329</t>
  </si>
  <si>
    <t>305616692</t>
  </si>
  <si>
    <t>FACEBK LCUMKX7H</t>
  </si>
  <si>
    <t>305616693</t>
  </si>
  <si>
    <t>COMMISSION CARTE 3097105 001 141550 17/01</t>
  </si>
  <si>
    <t>306404210</t>
  </si>
  <si>
    <t>PRLV SEPA GC re TripAdvi QF29BP7 - 0BRPIHY</t>
  </si>
  <si>
    <t>306968842</t>
  </si>
  <si>
    <t>PRLV SEPA GC re TripAdvi P97A2CN - 0BRPIE7</t>
  </si>
  <si>
    <t>306968840</t>
  </si>
  <si>
    <t>COMMISSION CARTE 3097105 001 149870 18/01</t>
  </si>
  <si>
    <t>307073000</t>
  </si>
  <si>
    <t>PRLV SEPA Autoroutes du JL004622200041376270 122023 ++25004137627001188445 - 0BQZZID</t>
  </si>
  <si>
    <t>307379545</t>
  </si>
  <si>
    <t>COMMISSION CARTE 3097105 001 158231 19/01</t>
  </si>
  <si>
    <t>307432934</t>
  </si>
  <si>
    <t>COMMISSION CARTE 3097105 001 166249 20/01</t>
  </si>
  <si>
    <t>307636868</t>
  </si>
  <si>
    <t>PRLV SEPA Orange SA-ORAN Votre abonnement mobile: 06XXXXX ++M0017687880 - 0BS0VQT</t>
  </si>
  <si>
    <t>308168199</t>
  </si>
  <si>
    <t>PRLV SEPA AXA France I0000746930122-PRLVAXA France VI 00TG000000000000018156 - 0BS05BV</t>
  </si>
  <si>
    <t>308168198</t>
  </si>
  <si>
    <t>PRLV SEPA Orange SA Votre abonnement fixe: 04XXXXX98 M0049215427 - 0BRN9JH</t>
  </si>
  <si>
    <t>308168205</t>
  </si>
  <si>
    <t>PRLV SEPA Orange SA Votre abonnement fixe: 04XXXXX52 M0036834648 - 0BRN9J7</t>
  </si>
  <si>
    <t>308168201</t>
  </si>
  <si>
    <t>PRLV SEPA Orange SA Votre abonnement fibre (facture: EPCB202311295646844 - 0BRN9HT</t>
  </si>
  <si>
    <t>308168203</t>
  </si>
  <si>
    <t>Electricité &amp; Gaz</t>
  </si>
  <si>
    <t>PRLV SEPA EDF SA THERMALE CLIMATIQUE D Ref EDF MA970001250911 - 0BRYA58</t>
  </si>
  <si>
    <t>308168197</t>
  </si>
  <si>
    <t>VIR SEPA INTERNET VALLON factures vt2086/2098/2102 factures vt2086/2098/2102 - 5015789</t>
  </si>
  <si>
    <t>308168191</t>
  </si>
  <si>
    <t>Starlink Intern</t>
  </si>
  <si>
    <t>308168204</t>
  </si>
  <si>
    <t>academiedugout</t>
  </si>
  <si>
    <t>308168189</t>
  </si>
  <si>
    <t>IMPOT / TVA</t>
  </si>
  <si>
    <t>TVA</t>
  </si>
  <si>
    <t>PRLV INT ETS DGFIP PASDSN15012024-122023-3867203200 NN386720320DGFIP2020807504KDIIJX - 0BS3AGP</t>
  </si>
  <si>
    <t>308969022</t>
  </si>
  <si>
    <t>BetterMe Apps</t>
  </si>
  <si>
    <t>308969034</t>
  </si>
  <si>
    <t>308969025</t>
  </si>
  <si>
    <t>COMMISSION CARTE 3097105 001 186920 23/01</t>
  </si>
  <si>
    <t>309144948</t>
  </si>
  <si>
    <t>PRLV SEPA EDF SA THERMALE CLIMATIQUE D Ref EDF MA970001250911 - 0BSAT6M</t>
  </si>
  <si>
    <t>310142554</t>
  </si>
  <si>
    <t>VIR SEPA manpower FACTURE 065717115 FACTURE 065717115 - 5072213</t>
  </si>
  <si>
    <t>310142548</t>
  </si>
  <si>
    <t>VIR SEPA SARL SUD BUREAU FC-023538 FC-023538 - 5072324</t>
  </si>
  <si>
    <t>310142556</t>
  </si>
  <si>
    <t>VIR SEPA OTIS VOF 7501730 VOF 7501730 - 5072495</t>
  </si>
  <si>
    <t>310142546</t>
  </si>
  <si>
    <t>VIR SEPA INTERFACE TECHN 6546-23 6546-23 - 5072575</t>
  </si>
  <si>
    <t>310142557</t>
  </si>
  <si>
    <t>Fournisseurs / F.G / REPARATION</t>
  </si>
  <si>
    <t>REPARATION</t>
  </si>
  <si>
    <t>VIR SEPA OTIS VOF7501729 VOF7501729 - 5072729</t>
  </si>
  <si>
    <t>310142547</t>
  </si>
  <si>
    <t>VIR SEPA INTERNET VALLON VT 2104 VT 2104 - 5073105</t>
  </si>
  <si>
    <t>310142552</t>
  </si>
  <si>
    <t>VIR SEPA SARL SUD BUREAU FC-023196 FC-023196 - 5073155</t>
  </si>
  <si>
    <t>310142544</t>
  </si>
  <si>
    <t>PRELEVEMENT Noelse France PRELEVEMENT SEPA 6239571919/HOTEL DES PRF180120240000200207 S6239571919-2239646 FR80ZZZ328855</t>
  </si>
  <si>
    <t>310287097</t>
  </si>
  <si>
    <t>M.O / Retraites</t>
  </si>
  <si>
    <t>Retraites</t>
  </si>
  <si>
    <t>PRLV SEPA GIE KLESIA COT RETRAITE - GIE KLESIA COTIS - 20 SCG023URAE000659949S - 0BSFTJ0</t>
  </si>
  <si>
    <t>310735026</t>
  </si>
  <si>
    <t>COM CB 5667966016 - NB0001/623761 - 0035761</t>
  </si>
  <si>
    <t>310735019</t>
  </si>
  <si>
    <t>SP BOUTIQUEDUMA</t>
  </si>
  <si>
    <t>310735025</t>
  </si>
  <si>
    <t>LES RELAIS DE F</t>
  </si>
  <si>
    <t>310735016</t>
  </si>
  <si>
    <t>ZAGO</t>
  </si>
  <si>
    <t>310735018</t>
  </si>
  <si>
    <t>3SUISSES</t>
  </si>
  <si>
    <t>310735022</t>
  </si>
  <si>
    <t>Etsy.com*furong</t>
  </si>
  <si>
    <t>310735023</t>
  </si>
  <si>
    <t>PRLV SEPA Orange SA Votre abonnement mobile: 06XXXXX ++M0003219595 - 0BSHAIV</t>
  </si>
  <si>
    <t>311139855</t>
  </si>
  <si>
    <t>PRLV SEPA SOLOCAL SA 204 /INV/PB46777650-2/28.12.2023 02937492002 - 0BSNSXD</t>
  </si>
  <si>
    <t>311139849</t>
  </si>
  <si>
    <t>RET DAB BPS MRZ AUBENAS CARTE ******9655 RETRAIT LE 26/01/2024 A 09:50 - PDE1340</t>
  </si>
  <si>
    <t>311139850</t>
  </si>
  <si>
    <t>INTERMARCHELALE</t>
  </si>
  <si>
    <t>311139856</t>
  </si>
  <si>
    <t>VIR SEPA teixeira et tor f202400007 f202400007 - 5197367</t>
  </si>
  <si>
    <t>311822673</t>
  </si>
  <si>
    <t>CHEQUE 240127071390608412242576 1600 82955271000 13906 - 0000229</t>
  </si>
  <si>
    <t>311822660</t>
  </si>
  <si>
    <t>CHEQUE 240125411390608412216919 1600 85061537495 13906 - 0000228</t>
  </si>
  <si>
    <t>311822662</t>
  </si>
  <si>
    <t>311822672</t>
  </si>
  <si>
    <t>Amazon.fr*AS0Y2</t>
  </si>
  <si>
    <t>311822659</t>
  </si>
  <si>
    <t>Amazon.fr*C23LS</t>
  </si>
  <si>
    <t>311822671</t>
  </si>
  <si>
    <t>AMZN Mktp FR*BB</t>
  </si>
  <si>
    <t>311822679</t>
  </si>
  <si>
    <t>AMZN Mktp FR*XV</t>
  </si>
  <si>
    <t>311822666</t>
  </si>
  <si>
    <t>AMZN Mktp FR*8N</t>
  </si>
  <si>
    <t>311822661</t>
  </si>
  <si>
    <t>SAMSE 310124 - 5868036</t>
  </si>
  <si>
    <t>312523033</t>
  </si>
  <si>
    <t>LMS 310124 REF TIRE:6042302000 - 5936042</t>
  </si>
  <si>
    <t>312523021</t>
  </si>
  <si>
    <t>AMZN Mktp FR*BA</t>
  </si>
  <si>
    <t>312523030</t>
  </si>
  <si>
    <t>AMZN Mktp FR*XN</t>
  </si>
  <si>
    <t>312523027</t>
  </si>
  <si>
    <t>PRLV SEPA GIE CHARMHOTEL COTISATION CHARMHOTEL ++OCTOBRE2011 - 0BTAY1Y</t>
  </si>
  <si>
    <t>313424877</t>
  </si>
  <si>
    <t>Fournisseurs / F.G / HONORAIRE</t>
  </si>
  <si>
    <t>HONORAIRE</t>
  </si>
  <si>
    <t>VIR SEPA HELENE LAMBOTIN depot comptes depot comptes - 5283281</t>
  </si>
  <si>
    <t>313424876</t>
  </si>
  <si>
    <t>A Catégoriser</t>
  </si>
  <si>
    <t>ECH PRET DONT CAP 1237,44 ASS. 0,00E INT. 76,02 COM. 0,00E - 5406472</t>
  </si>
  <si>
    <t>313424873</t>
  </si>
  <si>
    <t>ABON CYBERPLUS XCBVX665 2024013100413095000001 HABILITATION P8806895 - 0413095</t>
  </si>
  <si>
    <t>314175807</t>
  </si>
  <si>
    <t>PRLV SEPA INFHOTIK DISTR INFHOTIK MAINTENANCE FEVRIER 202 C-10-48-201109-10041889-7 - 0BTAWQA</t>
  </si>
  <si>
    <t>314175810</t>
  </si>
  <si>
    <t>PRLV SEPA Xerox Financia 3679076 FR30PF2112674 - 0BT5MUA</t>
  </si>
  <si>
    <t>314175796</t>
  </si>
  <si>
    <t>COM CB 5667966016 - NB0001/711791 - 0036791</t>
  </si>
  <si>
    <t>314175795</t>
  </si>
  <si>
    <t>VIR MR CAMINALE OLIVIER salaire janvier - 5325039</t>
  </si>
  <si>
    <t>314175789</t>
  </si>
  <si>
    <t>WWW.TRIPNBIKE.C</t>
  </si>
  <si>
    <t>314175794</t>
  </si>
  <si>
    <t>314175811</t>
  </si>
  <si>
    <t>RET DAB BPS MRZ AUBENAS CARTE ******9655 RETRAIT LE 02/02/2024 A 11:30 - PDE1637</t>
  </si>
  <si>
    <t>314643576</t>
  </si>
  <si>
    <t>ECH PRET DONT CAP 3429,97 ASS. 0,00E INT. 399,48 COM. 0,00E - 9062097</t>
  </si>
  <si>
    <t>314643580</t>
  </si>
  <si>
    <t>314643572</t>
  </si>
  <si>
    <t>COMMISSION CARTE 3097105 001 266065 02/02</t>
  </si>
  <si>
    <t>314705997</t>
  </si>
  <si>
    <t>COMMISSION CARTE 3097105 001 274677 03/02</t>
  </si>
  <si>
    <t>314939800</t>
  </si>
  <si>
    <t>PRLV SEPA IZAKTECH MAINTENANCE ANNUEL 220124 - 0BU3135</t>
  </si>
  <si>
    <t>315639639</t>
  </si>
  <si>
    <t>PRLV SEPA REGIE SYNDICAT PRELEVEMENT SEBA FR62ZZZ81CBFD-2618032217-29089 - 0BTUILX</t>
  </si>
  <si>
    <t>315639640</t>
  </si>
  <si>
    <t>PRLV SEPA REGIE SYNDICAT PRELEVEMENT SEBA FR62ZZZ81CBFD-2618032232-29090 - 0BTUIUR</t>
  </si>
  <si>
    <t>315639615</t>
  </si>
  <si>
    <t>PRLV SEPA Orange SA Votre abonnement fixe: 04XXXXX21 ++M0021517012 - 0BTAZYS</t>
  </si>
  <si>
    <t>315639638</t>
  </si>
  <si>
    <t>PRLV SEPA Orange SA Votre abonnement internet (factu M0037206468 - 0BTAZI6</t>
  </si>
  <si>
    <t>315639632</t>
  </si>
  <si>
    <t>COM CB 5667966016 - NB0001/346291 - 0037291</t>
  </si>
  <si>
    <t>315639617</t>
  </si>
  <si>
    <t>315809669</t>
  </si>
  <si>
    <t>REMBOURSEMENT DE PRET 00001519822 INTERETS 05/02/24</t>
  </si>
  <si>
    <t>315809678</t>
  </si>
  <si>
    <t>REMBOURSEMENT DE PRET 00001519822 CAPITAL 05/02/24</t>
  </si>
  <si>
    <t>315809676</t>
  </si>
  <si>
    <t>VIR SEPA :4 saison hiver P8806895 salaire janvier 2024 - 5499507</t>
  </si>
  <si>
    <t>316342207</t>
  </si>
  <si>
    <t>316342212</t>
  </si>
  <si>
    <t>Metro Markets G</t>
  </si>
  <si>
    <t>316342210</t>
  </si>
  <si>
    <t>Fournisseurs / F.G / SOUS-TRAITANT</t>
  </si>
  <si>
    <t>SOUS-TRAITANT</t>
  </si>
  <si>
    <t>PRELEVEMENT AVEM /INV/NM LOC-11491166 10.1.2024/R//INV/NM LOC-11491166 29.1.2024/R/ 2000089420/2214693161 MON2214693161000000000000001 FR73ZZZ395135</t>
  </si>
  <si>
    <t>316488565</t>
  </si>
  <si>
    <t>Fournisseurs / F.G / AUTRES / FRAIS BANQUE</t>
  </si>
  <si>
    <t>FRAIS BANQUE</t>
  </si>
  <si>
    <t>PRELEVEMENT Génération de liens Up2Pay</t>
  </si>
  <si>
    <t>316488559</t>
  </si>
  <si>
    <t>COM CB 5667966016 - NB0001/639381 - 0038381</t>
  </si>
  <si>
    <t>316977714</t>
  </si>
  <si>
    <t>ECH PRET DONT CAP 780,11 ASS. 0,00E INT. 55,12 COM. 0,00E - 9062099</t>
  </si>
  <si>
    <t>317584008</t>
  </si>
  <si>
    <t>ECH PRET DONT CAP 1015,01 ASS. 0,00E INT. 60,72 COM. 0,00E - 9062098</t>
  </si>
  <si>
    <t>317584009</t>
  </si>
  <si>
    <t>COMMISSIONS FACTURE NUMERO 20240201021664864</t>
  </si>
  <si>
    <t>314747211</t>
  </si>
  <si>
    <t>PRLV SEPA IWINERESTO XXZZZA00272820067113 - 0BTUHIC</t>
  </si>
  <si>
    <t>318035735</t>
  </si>
  <si>
    <t>VIR SEPA manpower facture 065771650 facture 065771650 - 5601425</t>
  </si>
  <si>
    <t>318035738</t>
  </si>
  <si>
    <t>VIR SEPA piscine assista facture 468 facture 468 - 5609148</t>
  </si>
  <si>
    <t>318035743</t>
  </si>
  <si>
    <t>VIR SEPA GROUPAMA 4125309/4000715442 4125309/4000715442 - 5609262</t>
  </si>
  <si>
    <t>318035737</t>
  </si>
  <si>
    <t>VIR SEPA teixeira et tor F202400019 F202400019 - 5619321</t>
  </si>
  <si>
    <t>318035731</t>
  </si>
  <si>
    <t>318035740</t>
  </si>
  <si>
    <t>318035736</t>
  </si>
  <si>
    <t>MAT'AL</t>
  </si>
  <si>
    <t>318246329</t>
  </si>
  <si>
    <t>PRLV SEPA KLESIA 20240131CGKLESIA 025262509 0CE8832D0C304AEEB72BC20A094029C5 - 0BVU227</t>
  </si>
  <si>
    <t>318718941</t>
  </si>
  <si>
    <t>COM CB 5667966016 - NB0001/486741 - 0039741</t>
  </si>
  <si>
    <t>318718950</t>
  </si>
  <si>
    <t>CYBER+ PAIEMENT ABONNEMT XCPSD033 2024021000024414000001 ABONNEMENT PSD0006262976 - 0024414</t>
  </si>
  <si>
    <t>319476755</t>
  </si>
  <si>
    <t>Vistaprint</t>
  </si>
  <si>
    <t>319476754</t>
  </si>
  <si>
    <t>COMMISSION CARTE 3097105 001 354854 13/02</t>
  </si>
  <si>
    <t>319626579</t>
  </si>
  <si>
    <t>PRLV SEPA CEGID SAS FA002-01115017 00RC0000019770055000002B00 - 0BVAGAA</t>
  </si>
  <si>
    <t>320104477</t>
  </si>
  <si>
    <t>Microsoft*Subsc</t>
  </si>
  <si>
    <t>320104473</t>
  </si>
  <si>
    <t>PRLV SEPA Free Pro FACTURE FREEPRO 15/02/2024 F2024 JNRUMSATHERMALECLIMA020230706103 - 0BVB8RD</t>
  </si>
  <si>
    <t>320764149</t>
  </si>
  <si>
    <t>PRLV SEPA SOLOCAL SA 204 /INV/FORM:0000232345/27.01.2024/ 02937492002 - 0BWI2VQ</t>
  </si>
  <si>
    <t>320764138</t>
  </si>
  <si>
    <t>VIR SEPA INTERNET VALLON vt2113 vt2113 - 5755259</t>
  </si>
  <si>
    <t>320764140</t>
  </si>
  <si>
    <t>VIR SEPA SARL FROID CUIS FF23120145 FF23110012 FF23120145 FF23110012 - 5755621</t>
  </si>
  <si>
    <t>320764142</t>
  </si>
  <si>
    <t>COMMISSION CARTE 3097105 001 372353 15/02</t>
  </si>
  <si>
    <t>320893674</t>
  </si>
  <si>
    <t>PRLV SEPA GC RE TRIPADVI REF-FF50C7AEB50EFE1992 P97A2CN - 0BWR53Z</t>
  </si>
  <si>
    <t>321217004</t>
  </si>
  <si>
    <t>PRLV SEPA URSSAF RHONE A UR 827000002110121762 JANV247 T1430653867203200001297356941940 - 0BWSC18</t>
  </si>
  <si>
    <t>321217007</t>
  </si>
  <si>
    <t>COM CB 5667966016 - NB0001/128441 - 0040441</t>
  </si>
  <si>
    <t>321217009</t>
  </si>
  <si>
    <t>Amazon Prime*3Q</t>
  </si>
  <si>
    <t>321217008</t>
  </si>
  <si>
    <t>SA THERMALE ET</t>
  </si>
  <si>
    <t>321217005</t>
  </si>
  <si>
    <t>321217003</t>
  </si>
  <si>
    <t>COMMISSION CARTE 3097105 001 380689 16/02</t>
  </si>
  <si>
    <t>321279630</t>
  </si>
  <si>
    <t>321279631</t>
  </si>
  <si>
    <t>CENTRE FRANCE</t>
  </si>
  <si>
    <t>321440909</t>
  </si>
  <si>
    <t>INTERMARCHE ESS</t>
  </si>
  <si>
    <t>321440911</t>
  </si>
  <si>
    <t>PRLV SEPA GC RE TRIPADVI REF-C5728F55F3513296AA QF29BP7 - 0BWWLQB</t>
  </si>
  <si>
    <t>321904689</t>
  </si>
  <si>
    <t>PRLV SEPA Orange SA-ORAN Votre abonnement mobile: 06XXXXX ++M0017687880 - 0BWWGGE</t>
  </si>
  <si>
    <t>321904669</t>
  </si>
  <si>
    <t>PRLV SEPA EDF SA THERMALE CLIMATIQUE D Ref EDF MA970001250911 - 0BWUR1Y</t>
  </si>
  <si>
    <t>321904667</t>
  </si>
  <si>
    <t>RET DAB BPS MRZ AUBENAS CARTE ******9655 RETRAIT LE 19/02/2024 A 11:20 - PDE2411</t>
  </si>
  <si>
    <t>321904688</t>
  </si>
  <si>
    <t>VIR SEPA MADAME AUBRY CA P8806895 Salaire - 5844756</t>
  </si>
  <si>
    <t>321904687</t>
  </si>
  <si>
    <t>VIR SEPA AUBRY ALEXANDRA P8806895 Salaire - 5844795</t>
  </si>
  <si>
    <t>321904668</t>
  </si>
  <si>
    <t>CHEQUE 000000256700 - 0000231</t>
  </si>
  <si>
    <t>321904674</t>
  </si>
  <si>
    <t>AVIA</t>
  </si>
  <si>
    <t>321904682</t>
  </si>
  <si>
    <t>321904683</t>
  </si>
  <si>
    <t>LONDRESRESTAURA</t>
  </si>
  <si>
    <t>321904685</t>
  </si>
  <si>
    <t>SNCF INTERNET</t>
  </si>
  <si>
    <t>321904690</t>
  </si>
  <si>
    <t>PRLV SEPA REGIE SYNDICAT PRELEVEMENT SEBA FR62ZZZ81CBFD-3418-28223 - 0BWXRFZ</t>
  </si>
  <si>
    <t>322530855</t>
  </si>
  <si>
    <t>PRLV SEPA Autoroutes du KA004293710041376270 012024 ++25004137627001188445 - 0BVXYVC</t>
  </si>
  <si>
    <t>322530857</t>
  </si>
  <si>
    <t>COM CB 5667966016 - NB0001/736561 - 0041561</t>
  </si>
  <si>
    <t>322530853</t>
  </si>
  <si>
    <t>AMANDINE LA BEA</t>
  </si>
  <si>
    <t>322530861</t>
  </si>
  <si>
    <t>SHELL 2141</t>
  </si>
  <si>
    <t>322530863</t>
  </si>
  <si>
    <t>322530865</t>
  </si>
  <si>
    <t>CULTURELA FNAC</t>
  </si>
  <si>
    <t>322530872</t>
  </si>
  <si>
    <t>322530862</t>
  </si>
  <si>
    <t>322530870</t>
  </si>
  <si>
    <t>PRLV INT ETS DGFIP PASDSN15022024-012024-3867203200 NN386720320DGFIP2020807504KDIIJX - 0BX6KZP</t>
  </si>
  <si>
    <t>323083725</t>
  </si>
  <si>
    <t>323083727</t>
  </si>
  <si>
    <t>323083724</t>
  </si>
  <si>
    <t>COMMISSION CARTE 3097105 001 418572 21/02</t>
  </si>
  <si>
    <t>323285247</t>
  </si>
  <si>
    <t>PRELEVEMENT Noelse France PRELEVEMENT SEPA 6239571919/HOTEL DES PRF150220240000200163 S6239571919-2239646 FR80ZZZ328855</t>
  </si>
  <si>
    <t>323285248</t>
  </si>
  <si>
    <t>PRLV SEPA Orange SA Votre abonnement fixe: 04XXXXX52 M0036834648 - 0BWY2Q1</t>
  </si>
  <si>
    <t>323714765</t>
  </si>
  <si>
    <t>PRLV SEPA Orange SA Votre abonnement fixe: 04XXXXX98 M0049215427 - 0BWY2K7</t>
  </si>
  <si>
    <t>323714757</t>
  </si>
  <si>
    <t>PRLV SEPA Orange SA Votre abonnement fibre (facture: EPCB202311295646844 - 0BWY2NO</t>
  </si>
  <si>
    <t>323714760</t>
  </si>
  <si>
    <t>AMZN Mktp FR*S5</t>
  </si>
  <si>
    <t>323714759</t>
  </si>
  <si>
    <t>SUPER U</t>
  </si>
  <si>
    <t>324113578</t>
  </si>
  <si>
    <t>AMZN Mktp FR*0X</t>
  </si>
  <si>
    <t>324113579</t>
  </si>
  <si>
    <t>AMZN Mktp FR*OI</t>
  </si>
  <si>
    <t>324113577</t>
  </si>
  <si>
    <t>COMMISSION CARTE 3097105 001 435251 23/02</t>
  </si>
  <si>
    <t>324166920</t>
  </si>
  <si>
    <t>COMMISSION CARTE 3097105 001 443391 24/02</t>
  </si>
  <si>
    <t>324449375</t>
  </si>
  <si>
    <t>PRLV SEPA EDF SA THERMALE CLIMATIQUE D Ref EDF MA970001250911 - 0BXKMYZ</t>
  </si>
  <si>
    <t>325089009</t>
  </si>
  <si>
    <t>PRLV SEPA Orange SA Votre abonnement mobile: 06XXXXX ++M0003219595 - 0BXHIYQ</t>
  </si>
  <si>
    <t>325089006</t>
  </si>
  <si>
    <t>PRLV SEPA GIE KLESIA COT RETRAITE - GIE KLESIA COTIS - 20 SCG023URAE000659949S - 0BXK6NO</t>
  </si>
  <si>
    <t>325089016</t>
  </si>
  <si>
    <t>COM CB 5667966016 - NB0001/524021 - 0042021</t>
  </si>
  <si>
    <t>325089011</t>
  </si>
  <si>
    <t>Maisonsdumonde</t>
  </si>
  <si>
    <t>325089007</t>
  </si>
  <si>
    <t>AMZN Mktp FR*0I</t>
  </si>
  <si>
    <t>325089017</t>
  </si>
  <si>
    <t>AMZN Mktp FR*W9</t>
  </si>
  <si>
    <t>325089003</t>
  </si>
  <si>
    <t>VIR SEPA M GARONZI PASCA acoompte sur salaire fevrier acoompte sur salaire fevrier - 6051616</t>
  </si>
  <si>
    <t>325783937</t>
  </si>
  <si>
    <t>AMZN Mktp FR*65</t>
  </si>
  <si>
    <t>325783935</t>
  </si>
  <si>
    <t>PRLV SEPA UMIH 07 1ER PRELEVEMENT COTISATION 2024 CAMINALE012014 - 0BY4IRZ</t>
  </si>
  <si>
    <t>326585303</t>
  </si>
  <si>
    <t>LMS 290224 REF TIRE:6042431100 - 6351041</t>
  </si>
  <si>
    <t>326585308</t>
  </si>
  <si>
    <t>SAMSE 290224 - 6276048</t>
  </si>
  <si>
    <t>326585310</t>
  </si>
  <si>
    <t>DESCOURS ET CABAUD RAA ECH:29/02/24 - 6276047</t>
  </si>
  <si>
    <t>326585309</t>
  </si>
  <si>
    <t>LINVOSGES</t>
  </si>
  <si>
    <t>326585318</t>
  </si>
  <si>
    <t>PRLV SEPA IDEAL PEINTURE FA4013468 GRAND HOTEL LES BAINS-12/2021-00 - 0BYB3G1</t>
  </si>
  <si>
    <t>327380747</t>
  </si>
  <si>
    <t>PRLV SEPA BPIFRANCE 4524506 F2402/000154920 RUM-01255916 - 0BXYKEZ</t>
  </si>
  <si>
    <t>327380738</t>
  </si>
  <si>
    <t>PRLV SEPA SOCIETE PRINT GRAND HOTEL DES BAINS SSC003702 - 0BXBXKI</t>
  </si>
  <si>
    <t>327380737</t>
  </si>
  <si>
    <t>VIR SEPA CABINET IMBERT 27/02/2024-004134-24002 27/02/2024-004134-24002 - 6133234</t>
  </si>
  <si>
    <t>327380741</t>
  </si>
  <si>
    <t>VIR SEPA APM P8806895 24-02-2485 - 6133673</t>
  </si>
  <si>
    <t>327380735</t>
  </si>
  <si>
    <t>VIR SEPA MARKETING ET IN REF 2023-11615 REF 2023-11615 - 6134277</t>
  </si>
  <si>
    <t>327380736</t>
  </si>
  <si>
    <t>VIR SEPA MICHEL HENRY-LE facture 24A/2171 X facture 24A/2171 X - 6148182</t>
  </si>
  <si>
    <t>327380752</t>
  </si>
  <si>
    <t>VIR SEPA LARGIER 01240007CH02 01240007CH02 - 6148891</t>
  </si>
  <si>
    <t>327380743</t>
  </si>
  <si>
    <t>VIR SEPA EXTERIEUR CONFO ACOMPTE SUR DEVIS 2024-02096 ACOMPTE SUR DEVIS 2024-02096 - 6149466</t>
  </si>
  <si>
    <t>327380734</t>
  </si>
  <si>
    <t>ECH PRET DONT CAP 1238,37 ASS. 0,00E INT. 75,09 COM. 0,00E - 5406472</t>
  </si>
  <si>
    <t>327380745</t>
  </si>
  <si>
    <t>ABON CYBERPLUS XCBVX665 2024022900432228000001 HABILITATION P8806895 - 0432228</t>
  </si>
  <si>
    <t>327940134</t>
  </si>
  <si>
    <t>PRLV SEPA Xerox Financia 3690989 FR30PF2112674 - 0BY3L3W</t>
  </si>
  <si>
    <t>327940127</t>
  </si>
  <si>
    <t>328242468</t>
  </si>
  <si>
    <t>PRLV SEPA Orange SA Votre abonnement fixe: 04XXXXX21 ++M0021517012 - 0BY5P4S</t>
  </si>
  <si>
    <t>330393659</t>
  </si>
  <si>
    <t>VIR SEPA :4 saison hiver P8806895 salaire fevrier 2024 salaire fevrier 2024 - 6265358</t>
  </si>
  <si>
    <t>330393648</t>
  </si>
  <si>
    <t>VIR MR CAMINALE OLIVIER salaire fevrier 2024 - 6265576</t>
  </si>
  <si>
    <t>330393643</t>
  </si>
  <si>
    <t>VIR SEPA manpower compte 012878201 facture 0658846 compte 012878201 facture 0658846 - 6266459</t>
  </si>
  <si>
    <t>330393642</t>
  </si>
  <si>
    <t>ECH PRET DONT CAP 3437,54 ASS. 0,00E INT. 392,09 COM. 0,00E - 9062097</t>
  </si>
  <si>
    <t>330393655</t>
  </si>
  <si>
    <t>REMBOURSEMENT DE PRET 00001519822 INTERETS 05/03/24</t>
  </si>
  <si>
    <t>330540904</t>
  </si>
  <si>
    <t>REMBOURSEMENT DE PRET 00001519822 CAPITAL 05/03/24</t>
  </si>
  <si>
    <t>330540902</t>
  </si>
  <si>
    <t>PRLV SEPA REGIE SYNDICAT PRELEVEMENT SEBA FR62ZZZ81CBFD-2618032217-29089 - 0BYY61M</t>
  </si>
  <si>
    <t>331940125</t>
  </si>
  <si>
    <t>PRLV SEPA REGIE SYNDICAT PRELEVEMENT SEBA FR62ZZZ81CBFD-2618032232-29090 - 0BYY5SG</t>
  </si>
  <si>
    <t>331940118</t>
  </si>
  <si>
    <t>VIR SEPA CABINET CHAUSSI 00240403067/002028 00240403067/002028 - 6324767</t>
  </si>
  <si>
    <t>331940120</t>
  </si>
  <si>
    <t>DARTY</t>
  </si>
  <si>
    <t>331940124</t>
  </si>
  <si>
    <t>332078081</t>
  </si>
  <si>
    <t>332078082</t>
  </si>
  <si>
    <t>VIR SEPA piscine assista facture 465 facture 465 - 6356487</t>
  </si>
  <si>
    <t>332687945</t>
  </si>
  <si>
    <t>VIR SEPA MFG FACTURE 24-03-130 FACTURE 24-03-130 - 6356761</t>
  </si>
  <si>
    <t>332687942</t>
  </si>
  <si>
    <t>VIR SEPA SAS ACMARIS facture 101094-104275-101095 facture 101094-104275-101095 - 6357202</t>
  </si>
  <si>
    <t>332687947</t>
  </si>
  <si>
    <t>332687941</t>
  </si>
  <si>
    <t>PRELEVEMENT AVEM /INV/NM LOC-11491166 27.2.2024/R/ 2000142840/2214693161 MON2214693161000000000000001 FR73ZZZ395135</t>
  </si>
  <si>
    <t>332818432</t>
  </si>
  <si>
    <t>VIR SEPA BOOKING.COM FACTURE 1605170455 NH 254064 FACTURE 1605170455 NH 254064 - 6392543</t>
  </si>
  <si>
    <t>333368875</t>
  </si>
  <si>
    <t>VIR SEPA Cafes richard 0908852279 L9A 0908852279 L9A - 6392630</t>
  </si>
  <si>
    <t>333368873</t>
  </si>
  <si>
    <t>VIR SEPA INTERNET VALLON VT2128 VT2128 - 6392727</t>
  </si>
  <si>
    <t>333368867</t>
  </si>
  <si>
    <t>L UDS</t>
  </si>
  <si>
    <t>333368876</t>
  </si>
  <si>
    <t>AUTO INDUSTRIE</t>
  </si>
  <si>
    <t>333368877</t>
  </si>
  <si>
    <t>PRLV SEPA Orange SA Votre abonnement internet (factu M0037206468 - 0BZGZ6V</t>
  </si>
  <si>
    <t>333801542</t>
  </si>
  <si>
    <t>PRLV SEPA CEGID SAS FA002-01147611 00RC0000019770055000002B00 - 0BZSOAO</t>
  </si>
  <si>
    <t>333801548</t>
  </si>
  <si>
    <t>RET DAB BPS MRZ AUBENAS CARTE ******9655 RETRAIT LE 08/03/2024 A 10:19 - PDE3078</t>
  </si>
  <si>
    <t>333801547</t>
  </si>
  <si>
    <t>ECH PRET DONT CAP 781,84 ASS. 0,00E INT. 74,55 COM. 0,00E - 9062099</t>
  </si>
  <si>
    <t>333801539</t>
  </si>
  <si>
    <t>ECH PRET DONT CAP 1017,26 ASS. 0,00E INT. 89,28 COM. 0,00E - 9062098</t>
  </si>
  <si>
    <t>333801546</t>
  </si>
  <si>
    <t>ENTR BRICOLAGE</t>
  </si>
  <si>
    <t>333801544</t>
  </si>
  <si>
    <t>AMZN Mktp FR*LB</t>
  </si>
  <si>
    <t>333801549</t>
  </si>
  <si>
    <t>COMMISSIONS FACTURE NUMERO 20240301034933874</t>
  </si>
  <si>
    <t>330460963</t>
  </si>
  <si>
    <t>PRLV SEPA IWINERESTO XXZZZA00272820067113 - 0BY4GCL</t>
  </si>
  <si>
    <t>334654226</t>
  </si>
  <si>
    <t>Fournisseurs / MP / CAVE</t>
  </si>
  <si>
    <t>CAVE</t>
  </si>
  <si>
    <t>VIR SEPA CHATEAU LES AMO 231364 231364 - 6475926</t>
  </si>
  <si>
    <t>334654228</t>
  </si>
  <si>
    <t>REST VILLA TART</t>
  </si>
  <si>
    <t>334654220</t>
  </si>
  <si>
    <t>PHARMACIE GAMBE</t>
  </si>
  <si>
    <t>334654229</t>
  </si>
  <si>
    <t>PRLV SEPA REGIE SYNDICAT PRELEVEMENT SEBA FR62ZZZ81CBFD-3418-28223 - 0C0QVL1</t>
  </si>
  <si>
    <t>335410591</t>
  </si>
  <si>
    <t>RET DAB BPS MARZE PONT CARTE ******9655 RETRAIT LE 12/03/2024 A 14:19 - P702294</t>
  </si>
  <si>
    <t>335410590</t>
  </si>
  <si>
    <t>VIR SEPA piscine assista 478+479 478+479 - 6494878</t>
  </si>
  <si>
    <t>335410586</t>
  </si>
  <si>
    <t>VIR SEPA MADAME AUBRY CA P8806895 Salaire - 6501422</t>
  </si>
  <si>
    <t>335410589</t>
  </si>
  <si>
    <t>VIR SEPA AUBRY ALEXANDRA P8806895 Salaire - 6501462</t>
  </si>
  <si>
    <t>335410595</t>
  </si>
  <si>
    <t>CYBER+ PAIEMENT ABONNEMT XCPSD033 2024031000021621000001 ABONNEMENT PSD0006262976 - 0021621</t>
  </si>
  <si>
    <t>335410600</t>
  </si>
  <si>
    <t>TOTAL</t>
  </si>
  <si>
    <t>335410602</t>
  </si>
  <si>
    <t>COMMISSION CARTE 3097105 001 674958 12/03</t>
  </si>
  <si>
    <t>335629150</t>
  </si>
  <si>
    <t>PRLV SEPA GIE CHARMHOTEL COTISATION CHARMHOTEL ++OCTOBRE2011 - 0C19JMK</t>
  </si>
  <si>
    <t>336065404</t>
  </si>
  <si>
    <t>336065402</t>
  </si>
  <si>
    <t>BKG*HOTEL AT BO</t>
  </si>
  <si>
    <t>336065406</t>
  </si>
  <si>
    <t>336065407</t>
  </si>
  <si>
    <t>VIR SEPA MFG FACTURE 24-03-132 FACTURE 24-03-132 - 6582398</t>
  </si>
  <si>
    <t>336708075</t>
  </si>
  <si>
    <t>VIR SEPA CABINET IMBERT FACTURE 004021 004182 FACTURE 004021 004182 - 6582552</t>
  </si>
  <si>
    <t>336708061</t>
  </si>
  <si>
    <t>VIR SEPA SOCOTEC P8806895 FACTURE 2401000152/975TO - 6582741</t>
  </si>
  <si>
    <t>336708063</t>
  </si>
  <si>
    <t>VIR SEPA CABINET CHAUSSI 00240403225/002028 00240403225/002028 - 6582814</t>
  </si>
  <si>
    <t>336708070</t>
  </si>
  <si>
    <t>VIR SEPA CABINET CHAUSSI 00240403067/00208 00240403067/00208 - 6582925</t>
  </si>
  <si>
    <t>336708067</t>
  </si>
  <si>
    <t>VIR SEPA SD 07 000447 000447 - 6583049</t>
  </si>
  <si>
    <t>336708060</t>
  </si>
  <si>
    <t>VIR SEPA CABINET CHAUSSI P8806895 00240402776/2928/2644/2454/ - 6583427</t>
  </si>
  <si>
    <t>336708066</t>
  </si>
  <si>
    <t>Fournisseurs / MP / BOF</t>
  </si>
  <si>
    <t>BOF</t>
  </si>
  <si>
    <t>BON ET VIVANT</t>
  </si>
  <si>
    <t>336708068</t>
  </si>
  <si>
    <t>CHOCOLATERIE GU</t>
  </si>
  <si>
    <t>336708071</t>
  </si>
  <si>
    <t>CREATY'FLOR</t>
  </si>
  <si>
    <t>336708062</t>
  </si>
  <si>
    <t>336708077</t>
  </si>
  <si>
    <t>PRLV SEPA INFHOTIK DISTR MAINTENANCE INFHOTIK MARS 2024 C-10-48-201109-10041889-7 - 0C1NPJE</t>
  </si>
  <si>
    <t>337171762</t>
  </si>
  <si>
    <t>PRLV SEPA SOLOCAL SA 204 /INV/FORM:0000429720/27.02.2024/ 02937492002 - 0C1LHOS</t>
  </si>
  <si>
    <t>337171763</t>
  </si>
  <si>
    <t>PRLV SEPA Free Pro FACTURE FREEPRO 15/03/2024 F2024 JNRUMSATHERMALECLIMA020230706103 - 0C0ERIA</t>
  </si>
  <si>
    <t>337171771</t>
  </si>
  <si>
    <t>Fournisseurs / F.G / DEBOURS</t>
  </si>
  <si>
    <t>DEBOURS</t>
  </si>
  <si>
    <t>VIR M LOIC CAMINALE facture decor discount boulanger - 6611200</t>
  </si>
  <si>
    <t>337171765</t>
  </si>
  <si>
    <t>Fournisseurs / MP / BOULANGERIE DESSERTS</t>
  </si>
  <si>
    <t>BOULANGERIE DESSERTS</t>
  </si>
  <si>
    <t>THIRIET AUBENAS</t>
  </si>
  <si>
    <t>337171764</t>
  </si>
  <si>
    <t>Amazon Prime*0W</t>
  </si>
  <si>
    <t>337409575</t>
  </si>
  <si>
    <t>COMMISSION CARTE 3097105 001 601896 16/03</t>
  </si>
  <si>
    <t>337481769</t>
  </si>
  <si>
    <t>PRLV SEPA GC RE TRIPADVI REF-1531AB74AA6734E62D P97A2CN - 0C1U3QR</t>
  </si>
  <si>
    <t>337961727</t>
  </si>
  <si>
    <t>PRLV SEPA URSSAF RHONE A UR 827000002110121762 FEV 247 T1430653867203200001297356941940 - 0C1VCSX</t>
  </si>
  <si>
    <t>337961716</t>
  </si>
  <si>
    <t>PRLV SEPA EDF SA THERMALE CLIMATIQUE D Ref EDF MA970001250911 - 0C1OAR1</t>
  </si>
  <si>
    <t>337961723</t>
  </si>
  <si>
    <t>CHEQUE 240315451390608413149368 1600 79677908000 13906 - 0000234</t>
  </si>
  <si>
    <t>337961718</t>
  </si>
  <si>
    <t>AMAZON EU SARL</t>
  </si>
  <si>
    <t>337961717</t>
  </si>
  <si>
    <t>Restaurant Brio</t>
  </si>
  <si>
    <t>337961726</t>
  </si>
  <si>
    <t>338206656</t>
  </si>
  <si>
    <t>PRLV SEPA Orange SA-ORAN Votre abonnement mobile: 06XXXXX ++M0017687880 - 0C21NNT</t>
  </si>
  <si>
    <t>338635189</t>
  </si>
  <si>
    <t>PRLV SEPA METRO CASH CAR PRELEVEMENT CMR000003928001 - 0C21RBX</t>
  </si>
  <si>
    <t>338635186</t>
  </si>
  <si>
    <t>PRLV SEPA GC RE TRIPADVI REF-B43B8AA33647BA2BB5 QF29BP7 - 0C20IAY</t>
  </si>
  <si>
    <t>338635188</t>
  </si>
  <si>
    <t>COMMISSION CARTE 3097105 001 623108 19/03</t>
  </si>
  <si>
    <t>338855991</t>
  </si>
  <si>
    <t>PRLV SEPA Autoroutes du KB004306530041376270 022024 ++25004137627001188445 - 0C163MT</t>
  </si>
  <si>
    <t>339257570</t>
  </si>
  <si>
    <t>COMMISSION CARTE 3097105 001 634184 20/03</t>
  </si>
  <si>
    <t>339464686</t>
  </si>
  <si>
    <t>PRLV INT ETS DGFIP PASDSN15032024-022024-3867203200 NN386720320DGFIP2020807504KDIIJX - 0C28R3H</t>
  </si>
  <si>
    <t>340317131</t>
  </si>
  <si>
    <t>340317129</t>
  </si>
  <si>
    <t>340317132</t>
  </si>
  <si>
    <t>PRLV SEPA Orange SA Votre abonnement fixe: 04XXXXX98 M0049215427 - 0C231O5</t>
  </si>
  <si>
    <t>340753658</t>
  </si>
  <si>
    <t>PRLV SEPA Orange SA Votre abonnement fibre (facture: EPCB202311295646844 - 0C231TC</t>
  </si>
  <si>
    <t>340753657</t>
  </si>
  <si>
    <t>PRLV SEPA Orange SA Votre abonnement fixe: 04XXXXX52 M0036834648 - 0C231SN</t>
  </si>
  <si>
    <t>340753656</t>
  </si>
  <si>
    <t>COMMISSION CARTE 3097105 001 650944 22/03</t>
  </si>
  <si>
    <t>340842061</t>
  </si>
  <si>
    <t>AMZN Mktp FR*87</t>
  </si>
  <si>
    <t>340993837</t>
  </si>
  <si>
    <t>340993831</t>
  </si>
  <si>
    <t>PRLV SEPA EDF SA THERMALE CLIMATIQUE D Ref EDF MA970001250911 - 0C2JILC</t>
  </si>
  <si>
    <t>341423087</t>
  </si>
  <si>
    <t>PRLV SEPA GIE KLESIA COT RETRAITE - GIE KLESIA COTIS - 20 SCG023URAE000659949S - 0C2IYEX</t>
  </si>
  <si>
    <t>341423075</t>
  </si>
  <si>
    <t>PRLV SEPA Orange SA Votre abonnement mobile: 06XXXXX ++M0003219595 - 0C2G3M1</t>
  </si>
  <si>
    <t>341423080</t>
  </si>
  <si>
    <t>CHEQUE 000024032100THE000000710 1600 11449 - 0000235</t>
  </si>
  <si>
    <t>341423077</t>
  </si>
  <si>
    <t>INTER CARBURANT</t>
  </si>
  <si>
    <t>342078177</t>
  </si>
  <si>
    <t>CHEQUE 000024032704254486987320 1600 30002 - 0000230</t>
  </si>
  <si>
    <t>342816114</t>
  </si>
  <si>
    <t>CHEQUE 240326181390608413336099 1600 79677908000 13906 - 0000236</t>
  </si>
  <si>
    <t>342816117</t>
  </si>
  <si>
    <t>VIR SEPA motards solidai salon soupapes festival salon soupapes festival - 6919635</t>
  </si>
  <si>
    <t>342816120</t>
  </si>
  <si>
    <t>GRANDE PHARMACI</t>
  </si>
  <si>
    <t>342816124</t>
  </si>
  <si>
    <t>COMMISSION CARTE 3097105 001 688501 27/03</t>
  </si>
  <si>
    <t>343127878</t>
  </si>
  <si>
    <t>ECH PRET DONT CAP 1239,29 ASS. 0,00E INT. 74,17 COM. 0,00E - 5406472</t>
  </si>
  <si>
    <t>343952984</t>
  </si>
  <si>
    <t>RETRAIT UNIQUE CARTE AGENCE 000000240925 - 9161924</t>
  </si>
  <si>
    <t>343952986</t>
  </si>
  <si>
    <t>VIR SEPA NOELSE min factures 20 min factures 20 - 7000681</t>
  </si>
  <si>
    <t>343952989</t>
  </si>
  <si>
    <t>L'OASIS</t>
  </si>
  <si>
    <t>343952987</t>
  </si>
  <si>
    <t>l'amarette</t>
  </si>
  <si>
    <t>343952990</t>
  </si>
  <si>
    <t>COMMISSION CARTE 3097105 001 705619 29/03</t>
  </si>
  <si>
    <t>344018455</t>
  </si>
  <si>
    <t>COMMISSION CARTE 3097105 001 714051 30/03</t>
  </si>
  <si>
    <t>344210168</t>
  </si>
  <si>
    <t>COMMISSION CARTE 3097105 001 722173 31/03</t>
  </si>
  <si>
    <t>344210170</t>
  </si>
  <si>
    <t>CHEQUE 240329431390608413399666 1600 85002064192 13906 - 0000232</t>
  </si>
  <si>
    <t>344579341</t>
  </si>
  <si>
    <t>PROLIANS RHONE ALPE ECH:31/03/24 - 6798043</t>
  </si>
  <si>
    <t>344579345</t>
  </si>
  <si>
    <t>SAMSE 310324 - 6714058</t>
  </si>
  <si>
    <t>344579348</t>
  </si>
  <si>
    <t>CHEQUE 240329801390608413399686 1600 79677908000 13906 - 0000239</t>
  </si>
  <si>
    <t>344579349</t>
  </si>
  <si>
    <t>PRLV SEPA Xerox Financia 3707400 FR30PF2112674 - 0C38RYW</t>
  </si>
  <si>
    <t>345563696</t>
  </si>
  <si>
    <t>PRLV SEPA IDEAL PEINTURE FA4013658 GRAND HOTEL LES BAINS-12/2021-00 - 0C3GLXK</t>
  </si>
  <si>
    <t>345563697</t>
  </si>
  <si>
    <t>PRLV SEPA Orange SA Votre abonnement fixe: 04XXXXX21 ++M0021517012 - 0C2UJ8M</t>
  </si>
  <si>
    <t>345563700</t>
  </si>
  <si>
    <t>VIR SEPA tresorerie seba acte 38735493431 acte 38735493431 - 7086991</t>
  </si>
  <si>
    <t>345563703</t>
  </si>
  <si>
    <t>345563706</t>
  </si>
  <si>
    <t>VIR SEPA AREAS 7768083 ca0132bca renault 7768083 ca0132bca renault - 7088076</t>
  </si>
  <si>
    <t>345563712</t>
  </si>
  <si>
    <t>CHEQUE 000000256700 - 0000233</t>
  </si>
  <si>
    <t>345563715</t>
  </si>
  <si>
    <t>ECH PRET DONT CAP 3445,13 ASS. 0,00E INT. 384,79 COM. 0,00E - 9062097</t>
  </si>
  <si>
    <t>345563716</t>
  </si>
  <si>
    <t>VIR SEPA tresorerie seba acte 38735492831 acte 38735492831 - 7087145</t>
  </si>
  <si>
    <t>345563717</t>
  </si>
  <si>
    <t>PRLV SEPA LOCAM PRELEVEMENT LOCAM PARTENAIRE DE LD159120820200062519 - 0C34S8W</t>
  </si>
  <si>
    <t>345563722</t>
  </si>
  <si>
    <t>IKEA MONTPELLIE</t>
  </si>
  <si>
    <t>345563686</t>
  </si>
  <si>
    <t>LEROY MERLIN</t>
  </si>
  <si>
    <t>345563687</t>
  </si>
  <si>
    <t>345563694</t>
  </si>
  <si>
    <t>345881313</t>
  </si>
  <si>
    <t>VIREMENT EMIS WEB POLYFROID CLIMATISAT FA20240 FA20240239-238-237</t>
  </si>
  <si>
    <t>345881314</t>
  </si>
  <si>
    <t>VIREMENT EMIS WEB SUDEL FACTURE 03030041 FACTURE 03030041</t>
  </si>
  <si>
    <t>345881315</t>
  </si>
  <si>
    <t>PRLV SEPA METRO CASH CAR /INV/0112854185 CMR000003928001 - 0C3UWBT</t>
  </si>
  <si>
    <t>346547691</t>
  </si>
  <si>
    <t>CHEQUE 240402051390608413459011 1600 85009446384 13906 - 0000237</t>
  </si>
  <si>
    <t>346547698</t>
  </si>
  <si>
    <t>COM CB 5667966016 - NB0001/510481 - 0043481</t>
  </si>
  <si>
    <t>346547702</t>
  </si>
  <si>
    <t>ABON CYBERPLUS XCBVX665 2024033100028924000001 HABILITATION P8806895 - 0028924</t>
  </si>
  <si>
    <t>346547705</t>
  </si>
  <si>
    <t>COMMISSION CARTE 3097105 001 741376 03/04</t>
  </si>
  <si>
    <t>346845846</t>
  </si>
  <si>
    <t>VIR SEPA BOOKING.COM 1606715525 nh 254064 1606715525 nh 254064 - 7200240</t>
  </si>
  <si>
    <t>347456866</t>
  </si>
  <si>
    <t>VIR M LOIC CAMINALE salaire mars 2024 - 7199487</t>
  </si>
  <si>
    <t>347456867</t>
  </si>
  <si>
    <t>VIR SEPA FARGIER EMMA SALAIRE MARS 2024 SALAIRE MARS 2024 - 7199739</t>
  </si>
  <si>
    <t>347456870</t>
  </si>
  <si>
    <t>VIR MR CAMINALE OLIVIER salaire mars 2024 - 7199207</t>
  </si>
  <si>
    <t>347456873</t>
  </si>
  <si>
    <t>VIR SEPA DUBOIS DE MONTR FACTURE 1 FACTURE 1 - 7201308</t>
  </si>
  <si>
    <t>347456874</t>
  </si>
  <si>
    <t>VIR SEPA :4 saison hiver P8806895 salaire mars 2024 - 7199001</t>
  </si>
  <si>
    <t>347456875</t>
  </si>
  <si>
    <t>VIR SEPA CAROLINE ALLEGR FACTURE 00006 FACTURE 00006 - 7200914</t>
  </si>
  <si>
    <t>347456876</t>
  </si>
  <si>
    <t>VIR SEPA PRINGOT DAVID note de frais salon motor passio note de frais salon motor passio - 7199864</t>
  </si>
  <si>
    <t>347456884</t>
  </si>
  <si>
    <t>VIR SEPA PREZ MEHDI P8806895 SALAIRE MARS 2024 - 7199435</t>
  </si>
  <si>
    <t>347456885</t>
  </si>
  <si>
    <t>VIR SEPA BOOKING.COM facture 1606681847 nh 57616 facture 1606681847 nh 57616 - 7200151</t>
  </si>
  <si>
    <t>347456886</t>
  </si>
  <si>
    <t>VIR SEPA NATHALIE GUNZLE FACTURE00031 FACTURE00031 - 7201019</t>
  </si>
  <si>
    <t>347456889</t>
  </si>
  <si>
    <t>VIR SEPA OC22 fv/2023/4262009 et 4264735 fv/2023/4262009 et 4264735 - 7200340</t>
  </si>
  <si>
    <t>347456890</t>
  </si>
  <si>
    <t>VIR SEPA NATHALIE GUNZLE AVANCE ACHAT AVANCE ACHAT - 7201124</t>
  </si>
  <si>
    <t>347456893</t>
  </si>
  <si>
    <t>AMAZON PAYMENTS</t>
  </si>
  <si>
    <t>347456864</t>
  </si>
  <si>
    <t>347456887</t>
  </si>
  <si>
    <t>347456891</t>
  </si>
  <si>
    <t>BIOCOOP</t>
  </si>
  <si>
    <t>347456892</t>
  </si>
  <si>
    <t>COMMISSION CARTE 3097105 001 750283 04/04</t>
  </si>
  <si>
    <t>347614836</t>
  </si>
  <si>
    <t>REMBOURSEMENT DE PRET 00001519822 CAPITAL 05/04/24</t>
  </si>
  <si>
    <t>347614838</t>
  </si>
  <si>
    <t>REMBOURSEMENT DE PRET 00001519822 INTERETS 05/04/24</t>
  </si>
  <si>
    <t>347614839</t>
  </si>
  <si>
    <t>PRLV SEPA REGIE SYNDICAT PRELEVEMENT SEBA FR62ZZZ81CBFD-2618032232-29090 - 0C4FLNJ</t>
  </si>
  <si>
    <t>347965320</t>
  </si>
  <si>
    <t>PRLV SEPA REGIE SYNDICAT PRELEVEMENT SEBA FR62ZZZ81CBFD-2618032217-29089 - 0C4FL6N</t>
  </si>
  <si>
    <t>347965327</t>
  </si>
  <si>
    <t>347965323</t>
  </si>
  <si>
    <t>347965324</t>
  </si>
  <si>
    <t>347965328</t>
  </si>
  <si>
    <t>347965330</t>
  </si>
  <si>
    <t>351383985</t>
  </si>
  <si>
    <t>VIR SEPA EMIS /PID AVRI/MAI2024 /SDT 240522 /NBT 0000005</t>
  </si>
  <si>
    <t>371000633</t>
  </si>
  <si>
    <t>VIR SEPA EMIS /PID MAI 2024 /SDT 240606 /NBT 0000005</t>
  </si>
  <si>
    <t>380087892</t>
  </si>
  <si>
    <t>COMMISSIONS FACTURE NUMERO 20240601076708097</t>
  </si>
  <si>
    <t>379263306</t>
  </si>
  <si>
    <t>VIR SEPA EMIS /MOTIF 219+223 /BEN SARL DOAMINE DU PONT D ARC /REFDO 219+223 /REF 219+223</t>
  </si>
  <si>
    <t>384415337</t>
  </si>
  <si>
    <t>VIR SEPA EMIS /PID DEBOURS 2024 /SDT 240614 /NBT 0000002</t>
  </si>
  <si>
    <t>384415338</t>
  </si>
  <si>
    <t>VIR SEPA EMIS /MOTIF 202302 /BEN ECHO MUSE DE CHIROL ACECO /REFDO 202302 /REF 202302</t>
  </si>
  <si>
    <t>387611919</t>
  </si>
  <si>
    <t>PRLV SEPA SOLOCAL SA 204 /INV/FORM:0000707017/27.04.2024/ 02937492002 - 0CBVMCS</t>
  </si>
  <si>
    <t>396262470</t>
  </si>
  <si>
    <t>396262217</t>
  </si>
  <si>
    <t>VIR SEPA COMPTOIR DES PI X1889 X1889 - 9781321</t>
  </si>
  <si>
    <t>396262507</t>
  </si>
  <si>
    <t>VIR SEPA SAPHIRESA 2024000128 2024000128 - 9781428</t>
  </si>
  <si>
    <t>396262656</t>
  </si>
  <si>
    <t>PRLV SEPA METRO CASH CAR /INV/0015.003795 CMR000003928001</t>
  </si>
  <si>
    <t>396262358</t>
  </si>
  <si>
    <t>PRLV SEPA RELAIS D OR VA RELAIS D OR VALLEE DU RHONE 4100459801GRANDHOTELDESBAINS - 0CEPHZZ</t>
  </si>
  <si>
    <t>396262725</t>
  </si>
  <si>
    <t>VIR SEPA HU MANA NATALY facture 0130 facture 0130 - 9785408</t>
  </si>
  <si>
    <t>396262120</t>
  </si>
  <si>
    <t>VIR SEPA DUBOIS DE MONTR FACTURE DU 01 AU 14 04 FACTURE DU 01 AU 14 04 - 7630218</t>
  </si>
  <si>
    <t>396262000</t>
  </si>
  <si>
    <t>VIR SEPA ELODIE ARTIGAS F-2024-0002 F-2024-0002</t>
  </si>
  <si>
    <t>396261923</t>
  </si>
  <si>
    <t>FRAIS MEP PRLV SEPA XCIMR012 2024040800063783000001 CREANCIER PREFILOC CAPITAL - 0063783</t>
  </si>
  <si>
    <t>396262380</t>
  </si>
  <si>
    <t>FB SUD EST 300624 - 1154043</t>
  </si>
  <si>
    <t>396261994</t>
  </si>
  <si>
    <t>PRLV SEPA HOTELIOS Maintenance Mensuelle INFHOTIK C-10-48-201109-10041889-7</t>
  </si>
  <si>
    <t>396262584</t>
  </si>
  <si>
    <t>Fournisseurs / F.G / PRODUITS ENTRETIEN</t>
  </si>
  <si>
    <t>PRODUITS ENTRETIEN</t>
  </si>
  <si>
    <t>PRLV SEPA LA NATURE A TA Prelevement LC260180 5730</t>
  </si>
  <si>
    <t>396262606</t>
  </si>
  <si>
    <t>ABON CYBERPLUS XCBVX665 2024053100416069000001 HABILITATION P8806895</t>
  </si>
  <si>
    <t>396262574</t>
  </si>
  <si>
    <t>VIR SEPA LARGIER solde 223554ch1 solde 223554ch1 - 9461501</t>
  </si>
  <si>
    <t>396262625</t>
  </si>
  <si>
    <t>CHEQUE 240502271390608413996230 1600 79677908000 13906 - 0000244</t>
  </si>
  <si>
    <t>396262012</t>
  </si>
  <si>
    <t>PRLV SEPA LA NATURE A TA Prelevement LC206706 5730 - 0C8PLFN</t>
  </si>
  <si>
    <t>396262500</t>
  </si>
  <si>
    <t>VIR SEPA Brod Alpes Virement de Sa Thermale Et Clima Virement de Sa Thermale Et Clima - 9203592</t>
  </si>
  <si>
    <t>396262013</t>
  </si>
  <si>
    <t>PRLV SEPA Orange SA Votre abonnement fixe: 04XXXXX52 M0036834648 - 0C76WTT</t>
  </si>
  <si>
    <t>396262613</t>
  </si>
  <si>
    <t>PRLV SEPA Orange SA Votre abonnement internet (factu M0037206468 - 0CEGHEZ</t>
  </si>
  <si>
    <t>396262205</t>
  </si>
  <si>
    <t>VIR SEPA SARL ETS CHANEA factures 2446526+2446592 factures 2446526+2446592 - 7837154</t>
  </si>
  <si>
    <t>396261998</t>
  </si>
  <si>
    <t>VIR SEPA moulon services f20240600001785 f20240600001785 - 9785906</t>
  </si>
  <si>
    <t>396262302</t>
  </si>
  <si>
    <t>PRLV SEPA CEGID SAS FA002-01172375 00RC0000019770055000002B00 - 0C49UCO</t>
  </si>
  <si>
    <t>396262437</t>
  </si>
  <si>
    <t>VIR SEPA CLAIR ET NET facture 24/8361 facture 24/8361 - 9260740</t>
  </si>
  <si>
    <t>396262209</t>
  </si>
  <si>
    <t>VIR SEPA Cafes richard 0909258507 0909258507 - 9260277</t>
  </si>
  <si>
    <t>396262594</t>
  </si>
  <si>
    <t>PRLV INT ETS DGFIP PASDSN15042024-032024-3867203200 NN386720320DGFIP2020807504KDIIJX - 0C7MUEH</t>
  </si>
  <si>
    <t>396262327</t>
  </si>
  <si>
    <t>VIR SEPA MICROCONCPT vf18001 vf18001 - 9258482</t>
  </si>
  <si>
    <t>396262429</t>
  </si>
  <si>
    <t>PRLV SEPA REGIE SYNDICAT PRELEVEMENT SEBA FR62ZZZ81CBFD-3418-28223 - 0CH5EGD</t>
  </si>
  <si>
    <t>396261946</t>
  </si>
  <si>
    <t>VIR SEPA EURL BROT fac00002331 fac00002331 - 7462946</t>
  </si>
  <si>
    <t>396262559</t>
  </si>
  <si>
    <t>CYBER+ PAIEMENT ABONNEMT XCPSD033 2024051000066454000001 ABONNEMENT PSD0006262976 - 0066454</t>
  </si>
  <si>
    <t>396262519</t>
  </si>
  <si>
    <t>PRLV SEPA URSSAF RHONE A UR 827000002110121762 MARS247 T1430653867203200001297356941940 - 0C70SZJ</t>
  </si>
  <si>
    <t>396261855</t>
  </si>
  <si>
    <t>VIR SEPA :13 saison ete P8806895 SALIRE JUIN2024 - 9885718</t>
  </si>
  <si>
    <t>396262047</t>
  </si>
  <si>
    <t>VIR SEPA L'ALE OUET poll 241698 241698 - 9258443</t>
  </si>
  <si>
    <t>396262074</t>
  </si>
  <si>
    <t>VIR SEPA SAPHIRESA 2024000081 2024000081 - 8410041</t>
  </si>
  <si>
    <t>396262145</t>
  </si>
  <si>
    <t>VIR SEPA brod alpes 240625 240625 - 9786236</t>
  </si>
  <si>
    <t>396261984</t>
  </si>
  <si>
    <t>PRLV SEPA Free Pro FACTURE FREEPRO 15/05/2024 F2024 JNRUMSATHERMALECLIMA020230706103 - 0CAVPQ9</t>
  </si>
  <si>
    <t>396262086</t>
  </si>
  <si>
    <t>VIR SEPA AUBRY ALEXANDRA P8806895 Avance - 9242746</t>
  </si>
  <si>
    <t>396261849</t>
  </si>
  <si>
    <t>VIR SEPA KOROL EQUIPEMEN FDQ05007 FDQ05007 - 9711305</t>
  </si>
  <si>
    <t>396262264</t>
  </si>
  <si>
    <t>VIR SEPA HU MANA NATALY facture 0096 facture 0096</t>
  </si>
  <si>
    <t>396262359</t>
  </si>
  <si>
    <t>VIR SEPA SAPHIRESA 069-059 069-059 - 7587911</t>
  </si>
  <si>
    <t>396261928</t>
  </si>
  <si>
    <t>VIR SEPA Made In Krislin Virement de Sa Thermale Et Clima Virement de Sa Thermale Et Clima - 8139548</t>
  </si>
  <si>
    <t>396262562</t>
  </si>
  <si>
    <t>VIR SEPA RHONE ALPES LIN 20174212 20174212</t>
  </si>
  <si>
    <t>396262419</t>
  </si>
  <si>
    <t>VIR SEPA TESTON AVOCAT FACTURE 202405 FACTURE 202405 - 7671579</t>
  </si>
  <si>
    <t>396262032</t>
  </si>
  <si>
    <t>PRLV SEPA SOCIETE PRINT GRAND HOTEL DES BAINS SSC003702</t>
  </si>
  <si>
    <t>396262039</t>
  </si>
  <si>
    <t>PRLV SEPA RELAIS D OR VA RELAIS D OR VALLEE DU RHONE 4100459801GRANDHOTELDESBAINS - 0CGW37I</t>
  </si>
  <si>
    <t>396262259</t>
  </si>
  <si>
    <t>VIR SEPA ELODIE ARTIGAS f-2024-0003 f-2024-0003 - 9785686</t>
  </si>
  <si>
    <t>396261919</t>
  </si>
  <si>
    <t>PRLV SEPA AXA I0000781404884-CONTRAT0030773900 00AX000000000007242062 - 0CEPGB5</t>
  </si>
  <si>
    <t>396261848</t>
  </si>
  <si>
    <t>PRLV SEPA EDF SA THERMALE CLIMATIQUE D Ref EDF MA970001250911</t>
  </si>
  <si>
    <t>396261915</t>
  </si>
  <si>
    <t>VIR SEPA SARL ETS CHANEA FC2446468 FC2446468 - 7463097</t>
  </si>
  <si>
    <t>396262119</t>
  </si>
  <si>
    <t>VIR SEPA SAPHIRESA facture 2024000063 facture 2024000063 - 7462986</t>
  </si>
  <si>
    <t>396261899</t>
  </si>
  <si>
    <t>VIR SEPA EXTERIEUR CONFO SOLDE FACTURE FA20210895 SOLDE FACTURE FA20210895 - 8471945</t>
  </si>
  <si>
    <t>396262573</t>
  </si>
  <si>
    <t>ARRETE COMPTE 1 ER TRIMESTRE 2024 - 1199021</t>
  </si>
  <si>
    <t>396261996</t>
  </si>
  <si>
    <t>PRLV SEPA METRO CASH CAR /INV/0006.018131 CMR000003928001</t>
  </si>
  <si>
    <t>396262072</t>
  </si>
  <si>
    <t>VIR SEPA :3 saison ete 2 P8806895 salire mai 2024 salire mai 2024</t>
  </si>
  <si>
    <t>396262383</t>
  </si>
  <si>
    <t>Fournisseurs / REBOURSEMENT CLIENT TROP VERSE</t>
  </si>
  <si>
    <t>REBOURSEMENT CLIENT TROP VERSE</t>
  </si>
  <si>
    <t>VIR SEPA PARRAMON REBOURSEMENT CLIENT NON VENU REBOURSEMENT CLIENT NON VENU - 8455149</t>
  </si>
  <si>
    <t>396262715</t>
  </si>
  <si>
    <t>PRLV SEPA Autoroutes du KD004535910041376270 042024 ++25004137627001188445 - 0CBT2FF</t>
  </si>
  <si>
    <t>396262297</t>
  </si>
  <si>
    <t>PRLV SEPA REGIE SYNDICAT PRELEVEMENT SEBA FR62ZZZ81CBFD-2618032232-29090 - 0C9G27H</t>
  </si>
  <si>
    <t>396261905</t>
  </si>
  <si>
    <t>VIR SEPA ACCARD LAURENCE factures 3941-3937-3936 factures 3941-3937-3936 - 9369906</t>
  </si>
  <si>
    <t>396262023</t>
  </si>
  <si>
    <t>PRLV SEPA GINEYS S.A.S 02789194 01-519039-002</t>
  </si>
  <si>
    <t>396261893</t>
  </si>
  <si>
    <t>VIR SEPA BOOKING.COM facture 1609620460 nh 57616 facture 1609620460 nh 57616</t>
  </si>
  <si>
    <t>396262125</t>
  </si>
  <si>
    <t>VIR SEPA SARL SUD BUREAU fc 024784 fc 024784 - 7298740</t>
  </si>
  <si>
    <t>396262590</t>
  </si>
  <si>
    <t>ECH PRET DONT CAP 1242,08 ASS. 0,00E INT. 71,38 COM. 0,00E - 5406472</t>
  </si>
  <si>
    <t>396261897</t>
  </si>
  <si>
    <t>SAMSE 310524</t>
  </si>
  <si>
    <t>396262713</t>
  </si>
  <si>
    <t>PRLV SEPA Autoroutes du KC004450580041376270 032024 ++25004137627001188445 - 0C6FMB3</t>
  </si>
  <si>
    <t>396262576</t>
  </si>
  <si>
    <t>VIR SEPA moulon services f/202404/00001725 f/202404/00001725</t>
  </si>
  <si>
    <t>396262547</t>
  </si>
  <si>
    <t>PRLV SEPA Orange SA Votre abonnement mobile: 06XXXXX ++M0003219595 - 0C80Y8Y</t>
  </si>
  <si>
    <t>396262049</t>
  </si>
  <si>
    <t>VIR SEPA domaine des deu FA2024081 FA2024081</t>
  </si>
  <si>
    <t>396262765</t>
  </si>
  <si>
    <t>VIR SEPA FAUSTIN WINE facture 2302 facture 2302 - 9711231</t>
  </si>
  <si>
    <t>396262240</t>
  </si>
  <si>
    <t>PRLV SEPA SACEM-SOC AUTE Prelevement SACEM 01-MAN-2563709-544222805-01 - 0CBY4GM</t>
  </si>
  <si>
    <t>396262681</t>
  </si>
  <si>
    <t>VIR SEPA BOULOUANI KEANU ACOMPTE SALAIRE AVRIL ACOMPTE SALAIRE AVRIL - 7646366</t>
  </si>
  <si>
    <t>396262276</t>
  </si>
  <si>
    <t>VIR SEPA FAUSTIN WINE facture 2139 facture 2139 - 8330810</t>
  </si>
  <si>
    <t>396261929</t>
  </si>
  <si>
    <t>PRLV SEPA INFHOTIK DISTR MAINTENANCE INFHOTIK AVRIL 2024 C-10-48-201109-10041889-7 - 0C5C20G</t>
  </si>
  <si>
    <t>396261877</t>
  </si>
  <si>
    <t>VIR SEPA PATR INTERPROF facture 22401489 facture 22401489</t>
  </si>
  <si>
    <t>396262827</t>
  </si>
  <si>
    <t>PRLV SEPA SOLOCAL SA 204 /INV/FORM:0000546959/27.03.2024/ 02937492002 - 0C6OY99</t>
  </si>
  <si>
    <t>396261925</t>
  </si>
  <si>
    <t>CYBER+ PAIEMENT ABONNEMT XCPSD033 2024061000062579000001 ABONNEMENT PSD0006262976 - 0062579</t>
  </si>
  <si>
    <t>396262482</t>
  </si>
  <si>
    <t>PRLV SEPA UMIH 07 2EME PRELEVEMENT COTISATION 2024 CAMINALE012014</t>
  </si>
  <si>
    <t>396262252</t>
  </si>
  <si>
    <t>FRAIS SUR VIR INSTANTANE XCMDZ020 2024042300043254000001 - 0043254</t>
  </si>
  <si>
    <t>396262170</t>
  </si>
  <si>
    <t>PRLV SEPA GIE CHARMHOTEL COTISATION CHARMHOTEL ++OCTOBRE2011</t>
  </si>
  <si>
    <t>396262014</t>
  </si>
  <si>
    <t>PRLV SEPA EDF SA THERMALE CLIMATIQUE D Ref EDF MA970001250911 - 0CIBWDZ</t>
  </si>
  <si>
    <t>396261992</t>
  </si>
  <si>
    <t>PRLV SEPA Orange SA Votre abonnement internet (factu M0037206468 - 0C3PHH1</t>
  </si>
  <si>
    <t>396262644</t>
  </si>
  <si>
    <t>PRLV SEPA LES GLACES DE HOTELBAINSF49462 EDI2410284RU0000077 - 0CIMF78</t>
  </si>
  <si>
    <t>396262249</t>
  </si>
  <si>
    <t>PRLV SEPA LA NATURE A TA Prelevement LC223791 5730 - 0CB4NZB</t>
  </si>
  <si>
    <t>396262320</t>
  </si>
  <si>
    <t>VIR SEPA ACCARD LAURENCE fact 3914-3902-3913-3901-3906-38 fact 3914-3902-3913-3901-3906-38</t>
  </si>
  <si>
    <t>396262076</t>
  </si>
  <si>
    <t>PRLV SEPA SPRE Prelevement SPRE 15-MAN-2563709-544222805-01 - 0CBY5PC</t>
  </si>
  <si>
    <t>396262418</t>
  </si>
  <si>
    <t>VIR M LOIC CAMINALE remboursement facture sarbacane - 9370980</t>
  </si>
  <si>
    <t>396262200</t>
  </si>
  <si>
    <t>PRLV SEPA BPIFRANCE 4646664 F2405/000294385 RUM-01255916</t>
  </si>
  <si>
    <t>396262218</t>
  </si>
  <si>
    <t>PRLV SEPA Orange SA Votre abonnement mobile: 06XXXXX ++M0003219595 - 0CIDORP</t>
  </si>
  <si>
    <t>396262011</t>
  </si>
  <si>
    <t>396262323</t>
  </si>
  <si>
    <t>PRLV SEPA EPISAVEURS SUD /INV/8312014374 17.5.2024 000028S000005706 - 0CFMWZD</t>
  </si>
  <si>
    <t>396261922</t>
  </si>
  <si>
    <t>PRLV SEPA Orange SA Votre abonnement fibre (facture: EPCB202311295646844 - 0CI5HB2</t>
  </si>
  <si>
    <t>396262452</t>
  </si>
  <si>
    <t>Fournisseurs / MP / LEGUMES/FRUITS</t>
  </si>
  <si>
    <t>LEGUMES/FRUITS</t>
  </si>
  <si>
    <t>VIR SEPA AU PETIT PRIMEU 100815073 100815073 - 9058250</t>
  </si>
  <si>
    <t>396262395</t>
  </si>
  <si>
    <t>VIR SEPA BOOKING.COM facture 1608454916 nh 57616 facture 1608454916 nh 57616 - 8081732</t>
  </si>
  <si>
    <t>396262082</t>
  </si>
  <si>
    <t>DROMADIS 300624 REF TIRE:00093210 - 1154045</t>
  </si>
  <si>
    <t>396262044</t>
  </si>
  <si>
    <t>VIR SEPA andrea calek P8806895 fac00000604 - 9426169</t>
  </si>
  <si>
    <t>396262179</t>
  </si>
  <si>
    <t>VIR SEPA SARL ETS CHANEA fc2446411+2446670 fc2446411+2446670 - 8087766</t>
  </si>
  <si>
    <t>396262365</t>
  </si>
  <si>
    <t>VIR SEPA Solyd Virement de Sa Thermale Et Clima Virement de Sa Thermale Et Clima - 9469956</t>
  </si>
  <si>
    <t>396262728</t>
  </si>
  <si>
    <t>Fournisseurs / MP / GLACES</t>
  </si>
  <si>
    <t>GLACES</t>
  </si>
  <si>
    <t>PRLV SEPA LES GLACES DE HOTELBAINSF49221 EDI2410284RU0000077</t>
  </si>
  <si>
    <t>396262345</t>
  </si>
  <si>
    <t>VIR SEPA SARL ETS CHANEA fc2446842-fc2446904 fc2446842-fc2446904</t>
  </si>
  <si>
    <t>396262055</t>
  </si>
  <si>
    <t>PRLV SEPA LA NATURE A TA Prelevement LC209055 5730 - 0CJHV9W</t>
  </si>
  <si>
    <t>396262583</t>
  </si>
  <si>
    <t>PRLV SEPA LOCAM PRELEVEMENT LOCAM PARTENAIRE DE LD159120820200062519 - 0CJ5502</t>
  </si>
  <si>
    <t>396262175</t>
  </si>
  <si>
    <t>VIR SEPA BOOKING.COM facture 1608462388 nh 254064 facture 1608462388 nh 254064 - 8081694</t>
  </si>
  <si>
    <t>396262097</t>
  </si>
  <si>
    <t>VIR SEPA mat al facture 15025 facture 15025 - 7302058</t>
  </si>
  <si>
    <t>396262186</t>
  </si>
  <si>
    <t>VIR SEPA ELODIE ARTIGAS FACTURE 2024-0001 FACTURE 2024-0001 - 8011781</t>
  </si>
  <si>
    <t>396262779</t>
  </si>
  <si>
    <t>COM CB 5667966016 - NB0001/259831</t>
  </si>
  <si>
    <t>396262755</t>
  </si>
  <si>
    <t>VIR SEPA DUBOIS CHRYSTEL F-2024-0002 F-2024-0002 - 8011900</t>
  </si>
  <si>
    <t>396262685</t>
  </si>
  <si>
    <t>PRLV SEPA REGIE SYNDICAT PRELEVEMENT SEBA FR62ZZZ81CBFD-2618032217-29089</t>
  </si>
  <si>
    <t>396262732</t>
  </si>
  <si>
    <t>PRLV SEPA GINEYS S.A.S-G 02748402 01-519039-002 - 0C86VUD</t>
  </si>
  <si>
    <t>396261968</t>
  </si>
  <si>
    <t>VIR SEPA MADAME AUBRY CA P8806895 Salaire - 8470416</t>
  </si>
  <si>
    <t>396262666</t>
  </si>
  <si>
    <t>PRLV SEPA PREFILOC CAPIT F240170896 PRE000121421 - 0C4E618</t>
  </si>
  <si>
    <t>396262048</t>
  </si>
  <si>
    <t>CHEQUE 240408901390608413559814 1600 00197334002 13906 - 0000241</t>
  </si>
  <si>
    <t>396262811</t>
  </si>
  <si>
    <t>PRLV SEPA Orange SA-ORAN Votre abonnement mobile: 06XXXXX ++M0017687880 - 0C7KC0O</t>
  </si>
  <si>
    <t>396262191</t>
  </si>
  <si>
    <t>PRLV SEPA CEGID SAS FA002-01201998 00RC0000019770055000002B00 - 0CBSS8J</t>
  </si>
  <si>
    <t>396262498</t>
  </si>
  <si>
    <t>VIR SEPA ARDROM SECURITE fc24001494 fc24001494 - 9260122</t>
  </si>
  <si>
    <t>396262081</t>
  </si>
  <si>
    <t>PRLV SEPA LES GLACES DE HOTELDESBAINSF49264 EDI2410284RU0000077</t>
  </si>
  <si>
    <t>396262468</t>
  </si>
  <si>
    <t>VIR SEPA STIENT- renner salaire avril 2024 salaire avril 2024 - 8087295</t>
  </si>
  <si>
    <t>396262548</t>
  </si>
  <si>
    <t>PRLV SEPA URSSAF RHONE A UR 827000002110121762 MAI 247 T1430653867203200001297356941940 - 0CHRMBB</t>
  </si>
  <si>
    <t>396262724</t>
  </si>
  <si>
    <t>CYBER+ PAIEMENT ABONNEMT XCPSD033 2024041000058598000001 ABONNEMENT PSD0006262976 - 0058598</t>
  </si>
  <si>
    <t>396261944</t>
  </si>
  <si>
    <t>VIR SEPA COMPTOIR DES PI facture x1876 facture x1876</t>
  </si>
  <si>
    <t>396262265</t>
  </si>
  <si>
    <t>COM CB 5667966016 - NB0001/168161 - 0045161</t>
  </si>
  <si>
    <t>396262680</t>
  </si>
  <si>
    <t>CHEQUE 240702191390608415138359 1600 79677908000 13906 - 0000248</t>
  </si>
  <si>
    <t>396262347</t>
  </si>
  <si>
    <t>ECH PRET DONT CAP 3460,36 ASS. 0,00E INT. 369,56 COM. 0,00E</t>
  </si>
  <si>
    <t>396262398</t>
  </si>
  <si>
    <t>VIR SEPA STVB LES THERME 189205-189968 189205-189968 - 9258723</t>
  </si>
  <si>
    <t>396262788</t>
  </si>
  <si>
    <t>CHEQUE 20240522060M045478400599 1600 1189900112000200338011899</t>
  </si>
  <si>
    <t>396262465</t>
  </si>
  <si>
    <t>VIR SEPA SARL ETS CHANEA FC2446721+FC2446785 FC2446721+FC2446785 - 8455386</t>
  </si>
  <si>
    <t>396261950</t>
  </si>
  <si>
    <t>VIR SEPA AUBRY ALEXANDRA P8806895 Acompte - 9655040</t>
  </si>
  <si>
    <t>396262692</t>
  </si>
  <si>
    <t>CHEQUE 255927052404483580000XA1 1600 4255927052404483582242559</t>
  </si>
  <si>
    <t>396262460</t>
  </si>
  <si>
    <t>PRLV SEPA GIE KLESIA COT RETRAITE - GIE KLESIA COTIS - 20 SCG023URAE000659949S - 0C7ZGJM</t>
  </si>
  <si>
    <t>396262028</t>
  </si>
  <si>
    <t>VIR SEPA Cafes richard 0909287419 0909287419 - 9781075</t>
  </si>
  <si>
    <t>396262292</t>
  </si>
  <si>
    <t>ECH PRET DONT CAP 785,29 ASS. 0,00E INT. 85,79 COM. 0,00E - 9062099</t>
  </si>
  <si>
    <t>396262354</t>
  </si>
  <si>
    <t>CHEQUE 000000256700 - 0000242</t>
  </si>
  <si>
    <t>396262128</t>
  </si>
  <si>
    <t>CHEQUE 240408931390608413559813 1600 00197334002 13906 - 0000240</t>
  </si>
  <si>
    <t>396262722</t>
  </si>
  <si>
    <t>VIR SEPA CLAIR ET NET FACTURES SOLDE 2023 FACTURES SOLDE 2023</t>
  </si>
  <si>
    <t>396262481</t>
  </si>
  <si>
    <t>PRLV SEPA RELAIS D OR VA RELAIS D OR VALLEE DU RHONE 4100459801GRANDHOTELDESBAINS</t>
  </si>
  <si>
    <t>396262545</t>
  </si>
  <si>
    <t>VIR SEPA CLAIR ET NET 24/8426 24/8426 - 9786001</t>
  </si>
  <si>
    <t>396262356</t>
  </si>
  <si>
    <t>VIR SEPA DUBOIS DE MONTR facture 5 facture 5</t>
  </si>
  <si>
    <t>396262233</t>
  </si>
  <si>
    <t>VIR SEPA FARGIER EMMA P8806895 FOIR'FOUILLE</t>
  </si>
  <si>
    <t>396262199</t>
  </si>
  <si>
    <t>VIR SEPA SARL ETS CHANEA fc2447150 fc2447150 - 9786927</t>
  </si>
  <si>
    <t>396262110</t>
  </si>
  <si>
    <t>VIR SEPA CABINET CHAUSSI 00250000270/002028 00250000270/002028 - 8455551</t>
  </si>
  <si>
    <t>396262417</t>
  </si>
  <si>
    <t>PRLV SEPA ASSOCIATION C ASS CONTACT HOTEL 4110704C60 - 0C8IJJM</t>
  </si>
  <si>
    <t>396262333</t>
  </si>
  <si>
    <t>VIR SEPA moulon services f/202405/00001753 f/202405/00001753 - 9259060</t>
  </si>
  <si>
    <t>396261865</t>
  </si>
  <si>
    <t>FRAIS MEP PRLV SEPA XCIMR010 2024042900064081000001 CREANCIER LES GLACES DE L' - 0064081</t>
  </si>
  <si>
    <t>396262037</t>
  </si>
  <si>
    <t>ECH PRET DONT CAP 1240,22 ASS. 0,00E INT. 73,24 COM. 0,00E - 5406472</t>
  </si>
  <si>
    <t>396262270</t>
  </si>
  <si>
    <t>VIR SEPA SAPHIRESA 2024000124 2024000124 - 9371397</t>
  </si>
  <si>
    <t>396262368</t>
  </si>
  <si>
    <t>PRLV SEPA LA NATURE A TA Prelevement LC275257 5730 - 0CG7XF5</t>
  </si>
  <si>
    <t>396262299</t>
  </si>
  <si>
    <t>VIR SEPA SAPHIRESA 2024000 078 2024000 078 - 8012172</t>
  </si>
  <si>
    <t>396262250</t>
  </si>
  <si>
    <t>VIR SEPA charlene boirie facture 13207 facture 13207 - 9370902</t>
  </si>
  <si>
    <t>396262484</t>
  </si>
  <si>
    <t>VIR SEPA AU PETIT PRIMEU 100814831 100814831 - 8087885</t>
  </si>
  <si>
    <t>396262366</t>
  </si>
  <si>
    <t>VIR SEPA RHONE ALPES LIN 20174272 20174272 - 9782785</t>
  </si>
  <si>
    <t>396262084</t>
  </si>
  <si>
    <t>PRLV SEPA NOUVELLES EDIT PRELEVEMENT BDC:L402463 10/06/24 L402463 - 0CG2YVG</t>
  </si>
  <si>
    <t>396262162</t>
  </si>
  <si>
    <t>PRLV SEPA ASSOCIATION C ASS CONTACT HOTEL 4110704C60</t>
  </si>
  <si>
    <t>396262343</t>
  </si>
  <si>
    <t>VIR SEPA INTERNET VALLON facture vt2137 facture vt2137 - 7298824</t>
  </si>
  <si>
    <t>396262406</t>
  </si>
  <si>
    <t>CHEQUE 240423291390608413851812 1600 85009446384 13906 - 0000243</t>
  </si>
  <si>
    <t>396262408</t>
  </si>
  <si>
    <t>DROMADIS 200524 REF TIRE:00092219 - 0557003</t>
  </si>
  <si>
    <t>396262537</t>
  </si>
  <si>
    <t>PRLV SEPA EPISAVEURS SUD /INV/8312009688 10.5.2024 000028S000005706</t>
  </si>
  <si>
    <t>396262362</t>
  </si>
  <si>
    <t>VIR SEPA AUBRY ALEXANDRA P8806895 Avance - 8470395</t>
  </si>
  <si>
    <t>396262743</t>
  </si>
  <si>
    <t>PRLV SEPA GINEYS S.A.S 02769316 01-519039-002 - 0CBVYJ1</t>
  </si>
  <si>
    <t>396262108</t>
  </si>
  <si>
    <t>PRLV SEPA Orange SA-ORAN Votre abonnement mobile: 06XXXXX ++M0017687880 - 0CCHIV3</t>
  </si>
  <si>
    <t>396262688</t>
  </si>
  <si>
    <t>VIR SEPA piscine assista facture 563 facture 563 - 9259193</t>
  </si>
  <si>
    <t>396262796</t>
  </si>
  <si>
    <t>PRLV SEPA Orange SA Votre abonnement fixe: 04XXXXX52 M0036834648 - 0CI5HGH</t>
  </si>
  <si>
    <t>396261993</t>
  </si>
  <si>
    <t>PRLV SEPA SOLOCAL SA 204 /INV/FORM:0000849904/27.05.2024/ 02937492002 - 0CHEZUK</t>
  </si>
  <si>
    <t>396262533</t>
  </si>
  <si>
    <t>PRLV SEPA ASSOCIATION C ASS CONTACT HOTEL 4110704C60 - 0CJINZD</t>
  </si>
  <si>
    <t>396262653</t>
  </si>
  <si>
    <t>PRLV SEPA Xerox Financia 3748228 FR30PF2112674 - 0CJ2GSD</t>
  </si>
  <si>
    <t>396262166</t>
  </si>
  <si>
    <t>VIR M LOIC CAMINALE salaire mai 2024</t>
  </si>
  <si>
    <t>396262261</t>
  </si>
  <si>
    <t>PRLV SEPA KLESIA 20240501CGKLESIA 026857461 0CE8832D0C304AEEB72BC20A094029C5 - 0C9EBQB</t>
  </si>
  <si>
    <t>396262273</t>
  </si>
  <si>
    <t>FRAIS MEP PRLV SEPA XCIMR012 2024042200052804000001 CREANCIER LA NATURE A TABL - 0052804</t>
  </si>
  <si>
    <t>396262342</t>
  </si>
  <si>
    <t>PRLV SEPA LES GLACES DE HOTELDESBAINSF49164 EDI2410284RU0000077 - 0C9FRX3</t>
  </si>
  <si>
    <t>396262322</t>
  </si>
  <si>
    <t>COTISATION CARTE DD XCGFC157 2024062000045239000001 PLATINUMBUSINES ********528G - 0045239</t>
  </si>
  <si>
    <t>396262021</t>
  </si>
  <si>
    <t>CHEQUE 240426601390608413911788 1600 85061537495 13906 - 0000245</t>
  </si>
  <si>
    <t>396262178</t>
  </si>
  <si>
    <t>PRLV SEPA MF DISTRIBUTIO FACT AVRIL 2024 HI20200708162424392736 - 0CBWEFA</t>
  </si>
  <si>
    <t>396262275</t>
  </si>
  <si>
    <t>PRLV SEPA AXA France I0000768709658-PRLVAXA France VI 00TG000000000000018156 - 0C7N63Z</t>
  </si>
  <si>
    <t>396262624</t>
  </si>
  <si>
    <t>PRLV SEPA METRO CASH CAR /INV/0002.010942 CMR000003928001 - 0C98M0E</t>
  </si>
  <si>
    <t>396262463</t>
  </si>
  <si>
    <t>FRAIS MEP PRLV SEPA XCIMR012 2024043000430340000001 CREANCIER ASSOCIATION CON - 0430340</t>
  </si>
  <si>
    <t>396262595</t>
  </si>
  <si>
    <t>PRLV SEPA MF DISTRIBUTIO FACT MAI 2024 HI20200708162424392736 - 0CHF3ZF</t>
  </si>
  <si>
    <t>396262412</t>
  </si>
  <si>
    <t>VIR SEPA SAPHIRESA 2024000132 2024000132 - 9785804</t>
  </si>
  <si>
    <t>396262060</t>
  </si>
  <si>
    <t>VIR SEPA SARL FROID CUIS facture ff24050049 facture ff24050049 - 9258560</t>
  </si>
  <si>
    <t>396262773</t>
  </si>
  <si>
    <t>VIR SEPA GRH POLSKA fr/9/03/2024 fr/9/03/2024 - 7298292</t>
  </si>
  <si>
    <t>396262207</t>
  </si>
  <si>
    <t>VIR SEPA AU PETIT PRIMEU regul 14.69 -fac 100814943 regul 14.69 -fac 100814943 - 9371500</t>
  </si>
  <si>
    <t>396262442</t>
  </si>
  <si>
    <t>COMM. CAUTIONS</t>
  </si>
  <si>
    <t>396262068</t>
  </si>
  <si>
    <t>PRLV INT ETS DGFIP PASDSN15052024-042024-3867203200 NN386720320DGFIP2020807504KDIIJX</t>
  </si>
  <si>
    <t>396262614</t>
  </si>
  <si>
    <t>VIR M LOIC CAMINALE remboursement frais salon rando - 9371275</t>
  </si>
  <si>
    <t>396262390</t>
  </si>
  <si>
    <t>PRLV SEPA EPISAVEURS SUD /INV/8311997765 19.4.2024 000028S000005706 - 0CAUYWB</t>
  </si>
  <si>
    <t>396261936</t>
  </si>
  <si>
    <t>VIR SEPA AU PETIT PRIMEU 100815118 100815118 - 9259485</t>
  </si>
  <si>
    <t>396262558</t>
  </si>
  <si>
    <t>VIR SEPA Grh Polska Virement de Sa Thermale Et Clima Virement de Sa Thermale Et Clima - 9146962</t>
  </si>
  <si>
    <t>396262147</t>
  </si>
  <si>
    <t>VIR SEPA piscine assista FACTURE 505 FACTURE 505 - 7463159</t>
  </si>
  <si>
    <t>396262727</t>
  </si>
  <si>
    <t>VIR SEPA M GARONZI PASCA ACOMPTE SALAIRE MAI 2024 ACOMPTE SALAIRE MAI 2024</t>
  </si>
  <si>
    <t>396261853</t>
  </si>
  <si>
    <t>PRLV SEPA EPISAVEURS SUD /INV/8312018335 24.5.2024 000028S000005706 - 0CH2XBQ</t>
  </si>
  <si>
    <t>396262350</t>
  </si>
  <si>
    <t>PRLV SEPA METRO CASH CAR /INV/0017.018265 CMR000003928001</t>
  </si>
  <si>
    <t>396261935</t>
  </si>
  <si>
    <t>PRLV SEPA GINEYS S.A.S 02738302 01-519039-002 - 0C6YP61</t>
  </si>
  <si>
    <t>396261921</t>
  </si>
  <si>
    <t>VIR SEPA DUBOIS DE MONTR facture 3 facture 3 - 8011134</t>
  </si>
  <si>
    <t>396262212</t>
  </si>
  <si>
    <t>VIR SEPA DUBOIS DE MONTR FACTURE N4 FACTURE N4 - 8409927</t>
  </si>
  <si>
    <t>396262461</t>
  </si>
  <si>
    <t>CARTE PAIEMENTS CB</t>
  </si>
  <si>
    <t>PRLV SEPA SACEM-SOC AUTE Prelevement SACEM 01-MAN-2563709-544222805-01 - 0C60OG5</t>
  </si>
  <si>
    <t>396262639</t>
  </si>
  <si>
    <t>VIR SEPA piscine assista facture 572 facture 572 - 9259276</t>
  </si>
  <si>
    <t>396262238</t>
  </si>
  <si>
    <t>VIR SEPA AU PETIT PRIMEU FACTURE 100814866 FACTURE 100814866 - 7463199</t>
  </si>
  <si>
    <t>396262256</t>
  </si>
  <si>
    <t>VIR M LOIC CAMINALE avance lidl et inter - 9711157</t>
  </si>
  <si>
    <t>396262340</t>
  </si>
  <si>
    <t>PRLV INT ETS DGFIP CVAE1-052024-1329DEF NN386720320DGFIP2020807504KDIIJX - 0C9F2Q4</t>
  </si>
  <si>
    <t>396262142</t>
  </si>
  <si>
    <t>PRLV SEPA Orange SA Votre abonnement fibre (facture: EPCB202311295646844 - 0CCIFLY</t>
  </si>
  <si>
    <t>396262735</t>
  </si>
  <si>
    <t>PRLV SEPA Orange SA Votre abonnement internet (factu M0037206468 - 0C8RK3G</t>
  </si>
  <si>
    <t>396262393</t>
  </si>
  <si>
    <t>VIR SEPA andrea calek facture 0000569 facture 0000569 - 7837004</t>
  </si>
  <si>
    <t>396262016</t>
  </si>
  <si>
    <t>PRLV SEPA EDF SA THERMALE CLIMATIQUE D Ref EDF MA970001250911 - 0CHCDAU</t>
  </si>
  <si>
    <t>396262078</t>
  </si>
  <si>
    <t>VIR SEPA OC22 0010677-00112356 0010677-00112356 - 9780678</t>
  </si>
  <si>
    <t>396262668</t>
  </si>
  <si>
    <t>VIR SEPA L'ALE OUET poll facture 241272 facture 241272 - 8330600</t>
  </si>
  <si>
    <t>396262663</t>
  </si>
  <si>
    <t>VIR SEPA DUBOIS CHRYSTEL facture 2024-0003 facture 2024-0003</t>
  </si>
  <si>
    <t>396261856</t>
  </si>
  <si>
    <t>DROMADIS 200624 REF TIRE:00092909 - 1061001</t>
  </si>
  <si>
    <t>396262388</t>
  </si>
  <si>
    <t>PRLV SEPA GINEYS S.A.S-G 02813897 01-519039-002 - 0CISNVW</t>
  </si>
  <si>
    <t>396261967</t>
  </si>
  <si>
    <t>ECH PRET DONT CAP 787,03 ASS. 0,00E INT. 84,05 COM. 0,00E - 9062099</t>
  </si>
  <si>
    <t>396262740</t>
  </si>
  <si>
    <t>PRLV SEPA LA NATURE A TA Prelevement LC299609 5730 - 0C7EXWU</t>
  </si>
  <si>
    <t>396261926</t>
  </si>
  <si>
    <t>PRLV SEPA REGIE SYNDICAT PRELEVEMENT SEBA FR62ZZZ81CBFD-3418-28223 - 0C6DO7L</t>
  </si>
  <si>
    <t>396262610</t>
  </si>
  <si>
    <t>PRLV INT ETS DGFIP PASDSN17062024-052024-3867203200 NN386720320DGFIP2020807504KDIIJX - 0CIGX1Y</t>
  </si>
  <si>
    <t>396262287</t>
  </si>
  <si>
    <t>VIR SEPA sas l3m relais DEVIS I - 24-05-29 devis I-24-05-29 - 8409698</t>
  </si>
  <si>
    <t>396262701</t>
  </si>
  <si>
    <t>PRLV SEPA REGIE SYNDICAT PRELEVEMENT SEBA FR62ZZZ81CBFD-3418-28223 - 0CBJ2RY</t>
  </si>
  <si>
    <t>396262034</t>
  </si>
  <si>
    <t>ECH PRET DONT CAP 3468,00 ASS. 0,00E INT. 361,92 COM. 0,00E - 9062097</t>
  </si>
  <si>
    <t>396262447</t>
  </si>
  <si>
    <t>PRLV SEPA PREFILOC CAPIT F240190400 PRE000121421 - 0C5VKPK</t>
  </si>
  <si>
    <t>396261904</t>
  </si>
  <si>
    <t>VIR SEPA SAPHIRESA 2024000093 2024000093 - 8330560</t>
  </si>
  <si>
    <t>396262208</t>
  </si>
  <si>
    <t>PRLV SEPA RELAIS D OR VA RELAIS D OR VALLEE DU RHONE 4100459801GRANDHOTELDESBAINS - 0C7K1BF</t>
  </si>
  <si>
    <t>396262295</t>
  </si>
  <si>
    <t>VIR SEPA AU PETIT PRIMEU 100815028 100815028</t>
  </si>
  <si>
    <t>396262579</t>
  </si>
  <si>
    <t>PRLV SEPA GINEYS S.A.S-G 02803702 01-519039-002 - 0CHEZOA</t>
  </si>
  <si>
    <t>396262825</t>
  </si>
  <si>
    <t>VIR SEPA Vialle centre e facture 25 facture 25 - 9371594</t>
  </si>
  <si>
    <t>396262384</t>
  </si>
  <si>
    <t>VIR SEPA ARCANCIANE f20240500002 f20240500002 - 8330989</t>
  </si>
  <si>
    <t>396262083</t>
  </si>
  <si>
    <t>VIR SEPA DUBOIS DE MONTR facture 6 facture 6 - 9370373</t>
  </si>
  <si>
    <t>396262372</t>
  </si>
  <si>
    <t>VIR SEPA FAUSTIN WINE 2181 2181 - 7836277</t>
  </si>
  <si>
    <t>396262514</t>
  </si>
  <si>
    <t>PRLV SEPA Orange SA Votre abonnement fibre (facture: EPCB202311295646844 - 0C76WRF</t>
  </si>
  <si>
    <t>396262492</t>
  </si>
  <si>
    <t>PRLV SEPA LA NATURE A TA Prelevement LC295037 5730 - 0CI1LYY</t>
  </si>
  <si>
    <t>396261843</t>
  </si>
  <si>
    <t>PRLV SEPA GIE CHARMHOTEL RATRAPAGE COT FEVRIER 2024 ++OCTOBRE2011</t>
  </si>
  <si>
    <t>396262804</t>
  </si>
  <si>
    <t>VIR SEPA mat al FACTURE 15092 FACTURE 15092 - 7588271</t>
  </si>
  <si>
    <t>396262485</t>
  </si>
  <si>
    <t>VIR SEPA SARL ETS CHANEA FC2447087 FC2447087 - 9711595</t>
  </si>
  <si>
    <t>396261873</t>
  </si>
  <si>
    <t>VIR M LOIC CAMINALE SALAIRE AVRIL - 8081512</t>
  </si>
  <si>
    <t>396262474</t>
  </si>
  <si>
    <t>PRLV SEPA CEGID SAS FA002-01225156 00RC0000019770055000002B00 - 0CE7FH2</t>
  </si>
  <si>
    <t>396262317</t>
  </si>
  <si>
    <t>FRAIS MEP PRLV SEPA XCIMR010 2024060300189368000001 CREANCIER HOTELIOS</t>
  </si>
  <si>
    <t>396262646</t>
  </si>
  <si>
    <t>VIR SEPA ASSOCHUILETIC facture 24-05-204 facture 24-05-204 - 9461903</t>
  </si>
  <si>
    <t>396262503</t>
  </si>
  <si>
    <t>VIR SEPA AUBRY ALEXANDRA P8806895 Avance - 9719260</t>
  </si>
  <si>
    <t>396262707</t>
  </si>
  <si>
    <t>VIR SEPA menuisserie LAG FACTURE 01564 FACTURE 01564 - 7588006</t>
  </si>
  <si>
    <t>396262313</t>
  </si>
  <si>
    <t>PRLV SEPA Orange SA Votre abonnement fixe: 04XXXXX52 M0036834648 - 0CCIFOC</t>
  </si>
  <si>
    <t>396262305</t>
  </si>
  <si>
    <t>VIR SEPA MADAME AUBRY CA P8806895 Salaire - 9719324</t>
  </si>
  <si>
    <t>396262634</t>
  </si>
  <si>
    <t>VIR SEPA SAS HOTEL DE L' DELOGEMENT DELOGEMENT - 8455662</t>
  </si>
  <si>
    <t>396261975</t>
  </si>
  <si>
    <t>VIR SEPA SAPHIRESA 2024000100 2024000100</t>
  </si>
  <si>
    <t>396261907</t>
  </si>
  <si>
    <t>VIR SEPA AU PETIT PRIMEU 100814980 100814980 - 8409866</t>
  </si>
  <si>
    <t>396262063</t>
  </si>
  <si>
    <t>CHEQUE 240405021390608413529636 1600 79677908000 13906 - 0000238</t>
  </si>
  <si>
    <t>396262464</t>
  </si>
  <si>
    <t>PRLV SEPA Autoroutes du KE004607660041376270 052024 ++25004137627001188445 - 0CGW4SM</t>
  </si>
  <si>
    <t>396262650</t>
  </si>
  <si>
    <t>PRLV SEPA GINEYS S.A.S-G 02758348 01-519039-002 - 0CA0X09</t>
  </si>
  <si>
    <t>396262304</t>
  </si>
  <si>
    <t>VIR SEPA Cafes richard 0909233109 0909233109</t>
  </si>
  <si>
    <t>396262164</t>
  </si>
  <si>
    <t>VIR SEPA NATHALIE GUNZLE avance facture casa avance facture casa</t>
  </si>
  <si>
    <t>396262331</t>
  </si>
  <si>
    <t>ABON CYBERPLUS XCBVX665 2024043000430337000001 HABILITATION P8806895 - 0430337</t>
  </si>
  <si>
    <t>396261916</t>
  </si>
  <si>
    <t>VIR SEPA STVB LES THERME FACTURE 184595/2 FACTURE 184595/2 - 8455506</t>
  </si>
  <si>
    <t>396261890</t>
  </si>
  <si>
    <t>VIR SEPA FARGIER EMMA avance factures avance factures - 7302173</t>
  </si>
  <si>
    <t>396262274</t>
  </si>
  <si>
    <t>PRLV SEPA IDEAL PEINTURE FA4014072 GRAND HOTEL LES BAINS-12/2021-00</t>
  </si>
  <si>
    <t>396262638</t>
  </si>
  <si>
    <t>VIR SEPA M GARONZI PASCA acompte juin 2024 acompte juin 2024 - 9426004</t>
  </si>
  <si>
    <t>396262337</t>
  </si>
  <si>
    <t>VIR SEPA STVB LES THERME facture 186385-187382-186691 facture 186385-187382-186691</t>
  </si>
  <si>
    <t>396262268</t>
  </si>
  <si>
    <t>ECH PRET DONT CAP 1024,01 ASS. 0,00E INT. 132,09 COM. 0,00E - 9062098</t>
  </si>
  <si>
    <t>396262758</t>
  </si>
  <si>
    <t>PRLV SEPA HOTELIOS Maintenance Mensuelle INFHOTIK C-10-48-201109-10041889-7 - 0CJ9CPZ</t>
  </si>
  <si>
    <t>396262173</t>
  </si>
  <si>
    <t>VIR SEPA AUBRY ALEXANDRA P8806895 Avance - 7900877</t>
  </si>
  <si>
    <t>396262603</t>
  </si>
  <si>
    <t>PRLV SEPA EPISAVEURS SUD /INV/8312023162 31.5.2024 000028S000005706 - 0CI1VJZ</t>
  </si>
  <si>
    <t>396261971</t>
  </si>
  <si>
    <t>VIR SEPA FARGIER EMMA remboursement factures remboursement factures</t>
  </si>
  <si>
    <t>396262698</t>
  </si>
  <si>
    <t>VIR SEPA acompte mois de Virement de Sa Thermale Et Clima Virement de Sa Thermale Et Clima</t>
  </si>
  <si>
    <t>396261863</t>
  </si>
  <si>
    <t>COM CB 5667966016 - NB0001/219591</t>
  </si>
  <si>
    <t>396262413</t>
  </si>
  <si>
    <t>DROMADIS 100524 REF TIRE:00092005 - 0450006</t>
  </si>
  <si>
    <t>396261895</t>
  </si>
  <si>
    <t>PRLV SEPA EDF SA THERMALE CLIMATIQUE D Ref EDF MA970001250911 - 0C7U970</t>
  </si>
  <si>
    <t>396262005</t>
  </si>
  <si>
    <t>VIR SEPA GRH POLSKA fr/7/06/2024 fr/7/06/2024 - 9885299</t>
  </si>
  <si>
    <t>396262489</t>
  </si>
  <si>
    <t>ABON CYBERPLUS XCBVX665 2024063000040267000001 HABILITATION P8806895 - 0040267</t>
  </si>
  <si>
    <t>396262043</t>
  </si>
  <si>
    <t>PRLV SEPA METRO CASH CAR /INV/0031.007777 CMR000003928001 - 0CIRE0Z</t>
  </si>
  <si>
    <t>396262061</t>
  </si>
  <si>
    <t>VIR SEPA CABINET IMBERT 24002-21/05/2024-004394 24002-21/05/2024-004394</t>
  </si>
  <si>
    <t>396261963</t>
  </si>
  <si>
    <t>VIR M LOIC CAMINALE SALAIRE JUIN 2024 - 9886048</t>
  </si>
  <si>
    <t>396262282</t>
  </si>
  <si>
    <t>PRLV SEPA EDF SA THERMALE CLIMATIQUE D Ref EDF MA970001250911 - 0C72VZ7</t>
  </si>
  <si>
    <t>396261933</t>
  </si>
  <si>
    <t>DROMADIS 200424 REF TIRE:00091496 - 0105003</t>
  </si>
  <si>
    <t>396262403</t>
  </si>
  <si>
    <t>PRLV SEPA SPRE Prelevement SPRE 15-MAN-2563709-544222805-01 - 0C5UFM9</t>
  </si>
  <si>
    <t>396262824</t>
  </si>
  <si>
    <t>PRLV SEPA NOUVELLES EDIT PRELEVEMENT BDC:L402463 10/05/24 L402463 - 0CB1WJ3</t>
  </si>
  <si>
    <t>396262294</t>
  </si>
  <si>
    <t>PRLV SEPA RELAIS D OR VA RELAIS D OR VALLEE DU RHONE 4100459801GRANDHOTELDESBAINS - 0CJ4IFF</t>
  </si>
  <si>
    <t>396262148</t>
  </si>
  <si>
    <t>PRLV SEPA GIE KLESIA COT RETRAITE - GIE KLESIA COTIS - 20 SCG023URAE000659949S</t>
  </si>
  <si>
    <t>396262310</t>
  </si>
  <si>
    <t>VIR SEPA CAROLINE ALLEGR F00010 F00010 - 9783187</t>
  </si>
  <si>
    <t>396261955</t>
  </si>
  <si>
    <t>VIR SEPA STVB LES THERME facture 185207/1 facture 185207/1 - 8331077</t>
  </si>
  <si>
    <t>396262661</t>
  </si>
  <si>
    <t>PRLV SEPA IWINERESTO XXZZZA00272820067113 - 0C3ZS80</t>
  </si>
  <si>
    <t>396262357</t>
  </si>
  <si>
    <t>VIR SEPA CABINET CHAUSSI 00250000392/002028 00250000392/002028 - 9258921</t>
  </si>
  <si>
    <t>396261885</t>
  </si>
  <si>
    <t>PRLV SEPA LES GLACES DE HOTELBAINSF49119 EDI2410284RU0000077 - 0C7YY48</t>
  </si>
  <si>
    <t>396262237</t>
  </si>
  <si>
    <t>VIR SEPA creaty'sfleur facture 0282-0278 facture 0282-0278</t>
  </si>
  <si>
    <t>396262686</t>
  </si>
  <si>
    <t>PRLV SEPA LA NATURE A TA Prelevement LC242372 5730 - 0CCGCIU</t>
  </si>
  <si>
    <t>396262445</t>
  </si>
  <si>
    <t>VIR SEPA MADAME AUBRY CA P8806895 Salaire - 9242764</t>
  </si>
  <si>
    <t>396262491</t>
  </si>
  <si>
    <t>COM CB 5667966016 - NB0001/005451 - 0044451</t>
  </si>
  <si>
    <t>396262472</t>
  </si>
  <si>
    <t>VIR SEPA INTERFACE TECHN facture 2040-24-2210-24-1111-24 facture 2040-24-2210-24-1111-24</t>
  </si>
  <si>
    <t>396262635</t>
  </si>
  <si>
    <t>PRLV SEPA GC RE TRIPADVI REF-9A89BA69F85D15FF21 QF29BP7 - 0C7ACRS</t>
  </si>
  <si>
    <t>396262099</t>
  </si>
  <si>
    <t>ECH PRET DONT CAP 1021,76 ASS. 0,00E INT. 134,34 COM. 0,00E - 9062098</t>
  </si>
  <si>
    <t>396261903</t>
  </si>
  <si>
    <t>VIR SEPA :10 saison ete P8806895 salaire mai 2024 salaire mai 2024</t>
  </si>
  <si>
    <t>396262137</t>
  </si>
  <si>
    <t>VIR SEPA SARL ETS CHANEA fc447025 fc447025 - 9368807</t>
  </si>
  <si>
    <t>396261995</t>
  </si>
  <si>
    <t>VIR SEPA BOOKING.COM facture 1609648817 nh 254064 facture 1609648817 nh 254064</t>
  </si>
  <si>
    <t>396262262</t>
  </si>
  <si>
    <t>VIR SEPA SARL ETS CHANEA fc 2446352 fc 2446352 - 7299252</t>
  </si>
  <si>
    <t>396262746</t>
  </si>
  <si>
    <t>VIR SEPA AUBRY ALEXANDRA P8806895 Salaire - 7285997</t>
  </si>
  <si>
    <t>396261912</t>
  </si>
  <si>
    <t>PRLV SEPA Xerox Financia 3732263 FR30PF2112674</t>
  </si>
  <si>
    <t>396262111</t>
  </si>
  <si>
    <t>FRAIS MEP PRLV SEPA XCIMR010 2024051000066453000001 CREANCIER NOUVELLES EDITIO - 0066453</t>
  </si>
  <si>
    <t>396262550</t>
  </si>
  <si>
    <t>ECH PRET DONT CAP 1241,15 ASS. 0,00E INT. 72,31 COM. 0,00E</t>
  </si>
  <si>
    <t>396262458</t>
  </si>
  <si>
    <t>PRLV SEPA KLESIA 20240501CGKLESIA 026870946 0CE8832D0C304AEEB72BC20A094029C5 - 0C9EC1S</t>
  </si>
  <si>
    <t>396262307</t>
  </si>
  <si>
    <t>FB SUD EST 300424 - 0192041</t>
  </si>
  <si>
    <t>396262344</t>
  </si>
  <si>
    <t>PRLV SEPA METRO CASH CAR /INV/0016.011020 CMR000003928001 - 0C9Q5KT</t>
  </si>
  <si>
    <t>396262057</t>
  </si>
  <si>
    <t>PRLV SEPA Free Pro FACTURE FREEPRO 17/06/2024 F2024 JNRUMSATHERMALECLIMA020230706103 - 0CG0HOD</t>
  </si>
  <si>
    <t>396262436</t>
  </si>
  <si>
    <t>PRLV SEPA AGICAP agicap JRNVIQJLPIVIN0OP - 0CAJNPD</t>
  </si>
  <si>
    <t>396262612</t>
  </si>
  <si>
    <t>396262041</t>
  </si>
  <si>
    <t>SAMSE 300624 - 1154044</t>
  </si>
  <si>
    <t>396262527</t>
  </si>
  <si>
    <t>PRLV SEPA Xerox Financia 3720598 FR30PF2112674 - 0C8FYW7</t>
  </si>
  <si>
    <t>396262675</t>
  </si>
  <si>
    <t>VIR SEPA Cafes richard 09091185122 L9A 09091185122 L9A - 7588121</t>
  </si>
  <si>
    <t>396262683</t>
  </si>
  <si>
    <t>PRLV SEPA PREFILOC CAPIT F240308472 PRE000121421 - 0CGB736</t>
  </si>
  <si>
    <t>396262311</t>
  </si>
  <si>
    <t>VIR SEPA SAPHIRESA 2024000118 2024000118 - 9259329</t>
  </si>
  <si>
    <t>396261892</t>
  </si>
  <si>
    <t>VIR SEPA DUBOIS CHRYSTEL 2024-0004 2024-0004 - 9783555</t>
  </si>
  <si>
    <t>396261970</t>
  </si>
  <si>
    <t>PRLV SEPA URSSAF RHONE A UR 827000002110121762 AVR 247 T1430653867203200001297356941940 - 0CC73DO</t>
  </si>
  <si>
    <t>396262042</t>
  </si>
  <si>
    <t>VIR SEPA lightspeed INV-03-722772 INV-03-722772 - 9406715</t>
  </si>
  <si>
    <t>396262093</t>
  </si>
  <si>
    <t>VIR SEPA INTERNET VALLON facture vt2170-vt2158 facture vt2170-vt2158</t>
  </si>
  <si>
    <t>396262038</t>
  </si>
  <si>
    <t>PRLV SEPA METRO CASH CAR /INV/0017.016642 CMR000003928001 - 0CBDP2E</t>
  </si>
  <si>
    <t>396262428</t>
  </si>
  <si>
    <t>PRLV SEPA Orange SA Votre abonnement fixe: 04XXXXX21 ++M0021517012 - 0C8RK6U</t>
  </si>
  <si>
    <t>396262187</t>
  </si>
  <si>
    <t>FB SUD EST 310524</t>
  </si>
  <si>
    <t>396261870</t>
  </si>
  <si>
    <t>PRLV SEPA RELAIS D OR VA RELAIS D OR VALLEE DU RHONE 4100459801GRANDHOTELDESBAINS - 0CBNEH6</t>
  </si>
  <si>
    <t>396262453</t>
  </si>
  <si>
    <t>PRLV SEPA RELAIS D OR VA RELAIS D OR VALLEE DU RHONE 4100459801GRANDHOTELDESBAINS - 0C7WCJD</t>
  </si>
  <si>
    <t>396262709</t>
  </si>
  <si>
    <t>VIR SEPA M GARONZI PASCA acompte salaire garonzi acompte salaire garonzi - 7806332</t>
  </si>
  <si>
    <t>396262637</t>
  </si>
  <si>
    <t>COM CB 5667966016 - NB0001/580911</t>
  </si>
  <si>
    <t>396261874</t>
  </si>
  <si>
    <t>VIR SEPA AU PETIT PRIMEU 100814903 100814903 - 7836819</t>
  </si>
  <si>
    <t>396262351</t>
  </si>
  <si>
    <t>PRLV SEPA EPISAVEURS SUD /INV/8312006073 3.5.2024 000028S000005706 - 0CD1YHY</t>
  </si>
  <si>
    <t>396262687</t>
  </si>
  <si>
    <t>SAMSE 300424 - 0192043</t>
  </si>
  <si>
    <t>396262748</t>
  </si>
  <si>
    <t>PRLV SEPA Free Pro FACTURE FREEPRO 15/04/2024 F2024 JNRUMSATHERMALECLIMA020230706103 - 0C6DW24</t>
  </si>
  <si>
    <t>396262448</t>
  </si>
  <si>
    <t>IMPOT / TF</t>
  </si>
  <si>
    <t>TF</t>
  </si>
  <si>
    <t>PRLV SEPA DIRECTION GENE 0704738672032000012222 NNFR46ZZZ005002P007000329105 - 0CHA6SL</t>
  </si>
  <si>
    <t>396262617</t>
  </si>
  <si>
    <t>PRLV SEPA EPISAVEURS SUD /INV/8312033126 14.6.2024 000028S000005706 - 0CKEGT4</t>
  </si>
  <si>
    <t>396262289</t>
  </si>
  <si>
    <t>VIR SEPA SAPHIRESA 2024000073 2024000073 - 7836221</t>
  </si>
  <si>
    <t>396262563</t>
  </si>
  <si>
    <t>ECH PRET DONT CAP 1019,50 ASS. 0,00E INT. 124,02 COM. 0,00E - 9062098</t>
  </si>
  <si>
    <t>396262476</t>
  </si>
  <si>
    <t>ECH PRET DONT CAP 783,56 ASS. 0,00E INT. 87,52 COM. 0,00E - 9062099</t>
  </si>
  <si>
    <t>396261990</t>
  </si>
  <si>
    <t>PRLV SEPA Orange SA Votre abonnement fixe: 04XXXXX98 M0049215427 - 0CCIFPI</t>
  </si>
  <si>
    <t>396262291</t>
  </si>
  <si>
    <t>VIR SEPA GRH POLSKA SALAIRE AVRIL 2024 SALAIRE AVRIL 2024 - 8211249</t>
  </si>
  <si>
    <t>396262079</t>
  </si>
  <si>
    <t>VIR SEPA EXPEDIA LODGING facture 2420537194 idh 1165572 facture 2420537194 idh 1165572 - 9258343</t>
  </si>
  <si>
    <t>396262549</t>
  </si>
  <si>
    <t>PRLV SEPA Orange SA-ORAN Votre abonnement mobile: 06XXXXX ++M0017687880 - 0CI87B6</t>
  </si>
  <si>
    <t>396262243</t>
  </si>
  <si>
    <t>PRLV SEPA REGIE SYNDICAT PRELEVEMENT SEBA FR62ZZZ81CBFD-2618032217-29089 - 0C9G2UQ</t>
  </si>
  <si>
    <t>396262711</t>
  </si>
  <si>
    <t>VIR SEPA SAPHIRESA factures 2024000108-105 factures 2024000108-105</t>
  </si>
  <si>
    <t>396262149</t>
  </si>
  <si>
    <t>VIR SEPA Cafes richard facture 0909209914 facture 0909209914 - 8331531</t>
  </si>
  <si>
    <t>396261881</t>
  </si>
  <si>
    <t>VIR SEPA Brod Alpes Virement de Sa Thermale Et Clima Virement de Sa Thermale Et Clima</t>
  </si>
  <si>
    <t>396262056</t>
  </si>
  <si>
    <t>PRLV SEPA IWINERESTO XXZZZA00272820067113 - 0C8SFSV</t>
  </si>
  <si>
    <t>396262580</t>
  </si>
  <si>
    <t>PRLV SEPA PREFILOC CAPIT F240245849 PRE000121421 - 0CB7E9D</t>
  </si>
  <si>
    <t>396261934</t>
  </si>
  <si>
    <t>VIR SEPA PRINGOT DAVID salaire juin 2024 salaire juin 2024 - 9908720</t>
  </si>
  <si>
    <t>396262118</t>
  </si>
  <si>
    <t>PRLV SEPA EDF SA THERMALE CLIMATIQUE D Ref EDF MA970001250911 - 0CC8UC2</t>
  </si>
  <si>
    <t>396261924</t>
  </si>
  <si>
    <t>DROMADIS 300524 REF TIRE:00092493</t>
  </si>
  <si>
    <t>396262689</t>
  </si>
  <si>
    <t>PRLV SEPA GIE KLESIA COT RETRAITE - GIE KLESIA COTIS - 20 SCG023URAE000659949S - 0CIGRVS</t>
  </si>
  <si>
    <t>396262348</t>
  </si>
  <si>
    <t>VIR SEPA AU PETIT PRIMEU facture 100815162 facture 100815162 - 9783102</t>
  </si>
  <si>
    <t>396262742</t>
  </si>
  <si>
    <t>PROLIANS RHONE ALPE ECH:31/05/24</t>
  </si>
  <si>
    <t>396262188</t>
  </si>
  <si>
    <t>VIR SEPA AUBRY ALEXANDRA P8806895 Salaire</t>
  </si>
  <si>
    <t>396262753</t>
  </si>
  <si>
    <t>PRLV SEPA Orange SA Votre abonnement fixe: 04XXXXX98 M0049215427 - 0CI5HGC</t>
  </si>
  <si>
    <t>396262820</t>
  </si>
  <si>
    <t>VIR SEPA piscine assista facture 495 facture 495 - 7302401</t>
  </si>
  <si>
    <t>396262100</t>
  </si>
  <si>
    <t>COM CB 5667966016 - NB0001/464781 - 0049781</t>
  </si>
  <si>
    <t>396261987</t>
  </si>
  <si>
    <t>PRLV SEPA EPISAVEURS SUD /INV/8312028443 7.6.2024 000028S000005706 - 0CIY1BO</t>
  </si>
  <si>
    <t>396262165</t>
  </si>
  <si>
    <t>VIR MR CAMINALE OLIVIER Virement vers Compte De Cheques - 8136390</t>
  </si>
  <si>
    <t>396262797</t>
  </si>
  <si>
    <t>VIR SEPA SARL FROID CUIS ff24030121 ff24030121 - 7836125</t>
  </si>
  <si>
    <t>396262361</t>
  </si>
  <si>
    <t>VIR SEPA L'ALE OUET poll facture 240903 facture 240903 - 7299112</t>
  </si>
  <si>
    <t>396262114</t>
  </si>
  <si>
    <t>PRLV SEPA LES GLACES DE HOTELDESBAINSF49368 EDI2410284RU0000077 - 0CG2GA2</t>
  </si>
  <si>
    <t>396262531</t>
  </si>
  <si>
    <t>PROLIANS RHONE ALPE ECH:30/04/24 - 0275046</t>
  </si>
  <si>
    <t>396262054</t>
  </si>
  <si>
    <t>PRLV SEPA Orange SA Votre abonnement mobile: 06XXXXX ++M0003219595</t>
  </si>
  <si>
    <t>396261982</t>
  </si>
  <si>
    <t>PRLV SEPA IWINERESTO XXZZZA00272820067113 - 0CH0NNY</t>
  </si>
  <si>
    <t>396261846</t>
  </si>
  <si>
    <t>PRLV SEPA GINEYS S.A.S 02779200 01-519039-002</t>
  </si>
  <si>
    <t>396261862</t>
  </si>
  <si>
    <t>VIR SEPA SARL ETS CHANEA fc2446968 fc2446968 - 9260585</t>
  </si>
  <si>
    <t>396262151</t>
  </si>
  <si>
    <t>PRLV SEPA RELAIS D OR VA RELAIS D OR VALLEE DU RHONE 4100459801GRANDHOTELDESBAINS - 0CAFNMI</t>
  </si>
  <si>
    <t>396262694</t>
  </si>
  <si>
    <t>PRLV SEPA Orange SA Votre abonnement fixe: 04XXXXX21 ++M0021517012 - 0CJGY27</t>
  </si>
  <si>
    <t>396262163</t>
  </si>
  <si>
    <t>PRLV SEPA GIE CHARMHOTEL COTISATION CHARMHOTEL ++OCTOBRE2011 - 0C6OJD8</t>
  </si>
  <si>
    <t>396262655</t>
  </si>
  <si>
    <t>VIR SEPA FARGIER EMMA REMBOURSEMENT FACTURE REMBOURSEMENT FACTURE - 7807383</t>
  </si>
  <si>
    <t>396261898</t>
  </si>
  <si>
    <t>DROMADIS 090624 REF TIRE:00092691 - 0923003</t>
  </si>
  <si>
    <t>396262605</t>
  </si>
  <si>
    <t>PRLV SEPA LES GLACES DE GRANHOTELBAINSF49321 EDI2410284RU0000077</t>
  </si>
  <si>
    <t>396262658</t>
  </si>
  <si>
    <t>PRLV SEPA METRO CASH CAR /INV/0031.007777 CMR000003928001</t>
  </si>
  <si>
    <t>396262146</t>
  </si>
  <si>
    <t>VIR M LOIC CAMINALE T2409114 AVANCE FACTURE SARBACAN - 9404210</t>
  </si>
  <si>
    <t>396261943</t>
  </si>
  <si>
    <t>PRLV SEPA Orange SA Votre abonnement fixe: 04XXXXX98 M0049215427 - 0C76WN9</t>
  </si>
  <si>
    <t>396261872</t>
  </si>
  <si>
    <t>VIR SEPA CABINET CHAUSSI ref 002028 ref 002028 - 8331153</t>
  </si>
  <si>
    <t>396261956</t>
  </si>
  <si>
    <t>VIR SEPA :10 saison ete P8806895 salaire avril 2024 salaire avril 2024 - 8081339</t>
  </si>
  <si>
    <t>396262662</t>
  </si>
  <si>
    <t>DROMADIS 300424 REF TIRE:00091792 - 0192042</t>
  </si>
  <si>
    <t>396262071</t>
  </si>
  <si>
    <t>PRLV SEPA METRO CASH CAR /INV/0002.009484 CMR000003928001 - 0C7A449</t>
  </si>
  <si>
    <t>396262272</t>
  </si>
  <si>
    <t>VIR INST ALEXANDRA AUBRY Pour ALEXANDRA AUBRY Avance - WHW3MJ7</t>
  </si>
  <si>
    <t>396261937</t>
  </si>
  <si>
    <t>VIR SEPA CAROLINE ALLEGR FACTURE 00007 FACTURE 00007 - 8011441</t>
  </si>
  <si>
    <t>396261911</t>
  </si>
  <si>
    <t>VIR SEPA SAPHIRESA 2024000103 2024000103</t>
  </si>
  <si>
    <t>396262319</t>
  </si>
  <si>
    <t>ECH PRET DONT CAP 3452,74 ASS. 0,00E INT. 377,18 COM. 0,00E - 9062097</t>
  </si>
  <si>
    <t>396262045</t>
  </si>
  <si>
    <t>PRLV SEPA REGIE SYNDICAT PRELEVEMENT SEBA FR62ZZZ81CBFD-2618032232-29090</t>
  </si>
  <si>
    <t>396262801</t>
  </si>
  <si>
    <t>VIR SEPA CHATEAU LES AMO fact 240296 fact 240296 - 8330506</t>
  </si>
  <si>
    <t>396262377</t>
  </si>
  <si>
    <t>VIR SEPA HU MANA NATALY FACTURE 0006 FACTURE 0006 - 8011357</t>
  </si>
  <si>
    <t>396262799</t>
  </si>
  <si>
    <t>PRLV SEPA Orange SA Votre abonnement fixe: 04XXXXX21 ++M0021517012</t>
  </si>
  <si>
    <t>396261962</t>
  </si>
  <si>
    <t>LA CACHETTE</t>
  </si>
  <si>
    <t>396262444</t>
  </si>
  <si>
    <t>396262172</t>
  </si>
  <si>
    <t>396262718</t>
  </si>
  <si>
    <t>AIGUES MORTES3</t>
  </si>
  <si>
    <t>396262649</t>
  </si>
  <si>
    <t>AMZN Mktp FR*HM</t>
  </si>
  <si>
    <t>396261917</t>
  </si>
  <si>
    <t>HOTEL LE PARADO</t>
  </si>
  <si>
    <t>396262266</t>
  </si>
  <si>
    <t>Amazon Prime*HV</t>
  </si>
  <si>
    <t>396262768</t>
  </si>
  <si>
    <t>396262479</t>
  </si>
  <si>
    <t>396261999</t>
  </si>
  <si>
    <t>396262222</t>
  </si>
  <si>
    <t>2CO.COM*BITDEFE</t>
  </si>
  <si>
    <t>396262540</t>
  </si>
  <si>
    <t>396262035</t>
  </si>
  <si>
    <t>396262278</t>
  </si>
  <si>
    <t>GREFFE TRIBUNAL</t>
  </si>
  <si>
    <t>396261882</t>
  </si>
  <si>
    <t>396262451</t>
  </si>
  <si>
    <t>396262089</t>
  </si>
  <si>
    <t>396262699</t>
  </si>
  <si>
    <t>LE TIMGAD</t>
  </si>
  <si>
    <t>396261927</t>
  </si>
  <si>
    <t>396262364</t>
  </si>
  <si>
    <t>DELICES LA MER</t>
  </si>
  <si>
    <t>396262410</t>
  </si>
  <si>
    <t>396262434</t>
  </si>
  <si>
    <t>MOULON SERVICES</t>
  </si>
  <si>
    <t>396262736</t>
  </si>
  <si>
    <t>396262629</t>
  </si>
  <si>
    <t>L AGAPE</t>
  </si>
  <si>
    <t>396262717</t>
  </si>
  <si>
    <t>396262515</t>
  </si>
  <si>
    <t>UBER *TRIP</t>
  </si>
  <si>
    <t>396262763</t>
  </si>
  <si>
    <t>SP CORAVIN EURO</t>
  </si>
  <si>
    <t>396262427</t>
  </si>
  <si>
    <t>LA POSTE 070190</t>
  </si>
  <si>
    <t>396262241</t>
  </si>
  <si>
    <t>ITALIE LA BAS</t>
  </si>
  <si>
    <t>396262486</t>
  </si>
  <si>
    <t>396262242</t>
  </si>
  <si>
    <t>396262543</t>
  </si>
  <si>
    <t>AMZN Mktp FR*HF</t>
  </si>
  <si>
    <t>396261958</t>
  </si>
  <si>
    <t>INTERMARCHE</t>
  </si>
  <si>
    <t>396262704</t>
  </si>
  <si>
    <t>396262532</t>
  </si>
  <si>
    <t>Miele S.A.S.</t>
  </si>
  <si>
    <t>396262567</t>
  </si>
  <si>
    <t>396262247</t>
  </si>
  <si>
    <t>396262094</t>
  </si>
  <si>
    <t>396262508</t>
  </si>
  <si>
    <t>COMMISSION CARTE 3097105 001 945785 28/04</t>
  </si>
  <si>
    <t>396453225</t>
  </si>
  <si>
    <t>REMBOURSEMENT DE PRET 00001519822 INTERETS 05/06/24</t>
  </si>
  <si>
    <t>396453257</t>
  </si>
  <si>
    <t>COMMISSION CARTE 3097105 001 192383 05/06</t>
  </si>
  <si>
    <t>396453156</t>
  </si>
  <si>
    <t>PRELEVEMENT Noelse France CPREL2405011002905 S6239571919-2239646 FR80ZZZ328855</t>
  </si>
  <si>
    <t>396453295</t>
  </si>
  <si>
    <t>REMBOURSEMENT DE PRET 00001519822 CAPITAL 05/05/24</t>
  </si>
  <si>
    <t>396453264</t>
  </si>
  <si>
    <t>REMBOURSEMENT DE PRET 00001519822 CAPITAL 05/06/24</t>
  </si>
  <si>
    <t>396453233</t>
  </si>
  <si>
    <t>COMMISSION CARTE 3097105 001 048081 18/05</t>
  </si>
  <si>
    <t>396453278</t>
  </si>
  <si>
    <t>COMMISSION CARTE 3097105 001 114535 26/05</t>
  </si>
  <si>
    <t>396453161</t>
  </si>
  <si>
    <t>396453203</t>
  </si>
  <si>
    <t>REMBOURSEMENT DE PRET 00001519822 INTERETS 05/05/24</t>
  </si>
  <si>
    <t>396453259</t>
  </si>
  <si>
    <t>396453184</t>
  </si>
  <si>
    <t>COMMISSION CARTE 3097105 001 135754 29/05</t>
  </si>
  <si>
    <t>396453265</t>
  </si>
  <si>
    <t>COMMISSION CARTE 3097105 001 169976 02/06</t>
  </si>
  <si>
    <t>396453239</t>
  </si>
  <si>
    <t>PRELEVEMENT Noelse France MN240301VE CPREL2404011000348 S6239571919-2239646 FR80ZZZ328855</t>
  </si>
  <si>
    <t>396453271</t>
  </si>
  <si>
    <t>396453222</t>
  </si>
  <si>
    <t>396453263</t>
  </si>
  <si>
    <t>PRELEVEMENT Frais virement SEPA Instantané</t>
  </si>
  <si>
    <t>396453286</t>
  </si>
  <si>
    <t>PRELEVEMENT AVEM /INV/NM LOC-11491166 18.5.2024/R/ 2000307715/2214693161 1000-000001045657 FR73ZZZ395135</t>
  </si>
  <si>
    <t>396453256</t>
  </si>
  <si>
    <t>396453268</t>
  </si>
  <si>
    <t>396453289</t>
  </si>
  <si>
    <t>COMMISSION CARTE 3097105 001 097840 24/05</t>
  </si>
  <si>
    <t>396453234</t>
  </si>
  <si>
    <t>COMMISSION CARTE 3097105 001 240646 12/06</t>
  </si>
  <si>
    <t>396453299</t>
  </si>
  <si>
    <t>COMMISSION CARTE 3097105 001 086949 23/05</t>
  </si>
  <si>
    <t>396453305</t>
  </si>
  <si>
    <t>COMMISSION CARTE 3097105 001 210265 07/06</t>
  </si>
  <si>
    <t>396453175</t>
  </si>
  <si>
    <t>396453200</t>
  </si>
  <si>
    <t>COMMISSION CARTE 3097105 001 356650 25/06</t>
  </si>
  <si>
    <t>396453188</t>
  </si>
  <si>
    <t>COMMISSION CARTE 3097105 001 068335 21/05</t>
  </si>
  <si>
    <t>396453228</t>
  </si>
  <si>
    <t>PRELEVEMENT AVEM /INV/NM LOC-11491166 18.6.2024/R/ 2000362723/2214693161 1000-000001045657 FR73ZZZ395135</t>
  </si>
  <si>
    <t>396453183</t>
  </si>
  <si>
    <t>396453260</t>
  </si>
  <si>
    <t>396453150</t>
  </si>
  <si>
    <t>COMMISSION CARTE 3097105 001 807680 12/04</t>
  </si>
  <si>
    <t>396453242</t>
  </si>
  <si>
    <t>396453307</t>
  </si>
  <si>
    <t>COMMISSION CARTE 3097105 001 144319 30/05</t>
  </si>
  <si>
    <t>396453207</t>
  </si>
  <si>
    <t>COMMISSION CARTE 3097105 001 759098 05/04</t>
  </si>
  <si>
    <t>396453306</t>
  </si>
  <si>
    <t>COMMISSION CARTE 3097105 001 373173 27/06</t>
  </si>
  <si>
    <t>396453181</t>
  </si>
  <si>
    <t>COMMISSION CARTE 3097105 001 121022 27/05</t>
  </si>
  <si>
    <t>396453313</t>
  </si>
  <si>
    <t>COMMISSION CARTE 3097105 001 904062 24/04</t>
  </si>
  <si>
    <t>396453160</t>
  </si>
  <si>
    <t>PRELEVEMENT Noelse France CPREL2406011001934 S6239571919-2239646 FR80ZZZ328855</t>
  </si>
  <si>
    <t>396453236</t>
  </si>
  <si>
    <t>COMMISSION CARTE 3097105 001 836831 16/04</t>
  </si>
  <si>
    <t>396453281</t>
  </si>
  <si>
    <t>PRELEVEMENT AVEM /INV/NM LOC-11491166 1.4.2024/R/ 2000245841/2214693161 MON2214693161000000000000001 FR73ZZZ395135</t>
  </si>
  <si>
    <t>396453274</t>
  </si>
  <si>
    <t>COMMISSION CARTE 3097105 001 935327 27/04</t>
  </si>
  <si>
    <t>396453235</t>
  </si>
  <si>
    <t>COMMISSION CARTE 3097105 001 746263 09/04</t>
  </si>
  <si>
    <t>396453151</t>
  </si>
  <si>
    <t>REMBOURSEMENT DE PRET 00001519822 CAPITAL 05/07/24</t>
  </si>
  <si>
    <t>397271008</t>
  </si>
  <si>
    <t>REMBOURSEMENT DE PRET 00001519822 INTERETS 05/07/24</t>
  </si>
  <si>
    <t>397271007</t>
  </si>
  <si>
    <t>397271010</t>
  </si>
  <si>
    <t>VIR SEPA DUBOIS DE MONTR facture 11 facture 11 - 9910497</t>
  </si>
  <si>
    <t>397271600</t>
  </si>
  <si>
    <t>ARRETE COMPTE 2 EME TRIMESTRE 2024 - 1199021</t>
  </si>
  <si>
    <t>397271604</t>
  </si>
  <si>
    <t>SUMUP *PISCICU</t>
  </si>
  <si>
    <t>397271601</t>
  </si>
  <si>
    <t>397271602</t>
  </si>
  <si>
    <t>397271605</t>
  </si>
  <si>
    <t>PRLV SEPA GINEYS S.A.S 02827032 01-519039-002 - 0CKQ7ZG</t>
  </si>
  <si>
    <t>398013784</t>
  </si>
  <si>
    <t>PRLV SEPA REGIE SYNDICAT PRELEVEMENT SEBA FR62ZZZ81CBFD-2618032232-29090 - 0CKI2EG</t>
  </si>
  <si>
    <t>398013770</t>
  </si>
  <si>
    <t>FRAIS MEP PRLV SEPA XCIMR012 2024070500058324000001 CREANCIER CONTACT HOTEL - 0058324</t>
  </si>
  <si>
    <t>398013775</t>
  </si>
  <si>
    <t>PRLV SEPA REGIE SYNDICAT PRELEVEMENT SEBA FR62ZZZ81CBFD-2618032217-29089 - 0CKI2O7</t>
  </si>
  <si>
    <t>398013774</t>
  </si>
  <si>
    <t>PRLV SEPA CONTACT HOTEL REGUL NUM 05/2024 CONTACT HOTEL 0704 - 0CKQM06</t>
  </si>
  <si>
    <t>398013783</t>
  </si>
  <si>
    <t>PRLV SEPA CEGID SAS FA002-01250072 00RC0000019770055000002B00 - 0CJRDWT</t>
  </si>
  <si>
    <t>398013767</t>
  </si>
  <si>
    <t>PRLV SEPA LES GLACES DE HOTELDESBAINSF49573 EDI2410284RU0000077 - 0CKI5C5</t>
  </si>
  <si>
    <t>398013777</t>
  </si>
  <si>
    <t>398013776</t>
  </si>
  <si>
    <t>COMMISSION CARTE 3097105 001 446243 06/07</t>
  </si>
  <si>
    <t>398313191</t>
  </si>
  <si>
    <t>398313321</t>
  </si>
  <si>
    <t>AMZN Mktp FR*AT</t>
  </si>
  <si>
    <t>398313320</t>
  </si>
  <si>
    <t>ECH PRET DONT CAP 1026,27 ASS. 0,00E INT. 129,83 COM. 0,00E - 9062098</t>
  </si>
  <si>
    <t>399032437</t>
  </si>
  <si>
    <t>VIR SEPA BELHADI MAEL salaire juin 2024 salaire juin 2024 - 0030905</t>
  </si>
  <si>
    <t>399032434</t>
  </si>
  <si>
    <t>PRLV SEPA Orange SA Votre abonnement internet (factu M0037206468 - 0CK7W1A</t>
  </si>
  <si>
    <t>399032428</t>
  </si>
  <si>
    <t>ECH PRET DONT CAP 788,76 ASS. 0,00E INT. 82,32 COM. 0,00E - 9062099</t>
  </si>
  <si>
    <t>399032435</t>
  </si>
  <si>
    <t>399032436</t>
  </si>
  <si>
    <t>LA MAISON.FR</t>
  </si>
  <si>
    <t>399032441</t>
  </si>
  <si>
    <t>COM CB 5667966016 - NB0001/723361 - 0050361</t>
  </si>
  <si>
    <t>399910877</t>
  </si>
  <si>
    <t>VIR SEPA BOOKING.COM fac 1611119143 nh 57616 fac 1611119143 nh 57616 - 0052631</t>
  </si>
  <si>
    <t>399910884</t>
  </si>
  <si>
    <t>VIR SEPA EXPEDIA LODGING 2420675221 2420675221 - 0052803</t>
  </si>
  <si>
    <t>399910879</t>
  </si>
  <si>
    <t>VIR SEPA BOOKING.COM 1611142395 nh 254064 1611142395 nh 254064 - 0052724</t>
  </si>
  <si>
    <t>399910875</t>
  </si>
  <si>
    <t>CHEQUE 20240709160E055450000851 1600 1027808905000549964410278 - 0000249</t>
  </si>
  <si>
    <t>399910883</t>
  </si>
  <si>
    <t>DROMADIS 100724 REF TIRE:00093430 - 1414002</t>
  </si>
  <si>
    <t>399910871</t>
  </si>
  <si>
    <t>399910873</t>
  </si>
  <si>
    <t>399910868</t>
  </si>
  <si>
    <t>399910870</t>
  </si>
  <si>
    <t>399910878</t>
  </si>
  <si>
    <t>399910881</t>
  </si>
  <si>
    <t>399910866</t>
  </si>
  <si>
    <t>399910869</t>
  </si>
  <si>
    <t>COMMISSIONS FACTURE NUMERO 20240701090762123</t>
  </si>
  <si>
    <t>395604865</t>
  </si>
  <si>
    <t>COMMISSION CARTE 3097105 001 467660 10/07</t>
  </si>
  <si>
    <t>400782968</t>
  </si>
  <si>
    <t>PRELEVEMENT Noelse France CPREL2407011001841 S6239571919-2239646 FR80ZZZ328855</t>
  </si>
  <si>
    <t>400782967</t>
  </si>
  <si>
    <t>VIR SEPA menuisserie LAG 01586 01586 - 0095141</t>
  </si>
  <si>
    <t>400784245</t>
  </si>
  <si>
    <t>PRLV SEPA AXA I0000789157386-CONTRAT0000010693 00AX000000000015277894 - 0CKDFP8</t>
  </si>
  <si>
    <t>400784246</t>
  </si>
  <si>
    <t>VIR SEPA MICROCONCPT FACTURE VF16197 FACTURE VF16197 - 0096412</t>
  </si>
  <si>
    <t>400784259</t>
  </si>
  <si>
    <t>CYBER+ PAIEMENT ABONNEMT XCPSD033 2024071000056496000001 ABONNEMENT PSD0006262976 - 0056496</t>
  </si>
  <si>
    <t>400784236</t>
  </si>
  <si>
    <t>VIR M LOIC CAMINALE Virement vers Compte De Cheques - 0110914</t>
  </si>
  <si>
    <t>400784252</t>
  </si>
  <si>
    <t>VIR SEPA CABINET CHAUSSI 00250000779/002028 00250000779/002028 - 0092678</t>
  </si>
  <si>
    <t>400784261</t>
  </si>
  <si>
    <t>VIR SEPA FAUSTIN WINE FACTURE 2260 FACTURE 2260 - 0096833</t>
  </si>
  <si>
    <t>400784250</t>
  </si>
  <si>
    <t>VIR SEPA piscine assista FACTURE 607 FACTURE 607 - 0096634</t>
  </si>
  <si>
    <t>400784232</t>
  </si>
  <si>
    <t>VIR SEPA L'ALE OUET poll FACTURE 242055 FACTURE 242055 - 0091800</t>
  </si>
  <si>
    <t>400784254</t>
  </si>
  <si>
    <t>VIR SEPA AU PETIT PRIMEU 100815207 100815207 - 0095359</t>
  </si>
  <si>
    <t>400784234</t>
  </si>
  <si>
    <t>VIR SEPA SARL ETS CHANEA FC2447218 FC2447218 - 0092048</t>
  </si>
  <si>
    <t>400784233</t>
  </si>
  <si>
    <t>VIR SEPA ACCARD LAURENCE 3960 3960 - 0090442</t>
  </si>
  <si>
    <t>400784247</t>
  </si>
  <si>
    <t>PRLV SEPA RELAIS D OR VA RELAIS D OR VALLEE DU RHONE 4100459801GRANDHOTELDESBAINS - 0CK1V8P</t>
  </si>
  <si>
    <t>400784255</t>
  </si>
  <si>
    <t>PRLV SEPA LA NATURE A TA Prelevement LC232326 5730 - 0CLXTUA</t>
  </si>
  <si>
    <t>400784260</t>
  </si>
  <si>
    <t>PRLV SEPA NOUVELLES EDIT PRELEVEMENT BDC:L402463 10/07/24 L402463 - 0CLTC5J</t>
  </si>
  <si>
    <t>400784241</t>
  </si>
  <si>
    <t>PRLV SEPA IWINERESTO XXZZZA00272820067113 - 0CJXXID</t>
  </si>
  <si>
    <t>400784243</t>
  </si>
  <si>
    <t>VIR SEPA SAPHIRESA 2024000135 2024000135 - 0090553</t>
  </si>
  <si>
    <t>400784256</t>
  </si>
  <si>
    <t>VIR SEPA MICHEL HENRY-LE 24V/0006X 24V/0006X - 0092805</t>
  </si>
  <si>
    <t>400784239</t>
  </si>
  <si>
    <t>VIR SEPA INTERNET VALLON VT2212 VT2212 - 0091630</t>
  </si>
  <si>
    <t>400784230</t>
  </si>
  <si>
    <t>VIR SEPA EMIS /PID JUIN 2024 /SDT 240711 /NBT 0000004</t>
  </si>
  <si>
    <t>400803766</t>
  </si>
  <si>
    <t>PRLV SEPA EPISAVEURS SUD /INV/8312037953 21.6.2024 000028S000005706 - 0CMAELH</t>
  </si>
  <si>
    <t>401685499</t>
  </si>
  <si>
    <t>PRLV SEPA PREFILOC CAPIT F240371670 PRE000121421 - 0CMELF7</t>
  </si>
  <si>
    <t>401685501</t>
  </si>
  <si>
    <t>401699148</t>
  </si>
  <si>
    <t>COMMISSION CARTE 3097105 001 476235 11/07</t>
  </si>
  <si>
    <t>402166780</t>
  </si>
  <si>
    <t>COMMISSION CARTE 3097105 001 484783 12/07</t>
  </si>
  <si>
    <t>402166776</t>
  </si>
  <si>
    <t>VIR SEPA AUBRY ALEXANDRA P8806895 Avance - 0170709</t>
  </si>
  <si>
    <t>402204725</t>
  </si>
  <si>
    <t>PRLV SEPA Lightspeed Net INVS-1962465 MD24-2317-8898-7794 - 0CMK5BP</t>
  </si>
  <si>
    <t>402204720</t>
  </si>
  <si>
    <t>PRLV SEPA REGIE SYNDICAT PRELEVEMENT SEBA FR62ZZZ81CBFD-3418-28223 - 0CME5L8</t>
  </si>
  <si>
    <t>402204719</t>
  </si>
  <si>
    <t>FRAIS MEP PRLV SEPA XCIMR012 2024071200046630000001 CREANCIER Lightspeed Nethe - 0046630</t>
  </si>
  <si>
    <t>402204718</t>
  </si>
  <si>
    <t>SHARKNINJA EURO</t>
  </si>
  <si>
    <t>402204724</t>
  </si>
  <si>
    <t>VIR SEPA AU PETIT PRIMEU facture 100815249 facture 100815249 - 0199233</t>
  </si>
  <si>
    <t>402482741</t>
  </si>
  <si>
    <t>VIR SEPA SARL SUD BUREAU FC-025357 FC-025357 - 0199256</t>
  </si>
  <si>
    <t>402482740</t>
  </si>
  <si>
    <t>VIR SEPA SARL ETS CHANEA fc2447295 fc2447295 - 0199576</t>
  </si>
  <si>
    <t>402482742</t>
  </si>
  <si>
    <t>402482743</t>
  </si>
  <si>
    <t>402482744</t>
  </si>
  <si>
    <t>COMMISSION CARTE 3097105 001 501223 14/07</t>
  </si>
  <si>
    <t>403203891</t>
  </si>
  <si>
    <t>PRLV SEPA Free Pro FACTURE FREEPRO 15/07/2024 F2024 JNRUMSATHERMALECLIMA020230706103 - 0CM2TNE</t>
  </si>
  <si>
    <t>403377237</t>
  </si>
  <si>
    <t>SARL KEREX</t>
  </si>
  <si>
    <t>403377240</t>
  </si>
  <si>
    <t>403377242</t>
  </si>
  <si>
    <t>403377234</t>
  </si>
  <si>
    <t>AMZN Mktp FR*FL</t>
  </si>
  <si>
    <t>403377229</t>
  </si>
  <si>
    <t>404048442</t>
  </si>
  <si>
    <t>VIR SEPA SAPHIRESA 22024000140 22024000140 - 0249762</t>
  </si>
  <si>
    <t>404155948</t>
  </si>
  <si>
    <t>VIR SEPA CABINET CHAUSSI 896+903 896+903 - 0250234</t>
  </si>
  <si>
    <t>404155943</t>
  </si>
  <si>
    <t>PRLV SEPA URSSAF RHONE A UR 827000002110121762 JUIN247 T1430653867203200001297356941940 - 0CN30JU</t>
  </si>
  <si>
    <t>404155952</t>
  </si>
  <si>
    <t>VIR SEPA STVB LES THERME facture 191021 facture 191021 - 0252290</t>
  </si>
  <si>
    <t>404155960</t>
  </si>
  <si>
    <t>VIR SEPA EDESeco facture 23101526 facture 23101526 - 0249681</t>
  </si>
  <si>
    <t>404155950</t>
  </si>
  <si>
    <t>PRLV SEPA GINEYS S.A.S 02837416 01-519039-002 - 0CN0DMZ</t>
  </si>
  <si>
    <t>404155953</t>
  </si>
  <si>
    <t>VIR SEPA FAUSTIN WINE facture 2345 facture 2345 - 0251432</t>
  </si>
  <si>
    <t>404155945</t>
  </si>
  <si>
    <t>PRLV SEPA SOLOCAL SA 204 /INV/FORM:0000990045/27.06.2024/ 02937492002 - 0CN31NL</t>
  </si>
  <si>
    <t>404155955</t>
  </si>
  <si>
    <t>VIR SEPA SOLYD facture 240621022 facture 240621022 - 0249447</t>
  </si>
  <si>
    <t>404155958</t>
  </si>
  <si>
    <t>Amazon Prime*B0</t>
  </si>
  <si>
    <t>404155959</t>
  </si>
  <si>
    <t>AMZN Mktp FR*NR</t>
  </si>
  <si>
    <t>404155956</t>
  </si>
  <si>
    <t>AMZN Mktp FR*CN</t>
  </si>
  <si>
    <t>404155947</t>
  </si>
  <si>
    <t>PRLV SEPA EDF SA THERMALE CLIMATIQUE D Ref EDF MA970001250911 - 0CN4SR6</t>
  </si>
  <si>
    <t>404861987</t>
  </si>
  <si>
    <t>404861985</t>
  </si>
  <si>
    <t>ITELEM</t>
  </si>
  <si>
    <t>404861979</t>
  </si>
  <si>
    <t>PRLV SEPA EPISAVEURS SUD /INV/8312042828 28.6.2024 000028S000005706 - 0CNCHKQ</t>
  </si>
  <si>
    <t>405465156</t>
  </si>
  <si>
    <t>PRLV SEPA Autoroutes du KF004492280041376270 062024 ++25004137627001188445 - 0CMIBEU</t>
  </si>
  <si>
    <t>405881787</t>
  </si>
  <si>
    <t>COMMISSION CARTE 3097105 001 548718 20/07</t>
  </si>
  <si>
    <t>406091801</t>
  </si>
  <si>
    <t>PRLV SEPA Orange SA Votre abonnement fixe: 04XXXXX52 M0036834648 - 0CN9IXS</t>
  </si>
  <si>
    <t>406138946</t>
  </si>
  <si>
    <t>PRLV SEPA LA NATURE A TA Prelevement LC248652 5730 - 0CNL1NJ</t>
  </si>
  <si>
    <t>406138940</t>
  </si>
  <si>
    <t>PRLV SEPA RELAIS D OR VA RELAIS D OR VALLEE DU RHONE 4100459801GRANDHOTELDESBAINS - 0CNMOKA</t>
  </si>
  <si>
    <t>406138949</t>
  </si>
  <si>
    <t>PRLV SEPA Orange SA Votre abonnement fixe: 04XXXXX98 M0049215427 - 0CN9J17</t>
  </si>
  <si>
    <t>406138939</t>
  </si>
  <si>
    <t>PRLV SEPA Orange SA Votre abonnement fibre (facture: EPCB202311295646844 - 0CN9IWM</t>
  </si>
  <si>
    <t>406138936</t>
  </si>
  <si>
    <t>PRLV SEPA MF DISTRIBUTIO FACT JUIN 2024 HI20200708162424392736 - 0CNN3V2</t>
  </si>
  <si>
    <t>406138947</t>
  </si>
  <si>
    <t>PRLV SEPA LES GLACES DE HOTELDESBAINSF49719 EDI2410284RU0000077 - 0CNA6EQ</t>
  </si>
  <si>
    <t>406138948</t>
  </si>
  <si>
    <t>PRLV SEPA Orange SA-ORAN Votre abonnement mobile: 06XXXXX ++M0017687880 - 0CNN5TL</t>
  </si>
  <si>
    <t>406138944</t>
  </si>
  <si>
    <t>DROMADIS 200724 REF TIRE:00094363 - 1550002</t>
  </si>
  <si>
    <t>406138943</t>
  </si>
  <si>
    <t>LA VALSOISE</t>
  </si>
  <si>
    <t>406138941</t>
  </si>
  <si>
    <t>406138942</t>
  </si>
  <si>
    <t>COMMISSION CARTE 3097105 001 556350 21/07</t>
  </si>
  <si>
    <t>406798174</t>
  </si>
  <si>
    <t>COMMISSION CARTE 3097105 001 562436 22/07</t>
  </si>
  <si>
    <t>406798170</t>
  </si>
  <si>
    <t>VIR SEPA SARL ETS CHANEA fc2447371 fc2447371 - 0399870</t>
  </si>
  <si>
    <t>407060056</t>
  </si>
  <si>
    <t>VIR SEPA Cafes richard 0909343126 0909343126 - 0399412</t>
  </si>
  <si>
    <t>407060051</t>
  </si>
  <si>
    <t>VIR SEPA OC22 fv/2024/0015419 fv/2024/0015419 - 0399519</t>
  </si>
  <si>
    <t>407060048</t>
  </si>
  <si>
    <t>VIR SEPA RHONE ALPES LIN facture 20174149 facture 20174149 - 0400236</t>
  </si>
  <si>
    <t>407060046</t>
  </si>
  <si>
    <t>VIR SEPA INTERFACE TECHN facture 3297-24 facture 3297-24 - 0400164</t>
  </si>
  <si>
    <t>407060055</t>
  </si>
  <si>
    <t>VIR SEPA Cafes richard 0909313904 0909313904 - 0399705</t>
  </si>
  <si>
    <t>407060050</t>
  </si>
  <si>
    <t>407060053</t>
  </si>
  <si>
    <t>COMMISSION CARTE 3097105 001 568428 23/07</t>
  </si>
  <si>
    <t>407755360</t>
  </si>
  <si>
    <t>PRLV SEPA EDF SA THERMALE CLIMATIQUE D Ref EDF MA970001250911 - 0CNXLS6</t>
  </si>
  <si>
    <t>407836115</t>
  </si>
  <si>
    <t>PRLV SEPA AXA France I0000790747518-PRLVAXA France VI 00TG000000000000018156 - 0CNXWUZ</t>
  </si>
  <si>
    <t>407836113</t>
  </si>
  <si>
    <t>VIR SEPA SAPHIRESA 2024000147 2024000147 - 0431793</t>
  </si>
  <si>
    <t>407836109</t>
  </si>
  <si>
    <t>PRLV INT ETS DGFIP PASDSN15072024-062024-3867203200 NN386720320DGFIP2020807504KDIIJX - 0CNQ88J</t>
  </si>
  <si>
    <t>407836099</t>
  </si>
  <si>
    <t>VIR SEPA AU PETIT PRIMEU 100815291 100815291 - 0431721</t>
  </si>
  <si>
    <t>407836104</t>
  </si>
  <si>
    <t>VIR SEPA STVB LES THERME 2024/040 2024/040 - 0431461</t>
  </si>
  <si>
    <t>407836114</t>
  </si>
  <si>
    <t>VIR SEPA M GARONZI PASCA acompte salaire juillet 2024 acompte salaire juillet 2024 - 0432511</t>
  </si>
  <si>
    <t>407836110</t>
  </si>
  <si>
    <t>VIR SEPA AUBRY ALEXANDRA P8806895 Salaire - 0441369</t>
  </si>
  <si>
    <t>407836111</t>
  </si>
  <si>
    <t>BASSINAUBENAS T</t>
  </si>
  <si>
    <t>407836103</t>
  </si>
  <si>
    <t>COMMISSION CARTE 3097105 001 576679 24/07</t>
  </si>
  <si>
    <t>408434006</t>
  </si>
  <si>
    <t>408580838</t>
  </si>
  <si>
    <t>VIR SEPA Made In Krislin Virement de Sa Thermale Et Clima Virement de Sa Thermale Et Clima - 0505298</t>
  </si>
  <si>
    <t>409332471</t>
  </si>
  <si>
    <t>PRLV SEPA Orange SA Votre abonnement mobile: 06XXXXX ++M0003219595 - 0CO641U</t>
  </si>
  <si>
    <t>409332456</t>
  </si>
  <si>
    <t>PRLV SEPA GINEYS S.A.S 02852655 01-519039-002 - 0CO6EDC</t>
  </si>
  <si>
    <t>409332463</t>
  </si>
  <si>
    <t>PRLV SEPA METRO CASH CAR /INV/0016.018263 CMR000003928001 - 0CO6X04</t>
  </si>
  <si>
    <t>409332472</t>
  </si>
  <si>
    <t>PRLV SEPA GIE KLESIA COT RETRAITE - GIE KLESIA COTIS - 20 SCG023URAE000659949S - 0CO4BS3</t>
  </si>
  <si>
    <t>409332458</t>
  </si>
  <si>
    <t>PRLV SEPA GIE CHARMHOTEL COTISATION CHARMHOTEL ++OCTOBRE2011 - 0COEW7E</t>
  </si>
  <si>
    <t>409332473</t>
  </si>
  <si>
    <t>PRLV SEPA EPISAVEURS SUD /INV/8312047525 5.7.2024 000028S000005706 - 0CO693J</t>
  </si>
  <si>
    <t>409332477</t>
  </si>
  <si>
    <t>PRLV SEPA METRO CASH CAR /INV/0031.007777 CMR000003928001 - 0COCE4M</t>
  </si>
  <si>
    <t>409332457</t>
  </si>
  <si>
    <t>AMZN Mktp FR*IZ</t>
  </si>
  <si>
    <t>409332475</t>
  </si>
  <si>
    <t>AMZN Mktp FR*Z0</t>
  </si>
  <si>
    <t>409332460</t>
  </si>
  <si>
    <t>AMZN Mktp FR*OF</t>
  </si>
  <si>
    <t>409332466</t>
  </si>
  <si>
    <t>AMZN Mktp FR*2Q</t>
  </si>
  <si>
    <t>409332462</t>
  </si>
  <si>
    <t>VENTES WEB LE P</t>
  </si>
  <si>
    <t>409332469</t>
  </si>
  <si>
    <t>409803481</t>
  </si>
  <si>
    <t>409803483</t>
  </si>
  <si>
    <t>KRYS'LINE</t>
  </si>
  <si>
    <t>409803482</t>
  </si>
  <si>
    <t>CENTRE LECLERC</t>
  </si>
  <si>
    <t>409803477</t>
  </si>
  <si>
    <t>COMMISSION CARTE 3097105 001 600656 27/07</t>
  </si>
  <si>
    <t>410005306</t>
  </si>
  <si>
    <t>PRLV SEPA LES GLACES DE HOTELDESBAINSF49809 EDI2410284RU0000077 - 0CO93X4</t>
  </si>
  <si>
    <t>410040078</t>
  </si>
  <si>
    <t>410040080</t>
  </si>
  <si>
    <t>410040076</t>
  </si>
  <si>
    <t>410040077</t>
  </si>
  <si>
    <t>410040079</t>
  </si>
  <si>
    <t>VIR SEPA NATHALIE GUNZLE FACTURE 0144 FACTURE 0144 - 0606972</t>
  </si>
  <si>
    <t>410823196</t>
  </si>
  <si>
    <t>PRLV SEPA UMIH 07 SOLDE COTISATION 2024 CAMINALE012014 - 0COSR0D</t>
  </si>
  <si>
    <t>410823187</t>
  </si>
  <si>
    <t>VIR SEPA STVB LES THERME facture 192725 facture 192725 - 0612504</t>
  </si>
  <si>
    <t>410823197</t>
  </si>
  <si>
    <t>VIR SEPA PARITEL CE9371-E CE9371/E/ - 0610211</t>
  </si>
  <si>
    <t>410823178</t>
  </si>
  <si>
    <t>VIR SEPA ASS PREVENTION facture 22402982 facture 22402982 - 0612813</t>
  </si>
  <si>
    <t>410823184</t>
  </si>
  <si>
    <t>VIR SEPA DUBOIS CHRYSTEL F-2024-0006 F-2024-0006 - 0610328</t>
  </si>
  <si>
    <t>410823195</t>
  </si>
  <si>
    <t>VIR SEPA DUBOIS DE MONTR FACTURE 14 FACTURE 14 - 0609687</t>
  </si>
  <si>
    <t>410823180</t>
  </si>
  <si>
    <t>VIR SEPA STVB LES THERME facture 191654 facture 191654 - 0612712</t>
  </si>
  <si>
    <t>410823189</t>
  </si>
  <si>
    <t>DROMADIS 300724 REF TIRE:00094659 - 1641004</t>
  </si>
  <si>
    <t>410823194</t>
  </si>
  <si>
    <t>VIR SEPA CAROLINE ALLEGR F00012 F00012 - 0606841</t>
  </si>
  <si>
    <t>410823181</t>
  </si>
  <si>
    <t>VIR SEPA ELODIE ARTIGAS F-2024-0005 F-2024-0005 - 0609404</t>
  </si>
  <si>
    <t>410823183</t>
  </si>
  <si>
    <t>VIR SEPA SARL FROID CUIS FF24070078-FF24030141 FF24070078-FF24030141 - 0609837</t>
  </si>
  <si>
    <t>410823188</t>
  </si>
  <si>
    <t>PRLV SEPA RELAIS D OR VA RELAIS D OR VALLEE DU RHONE 4100459801GRANDHOTELDESBAINS - 0CNZT4M</t>
  </si>
  <si>
    <t>410823190</t>
  </si>
  <si>
    <t>VIR SEPA SARL ETS CHANEA FC2447446 FC2447446 - 0610084</t>
  </si>
  <si>
    <t>410823182</t>
  </si>
  <si>
    <t>AMZN Mktp FR*T8</t>
  </si>
  <si>
    <t>410823179</t>
  </si>
  <si>
    <t>410823198</t>
  </si>
  <si>
    <t>410823186</t>
  </si>
  <si>
    <t>COMMISSION CARTE 3097105 001 619523 30/07</t>
  </si>
  <si>
    <t>411532172</t>
  </si>
  <si>
    <t>CEF-YESSS ELEC. DIV. SUD REF TIRE:216/30013 ECH:31/07/24 - 1677039</t>
  </si>
  <si>
    <t>411651608</t>
  </si>
  <si>
    <t>FB SUD EST 310724 - 1677041</t>
  </si>
  <si>
    <t>411651607</t>
  </si>
  <si>
    <t>PRLV SEPA ASS CONTACT HO COTIS 2024 CONTACT HOTEL 0704 - 0COZRBN</t>
  </si>
  <si>
    <t>411651622</t>
  </si>
  <si>
    <t>PRLV SEPA LA NATURE A TA Prelevement LC269662 5730 - 0COZK1N</t>
  </si>
  <si>
    <t>411651621</t>
  </si>
  <si>
    <t>SAMSE 310724 - 1677040</t>
  </si>
  <si>
    <t>411651616</t>
  </si>
  <si>
    <t>CHEQUE 20240730003E047185400851 1600 1009618264000396423010096 - 0000251</t>
  </si>
  <si>
    <t>411651611</t>
  </si>
  <si>
    <t>PRLV SEPA IDEAL PEINTURE FA4014379 GRAND HOTEL LES BAINS-12/2021-00 - 0COUHK2</t>
  </si>
  <si>
    <t>411651618</t>
  </si>
  <si>
    <t>PRLV SEPA ASSOCIATION C ASS CONTACT HOTEL 4110704C60 - 0COWYS4</t>
  </si>
  <si>
    <t>411651619</t>
  </si>
  <si>
    <t>RET DAB BPS MRZ AUBENAS CARTE ******9655 RETRAIT LE 30/07/2024 A 10:11 - PDE3872</t>
  </si>
  <si>
    <t>411651612</t>
  </si>
  <si>
    <t>AMZN Mktp FR*6M</t>
  </si>
  <si>
    <t>411651610</t>
  </si>
  <si>
    <t>411651609</t>
  </si>
  <si>
    <t>411651624</t>
  </si>
  <si>
    <t>VIR SEPA EMIS /PID JUILLET 2024 /SDT 240731 /NBT 0000002</t>
  </si>
  <si>
    <t>411680073</t>
  </si>
  <si>
    <t>ABON CYBERPLUS XCBVX665 2024073100420233000001 HABILITATION P8806895 - 0420233</t>
  </si>
  <si>
    <t>412619353</t>
  </si>
  <si>
    <t>ECH PRET DONT CAP 1243,02 ASS. 0,00E INT. 70,44 COM. 0,00E - 5406472</t>
  </si>
  <si>
    <t>412619370</t>
  </si>
  <si>
    <t>PRLV SEPA METRO CASH CAR /INV/0018.007416 CMR000003928001 - 0CP6OAP</t>
  </si>
  <si>
    <t>412619352</t>
  </si>
  <si>
    <t>PRLV SEPA EPISAVEURS SUD /INV/8312051848 12.7.2024 000028S000005706 - 0CP6PCY</t>
  </si>
  <si>
    <t>412619366</t>
  </si>
  <si>
    <t>CLIN AUTO LAVAG</t>
  </si>
  <si>
    <t>412619358</t>
  </si>
  <si>
    <t>412619364</t>
  </si>
  <si>
    <t>413470945</t>
  </si>
  <si>
    <t>PRLV SEPA HOTELIOS Maintenance Mensuelle INFHOTIK C-10-48-201109-10041889-7 - 0COWU66</t>
  </si>
  <si>
    <t>413551847</t>
  </si>
  <si>
    <t>COMMISSION CARTE 3097105 001 643299 02/08</t>
  </si>
  <si>
    <t>414048819</t>
  </si>
  <si>
    <t>ECH PRET DONT CAP 3475,66 ASS. 0,00E INT. 354,26 COM. 0,00E - 9062097</t>
  </si>
  <si>
    <t>414085471</t>
  </si>
  <si>
    <t>VIR M LOIC CAMINALE salaire juillet 2024 - 0787030</t>
  </si>
  <si>
    <t>414085476</t>
  </si>
  <si>
    <t>VIR SEPA :13 saison ete P8806895 salaire juillet 2024 salaire juillet 2024 - 0786420</t>
  </si>
  <si>
    <t>414085483</t>
  </si>
  <si>
    <t>414085479</t>
  </si>
  <si>
    <t>414085473</t>
  </si>
  <si>
    <t>COM CB 5667966016 - NB0001/520931 - 0051931</t>
  </si>
  <si>
    <t>414366847</t>
  </si>
  <si>
    <t>AMZN Mktp FR*SQ</t>
  </si>
  <si>
    <t>414366845</t>
  </si>
  <si>
    <t>Amazon.fr*QU09O</t>
  </si>
  <si>
    <t>414366849</t>
  </si>
  <si>
    <t>REMBOURSEMENT DE PRET 00001519822 CAPITAL 05/08/24</t>
  </si>
  <si>
    <t>415056940</t>
  </si>
  <si>
    <t>REMBOURSEMENT DE PRET 00001519822 INTERETS 05/08/24</t>
  </si>
  <si>
    <t>415056939</t>
  </si>
  <si>
    <t>415056941</t>
  </si>
  <si>
    <t>PRLV SEPA Orange SA Votre abonnement internet (factu M0037206468 - 0CP3F4W</t>
  </si>
  <si>
    <t>415216465</t>
  </si>
  <si>
    <t>PRLV SEPA Orange SA Votre abonnement fixe: 04XXXXX21 ++M0021517012 - 0CP3F8L</t>
  </si>
  <si>
    <t>415216468</t>
  </si>
  <si>
    <t>PRLV SEPA REGIE SYNDICAT PRELEVEMENT SEBA FR62ZZZ81CBFD-2618032217-29089 - 0CPMYVP</t>
  </si>
  <si>
    <t>415216477</t>
  </si>
  <si>
    <t>PRLV SEPA Xerox Financia 3761103 FR30PF2112674 - 0CPDR6G</t>
  </si>
  <si>
    <t>415216479</t>
  </si>
  <si>
    <t>PRLV SEPA REGIE SYNDICAT PRELEVEMENT SEBA FR62ZZZ81CBFD-2618032232-29090 - 0CPMZJ1</t>
  </si>
  <si>
    <t>415216484</t>
  </si>
  <si>
    <t>PRLV SEPA CONTACT HOTEL REGUL NUM 06/2024 CONTACT HOTEL 0704 - 0CPVZK5</t>
  </si>
  <si>
    <t>415216473</t>
  </si>
  <si>
    <t>PRELEVEMENT AVEM /INV/NM LOC-11491166 18.7.2024/R/ 2000426796/2214693161 1000-000001045657 FR73ZZZ395135</t>
  </si>
  <si>
    <t>415823992</t>
  </si>
  <si>
    <t>VIR M LOIC CAMINALE remboursement facture sarbacane - 0911356</t>
  </si>
  <si>
    <t>415938841</t>
  </si>
  <si>
    <t>VIR SEPA SCEA PISCICULTU fac87307 fac87307 - 0911788</t>
  </si>
  <si>
    <t>415938847</t>
  </si>
  <si>
    <t>VIR SEPA RHONE ALPES LIN facture 20174333 facture 20174333 - 0912516</t>
  </si>
  <si>
    <t>415938848</t>
  </si>
  <si>
    <t>VIR SEPA SARL ETS CHANEA fc2447545 fc2447545 - 0912306</t>
  </si>
  <si>
    <t>415938837</t>
  </si>
  <si>
    <t>VIR SEPA SAPHIRESA facture 155+151+159 facture 155+151+159 - 0911590</t>
  </si>
  <si>
    <t>415938855</t>
  </si>
  <si>
    <t>PRLV SEPA KLESIA 20240731CGKLESIA 028565559 0CE8832D0C304AEEB72BC20A094029C5 - 0CQNJUS</t>
  </si>
  <si>
    <t>415938839</t>
  </si>
  <si>
    <t>VIR SEPA BOOKING.COM facture 1613044097 nh57616 facture 1613044097 nh57616 - 0911048</t>
  </si>
  <si>
    <t>415938843</t>
  </si>
  <si>
    <t>415938846</t>
  </si>
  <si>
    <t>VIR SEPA brod alpes 240729 240729 - 0916123</t>
  </si>
  <si>
    <t>415938856</t>
  </si>
  <si>
    <t>VIR SEPA EXPEDIA LODGING facture 2420754488 id 1165572 facture 2420754488 id 1165572 - 0912011</t>
  </si>
  <si>
    <t>415938838</t>
  </si>
  <si>
    <t>VIR SEPA moulon services f/202407/00001820 f/202407/00001820 - 0912092</t>
  </si>
  <si>
    <t>415938853</t>
  </si>
  <si>
    <t>VIR SEPA BOOKING.COM facture 1613070954 nh 254064 facture 1613070954 nh 254064 - 0911204</t>
  </si>
  <si>
    <t>415938835</t>
  </si>
  <si>
    <t>VIR SEPA INTERNET VALLON vt2225 vt2225 - 0912166</t>
  </si>
  <si>
    <t>415938840</t>
  </si>
  <si>
    <t>PRLV SEPA GINEYS S.A.S-G 02866637 01-519039-002 - 0CQV0VG</t>
  </si>
  <si>
    <t>415938845</t>
  </si>
  <si>
    <t>VIR SEPA FAUSTIN WINE 2378 2378 - 0915712</t>
  </si>
  <si>
    <t>415938851</t>
  </si>
  <si>
    <t>PRLV SEPA KLESIA 20240731CGKLESIA 028544930 0CE8832D0C304AEEB72BC20A094029C5 - 0CQNL8V</t>
  </si>
  <si>
    <t>415938852</t>
  </si>
  <si>
    <t>VIR SEPA AU PETIT PRIMEU 100815337 100815337 - 0911884</t>
  </si>
  <si>
    <t>415938842</t>
  </si>
  <si>
    <t>COM CB 5667966016 - NB0001/054821 - 0052821</t>
  </si>
  <si>
    <t>416675311</t>
  </si>
  <si>
    <t>VIR SEPA lightspeed inv-03-759187 inv-03-759187 - 0962354</t>
  </si>
  <si>
    <t>416675310</t>
  </si>
  <si>
    <t>CAVE DE LA TOUR</t>
  </si>
  <si>
    <t>416675315</t>
  </si>
  <si>
    <t>416675303</t>
  </si>
  <si>
    <t>PRELEVEMENT Fourniture carte débit</t>
  </si>
  <si>
    <t>417255192</t>
  </si>
  <si>
    <t>417255191</t>
  </si>
  <si>
    <t>COMMISSION CARTE 3097105 001 679141 08/08</t>
  </si>
  <si>
    <t>417255189</t>
  </si>
  <si>
    <t>VIR SEPA GRH POLSKA fr/20/07/2024 fr/20/07/2024 - 0962705</t>
  </si>
  <si>
    <t>417322486</t>
  </si>
  <si>
    <t>ECH PRET DONT CAP 1028,54 ASS. 0,00E INT. 127,56 COM. 0,00E - 9062098</t>
  </si>
  <si>
    <t>417322482</t>
  </si>
  <si>
    <t>DROMADIS 090824 REF TIRE:00094884 - 1919003</t>
  </si>
  <si>
    <t>417322480</t>
  </si>
  <si>
    <t>ECH PRET DONT CAP 790,51 ASS. 0,00E INT. 80,57 COM. 0,00E - 9062099</t>
  </si>
  <si>
    <t>417322476</t>
  </si>
  <si>
    <t>417322477</t>
  </si>
  <si>
    <t>PAPILLA</t>
  </si>
  <si>
    <t>417322487</t>
  </si>
  <si>
    <t>COMMISSION CARTE 3097105 001 686730 09/08</t>
  </si>
  <si>
    <t>417688722</t>
  </si>
  <si>
    <t>PRELEVEMENT Noelse France CPREL2408011001831 S6239571919-2239646 FR80ZZZ328855</t>
  </si>
  <si>
    <t>417688724</t>
  </si>
  <si>
    <t>PRLV SEPA IWINERESTO XXZZZA00272820067113 - 0CQQDN5</t>
  </si>
  <si>
    <t>417716297</t>
  </si>
  <si>
    <t>PRLV SEPA RELAIS D OR VA RELAIS D OR VALLEE DU RHONE 4100459801GRANDHOTELDESBAINS - 0CPMU44</t>
  </si>
  <si>
    <t>417716295</t>
  </si>
  <si>
    <t>PRLV SEPA CEGID SAS FA002-01274790 00RC0000019770055000002B00 - 0CQJJUP</t>
  </si>
  <si>
    <t>417716296</t>
  </si>
  <si>
    <t>aliexpress</t>
  </si>
  <si>
    <t>417716294</t>
  </si>
  <si>
    <t>AMZN Mktp FR*WC</t>
  </si>
  <si>
    <t>417716303</t>
  </si>
  <si>
    <t>COMMISSIONS FACTURE NUMERO 20240801105742385</t>
  </si>
  <si>
    <t>414095530</t>
  </si>
  <si>
    <t>COMMISSION CARTE 3097105 001 694273 10/08</t>
  </si>
  <si>
    <t>417911170</t>
  </si>
  <si>
    <t>AMZN Mktp FR*HQ</t>
  </si>
  <si>
    <t>417940219</t>
  </si>
  <si>
    <t>417940215</t>
  </si>
  <si>
    <t>CASH PISCINES</t>
  </si>
  <si>
    <t>417940225</t>
  </si>
  <si>
    <t>PRLV SEPA LES GLACES DE GRANDHOTELBAINSF50038 EDI2410284RU0000077 - 0CQWD27</t>
  </si>
  <si>
    <t>418550331</t>
  </si>
  <si>
    <t>PRLV SEPA PREFILOC CAPIT F240434548 PRE000121421 - 0CRJVZZ</t>
  </si>
  <si>
    <t>418550337</t>
  </si>
  <si>
    <t>PRLV SEPA NOUVELLES EDIT PRELEVEMENT BDC:L402463 10/08/24 L402463 - 0CRN76F</t>
  </si>
  <si>
    <t>418550324</t>
  </si>
  <si>
    <t>VIR SEPA remboursement f Virement de Sa Thermale Et Clima Virement de Sa Thermale Et Clima - 1080991</t>
  </si>
  <si>
    <t>418550323</t>
  </si>
  <si>
    <t>PRLV SEPA GIE CHARMHOTEL COTISATION CHARMHOTEL ++OCTOBRE2011 - 0CRXXFT</t>
  </si>
  <si>
    <t>418550340</t>
  </si>
  <si>
    <t>PRLV SEPA Lightspeed Net INVS-2004244 MD24-2317-8898-7794 - 0CS0GVV</t>
  </si>
  <si>
    <t>418550330</t>
  </si>
  <si>
    <t>CYBER+ PAIEMENT ABONNEMT XCPSD033 2024081000023664000001 ABONNEMENT PSD0006262976 - 0023664</t>
  </si>
  <si>
    <t>418550332</t>
  </si>
  <si>
    <t>PRLV SEPA METRO CASH CAR /INV/0001.006283 CMR000003928001 - 0CRJZU5</t>
  </si>
  <si>
    <t>418550327</t>
  </si>
  <si>
    <t>PRLV SEPA REGIE SYNDICAT PRELEVEMENT SEBA FR62ZZZ81CBFD-3418-28223 - 0CRDW1Q</t>
  </si>
  <si>
    <t>418550335</t>
  </si>
  <si>
    <t>PRLV SEPA LA NATURE A TA Prelevement LC286447 5730 - 0CRNDIZ</t>
  </si>
  <si>
    <t>418550328</t>
  </si>
  <si>
    <t>418550326</t>
  </si>
  <si>
    <t>AMZN Mktp FR*8E</t>
  </si>
  <si>
    <t>418550336</t>
  </si>
  <si>
    <t>Amazon.fr*T28S2</t>
  </si>
  <si>
    <t>418550341</t>
  </si>
  <si>
    <t>COMMISSION CARTE 3097105 001 712777 13/08</t>
  </si>
  <si>
    <t>419164395</t>
  </si>
  <si>
    <t>PRLV SEPA SOLOCAL SA 204 /INV/FORM:0001172086/27.07.2024/ 02937492002 - 0CS5MVL</t>
  </si>
  <si>
    <t>419234766</t>
  </si>
  <si>
    <t>PRLV SEPA Free Pro FACTURE FREEPRO 16/08/2024 F2024 JNRUMSATHERMALECLIMA020230706103 - 0CR48UI</t>
  </si>
  <si>
    <t>419234768</t>
  </si>
  <si>
    <t>PRLV SEPA MF DISTRIBUTIO FACT JUILLET 2024 HI20200708162424392736 - 0CS5YD0</t>
  </si>
  <si>
    <t>419234762</t>
  </si>
  <si>
    <t>AMZN Mktp FR*3C</t>
  </si>
  <si>
    <t>419234765</t>
  </si>
  <si>
    <t>419234769</t>
  </si>
  <si>
    <t>AMZN Mktp FR*JZ</t>
  </si>
  <si>
    <t>419234771</t>
  </si>
  <si>
    <t>COMMISSION CARTE 3097105 001 722432 14/08</t>
  </si>
  <si>
    <t>419707228</t>
  </si>
  <si>
    <t>RET DAB BPS MARZE PONT CARTE ******9655 RETRAIT LE 14/08/2024 A 10:00 - P704150</t>
  </si>
  <si>
    <t>419760371</t>
  </si>
  <si>
    <t>PRLV SEPA GINEYS S.A.S 02881953 01-519039-002 - 0CSB8FP</t>
  </si>
  <si>
    <t>419760351</t>
  </si>
  <si>
    <t>AMZN Mktp FR*OX</t>
  </si>
  <si>
    <t>419760356</t>
  </si>
  <si>
    <t>AMZN Mktp FR*B4</t>
  </si>
  <si>
    <t>419760355</t>
  </si>
  <si>
    <t>419760370</t>
  </si>
  <si>
    <t>419760365</t>
  </si>
  <si>
    <t>COMMISSION CARTE 3097105 001 729811 15/08</t>
  </si>
  <si>
    <t>420139546</t>
  </si>
  <si>
    <t>VIR SEPA L'ALE OUET poll facture 242417 facture 242417 - 1147389</t>
  </si>
  <si>
    <t>420180858</t>
  </si>
  <si>
    <t>VIR SEPA CABINET CHAUSSI 00250001022 00250001022 - 1147183</t>
  </si>
  <si>
    <t>420180863</t>
  </si>
  <si>
    <t>VIR SEPA CABINET CHAUSSI 00250001172 00250001172 - 1147233</t>
  </si>
  <si>
    <t>420180861</t>
  </si>
  <si>
    <t>VIR SEPA SAPHIRESA 2024000165 2024000165 - 1147336</t>
  </si>
  <si>
    <t>420180856</t>
  </si>
  <si>
    <t>VIR SEPA SARL ETS CHANEA FC2447598 FC2447598 - 1146745</t>
  </si>
  <si>
    <t>420180862</t>
  </si>
  <si>
    <t>VIR SEPA SAS ACMARIS FACTURE 110012-110013-014-0176 FACTURE 110012-110013-014-0176 - 1147147</t>
  </si>
  <si>
    <t>420180868</t>
  </si>
  <si>
    <t>VIR SEPA AU PETIT PRIMEU FACTURE 100815380 FACTURE 100815380 - 1146804</t>
  </si>
  <si>
    <t>420180867</t>
  </si>
  <si>
    <t>VIR SEPA Cafes richard 0909366877-0909391236 0909366877-0909391236 - 1147311</t>
  </si>
  <si>
    <t>420180865</t>
  </si>
  <si>
    <t>VIR SEPA STVB LES THERME 242567/558536 242567/558536 - 1147101</t>
  </si>
  <si>
    <t>420180864</t>
  </si>
  <si>
    <t>VIR SEPA AUBRY ALEXANDRA P8806895 Avance - 1143012</t>
  </si>
  <si>
    <t>420180860</t>
  </si>
  <si>
    <t>420547609</t>
  </si>
  <si>
    <t>PRLV SEPA EPISAVEURS SUD /INV/8312060211 26.7.2024 000028S000005706 - 0CSBPVV</t>
  </si>
  <si>
    <t>420574055</t>
  </si>
  <si>
    <t>420574057</t>
  </si>
  <si>
    <t>Amazon Prime*LU</t>
  </si>
  <si>
    <t>420574047</t>
  </si>
  <si>
    <t>420574056</t>
  </si>
  <si>
    <t>AMZN Mktp FR*RJ</t>
  </si>
  <si>
    <t>420574054</t>
  </si>
  <si>
    <t>Store</t>
  </si>
  <si>
    <t>420574052</t>
  </si>
  <si>
    <t>COMMISSION CARTE 3097105 001 742668 17/08</t>
  </si>
  <si>
    <t>420738317</t>
  </si>
  <si>
    <t>VIR SEPA Garonzi Pascal Virement de Sa Thermale Et Clima Virement de Sa Thermale Et Clima - 1219603</t>
  </si>
  <si>
    <t>421288903</t>
  </si>
  <si>
    <t>PRLV SEPA LES GLACES DE HOTELDESBAINSF50151 EDI2410284RU0000077 - 0CR3850</t>
  </si>
  <si>
    <t>421288900</t>
  </si>
  <si>
    <t>PRLV SEPA URSSAF RHONE A UR 827000002110121762 JUIL247 T1430653867203200001297356941940 - 0CSOEV2</t>
  </si>
  <si>
    <t>421288908</t>
  </si>
  <si>
    <t>PRLV SEPA EDF SA THERMALE CLIMATIQUE D Ref EDF MA970001250911 - 0CSL91V</t>
  </si>
  <si>
    <t>421288907</t>
  </si>
  <si>
    <t>PRLV SEPA Orange SA-ORAN Votre abonnement mobile: 06XXXXX ++M0017687880 - 0CSMUWZ</t>
  </si>
  <si>
    <t>421288902</t>
  </si>
  <si>
    <t>DROMADIS 200824 REF TIRE:00095110 - 2062003</t>
  </si>
  <si>
    <t>421288901</t>
  </si>
  <si>
    <t>Amazon.fr*0S9KP</t>
  </si>
  <si>
    <t>421288906</t>
  </si>
  <si>
    <t>VIR SEPA AUBRY ALEXANDRA P8806895 Salaire - 1266706</t>
  </si>
  <si>
    <t>421905365</t>
  </si>
  <si>
    <t>PRLV SEPA LA NATURE A TA Prelevement LC216819 5730 - 0CSTPHU</t>
  </si>
  <si>
    <t>421905369</t>
  </si>
  <si>
    <t>PRLV SEPA RELAIS D OR VA RELAIS D OR VALLEE DU RHONE 4100459801GRANDHOTELDESBAINS - 0CSB00D</t>
  </si>
  <si>
    <t>421905377</t>
  </si>
  <si>
    <t>PRLV SEPA Autoroutes du KG004607170041376270 072024 ++25004137627001188445 - 0CRMZMI</t>
  </si>
  <si>
    <t>421905364</t>
  </si>
  <si>
    <t>VIR SEPA MADAME AUBRY CA P8806895 Salaire - 1266648</t>
  </si>
  <si>
    <t>421905375</t>
  </si>
  <si>
    <t>Amazon.fr*KD9SA</t>
  </si>
  <si>
    <t>421905372</t>
  </si>
  <si>
    <t>AMZN Mktp FR*BD</t>
  </si>
  <si>
    <t>421905371</t>
  </si>
  <si>
    <t>Amazon.fr*QP2V1</t>
  </si>
  <si>
    <t>421905367</t>
  </si>
  <si>
    <t>AMZN Mktp FR*SB</t>
  </si>
  <si>
    <t>421905363</t>
  </si>
  <si>
    <t>SARL MARION LAS</t>
  </si>
  <si>
    <t>421905368</t>
  </si>
  <si>
    <t>COMMISSION CARTE 3097105 001 768106 21/08</t>
  </si>
  <si>
    <t>422352157</t>
  </si>
  <si>
    <t>COM CB 5667966016 - NB0001/979711 - 0053711</t>
  </si>
  <si>
    <t>422404921</t>
  </si>
  <si>
    <t>VIR SEPA piscine assista FACTURE 663 FACTURE 663 - 1282644</t>
  </si>
  <si>
    <t>422404932</t>
  </si>
  <si>
    <t>VIR SEPA sas sylrius rei FACTURE FAC00000143 FACTURE FAC00000143 - 1282564</t>
  </si>
  <si>
    <t>422404929</t>
  </si>
  <si>
    <t>VIR M LOIC CAMINALE remboursement sarbacane - 1282277</t>
  </si>
  <si>
    <t>422404923</t>
  </si>
  <si>
    <t>VIR SEPA SARL ETS CHANEA fc2447671 fc2447671 - 1282389</t>
  </si>
  <si>
    <t>422404933</t>
  </si>
  <si>
    <t>VIR SEPA SAPHIRESA facture 2024000172 facture 2024000172 - 1282185</t>
  </si>
  <si>
    <t>422404935</t>
  </si>
  <si>
    <t>422404926</t>
  </si>
  <si>
    <t>COMMISSION CARTE 3097105 001 776023 22/08</t>
  </si>
  <si>
    <t>422836257</t>
  </si>
  <si>
    <t>PRLV SEPA Orange SA Votre abonnement fixe: 04XXXXX98 M0049215427 - 0CSP88Z</t>
  </si>
  <si>
    <t>422876889</t>
  </si>
  <si>
    <t>PRLV SEPA Orange SA Votre abonnement fixe: 04XXXXX52 M0036834648 - 0CSP89X</t>
  </si>
  <si>
    <t>422876886</t>
  </si>
  <si>
    <t>PRLV SEPA Orange SA Votre abonnement fibre (facture: EPCB202311295646844 - 0CSP8AG</t>
  </si>
  <si>
    <t>422876887</t>
  </si>
  <si>
    <t>PRLV SEPA EPISAVEURS SUD /INV/8312064318 2.8.2024 000028S000005706 - 0CT4LLV</t>
  </si>
  <si>
    <t>422876892</t>
  </si>
  <si>
    <t>PRLV INT ETS DGFIP PASDSN16082024-072024-3867203200 NN386720320DGFIP2020807504KDIIJX - 0CT1RV4</t>
  </si>
  <si>
    <t>422876896</t>
  </si>
  <si>
    <t>422876894</t>
  </si>
  <si>
    <t>TERRABIO</t>
  </si>
  <si>
    <t>422876890</t>
  </si>
  <si>
    <t>PRLV SEPA METRO CASH CAR /INV/0002.023619 CMR000003928001 - 0CT8UXB</t>
  </si>
  <si>
    <t>423245758</t>
  </si>
  <si>
    <t>GOUNON MILLOUD</t>
  </si>
  <si>
    <t>423245760</t>
  </si>
  <si>
    <t>423245763</t>
  </si>
  <si>
    <t>COMMISSION CARTE 3097105 001 791203 24/08</t>
  </si>
  <si>
    <t>423883687</t>
  </si>
  <si>
    <t>PRLV SEPA GINEYS S.A.S 02892465 02895088 01-519039-002 - 0CTE212</t>
  </si>
  <si>
    <t>423991073</t>
  </si>
  <si>
    <t>PRLV SEPA EDF SA THERMALE CLIMATIQUE D Ref EDF MA970001250911 - 0CTB43C</t>
  </si>
  <si>
    <t>423991092</t>
  </si>
  <si>
    <t>PRLV SEPA GIE KLESIA COT RETRAITE - GIE KLESIA COTIS - 20 SCG023URAE000659949S - 0CTB1PT</t>
  </si>
  <si>
    <t>423991087</t>
  </si>
  <si>
    <t>PRLV SEPA Orange SA Votre abonnement mobile: 06XXXXX ++M0003219595 - 0CT8FUH</t>
  </si>
  <si>
    <t>423991088</t>
  </si>
  <si>
    <t>PRLV SEPA LES GLACES DE HOTELDESBAINSF50290 EDI2410284RU0000077 - 0CTSXL4</t>
  </si>
  <si>
    <t>424609751</t>
  </si>
  <si>
    <t>COMMISSION CARTE 3097105 001 818411 28/08</t>
  </si>
  <si>
    <t>425166203</t>
  </si>
  <si>
    <t>PRLV SEPA EPISAVEURS SUD /INV/8312068413 9.8.2024 000028S000005706 - 0CTVTDT</t>
  </si>
  <si>
    <t>425281484</t>
  </si>
  <si>
    <t>PRLV SEPA SOCIETE PRINT GRAND HOTEL DES BAINS SSC003702 - 0CTVSYK</t>
  </si>
  <si>
    <t>425281483</t>
  </si>
  <si>
    <t>PRLV SEPA RELAIS D OR VA RELAIS D OR VALLEE DU RHONE 4100459801GRANDHOTELDESBAINS - 0CT8FAQ</t>
  </si>
  <si>
    <t>425869471</t>
  </si>
  <si>
    <t>DROMADIS 300824 REF TIRE:00095383 - 2160004</t>
  </si>
  <si>
    <t>425869473</t>
  </si>
  <si>
    <t>PRLV SEPA ASS CONTACT HO COTIS 2024 CONTACT HOTEL 0704 - 0CU4DZE</t>
  </si>
  <si>
    <t>425869468</t>
  </si>
  <si>
    <t>PRLV SEPA ASSOCIATION C ASS CONTACT HOTEL 4110704C60 - 0CU2Q07</t>
  </si>
  <si>
    <t>425869465</t>
  </si>
  <si>
    <t>LA BORIA</t>
  </si>
  <si>
    <t>425869472</t>
  </si>
  <si>
    <t>AUBERGE LA REIN</t>
  </si>
  <si>
    <t>425869467</t>
  </si>
  <si>
    <t>COMMISSION CARTE 3097105 001 834429 30/08</t>
  </si>
  <si>
    <t>426386075</t>
  </si>
  <si>
    <t>COMMISSION CARTE 3097105 001 826350 29/08</t>
  </si>
  <si>
    <t>426386074</t>
  </si>
  <si>
    <t>ECH PRET DONT CAP 1243,95 ASS. 0,00E INT. 69,51 COM. 0,00E - 5406472</t>
  </si>
  <si>
    <t>426434737</t>
  </si>
  <si>
    <t>COMM ACTUAL PRO XCOPZ110 2024083000415082000001 - 0415082</t>
  </si>
  <si>
    <t>426434743</t>
  </si>
  <si>
    <t>426434739</t>
  </si>
  <si>
    <t>426434734</t>
  </si>
  <si>
    <t>PRLV SEPA Xerox Financia 3772789 FR30PF2112674 - 0CTRFM3</t>
  </si>
  <si>
    <t>426723405</t>
  </si>
  <si>
    <t>FB SUD EST 310824 - 2202029</t>
  </si>
  <si>
    <t>426723393</t>
  </si>
  <si>
    <t>PRLV SEPA BPIFRANCE 4772950 F2409/000439516 RUM-01255916 - 0CU063K</t>
  </si>
  <si>
    <t>426723383</t>
  </si>
  <si>
    <t>PRLV SEPA Orange SA Votre abonnement fixe: 04XXXXX21 ++M0021517012 - 0CTRU4A</t>
  </si>
  <si>
    <t>426723385</t>
  </si>
  <si>
    <t>COM CB 5667966016 - NB0001/587061 - 0054061</t>
  </si>
  <si>
    <t>426723404</t>
  </si>
  <si>
    <t>PRLV SEPA LA NATURE A TA Prelevement LC221791 5730 - 0CU2Q2X</t>
  </si>
  <si>
    <t>426723399</t>
  </si>
  <si>
    <t>PROLIANS RHONE ALPE ECH:31/08/24 - 2276048</t>
  </si>
  <si>
    <t>426723382</t>
  </si>
  <si>
    <t>SAMSE 310824 - 2202028</t>
  </si>
  <si>
    <t>426723400</t>
  </si>
  <si>
    <t>VIR SEPA RHONE ALPES LIN FACTURE 20174396 FACTURE 20174396 - 1655508</t>
  </si>
  <si>
    <t>427457088</t>
  </si>
  <si>
    <t>VIR SEPA DUBOIS CHRYSTEL F-2024-0007 F-2024-0007 - 1655858</t>
  </si>
  <si>
    <t>427457085</t>
  </si>
  <si>
    <t>VIR SEPA AU PETIT PRIMEU 100815426 100815426 - 1655608</t>
  </si>
  <si>
    <t>427457109</t>
  </si>
  <si>
    <t>ABON CYBERPLUS XCBVX665 2024083100031057000001 HABILITATION P8806895 - 0031057</t>
  </si>
  <si>
    <t>427457106</t>
  </si>
  <si>
    <t>ECH PRET DONT CAP 3483,34 ASS. 0,00E INT. 346,58 COM. 0,00E - 9062097</t>
  </si>
  <si>
    <t>427457095</t>
  </si>
  <si>
    <t>VIR SEPA HU MANA NATALY FACTUREN0812 FACTUREN0812 - 1655734</t>
  </si>
  <si>
    <t>427457090</t>
  </si>
  <si>
    <t>VIR SEPA ELODIE ARTIGAS F-2024-0006 F-2024-0006 - 1656129</t>
  </si>
  <si>
    <t>427457092</t>
  </si>
  <si>
    <t>VIR SEPA DUBOIS DE MONTR FACTURE 15 FACTURE 15 - 1655957</t>
  </si>
  <si>
    <t>427457081</t>
  </si>
  <si>
    <t>VIR SEPA CAROLINE ALLEGR FACTURE 00015 FACTURE 00015 - 1656033</t>
  </si>
  <si>
    <t>427457110</t>
  </si>
  <si>
    <t>WEB AMENDE.GOUV</t>
  </si>
  <si>
    <t>427457089</t>
  </si>
  <si>
    <t>427457104</t>
  </si>
  <si>
    <t>427457086</t>
  </si>
  <si>
    <t>427457083</t>
  </si>
  <si>
    <t>427457100</t>
  </si>
  <si>
    <t>VIR SEPA SARL ETS CHANEA FC2447816 FC2447816 - 1681123</t>
  </si>
  <si>
    <t>428351497</t>
  </si>
  <si>
    <t>VIR SEPA SUBRENAT FACTURE IN 2406-23769 FACTURE IN 2406-23769 - 1682120</t>
  </si>
  <si>
    <t>428351493</t>
  </si>
  <si>
    <t>VIR SEPA ASSOCHUILETIC FACTURE 24-07-212 FACTURE 24-07-212 - 1682237</t>
  </si>
  <si>
    <t>428351504</t>
  </si>
  <si>
    <t>VIR SEPA SAPHIRESA 2024000183 2024000183 - 1681025</t>
  </si>
  <si>
    <t>428351507</t>
  </si>
  <si>
    <t>VIR SEPA SARL ETS CHANEA FC2447744 FC2447744 - 1680262</t>
  </si>
  <si>
    <t>428351499</t>
  </si>
  <si>
    <t>VIR SEPA SCEA CHATEAU DU FACTURE 24001687 FACTURE 24001687 - 1681912</t>
  </si>
  <si>
    <t>428351495</t>
  </si>
  <si>
    <t>VIR SEPA SCEA PISCICULTU FAC87711 FAC87711 - 1679276</t>
  </si>
  <si>
    <t>428351491</t>
  </si>
  <si>
    <t>VIR SEPA SAPHIRESA 2024000180 2024000180 - 1679576</t>
  </si>
  <si>
    <t>428351500</t>
  </si>
  <si>
    <t>COMMISSION CARTE 3097105 001 871243 04/09</t>
  </si>
  <si>
    <t>429013018</t>
  </si>
  <si>
    <t>REMBOURSEMENT DE PRET 00001519822 CAPITAL 05/09/24</t>
  </si>
  <si>
    <t>429013017</t>
  </si>
  <si>
    <t>REMBOURSEMENT DE PRET 00001519822 INTERETS 05/09/24</t>
  </si>
  <si>
    <t>429013015</t>
  </si>
  <si>
    <t>VIR SEPA :15 saison ete P8806895 SALAIRE AOUT 2024 - 1723562</t>
  </si>
  <si>
    <t>429124678</t>
  </si>
  <si>
    <t>PRLV SEPA REGIE SYNDICAT PRELEVEMENT SEBA FR62ZZZ81CBFD-2618032217-29089 - 0CV7050</t>
  </si>
  <si>
    <t>429124679</t>
  </si>
  <si>
    <t>PRLV SEPA EPISAVEURS SUD /INV/8312071681 16.8.2024 000028S000005706 - 0CVG6LG</t>
  </si>
  <si>
    <t>429124680</t>
  </si>
  <si>
    <t>PRLV SEPA ASS CONTACT HO REGUL NUM 07/2024 CONTACT HOTEL 0704 - 0CVELTA</t>
  </si>
  <si>
    <t>429124676</t>
  </si>
  <si>
    <t>PRLV SEPA HOTELIOS Maintenance Mensuelle INFHOTIK C-10-48-201109-10041889-7 - 0CUTC58</t>
  </si>
  <si>
    <t>429124671</t>
  </si>
  <si>
    <t>PRLV SEPA REGIE SYNDICAT PRELEVEMENT SEBA FR62ZZZ81CBFD-2618032232-29090 - 0CV70TE</t>
  </si>
  <si>
    <t>429124677</t>
  </si>
  <si>
    <t>PRLV SEPA METRO CASH CAR /INV/0001.007165 CMR000003928001 - 0CVC01S</t>
  </si>
  <si>
    <t>429124669</t>
  </si>
  <si>
    <t>PRLV SEPA AXA I0000800467206-CONTRAT0000010559 00AX000000000014093188 - 0CU36YH</t>
  </si>
  <si>
    <t>429124674</t>
  </si>
  <si>
    <t>PRLV SEPA GINEYS S.A.S 02907169 01-519039-002 - 0CVD0Z4</t>
  </si>
  <si>
    <t>429124673</t>
  </si>
  <si>
    <t>VIR M LOIC CAMINALE SALAIRE AOUT 2024 - 1724372</t>
  </si>
  <si>
    <t>429124670</t>
  </si>
  <si>
    <t>PRELEVEMENT AVEM /INV/NM LOC-11491166 18.8.2024/R/ 2000483967/2214693161 1000-000001045657 FR73ZZZ395135</t>
  </si>
  <si>
    <t>429759369</t>
  </si>
  <si>
    <t>PAIEMENT PAR CARTE X7976 Vistaprint Venlo 04/09</t>
  </si>
  <si>
    <t>429759370</t>
  </si>
  <si>
    <t>PRLV SEPA Orange SA Votre abonnement internet (factu M0037206468 - 0CUUAXI</t>
  </si>
  <si>
    <t>429825181</t>
  </si>
  <si>
    <t>VIR SEPA GRH POLSKA FACTURE FR/10/08/2024 FACTURE FR/10/08/2024 - 1759600</t>
  </si>
  <si>
    <t>429825178</t>
  </si>
  <si>
    <t>CASTORAMA</t>
  </si>
  <si>
    <t>430310194</t>
  </si>
  <si>
    <t>VIR SEPA OC22 FV/2024/0022684 FV/2024/0022684 - 1848563</t>
  </si>
  <si>
    <t>430509707</t>
  </si>
  <si>
    <t>VIR SEPA Cafes richard FACTURE 909399674 FACTURE 909399674 - 1848600</t>
  </si>
  <si>
    <t>430509706</t>
  </si>
  <si>
    <t>COM CB 5667966016 - NB0001/700211 - 0055211</t>
  </si>
  <si>
    <t>430509714</t>
  </si>
  <si>
    <t>DROMADIS 090924 REF TIRE:00095584 - 2420002</t>
  </si>
  <si>
    <t>430509704</t>
  </si>
  <si>
    <t>PRLV SEPA CEGID SAS FA002-01301518 00RC0000019770055000002B00 - 0CUYY9V</t>
  </si>
  <si>
    <t>430509700</t>
  </si>
  <si>
    <t>430509696</t>
  </si>
  <si>
    <t>PRLV SEPA RELAIS D OR VA RELAIS D OR VALLEE DU RHONE 4100459801GRANDHOTELDESBAINS - 0CUNF6C</t>
  </si>
  <si>
    <t>430509712</t>
  </si>
  <si>
    <t>PAIEMENT PAR CARTE X7976 CENTRE LECLERC SAINT 09/09</t>
  </si>
  <si>
    <t>431111438</t>
  </si>
  <si>
    <t>COMMISSION CARTE 3097105 001 913324 09/09</t>
  </si>
  <si>
    <t>431111439</t>
  </si>
  <si>
    <t>PRLV SEPA LES GLACES DE HOTELDESBAINSF50494 EDI2410284RU0000077 - 0CWBFRP</t>
  </si>
  <si>
    <t>431295088</t>
  </si>
  <si>
    <t>ECH PRET DONT CAP 1030,81 ASS. 0,00E INT. 125,29 COM. 0,00E - 9062098</t>
  </si>
  <si>
    <t>431295101</t>
  </si>
  <si>
    <t>PRLV SEPA IWINERESTO XXZZZA00272820067113 - 0CV2NJK</t>
  </si>
  <si>
    <t>431295089</t>
  </si>
  <si>
    <t>PRLV SEPA N.E.U/LE PETIT PRELEVEMENT BDC:L402463 10/09/24 L402463 - 0CWBXI2</t>
  </si>
  <si>
    <t>431295100</t>
  </si>
  <si>
    <t>PRLV SEPA LA NATURE A TA Prelevement LC238309 5730 - 0CWIA0V</t>
  </si>
  <si>
    <t>431295098</t>
  </si>
  <si>
    <t>ECH PRET DONT CAP 792,25 ASS. 0,00E INT. 78,83 COM. 0,00E - 9062099</t>
  </si>
  <si>
    <t>431295084</t>
  </si>
  <si>
    <t>431295086</t>
  </si>
  <si>
    <t>431295091</t>
  </si>
  <si>
    <t>PRLV SEPA PREFILOC CAPIT F240500146 PRE000121421 - 0CWRBZR</t>
  </si>
  <si>
    <t>432082912</t>
  </si>
  <si>
    <t>VIR SEPA EXPEDIA LODGING FACTURE 2420914470 id 866511 FACTURE 2420914470 id 866511 - 1906009</t>
  </si>
  <si>
    <t>432082909</t>
  </si>
  <si>
    <t>CYBER+ PAIEMENT ABONNEMT XCPSD033 2024091000049900000001 ABONNEMENT PSD0006262976 - 0049900</t>
  </si>
  <si>
    <t>432082907</t>
  </si>
  <si>
    <t>432082906</t>
  </si>
  <si>
    <t>BRICO MISORIC</t>
  </si>
  <si>
    <t>432082903</t>
  </si>
  <si>
    <t>432082904</t>
  </si>
  <si>
    <t>432082905</t>
  </si>
  <si>
    <t>PRELEVEMENT Noelse France CPREL2409011001823 S6239571919-2239646 FR80ZZZ328855</t>
  </si>
  <si>
    <t>432738829</t>
  </si>
  <si>
    <t>PRLV SEPA REGIE SYNDICAT PRELEVEMENT SEBA FR62ZZZ81CBFD-3418-28223 - 0CX0RU2</t>
  </si>
  <si>
    <t>432856206</t>
  </si>
  <si>
    <t>PRLV SEPA EPISAVEURS SUD /INV/8312075260 23.8.2024 000028S000005706 - 0CX4IC3</t>
  </si>
  <si>
    <t>432856212</t>
  </si>
  <si>
    <t>AMZN Mktp FR*50</t>
  </si>
  <si>
    <t>432856205</t>
  </si>
  <si>
    <t>PRLV SEPA Free Pro FACTURE FREEPRO 16/09/2024 F2024 JNRUMSATHERMALECLIMA020230706103 - 0CX0PSM</t>
  </si>
  <si>
    <t>433465597</t>
  </si>
  <si>
    <t>433465600</t>
  </si>
  <si>
    <t>COMMISSION CARTE 3097105 001 944775 13/09</t>
  </si>
  <si>
    <t>433806658</t>
  </si>
  <si>
    <t>VIR SEPA BOOKING.COM facture 1616171010 nh 57616 facture 1616171010 nh 57616 - 2008181</t>
  </si>
  <si>
    <t>433852531</t>
  </si>
  <si>
    <t>VIR SEPA ARCANCIANE F-20240700006 F-20240700006 - 2009454</t>
  </si>
  <si>
    <t>433852533</t>
  </si>
  <si>
    <t>VIR SEPA CABINET CHAUSSI 00250001451/002028 00250001451/002028 - 2010208</t>
  </si>
  <si>
    <t>433852524</t>
  </si>
  <si>
    <t>VIR SEPA AU PETIT PRIMEU facture 100815472 facture 100815472 - 2008288</t>
  </si>
  <si>
    <t>433852543</t>
  </si>
  <si>
    <t>VIR SEPA KOROL EQUIPEMEN FDQ08007 FDQ08007 - 2009505</t>
  </si>
  <si>
    <t>433852532</t>
  </si>
  <si>
    <t>VIR SEPA BOOKING.COM facture 1616178048 nh 254064 facture 1616178048 nh 254064 - 2008080</t>
  </si>
  <si>
    <t>433852522</t>
  </si>
  <si>
    <t>VIR SEPA STVB LES THERME facture 194307 et 194879 facture 194307 et 194879 - 2009400</t>
  </si>
  <si>
    <t>433852538</t>
  </si>
  <si>
    <t>VIR SEPA L'ALE OUET poll facture 242783 facture 242783 - 2009031</t>
  </si>
  <si>
    <t>433852526</t>
  </si>
  <si>
    <t>VIR SEPA lightspeed inv-03-768909 inv-03-768909 - 2009149</t>
  </si>
  <si>
    <t>433852521</t>
  </si>
  <si>
    <t>VIR SEPA AMIRKHANYAN TROP PAYE 1 CHAMPAGNE TROP PAYE 1 CHAMPAGNE - 2009630</t>
  </si>
  <si>
    <t>433852540</t>
  </si>
  <si>
    <t>VIR SEPA CABINET CHAUSSI facture 00250001282/002028 facture 00250001282/002028 - 2009085</t>
  </si>
  <si>
    <t>433852529</t>
  </si>
  <si>
    <t>VIR SEPA ASS PREVENTION FACTURE 22403152 ADH 1077500 FACTURE 22403152 ADH 1077500 - 2009859</t>
  </si>
  <si>
    <t>433852544</t>
  </si>
  <si>
    <t>VIR SEPA SARL FROID CUIS ff24080161 ff24080161 - 2009209</t>
  </si>
  <si>
    <t>433852535</t>
  </si>
  <si>
    <t>VIR SEPA SAPHIRESA facture 2024000189 facture 2024000189 - 2008952</t>
  </si>
  <si>
    <t>433852542</t>
  </si>
  <si>
    <t>VIR SEPA SCEA PISCICULTU fac87999 fac87999 - 2008343</t>
  </si>
  <si>
    <t>433852539</t>
  </si>
  <si>
    <t>VIR SEPA SARL ETS CHANEA fc2447879 fc2447879 - 2008905</t>
  </si>
  <si>
    <t>433852545</t>
  </si>
  <si>
    <t>VIR SEPA STVB LES THERME 196031 196031 - 2010060</t>
  </si>
  <si>
    <t>433852534</t>
  </si>
  <si>
    <t>PRLV SEPA EDF SA THERMALE CLIMATIQUE D Ref EDF MA970001250911 - 0CXKM6R</t>
  </si>
  <si>
    <t>434683050</t>
  </si>
  <si>
    <t>PRLV SEPA METRO CASH CAR /INV/0031.034466 CMR000003928001 - 0CXRDK3</t>
  </si>
  <si>
    <t>434683077</t>
  </si>
  <si>
    <t>PRLV SEPA SOLOCAL SA 204 /INV/FORM:0001292730/27.08.2024/ 02937492002 - 0CXHSAR</t>
  </si>
  <si>
    <t>434683074</t>
  </si>
  <si>
    <t>VIR SEPA AUBRY ALEXANDRA P8806895 Avance - 2064607</t>
  </si>
  <si>
    <t>434683090</t>
  </si>
  <si>
    <t>VIR SEPA MADAME AUBRY CA P8806895 Salaire - 2064542</t>
  </si>
  <si>
    <t>434683071</t>
  </si>
  <si>
    <t>PRLV SEPA MF DISTRIBUTIO FACT AOUT 2024 HI20200708162424392736 - 0CXH5RP</t>
  </si>
  <si>
    <t>434683093</t>
  </si>
  <si>
    <t>PRLV SEPA URSSAF RHONE A UR 827000002110121762 AOUT247 T1430653867203200001297356941940 - 0CXT3PU</t>
  </si>
  <si>
    <t>434683088</t>
  </si>
  <si>
    <t>PRLV SEPA GINEYS S.A.S 02920698 01-519039-002 - 0CXDHYC</t>
  </si>
  <si>
    <t>434683070</t>
  </si>
  <si>
    <t>SERVICE NAVIGO</t>
  </si>
  <si>
    <t>434683081</t>
  </si>
  <si>
    <t>STARLINK INTERN</t>
  </si>
  <si>
    <t>434683073</t>
  </si>
  <si>
    <t>Mol*NappeDeTabl</t>
  </si>
  <si>
    <t>434683064</t>
  </si>
  <si>
    <t>Amazon Prime*J2</t>
  </si>
  <si>
    <t>434683056</t>
  </si>
  <si>
    <t>COMMISSION CARTE 3097105 001 966923 16/09</t>
  </si>
  <si>
    <t>434701158</t>
  </si>
  <si>
    <t>COMMISSION CARTE 3097105 001 960764 15/09</t>
  </si>
  <si>
    <t>434701155</t>
  </si>
  <si>
    <t>PAIEMENT PAR CARTE X3718 IMPRESS FOMBON AUBEN 13/09</t>
  </si>
  <si>
    <t>434701161</t>
  </si>
  <si>
    <t>434701159</t>
  </si>
  <si>
    <t>435496195</t>
  </si>
  <si>
    <t>435496191</t>
  </si>
  <si>
    <t>PAIEMENT PAR CARTE X7976 RATP PARIS 16/09</t>
  </si>
  <si>
    <t>435505633</t>
  </si>
  <si>
    <t>PAIEMENT PAR CARTE X7976 BIG ZHAO PARIS 16/09</t>
  </si>
  <si>
    <t>435505632</t>
  </si>
  <si>
    <t>PAIEMENT PAR CARTE X7976 IBIS CONVENTION PARI 16/09</t>
  </si>
  <si>
    <t>435505635</t>
  </si>
  <si>
    <t>PAIEMENT PAR CARTE X7976 UBER *TRIP HELP.UBER 16/09</t>
  </si>
  <si>
    <t>436239473</t>
  </si>
  <si>
    <t>PAIEMENT PAR CARTE X7976 IL FENICE PARIS 17/09</t>
  </si>
  <si>
    <t>436239474</t>
  </si>
  <si>
    <t>436239475</t>
  </si>
  <si>
    <t>COMMISSION CARTE 3097105 001 981076 18/09</t>
  </si>
  <si>
    <t>436239476</t>
  </si>
  <si>
    <t>DROMADIS 200924 REF TIRE:00095751 - 2564001</t>
  </si>
  <si>
    <t>436855072</t>
  </si>
  <si>
    <t>PRLV SEPA LA NATURE A TA Prelevement LC263260 5730 - 0CYB7M7</t>
  </si>
  <si>
    <t>436855070</t>
  </si>
  <si>
    <t>PRLV SEPA RELAIS D OR VA RELAIS D OR VALLEE DU RHONE 4100459801GRANDHOTELDESBAINS - 0CXAF6J</t>
  </si>
  <si>
    <t>436855073</t>
  </si>
  <si>
    <t>PRLV SEPA Orange SA-ORAN Votre abonnement mobile: 06XXXXX ++M0017687880 - 0CY9J2K</t>
  </si>
  <si>
    <t>436855066</t>
  </si>
  <si>
    <t>PRLV SEPA AUTOROUTES DU KH004736270041376270 082024 ++25004137627001188445 - 0CY8SPD</t>
  </si>
  <si>
    <t>436855075</t>
  </si>
  <si>
    <t>PRLV SEPA METRO CASH CAR /INV/0002.026859 CMR000003928001 - 0CY9DRJ</t>
  </si>
  <si>
    <t>436855074</t>
  </si>
  <si>
    <t>436855071</t>
  </si>
  <si>
    <t>436855065</t>
  </si>
  <si>
    <t>PAIEMENT PAR CARTE X7976 UBER *TRIP HELP.UBER 18/09</t>
  </si>
  <si>
    <t>436859238</t>
  </si>
  <si>
    <t>PAIEMENT PAR CARTE X7976 Les Canailles Pigall 18/09</t>
  </si>
  <si>
    <t>436859237</t>
  </si>
  <si>
    <t>PAIEMENT PAR CARTE X7976 KALIMERA PARIS 19/09</t>
  </si>
  <si>
    <t>437263030</t>
  </si>
  <si>
    <t>PAIEMENT PAR CARTE X7976 EFFIA VALENCE TGV 19/09</t>
  </si>
  <si>
    <t>437263034</t>
  </si>
  <si>
    <t>437474183</t>
  </si>
  <si>
    <t>VIR SEPA CABINET FRANCES fac00000486 fac00000486 - 2201468</t>
  </si>
  <si>
    <t>438063075</t>
  </si>
  <si>
    <t>PRLV SEPA Orange SA Votre abonnement fixe: 04XXXXX52 M0036834648 - 0CY065G</t>
  </si>
  <si>
    <t>438063072</t>
  </si>
  <si>
    <t>VIR SEPA moulon services F202408/00001857 F202408/00001857 - 2243696</t>
  </si>
  <si>
    <t>438063064</t>
  </si>
  <si>
    <t>PRLV SEPA Orange SA Votre abonnement fixe: 04XXXXX98 M0049215427 - 0CY064Y</t>
  </si>
  <si>
    <t>438063062</t>
  </si>
  <si>
    <t>VIR SEPA HELENE LAMBOTIN prov/debours 2023 prov/debours 2023 - 2242695</t>
  </si>
  <si>
    <t>438063059</t>
  </si>
  <si>
    <t>VIR SEPA HELENE LAMBOTIN facture 20240001133 facture 20240001133 - 2242735</t>
  </si>
  <si>
    <t>438063073</t>
  </si>
  <si>
    <t>VIR SEPA SARL ETS CHANEA fc2448002 fc2448002 - 2203557</t>
  </si>
  <si>
    <t>438063056</t>
  </si>
  <si>
    <t>VIR SEPA CABINET IMBERT facture 004734 facture 004734 - 2203508</t>
  </si>
  <si>
    <t>438063078</t>
  </si>
  <si>
    <t>VIR SEPA OC22 FV/2024/0026419 FV/2024/0026419 - 2243814</t>
  </si>
  <si>
    <t>438063071</t>
  </si>
  <si>
    <t>VIR SEPA FAMILLE PERRIN FVEN24011114 FVEN24011114 - 2243437</t>
  </si>
  <si>
    <t>438063060</t>
  </si>
  <si>
    <t>VIR SEPA AU PETIT PRIMEU FACTURE 100815516 FACTURE 100815516 - 2243048</t>
  </si>
  <si>
    <t>438063055</t>
  </si>
  <si>
    <t>VIR SEPA M GARONZI PASCA acompte sur salaire de septembre acompte sur salaire de septembre - 2221484</t>
  </si>
  <si>
    <t>438063066</t>
  </si>
  <si>
    <t>VIR SEPA CLAIR ET NET FACTURES 24/8632-24/8561 FACTURES 24/8632-24/8561 - 2243761</t>
  </si>
  <si>
    <t>438063058</t>
  </si>
  <si>
    <t>VIR SEPA SAPHIRESA FACTURE 2024000195 FACTURE 2024000195 - 2242990</t>
  </si>
  <si>
    <t>438063077</t>
  </si>
  <si>
    <t>PRLV SEPA Orange SA Votre abonnement fibre (facture: EPCB202311295646844 - 0CY0666</t>
  </si>
  <si>
    <t>438063061</t>
  </si>
  <si>
    <t>VIR SEPA ARCANCIANE F-20240900008 F-20240900008 - 2203600</t>
  </si>
  <si>
    <t>438063076</t>
  </si>
  <si>
    <t>VIR SEPA Cafes richard FACTURES 09094077857-909445133 FACTURES 09094077857-909445133 - 2243641</t>
  </si>
  <si>
    <t>438063074</t>
  </si>
  <si>
    <t>VIR SEPA CARSO LABORATOI 105.28 facture LSE24F-87657 - 2242944</t>
  </si>
  <si>
    <t>438063065</t>
  </si>
  <si>
    <t>VIR SEPA SAS ACMARIS FACTURE 111871 FACTURE 111871 - 2243305</t>
  </si>
  <si>
    <t>438063057</t>
  </si>
  <si>
    <t>VIR SEPA SUBRENAT FACTURE IN2406-27587 FACTURE IN2406-27587 - 2243221</t>
  </si>
  <si>
    <t>438063054</t>
  </si>
  <si>
    <t>438063067</t>
  </si>
  <si>
    <t>PAIEMENT PAR CARTE X7976 UBER *TRIP HELP.UBER 19/09</t>
  </si>
  <si>
    <t>438072484</t>
  </si>
  <si>
    <t>PRLV SEPA EDF SA THERMALE CLIMATIQUE D Ref EDF MA970001250911 - 0CYP2NX</t>
  </si>
  <si>
    <t>438822191</t>
  </si>
  <si>
    <t>PRLV SEPA GINEYS S.A.S 02932277 01-519039-002 - 0CYRK51</t>
  </si>
  <si>
    <t>438822185</t>
  </si>
  <si>
    <t>PRLV SEPA GIE KLESIA COT RETRAITE - GIE KLESIA COTIS - 20 SCG023URAE000659949S - 0CYP6JM</t>
  </si>
  <si>
    <t>438822184</t>
  </si>
  <si>
    <t>PRLV INT ETS DGFIP PASDSN16092024-082024-3867203200 NN386720320DGFIP2020807504KDIIJX - 0CYH3XQ</t>
  </si>
  <si>
    <t>438822190</t>
  </si>
  <si>
    <t>Fournisseurs / F.G / AFFRANCHISSEMENT</t>
  </si>
  <si>
    <t>AFFRANCHISSEMENT</t>
  </si>
  <si>
    <t>PAIEMENT PAR CARTE X3718 LA POSTE.FR PARIS CE 23/09</t>
  </si>
  <si>
    <t>438832843</t>
  </si>
  <si>
    <t>PRLV SEPA METRO CASH CAR /INV/0090181225 CMR000003928001 - 0CYX1IQ</t>
  </si>
  <si>
    <t>439664842</t>
  </si>
  <si>
    <t>PRLV SEPA EPISAVEURS SUD /INV/8312084679 6.9.2024 000028S000005706 - 0CYX24Q</t>
  </si>
  <si>
    <t>439664854</t>
  </si>
  <si>
    <t>439664844</t>
  </si>
  <si>
    <t>439664843</t>
  </si>
  <si>
    <t>PRLV INT ETS DGFIP TVA-092024-3310CA3 NN386720320DGFIP2020807504KDIIJX - 0CYTKR5</t>
  </si>
  <si>
    <t>440379238</t>
  </si>
  <si>
    <t>PRLV SEPA Orange SA Votre abonnement mobile: 06XXXXX ++M0003219595 - 0CYWZ4K</t>
  </si>
  <si>
    <t>440379236</t>
  </si>
  <si>
    <t>440379243</t>
  </si>
  <si>
    <t>440803741</t>
  </si>
  <si>
    <t>COMMISSION CARTE 3097105 001 041318 27/09</t>
  </si>
  <si>
    <t>440808261</t>
  </si>
  <si>
    <t>441012526</t>
  </si>
  <si>
    <t>CGF17389PAUL2</t>
  </si>
  <si>
    <t>441012521</t>
  </si>
  <si>
    <t>441012527</t>
  </si>
  <si>
    <t>PRLV SEPA RELAIS D OR VA RELAIS D OR VALLEE DU RHONE 4100459801GRANDHOTELDESBAINS - 0CYKTMJ</t>
  </si>
  <si>
    <t>441801013</t>
  </si>
  <si>
    <t>VIR SEPA Sas L3M Relais Virement de Sa Thermale Et Clima Virement de Sa Thermale Et Clima - 2464324</t>
  </si>
  <si>
    <t>441801032</t>
  </si>
  <si>
    <t>PRLV SEPA ASSOCIATION C ASS CONTACT HOTEL 4110704C60 - 0CZBADU</t>
  </si>
  <si>
    <t>441801016</t>
  </si>
  <si>
    <t>PRLV SEPA LA NATURE A TA Prelevement LC278487 5730 - 0CZEN39</t>
  </si>
  <si>
    <t>441801023</t>
  </si>
  <si>
    <t>SAMSE 300924 - 2638031</t>
  </si>
  <si>
    <t>441801043</t>
  </si>
  <si>
    <t>PRLV SEPA ASS CONTACT HO COTISATION 2024 0704 - 0CZBB0B</t>
  </si>
  <si>
    <t>441801031</t>
  </si>
  <si>
    <t>DROMADIS 300924 REF TIRE:00096016 - 2638032</t>
  </si>
  <si>
    <t>441801039</t>
  </si>
  <si>
    <t>FB SUD EST 300924 - 2703043</t>
  </si>
  <si>
    <t>441801020</t>
  </si>
  <si>
    <t>PRLV SEPA LOCAM PRELEVEMENT LOCAM PARTENAIRE DE LD159120820200062519 - 0CZBCL9</t>
  </si>
  <si>
    <t>441801047</t>
  </si>
  <si>
    <t>ECH PRET DONT CAP 1244,88 ASS. 0,00E INT. 68,58 COM. 0,00E - 5406472</t>
  </si>
  <si>
    <t>441801010</t>
  </si>
  <si>
    <t>ABON CYBERPLUS XCBVX665 2024093000436615000001 HABILITATION P8806895 - 0436615</t>
  </si>
  <si>
    <t>442944527</t>
  </si>
  <si>
    <t>442944539</t>
  </si>
  <si>
    <t>PRLV SEPA Xerox Financia 3788376 FR30PF2112674 - 0CYYSGK</t>
  </si>
  <si>
    <t>442944528</t>
  </si>
  <si>
    <t>442962423</t>
  </si>
  <si>
    <t>ECH PRET DONT CAP 3491,03 ASS. 0,00E INT. 338,89 COM. 0,00E - 9062097</t>
  </si>
  <si>
    <t>443860600</t>
  </si>
  <si>
    <t>PRLV SEPA HOTELIOS Maintenance Mensuelle INFHOTIK C-10-48-201109-10041889-7 - 0CZRS2Y</t>
  </si>
  <si>
    <t>443860601</t>
  </si>
  <si>
    <t>443860592</t>
  </si>
  <si>
    <t>COMMISSION CARTE 3097105 001 080813 02/10</t>
  </si>
  <si>
    <t>443882128</t>
  </si>
  <si>
    <t>PAIEMENT PAR CARTE X3718 ENTR BRICOLAGE AUBEN 01/10</t>
  </si>
  <si>
    <t>443882129</t>
  </si>
  <si>
    <t>VIR M LOIC CAMINALE salaire septembre 2024 - 2635590</t>
  </si>
  <si>
    <t>444682197</t>
  </si>
  <si>
    <t>PRLV SEPA EPISAVEURS SUD /INV/8312089314 13.9.2024 000028S000005706 - 0D07I00</t>
  </si>
  <si>
    <t>444682199</t>
  </si>
  <si>
    <t>VIR SEPA :14 saison ete P8806895 salaire sptembre 202 salaire sptembre 2024 - 2634986</t>
  </si>
  <si>
    <t>444682196</t>
  </si>
  <si>
    <t>VIR SEPA STVB LES THERME FACTURE 197388 FACTURE 197388 - 2674100</t>
  </si>
  <si>
    <t>445166103</t>
  </si>
  <si>
    <t>PRLV SEPA Orange SA Votre abonnement fixe: 04XXXXX21 ++M0021517012 - 0CZQR37</t>
  </si>
  <si>
    <t>445166112</t>
  </si>
  <si>
    <t>VIR SEPA absolute pneus 5224 5224 - 2659316</t>
  </si>
  <si>
    <t>445166128</t>
  </si>
  <si>
    <t>VIR SEPA PERRIER IVAN SALAIRE SEPTEMBRE 2024 SALAIRE SEPTEMBRE 2024 - 2659615</t>
  </si>
  <si>
    <t>445166111</t>
  </si>
  <si>
    <t>VIR SEPA NATHALIE GUNZLE FACTURE 0237 FACTURE 0237 - 2657062</t>
  </si>
  <si>
    <t>445166108</t>
  </si>
  <si>
    <t>VIR SEPA L'ALE OUET poll 243169 243169 - 2659031</t>
  </si>
  <si>
    <t>445166106</t>
  </si>
  <si>
    <t>VIR SEPA BOOKING.COM FACTURE1618232866 NH 254064 FACTURE1618232866 NH 254064 - 2675488</t>
  </si>
  <si>
    <t>445166102</t>
  </si>
  <si>
    <t>VIR SEPA BOOKING.COM FACTURE 1618294536 NH 57616 FACTURE 1618294536 NH 57616 - 2675591</t>
  </si>
  <si>
    <t>445166107</t>
  </si>
  <si>
    <t>VIR SEPA SAPHIRESA 2024000201-192 2024000201-192 - 2659803</t>
  </si>
  <si>
    <t>445166113</t>
  </si>
  <si>
    <t>VIR SEPA GRH POLSKA FR/18/09/2024 FR/18/09/2024 - 2675742</t>
  </si>
  <si>
    <t>445166114</t>
  </si>
  <si>
    <t>VIR SEPA SAPHIRESA 2024000201-192 2024000201-192 - 2660197</t>
  </si>
  <si>
    <t>445166115</t>
  </si>
  <si>
    <t>VIR SEPA ARCANCIANE F-20240900023 F-20240900023 - 2658427</t>
  </si>
  <si>
    <t>445166121</t>
  </si>
  <si>
    <t>VIR SEPA AU PETIT PRIMEU FACTURE 100815559 FACTURE 100815559 - 2658703</t>
  </si>
  <si>
    <t>445166116</t>
  </si>
  <si>
    <t>VIR SEPA SCEA PISCICULTU FAC88383 FAC88383 - 2657247</t>
  </si>
  <si>
    <t>445166120</t>
  </si>
  <si>
    <t>VIR SEPA DUBOIS DE MONTR FACTURE 16 FACTURE 16 - 2656954</t>
  </si>
  <si>
    <t>445166118</t>
  </si>
  <si>
    <t>VIR SEPA SARL ETS CHANEA FC2448055 FC2448055 - 2658600</t>
  </si>
  <si>
    <t>445166119</t>
  </si>
  <si>
    <t>VIR SEPA CAROLINE ALLEGR F00016 F00016 - 2655377</t>
  </si>
  <si>
    <t>445166126</t>
  </si>
  <si>
    <t>VIR SEPA moulon services F/202409/00001893 F/202409/00001893 - 2658910</t>
  </si>
  <si>
    <t>445166117</t>
  </si>
  <si>
    <t>REMBOURSEMENT DE PRET 00001519822 INTERETS 05/10/24</t>
  </si>
  <si>
    <t>445168103</t>
  </si>
  <si>
    <t>PRELEVEMENT AVEM /INV/NM LOC-11491166 18.9.2024/R/ 2000538986/2214693161 1000-000001045657 FR73ZZZ395135</t>
  </si>
  <si>
    <t>445168102</t>
  </si>
  <si>
    <t>REMBOURSEMENT DE PRET 00001519822 CAPITAL 05/10/24</t>
  </si>
  <si>
    <t>445168100</t>
  </si>
  <si>
    <t>COMMISSION CARTE 3097105 001 097752 04/10</t>
  </si>
  <si>
    <t>445168096</t>
  </si>
  <si>
    <t>PRLV SEPA REGIE SYNDICAT PRELEVEMENT SEBA FR62ZZZ81CBFD-2618032217-29089 - 0D0N27R</t>
  </si>
  <si>
    <t>446120877</t>
  </si>
  <si>
    <t>446120885</t>
  </si>
  <si>
    <t>PRLV SEPA GINEYS S.A.S-G 02944480 01-519039-002 - 0D0XYIY</t>
  </si>
  <si>
    <t>446120870</t>
  </si>
  <si>
    <t>VIR SEPA :3 saison ete 2 P8806895 complement salaire s complement salaire septembre 24 - 2745344</t>
  </si>
  <si>
    <t>446120874</t>
  </si>
  <si>
    <t>PRLV SEPA REGIE SYNDICAT PRELEVEMENT SEBA FR62ZZZ81CBFD-2618032232-29090 - 0D0N296</t>
  </si>
  <si>
    <t>446120841</t>
  </si>
  <si>
    <t>ARRETE COMPTE 3 EME TRIMESTRE 2024 - 1199021</t>
  </si>
  <si>
    <t>446120873</t>
  </si>
  <si>
    <t>VIR SEPA DAVID REYNAUD FACTURE 20241836 FACTURE 20241836 - 2736343</t>
  </si>
  <si>
    <t>446120856</t>
  </si>
  <si>
    <t>VIR SEPA guillaume cerdi FACTURE GHB300924 FACTURE GHB300924 - 2735772</t>
  </si>
  <si>
    <t>446120866</t>
  </si>
  <si>
    <t>PRLV SEPA Orange SA Votre abonnement internet (factu M0037206468 - 0D04MI3</t>
  </si>
  <si>
    <t>446120879</t>
  </si>
  <si>
    <t>VIR SEPA MDV FACTURE FVD008819 FACTURE FVD008819 - 2736255</t>
  </si>
  <si>
    <t>446120837</t>
  </si>
  <si>
    <t>LE JARDIN PROVE</t>
  </si>
  <si>
    <t>446120887</t>
  </si>
  <si>
    <t>STATION AVIA</t>
  </si>
  <si>
    <t>446120880</t>
  </si>
  <si>
    <t>ECH PRET DONT CAP 794,00 ASS. 0,00E INT. 77,08 COM. 0,00E - 9062099</t>
  </si>
  <si>
    <t>446995702</t>
  </si>
  <si>
    <t>ECH PRET DONT CAP 1033,09 ASS. 0,00E INT. 123,01 COM. 0,00E - 9062098</t>
  </si>
  <si>
    <t>446995704</t>
  </si>
  <si>
    <t>446995700</t>
  </si>
  <si>
    <t>AMZN Mktp FR*TO</t>
  </si>
  <si>
    <t>446995706</t>
  </si>
  <si>
    <t>COMMANDE</t>
  </si>
  <si>
    <t>446995695</t>
  </si>
  <si>
    <t>COMMISSION CARTE 3097105 001 127112 08/10</t>
  </si>
  <si>
    <t>447004248</t>
  </si>
  <si>
    <t>DROMADIS 101024 REF TIRE:00096214 - 2863003</t>
  </si>
  <si>
    <t>447714021</t>
  </si>
  <si>
    <t>STATIONN 3BA AU</t>
  </si>
  <si>
    <t>447714030</t>
  </si>
  <si>
    <t>CYBER+ PAIEMENT ABONNEMT XCPSD033 2024101000054524000001 ABONNEMENT PSD0006262976 - 0054524</t>
  </si>
  <si>
    <t>448544138</t>
  </si>
  <si>
    <t>IMPOT / CONTRIBUTION AUDIO VISUEL</t>
  </si>
  <si>
    <t>CONTRIBUTION AUDIO VISUEL</t>
  </si>
  <si>
    <t>VIR SEPA SPF PRIVAS PAC DUTREIL N2 PAC DUTREIL N2 - 2856593</t>
  </si>
  <si>
    <t>448544139</t>
  </si>
  <si>
    <t>PRLV SEPA PREFILOC CAPIT F240567286 PRE000121421 - 0D2241G</t>
  </si>
  <si>
    <t>448544143</t>
  </si>
  <si>
    <t>PRLV SEPA IWINERESTO XXZZZA00272820067113 - 0D02PG3</t>
  </si>
  <si>
    <t>448544145</t>
  </si>
  <si>
    <t>PRLV SEPA EPISAVEURS SUD /INV/8312093939 20.9.2024 000028S000005706 - 0D256KV</t>
  </si>
  <si>
    <t>448544135</t>
  </si>
  <si>
    <t>VIR SEPA SPF PRIVAS PAC DUTREIL N1 PAC DUTREIL N1 - 2856478</t>
  </si>
  <si>
    <t>448544153</t>
  </si>
  <si>
    <t>PRLV SEPA CEGID SAS FA002-01324171 00RC0000019770055000002B00 - 0D0N4G5</t>
  </si>
  <si>
    <t>448544150</t>
  </si>
  <si>
    <t>PRLV SEPA RELAIS D OR VA RELAIS D OR VALLEE DU RHONE 4100459801GRANDHOTELDESBAINS - 0CZX3XG</t>
  </si>
  <si>
    <t>448544152</t>
  </si>
  <si>
    <t>448544155</t>
  </si>
  <si>
    <t>COMMISSION CARTE 3097105 001 143852 10/10</t>
  </si>
  <si>
    <t>448560393</t>
  </si>
  <si>
    <t>PAIEMENT PAR CARTE X3718 CB AUBENAS 09/10</t>
  </si>
  <si>
    <t>448560395</t>
  </si>
  <si>
    <t>PRLV SEPA LE GROUPE LA P FAC N68586603 200356296924 C ++COU2772682 - 0D27G43</t>
  </si>
  <si>
    <t>449026349</t>
  </si>
  <si>
    <t>VIR SEPA FAUSTIN WINE facture 2530-2504 facture 2530-2504 - 2894067</t>
  </si>
  <si>
    <t>449026345</t>
  </si>
  <si>
    <t>449026346</t>
  </si>
  <si>
    <t>COMMISSION CARTE 3097105 001 152129 11/10</t>
  </si>
  <si>
    <t>449028314</t>
  </si>
  <si>
    <t>PRELEVEMENT Noelse France CPREL2410011002252 S6239571919-2239646 FR80ZZZ328855</t>
  </si>
  <si>
    <t>449028318</t>
  </si>
  <si>
    <t>C CONCEPT</t>
  </si>
  <si>
    <t>449225477</t>
  </si>
  <si>
    <t>PRLV SEPA LA NATURE A TA Prelevement LC291023 5730 - 0D2O8N1</t>
  </si>
  <si>
    <t>450055446</t>
  </si>
  <si>
    <t>VIR SEPA MADAME AUBRY CA P8806895 Salaire - 2970861</t>
  </si>
  <si>
    <t>450055447</t>
  </si>
  <si>
    <t>VIR SEPA RHONE ALPES LIN facture 20174461 facture 20174461 - 2969467</t>
  </si>
  <si>
    <t>450055444</t>
  </si>
  <si>
    <t>PRLV SEPA REGIE SYNDICAT PRELEVEMENT SEBA FR62ZZZ81CBFD-3418-28223 - 0D2J7KX</t>
  </si>
  <si>
    <t>450055436</t>
  </si>
  <si>
    <t>VIR SEPA AUBRY ALEXANDRA P8806895 Acompte - 2970917</t>
  </si>
  <si>
    <t>450055439</t>
  </si>
  <si>
    <t>PRLV SEPA LES GLACES DE HOTELDESBAINSF50699 EDI2410284RU0000077 - 0D1XXLR</t>
  </si>
  <si>
    <t>450055448</t>
  </si>
  <si>
    <t>450055435</t>
  </si>
  <si>
    <t>450055437</t>
  </si>
  <si>
    <t>450055440</t>
  </si>
  <si>
    <t>PRLV SEPA Free Pro FACTURE FREEPRO 15/10/2024 F2024 JNRUMSATHERMALECLIMA020230706103 - 0D1NPEZ</t>
  </si>
  <si>
    <t>451663166</t>
  </si>
  <si>
    <t>COM CB 5667966016 - NB0001/373671 - 0056671</t>
  </si>
  <si>
    <t>451663164</t>
  </si>
  <si>
    <t>PRLV SEPA SOLOCAL SA 204 /INV/FORM:0001422757/27.09.2024/ 02937492002 - 0D2W1PV</t>
  </si>
  <si>
    <t>451663172</t>
  </si>
  <si>
    <t>JARDIN PONTIER</t>
  </si>
  <si>
    <t>451663163</t>
  </si>
  <si>
    <t>451663173</t>
  </si>
  <si>
    <t>451663171</t>
  </si>
  <si>
    <t>AMZN Mktp FR*TQ</t>
  </si>
  <si>
    <t>451663174</t>
  </si>
  <si>
    <t>PAIEMENT PAR CARTE X3718 SOVISAL SAINT PRIVAT 12/10</t>
  </si>
  <si>
    <t>451675862</t>
  </si>
  <si>
    <t>VIR SEPA lightspeed facture inv-03-790608 facture inv-03-790608 - 3033558</t>
  </si>
  <si>
    <t>452445341</t>
  </si>
  <si>
    <t>VIR SEPA INTERNET VALLON P8806895 factures vt 2236 - 3032781</t>
  </si>
  <si>
    <t>452445336</t>
  </si>
  <si>
    <t>VIR SEPA SARL ETS CHANEA fc2448126-fc2448179-fc2447941 fc2448126-fc2448179-fc2447941 - 3033200</t>
  </si>
  <si>
    <t>452445346</t>
  </si>
  <si>
    <t>VIR SEPA adic info grand adhesion 2024 fa2024-3286 adhesion 2024 fa2024-3286 - 3032894</t>
  </si>
  <si>
    <t>452445342</t>
  </si>
  <si>
    <t>PRLV SEPA GINEYS S.A.S-G 02953615 01-519039-002 - 0D370S9</t>
  </si>
  <si>
    <t>452445335</t>
  </si>
  <si>
    <t>VIR SEPA CABINET CHAUSSI 00250001664/002028 00250001664/002028 - 3033650</t>
  </si>
  <si>
    <t>452445348</t>
  </si>
  <si>
    <t>PRLV SEPA URSSAF RHONE A UR 827000002110121762 SEPT247 T1430653867203200001297356941940 - 0D3900F</t>
  </si>
  <si>
    <t>452445355</t>
  </si>
  <si>
    <t>VIR SEPA piscine assista 691-680-714 691-680-714 - 3033475</t>
  </si>
  <si>
    <t>452445345</t>
  </si>
  <si>
    <t>VIR SEPA SUDEL 03100015 facture acompte 03100015 facture acompte - 3032838</t>
  </si>
  <si>
    <t>452445352</t>
  </si>
  <si>
    <t>VIR SEPA AU PETIT PRIMEU 100815597 100815597 - 3032992</t>
  </si>
  <si>
    <t>452445337</t>
  </si>
  <si>
    <t>VIR SEPA EXPEDIA LODGING facture 2420987836 id 866511 facture 2420987836 id 866511 - 3032702</t>
  </si>
  <si>
    <t>452445333</t>
  </si>
  <si>
    <t>452445343</t>
  </si>
  <si>
    <t>Amazon Prime*T3</t>
  </si>
  <si>
    <t>452445350</t>
  </si>
  <si>
    <t>452445334</t>
  </si>
  <si>
    <t>452445332</t>
  </si>
  <si>
    <t>452445344</t>
  </si>
  <si>
    <t>452445356</t>
  </si>
  <si>
    <t>452445330</t>
  </si>
  <si>
    <t>452445339</t>
  </si>
  <si>
    <t>452445331</t>
  </si>
  <si>
    <t>452459067</t>
  </si>
  <si>
    <t>PRLV SEPA EDF SA THERMALE CLIMATIQUE D Ref EDF MA970001250911 - 0D3B2UU</t>
  </si>
  <si>
    <t>454683947</t>
  </si>
  <si>
    <t>PRLV SEPA EPISAVEURS SUD /INV/8312099114 27.9.2024 000028S000005706 - 0D3DP1R</t>
  </si>
  <si>
    <t>454683948</t>
  </si>
  <si>
    <t>VIR SEPA piscine assista facture 717 facture 717 - 3050756</t>
  </si>
  <si>
    <t>454683949</t>
  </si>
  <si>
    <t>454683945</t>
  </si>
  <si>
    <t>FACEBK *JVJ6ADU</t>
  </si>
  <si>
    <t>454683957</t>
  </si>
  <si>
    <t>454683956</t>
  </si>
  <si>
    <t>PAIEMENT PAR CARTE X3718 BOUILLON TIGRE CLERM 16/10</t>
  </si>
  <si>
    <t>454689833</t>
  </si>
  <si>
    <t>455165393</t>
  </si>
  <si>
    <t>PAIEMENT PAR CARTE X3718 HUC MUETTON GYSL CLE 17/10</t>
  </si>
  <si>
    <t>455169578</t>
  </si>
  <si>
    <t>PAIEMENT PAR CARTE X3718 CENTRE JAUDE PARIS 17/10</t>
  </si>
  <si>
    <t>455169576</t>
  </si>
  <si>
    <t>PAIEMENT PAR CARTE X3718 HOTEL ST MART CHAMAL 17/10</t>
  </si>
  <si>
    <t>455169579</t>
  </si>
  <si>
    <t>DROMADIS 201024 REF TIRE:00096423 - 2969002</t>
  </si>
  <si>
    <t>455376786</t>
  </si>
  <si>
    <t>PRLV SEPA RELAIS D OR VA RELAIS D OR VALLEE DU RHONE 4100459801GRANDHOTELDESBAINS - 0D2ZRJS</t>
  </si>
  <si>
    <t>455988397</t>
  </si>
  <si>
    <t>PRLV SEPA Orange SA Votre abonnement fibre (facture: EPCB202311295646844 - 0D39HSC</t>
  </si>
  <si>
    <t>455988400</t>
  </si>
  <si>
    <t>PRLV SEPA Orange SA-ORAN Votre abonnement mobile: 06XXXXX ++M0017687880 - 0D3QINU</t>
  </si>
  <si>
    <t>455988395</t>
  </si>
  <si>
    <t>PRLV SEPA Orange SA Votre abonnement fixe: 04XXXXX98 M0049215427 - 0D39HPO</t>
  </si>
  <si>
    <t>455988412</t>
  </si>
  <si>
    <t>PRLV SEPA Orange SA Votre abonnement fixe: 04XXXXX52 M0036834648 - 0D39HUB</t>
  </si>
  <si>
    <t>455988399</t>
  </si>
  <si>
    <t>PRLV SEPA LES GLACES DE HOTELBAINSF50716 EDI2410284RU0000077 - 0D3MJ87</t>
  </si>
  <si>
    <t>455988409</t>
  </si>
  <si>
    <t>PRLV SEPA Autoroutes du KI004442340041376270 092024 ++25004137627001188445 - 0D2JQUW</t>
  </si>
  <si>
    <t>455988402</t>
  </si>
  <si>
    <t>PRLV SEPA LA NATURE A TA Prelevement LC218094 5730 - 0D3JFXB</t>
  </si>
  <si>
    <t>455988408</t>
  </si>
  <si>
    <t>455988407</t>
  </si>
  <si>
    <t>455988404</t>
  </si>
  <si>
    <t>PAIEMENT PAR CARTE X3718 HOTEL ST MART CHAMAL 18/10</t>
  </si>
  <si>
    <t>456000186</t>
  </si>
  <si>
    <t>VIR SEPA CABINET CHAUSSI complement facture aout 2024 complement facture aout 2024 - 3175241</t>
  </si>
  <si>
    <t>456786926</t>
  </si>
  <si>
    <t>COM CB 5667966016 - NB0001/416441 - 0057441</t>
  </si>
  <si>
    <t>456786925</t>
  </si>
  <si>
    <t>456786931</t>
  </si>
  <si>
    <t>INTERMARCHE ROS</t>
  </si>
  <si>
    <t>456786930</t>
  </si>
  <si>
    <t>AMZN Mktp FR*T3</t>
  </si>
  <si>
    <t>456786932</t>
  </si>
  <si>
    <t>456786927</t>
  </si>
  <si>
    <t>456786928</t>
  </si>
  <si>
    <t>VIR SEPA Boulouani Keanu Virement de Sa Thermale Et Clima Virement de Sa Thermale Et Clima - 3223841</t>
  </si>
  <si>
    <t>457530146</t>
  </si>
  <si>
    <t>VIR SEPA AU PETIT PRIMEU 100815632 100815632 - 3218165</t>
  </si>
  <si>
    <t>457530143</t>
  </si>
  <si>
    <t>VIR SEPA SAPHIRESA 2024000212 2024000212 - 3218200</t>
  </si>
  <si>
    <t>457530141</t>
  </si>
  <si>
    <t>VIR SEPA Cafes richard 0909509202+0909494798 0909509202+0909494798 - 3218327</t>
  </si>
  <si>
    <t>457530136</t>
  </si>
  <si>
    <t>VIR SEPA Garonzi Pascal Virement de Sa Thermale Et Clima Virement de Sa Thermale Et Clima - 3223751</t>
  </si>
  <si>
    <t>457530138</t>
  </si>
  <si>
    <t>VIR SEPA domaine des deu facture 2024 155 facture 2024 155 - 3218127</t>
  </si>
  <si>
    <t>457530140</t>
  </si>
  <si>
    <t>PRLV INT ETS DGFIP PASDSN15102024-092024-3867203200 NN386720320DGFIP2020807504KDIIJX - 0D400GD</t>
  </si>
  <si>
    <t>457530135</t>
  </si>
  <si>
    <t>FACEBK*</t>
  </si>
  <si>
    <t>457530144</t>
  </si>
  <si>
    <t>PRLV SEPA EPISAVEURS SUD /INV/8312103645 4.10.2024 000028S000005706 - 0D47WYL</t>
  </si>
  <si>
    <t>458168398</t>
  </si>
  <si>
    <t>PRLV SEPA MF REGLEMENT GRAND HOTEL DES BAINS A0701020241015102338480000000000 - 0D49HWL</t>
  </si>
  <si>
    <t>458168386</t>
  </si>
  <si>
    <t>PRLV SEPA EDF SA THERMALE CLIMATIQUE D Ref EDF MA970001250911 - 0D46085</t>
  </si>
  <si>
    <t>458168400</t>
  </si>
  <si>
    <t>FRAIS MEP PRLV SEPA XCIMR012 2024102400043927000001 CREANCIER MF - 0043927</t>
  </si>
  <si>
    <t>458168396</t>
  </si>
  <si>
    <t>458168392</t>
  </si>
  <si>
    <t>458168399</t>
  </si>
  <si>
    <t>COMMISSION CARTE 3097105 001 232214 24/10</t>
  </si>
  <si>
    <t>458170400</t>
  </si>
  <si>
    <t>PRLV SEPA DIRECTION GENE 600206914898TLR2407422973062 NNFR46ZZZ0050022407422973062R914 - 0D3ETKQ</t>
  </si>
  <si>
    <t>458663354</t>
  </si>
  <si>
    <t>VIR SEPA SCEA PISCICULTU FAC88861 FAC88861 - 3276166</t>
  </si>
  <si>
    <t>458663362</t>
  </si>
  <si>
    <t>PRLV SEPA GINEYS S.A.S 02964558 01-519039-002 - 0D4CWSW</t>
  </si>
  <si>
    <t>458663357</t>
  </si>
  <si>
    <t>VIR SEPA INTERNET VALLON VT2235 VT2235 - 3276032</t>
  </si>
  <si>
    <t>458663353</t>
  </si>
  <si>
    <t>PRLV SEPA GIE CHARMHOTEL COTISATION CHARMHOTEL ++OCTOBRE2011 - 0D4FR5G</t>
  </si>
  <si>
    <t>458663358</t>
  </si>
  <si>
    <t>VIR SEPA SARL ETS CHANEA FC2448275 FC2448275 - 3276104</t>
  </si>
  <si>
    <t>458663360</t>
  </si>
  <si>
    <t>PRLV SEPA GIE KLESIA COT RETRAITE - GIE KLESIA COTIS - 20 SCG023URAE000659949S - 0D4AOSS</t>
  </si>
  <si>
    <t>458663359</t>
  </si>
  <si>
    <t>PRLV SEPA GIE CHARMHOTEL COTISATION CHARMHOTEL ++OCTOBRE2011 - 0D4FR4Y</t>
  </si>
  <si>
    <t>458663356</t>
  </si>
  <si>
    <t>PRLV SEPA Orange SA Votre abonnement mobile: 06XXXXX ++M0003219595 - 0D4CMZM</t>
  </si>
  <si>
    <t>459579354</t>
  </si>
  <si>
    <t>NOUVELLE MONTAG</t>
  </si>
  <si>
    <t>459579353</t>
  </si>
  <si>
    <t>PRLV INT ETS DGFIP TVA-102024-3310CA3 NN386720320DGFIP2020807504KDIIJX - 0D4KND5</t>
  </si>
  <si>
    <t>460428107</t>
  </si>
  <si>
    <t>DROMADIS 301024 REF TIRE:00096675 - 3053009</t>
  </si>
  <si>
    <t>460428108</t>
  </si>
  <si>
    <t>SNCF-VOYAGEURS</t>
  </si>
  <si>
    <t>460428109</t>
  </si>
  <si>
    <t>460428110</t>
  </si>
  <si>
    <t>VIR SEPA CABINET CHAUSSI 00250001794/002028 00250001794/002028 - 3439583</t>
  </si>
  <si>
    <t>461532404</t>
  </si>
  <si>
    <t>VIR SEPA ASSOCHUILETIC FACTURE 24-09-232 FACTURE 24-09-232 - 3444725</t>
  </si>
  <si>
    <t>461532394</t>
  </si>
  <si>
    <t>VIR SEPA KOROL EQUIPEMEN 20053155 20053155 - 3432548</t>
  </si>
  <si>
    <t>461532402</t>
  </si>
  <si>
    <t>FB SUD EST 311024 - 3088040</t>
  </si>
  <si>
    <t>461532387</t>
  </si>
  <si>
    <t>SAMSE 311024 - 3088041</t>
  </si>
  <si>
    <t>461532397</t>
  </si>
  <si>
    <t>VIR SEPA SARL ETS CHANEA FC2448228 FC2448228 - 3432964</t>
  </si>
  <si>
    <t>461532403</t>
  </si>
  <si>
    <t>VIR SEPA FAMILLE GARON FACTURE 2241800 FACTURE 2241800 - 3444631</t>
  </si>
  <si>
    <t>461532386</t>
  </si>
  <si>
    <t>VIR SEPA ARCANCIANE f-20241000010 f-20241000010 - 3432188</t>
  </si>
  <si>
    <t>461532401</t>
  </si>
  <si>
    <t>PRLV SEPA RELAIS D OR VA RELAIS D OR VALLEE DU RHONE 4100459801GRANDHOTELDESBAINS - 0D43536</t>
  </si>
  <si>
    <t>461532388</t>
  </si>
  <si>
    <t>RET DAB BPS MRZ AUBENAS CARTE ******9655 RETRAIT LE 30/10/2024 A 11:03 - PDE2391</t>
  </si>
  <si>
    <t>461532390</t>
  </si>
  <si>
    <t>VIR SEPA SUD CONSEIL 00240000120 00240000120 - 3439437</t>
  </si>
  <si>
    <t>461532405</t>
  </si>
  <si>
    <t>VIR SEPA STVB LES THERME FACTURE 199597 FACTURE 199597 - 3439517</t>
  </si>
  <si>
    <t>461532391</t>
  </si>
  <si>
    <t>VIR SEPA imbert facture 4518 facture 4518 - 3432074</t>
  </si>
  <si>
    <t>461532396</t>
  </si>
  <si>
    <t>VIR SEPA MAISON DUPRE FACTURE 251026 FACTURE 251026 - 3444791</t>
  </si>
  <si>
    <t>461532389</t>
  </si>
  <si>
    <t>CHATEAU AMOUREU</t>
  </si>
  <si>
    <t>461532392</t>
  </si>
  <si>
    <t>461532398</t>
  </si>
  <si>
    <t>PRLV SEPA EPISAVEURS SUD /INV/8312108230 11.10.2024 000028S000005706 - 0D567B1</t>
  </si>
  <si>
    <t>462238178</t>
  </si>
  <si>
    <t>ECH PRET DONT CAP 1245,81 ASS. 0,00E INT. 67,65 COM. 0,00E - 5406472</t>
  </si>
  <si>
    <t>462238162</t>
  </si>
  <si>
    <t>PRLV SEPA LA NATURE A TA Prelevement LC225891 5730 - 0D561UK</t>
  </si>
  <si>
    <t>462238175</t>
  </si>
  <si>
    <t>462238174</t>
  </si>
  <si>
    <t>PRLV SEPA Xerox Financia 3800855 FR30PF2112674 - 0D5088O</t>
  </si>
  <si>
    <t>462654470</t>
  </si>
  <si>
    <t>ABON CYBERPLUS XCBVX665 2024103100425574000001 HABILITATION P8806895 - 0425574</t>
  </si>
  <si>
    <t>462654472</t>
  </si>
  <si>
    <t>462904806</t>
  </si>
  <si>
    <t>462904811</t>
  </si>
  <si>
    <t>462904808</t>
  </si>
  <si>
    <t>462904810</t>
  </si>
  <si>
    <t>462904809</t>
  </si>
  <si>
    <t>462904805</t>
  </si>
  <si>
    <t>462904812</t>
  </si>
  <si>
    <t>PRLV SEPA Orange SA Votre abonnement fixe: 04XXXXX21 ++M0021517012 - 0D4TEVG</t>
  </si>
  <si>
    <t>464012870</t>
  </si>
  <si>
    <t>VIR M LOIC CAMINALE salaire octobre 2024 - 3611806</t>
  </si>
  <si>
    <t>464012869</t>
  </si>
  <si>
    <t>ECH PRET DONT CAP 3498,74 ASS. 0,00E INT. 331,18 COM. 0,00E - 9062097</t>
  </si>
  <si>
    <t>464012879</t>
  </si>
  <si>
    <t>FER</t>
  </si>
  <si>
    <t>464012895</t>
  </si>
  <si>
    <t>464031253</t>
  </si>
  <si>
    <t>REMBOURSEMENT DE PRET 00001519822 INTERETS 05/11/24</t>
  </si>
  <si>
    <t>464031255</t>
  </si>
  <si>
    <t>REMBOURSEMENT DE PRET 00001519822 CAPITAL 05/11/24</t>
  </si>
  <si>
    <t>464031254</t>
  </si>
  <si>
    <t>VIR SEPA :15 saison ete P8806895 salaire octobre 2024 - 3611140</t>
  </si>
  <si>
    <t>464906949</t>
  </si>
  <si>
    <t>PRLV SEPA Orange SA Votre abonnement internet (factu M0037206468 - 0D51FRF</t>
  </si>
  <si>
    <t>464906942</t>
  </si>
  <si>
    <t>PRLV SEPA HOTELIOS Maintenance Mensuelle INFHOTIK C-10-48-201109-10041889-7 - 0D5QV3W</t>
  </si>
  <si>
    <t>464906948</t>
  </si>
  <si>
    <t>PRLV SEPA CONTACT HOTEL REGUL NUM 09/2024 CONTACT HOTEL 0704 - 0D5ZY2K</t>
  </si>
  <si>
    <t>464906944</t>
  </si>
  <si>
    <t>464906937</t>
  </si>
  <si>
    <t>464906945</t>
  </si>
  <si>
    <t>464917517</t>
  </si>
  <si>
    <t>PRLV SEPA GINEYS S.A.S 02972582 01-519039-002 - 0D6N6ZD</t>
  </si>
  <si>
    <t>465735936</t>
  </si>
  <si>
    <t>PRLV SEPA KLESIA 20241030CGKLESIA 030230597 0CE8832D0C304AEEB72BC20A094029C5 - 0D6RWXO</t>
  </si>
  <si>
    <t>465735928</t>
  </si>
  <si>
    <t>465735932</t>
  </si>
  <si>
    <t>PRLV SEPA KLESIA 20241030CGKLESIA 030230396 0CE8832D0C304AEEB72BC20A094029C5 - 0D6RZF3</t>
  </si>
  <si>
    <t>465735942</t>
  </si>
  <si>
    <t>LE BEDFORD</t>
  </si>
  <si>
    <t>465735941</t>
  </si>
  <si>
    <t>465735934</t>
  </si>
  <si>
    <t>465735927</t>
  </si>
  <si>
    <t>465735933</t>
  </si>
  <si>
    <t>Hotel at Bookin</t>
  </si>
  <si>
    <t>465735930</t>
  </si>
  <si>
    <t>GD HOTEL C PAIX</t>
  </si>
  <si>
    <t>465735926</t>
  </si>
  <si>
    <t>465735935</t>
  </si>
  <si>
    <t>PRLV SEPA EPISAVEURS SUD /INV/8312112507 18.10.2024 000028S000005706 - 0D6Y68Z</t>
  </si>
  <si>
    <t>466450626</t>
  </si>
  <si>
    <t>HORETO PARIS</t>
  </si>
  <si>
    <t>466450624</t>
  </si>
  <si>
    <t>HORETO - PARIS</t>
  </si>
  <si>
    <t>466450629</t>
  </si>
  <si>
    <t>466450622</t>
  </si>
  <si>
    <t>466450625</t>
  </si>
  <si>
    <t>PRELEVEMENT AVEM /INV/NM LOC-11491166 18.10.2024/R/ 2000598274/2214693161 1000-000001045657 FR73ZZZ395135</t>
  </si>
  <si>
    <t>466455446</t>
  </si>
  <si>
    <t>VIR SEPA ACCARD LAURENCE facture 4024 facture 4024 - 3777528</t>
  </si>
  <si>
    <t>466917950</t>
  </si>
  <si>
    <t>ECH PRET DONT CAP 1035,37 ASS. 0,00E INT. 120,73 COM. 0,00E - 9062098</t>
  </si>
  <si>
    <t>466917953</t>
  </si>
  <si>
    <t>VIR SEPA BOOKING.COM fac 1619363680 nh 57616 fac 1619363680 nh 57616 - 3777998</t>
  </si>
  <si>
    <t>466917955</t>
  </si>
  <si>
    <t>VIR SEPA NATHALIE GUNZLE facture 0293 facture 0293 - 3776794</t>
  </si>
  <si>
    <t>466917941</t>
  </si>
  <si>
    <t>PRLV SEPA CEGID SAS FA002-01347609 00RC0000019770055000002B00 - 0D67XTO</t>
  </si>
  <si>
    <t>466917939</t>
  </si>
  <si>
    <t>VIR SEPA CAROLINE ALLEGR f00019 f00019 - 3777046</t>
  </si>
  <si>
    <t>466917948</t>
  </si>
  <si>
    <t>ECH PRET DONT CAP 795,76 ASS. 0,00E INT. 75,32 COM. 0,00E - 9062099</t>
  </si>
  <si>
    <t>466917946</t>
  </si>
  <si>
    <t>VIR SEPA DUBOIS DE MONTR facture 23 facture 23 - 3776888</t>
  </si>
  <si>
    <t>466917942</t>
  </si>
  <si>
    <t>VIR SEPA GRH POLSKA FR/10/10/2024 FR/10/10/2024 - 3777133</t>
  </si>
  <si>
    <t>466917958</t>
  </si>
  <si>
    <t>VIR SEPA EXPEDIA LODGING facture 2421098357 id 866511 facture 2421098357 id 866511 - 3778170</t>
  </si>
  <si>
    <t>466917940</t>
  </si>
  <si>
    <t>STABK1749701</t>
  </si>
  <si>
    <t>466917945</t>
  </si>
  <si>
    <t>UBER *TRIP HELP</t>
  </si>
  <si>
    <t>466917938</t>
  </si>
  <si>
    <t>TRAIN BLEU</t>
  </si>
  <si>
    <t>466917954</t>
  </si>
  <si>
    <t>466917947</t>
  </si>
  <si>
    <t>4 BLD CAPUCINES</t>
  </si>
  <si>
    <t>466917952</t>
  </si>
  <si>
    <t>466917943</t>
  </si>
  <si>
    <t>SUMUP *AR SERV</t>
  </si>
  <si>
    <t>466917937</t>
  </si>
  <si>
    <t>HPY*book-ici.co</t>
  </si>
  <si>
    <t>466917957</t>
  </si>
  <si>
    <t>466917944</t>
  </si>
  <si>
    <t>COMMISSION CARTE 3097105 001 344864 08/11</t>
  </si>
  <si>
    <t>466920826</t>
  </si>
  <si>
    <t>PRLV SEPA IWINERESTO XXZZZA00272820067113 - 0D6UBPV</t>
  </si>
  <si>
    <t>467672448</t>
  </si>
  <si>
    <t>PRLV SEPA REGIE SYNDICAT PRELEVEMENT SEBA FR62ZZZ81CBFD-2618032217-29089 - 0D7CMNM</t>
  </si>
  <si>
    <t>467672447</t>
  </si>
  <si>
    <t>PRLV SEPA REGIE SYNDICAT PRELEVEMENT SEBA FR62ZZZ81CBFD-2618032232-29090 - 0D7CMUL</t>
  </si>
  <si>
    <t>467672438</t>
  </si>
  <si>
    <t>DROMADIS 091124 REF TIRE:00096877 - 3307008</t>
  </si>
  <si>
    <t>467672440</t>
  </si>
  <si>
    <t>PRLV SEPA RELAIS D OR VA RELAIS D OR VALLEE DU RHONE 4100459801GRANDHOTELDESBAINS - 0D7HYS8</t>
  </si>
  <si>
    <t>467672439</t>
  </si>
  <si>
    <t>PRLV SEPA PREFILOC CAPIT F240637745 PRE000121421 - 0D70MJL</t>
  </si>
  <si>
    <t>467672443</t>
  </si>
  <si>
    <t>PRLV SEPA REGIE SYNDICAT PRELEVEMENT SEBA FR62ZZZ81CBFD-3418-28223 - 0D7NICU</t>
  </si>
  <si>
    <t>468451909</t>
  </si>
  <si>
    <t>CYBER+ PAIEMENT ABONNEMT XCPSD033 2024111000018833000001 ABONNEMENT PSD0006262976 - 0018833</t>
  </si>
  <si>
    <t>468451914</t>
  </si>
  <si>
    <t>PRLV SEPA LES GLACES DE HOTELDESBAINSF50757 EDI2410284RU0000077 - 0D70NDQ</t>
  </si>
  <si>
    <t>468451917</t>
  </si>
  <si>
    <t>COMMISSION CARTE 3097105 001 367626 11/11</t>
  </si>
  <si>
    <t>468474581</t>
  </si>
  <si>
    <t>469490382</t>
  </si>
  <si>
    <t>469490394</t>
  </si>
  <si>
    <t>469490406</t>
  </si>
  <si>
    <t>PRELEVEMENT Noelse France CPREL2411011002083 S6239571919-2239646 FR80ZZZ328855</t>
  </si>
  <si>
    <t>469511808</t>
  </si>
  <si>
    <t>PAIEMENT PAR CARTE X7976 INTERMARCHELALEVADE 12/11</t>
  </si>
  <si>
    <t>469511805</t>
  </si>
  <si>
    <t>470183683</t>
  </si>
  <si>
    <t>COMMISSION CARTE 3097105 001 388854 14/11</t>
  </si>
  <si>
    <t>470190668</t>
  </si>
  <si>
    <t>PRLV SEPA Free Pro FACTURE FREEPRO 15/11/2024 F2024 JNRUMSATHERMALECLIMA020230706103 - 0D7NK0J</t>
  </si>
  <si>
    <t>470681679</t>
  </si>
  <si>
    <t>PRLV SEPA LA NATURE A TA Prelevement LC251247 5730 - 0D8I98J</t>
  </si>
  <si>
    <t>470681676</t>
  </si>
  <si>
    <t>PRLV SEPA GINEYS S.A.S 02985216 01-519039-002 - 0D8JI16</t>
  </si>
  <si>
    <t>470681683</t>
  </si>
  <si>
    <t>VIR SEPA OTI office de t 2025-51 2025-51 - 3953041</t>
  </si>
  <si>
    <t>470681672</t>
  </si>
  <si>
    <t>PRLV SEPA SOLOCAL SA 204 /INV/FORM:0001550173/27.10.2024/ 02937492002 - 0D8GFN2</t>
  </si>
  <si>
    <t>470681682</t>
  </si>
  <si>
    <t>COMMISSION CARTE 3097105 001 397219 15/11</t>
  </si>
  <si>
    <t>470686055</t>
  </si>
  <si>
    <t>Amazon Prime*T9</t>
  </si>
  <si>
    <t>470932077</t>
  </si>
  <si>
    <t>PRLV SEPA Orange SA-ORAN Votre abonnement mobile: 06XXXXX ++M0017687880 - 0D8Y6QG</t>
  </si>
  <si>
    <t>471746860</t>
  </si>
  <si>
    <t>VIR SEPA MADAME AUBRY CA P8806895 Salaire - 3992513</t>
  </si>
  <si>
    <t>471746859</t>
  </si>
  <si>
    <t>PRLV SEPA GIE CHARMHOTEL COTISATION CHARMHOTEL ++OCTOBRE2011 - 0D8WZIA</t>
  </si>
  <si>
    <t>471746851</t>
  </si>
  <si>
    <t>PRLV SEPA URSSAF RHONE A UR 827000002110121762 OCT 247 T1430653867203200001297356941940 - 0D8QBIW</t>
  </si>
  <si>
    <t>471746855</t>
  </si>
  <si>
    <t>VIR SEPA AUBRY ALEXANDRA P8806895 Avance - 3992527</t>
  </si>
  <si>
    <t>471746857</t>
  </si>
  <si>
    <t>PRLV SEPA EDF SA THERMALE CLIMATIQUE D Ref EDF MA970001250911 - 0D8BKIJ</t>
  </si>
  <si>
    <t>471746852</t>
  </si>
  <si>
    <t>PAIEMENT PAR CARTE X7976 LE JARDIN PROVENCAL 17/11</t>
  </si>
  <si>
    <t>471752985</t>
  </si>
  <si>
    <t>VIREMENT EMIS WEB POLYFROID CLIMATISAT FA20241 FA20241045 ET 1036</t>
  </si>
  <si>
    <t>471752984</t>
  </si>
  <si>
    <t>471752981</t>
  </si>
  <si>
    <t>PRLV SEPA Autoroutes du KJ004410390041376270 102024 ++25004137627001188445 - 0D86REG</t>
  </si>
  <si>
    <t>472583455</t>
  </si>
  <si>
    <t>PRLV SEPA LA NATURE A TA Prelevement LC265525 5730 - 0D8SF26</t>
  </si>
  <si>
    <t>472583454</t>
  </si>
  <si>
    <t>PRLV SEPA RELAIS D OR VA RELAIS D OR VALLEE DU RHONE 4100459801GRANDHOTELDESBAINS - 0D89JYM</t>
  </si>
  <si>
    <t>472583451</t>
  </si>
  <si>
    <t>DROMADIS 201124 REF TIRE:00097072 - 3422001</t>
  </si>
  <si>
    <t>472583453</t>
  </si>
  <si>
    <t>VIR SEPA RHONE ALPES LIN 20174522 20174522 - 4082221</t>
  </si>
  <si>
    <t>473403350</t>
  </si>
  <si>
    <t>VIR SEPA ELECTRO7 P8806895 FA00028427 - 4081864</t>
  </si>
  <si>
    <t>473403355</t>
  </si>
  <si>
    <t>VIR SEPA MEWS INV AR-09705 INV AR-09705 - 4081377</t>
  </si>
  <si>
    <t>473403353</t>
  </si>
  <si>
    <t>PRLV SEPA MF GRAND HOTEL DES BAINS PAR PRELEV A0701020241015102338480000000000 - 0D9BIPZ</t>
  </si>
  <si>
    <t>473403352</t>
  </si>
  <si>
    <t>VIR SEPA BOOKING.COM NF 1619388315 NH 254064 NF 1619388315 NH 254064 - 4083710</t>
  </si>
  <si>
    <t>473403359</t>
  </si>
  <si>
    <t>LECLERC FIRM VL</t>
  </si>
  <si>
    <t>473403360</t>
  </si>
  <si>
    <t>LE CLOS ST ELOI</t>
  </si>
  <si>
    <t>473403354</t>
  </si>
  <si>
    <t>PAIEMENT PAR CARTE X7976 LE CLOS ST ELOI THIE 19/11</t>
  </si>
  <si>
    <t>473419678</t>
  </si>
  <si>
    <t>VIR SEPA OC22 FV/2024/0029690 FV/2024/0029690 - 4082471</t>
  </si>
  <si>
    <t>474112304</t>
  </si>
  <si>
    <t>VIR SEPA FAMILLE PERRIN FVEN24013919 FVEN24013919 - 4083790</t>
  </si>
  <si>
    <t>474112309</t>
  </si>
  <si>
    <t>VIR SEPA AU PETIT PRIMEU 100815661 100815661 - 4082010</t>
  </si>
  <si>
    <t>474112302</t>
  </si>
  <si>
    <t>VIR SEPA menuisserie LAG 01631 01631 - 4083637</t>
  </si>
  <si>
    <t>474112310</t>
  </si>
  <si>
    <t>VIR SEPA SARL ETS CHANEA FC2448315 FC2448315 - 4082178</t>
  </si>
  <si>
    <t>474112306</t>
  </si>
  <si>
    <t>PRLV INT ETS DGFIP PASDSN15112024-102024-3867203200 NN386720320DGFIP2020807504KDIIJX - 0D96XSC</t>
  </si>
  <si>
    <t>474112305</t>
  </si>
  <si>
    <t>VIR SEPA Cafes richard 0909457422 0909457422 - 4081670</t>
  </si>
  <si>
    <t>474112308</t>
  </si>
  <si>
    <t>VIR SEPA moulon services F/202410/00001922 F/202410/00001922 - 4082303</t>
  </si>
  <si>
    <t>474112311</t>
  </si>
  <si>
    <t>PAIEMENT PAR CARTE X7976 LE CLOS ST ELOI THIE 20/11</t>
  </si>
  <si>
    <t>474116123</t>
  </si>
  <si>
    <t>VIR SEPA lightspeed inv 03-813222 inv 03-813222 - 4137916</t>
  </si>
  <si>
    <t>474633848</t>
  </si>
  <si>
    <t>VIR SEPA zinc-elec alban 24/11/1467 24/11/1467 - 4137976</t>
  </si>
  <si>
    <t>474633840</t>
  </si>
  <si>
    <t>VIR SEPA INTERFACE TECHN facture 4928-24 facture 4928-24 - 4138048</t>
  </si>
  <si>
    <t>474633847</t>
  </si>
  <si>
    <t>VIR SEPA PRINGOT DAVID controle kango norisko controle kango norisko - 4137847</t>
  </si>
  <si>
    <t>474633844</t>
  </si>
  <si>
    <t>VIR SEPA sas sylrius rei fac00000183 fac00000183 - 4137624</t>
  </si>
  <si>
    <t>474633842</t>
  </si>
  <si>
    <t>VIR SEPA PRINGOT DAVID frais salon epoq auto frais salon epoq auto - 4137783</t>
  </si>
  <si>
    <t>474633850</t>
  </si>
  <si>
    <t>474633843</t>
  </si>
  <si>
    <t>474909836</t>
  </si>
  <si>
    <t>PRLV SEPA Orange SA Votre abonnement fixe: 04XXXXX52 M0036834648 - 0D96AOI</t>
  </si>
  <si>
    <t>475704794</t>
  </si>
  <si>
    <t>PRLV SEPA Orange SA Votre abonnement mobile: 06XXXXX ++M0003219595 - 0D9EPWF</t>
  </si>
  <si>
    <t>475704780</t>
  </si>
  <si>
    <t>PRLV SEPA Orange SA Votre abonnement fibre (facture: EPCB202311295646844 - 0D96BBM</t>
  </si>
  <si>
    <t>475704788</t>
  </si>
  <si>
    <t>COM CB 5667966016 - NB0001/540471 - 0058471</t>
  </si>
  <si>
    <t>475704813</t>
  </si>
  <si>
    <t>PRLV SEPA EDF SA THERMALE CLIMATIQUE D Ref EDF MA970001250911 - 0D9BEW8</t>
  </si>
  <si>
    <t>475704782</t>
  </si>
  <si>
    <t>PRLV SEPA GIE KLESIA COT RETRAITE - GIE KLESIA COTIS - 20 SCG023URAE000659949S - 0D9HQMV</t>
  </si>
  <si>
    <t>475704797</t>
  </si>
  <si>
    <t>PRLV SEPA Orange SA Votre abonnement fixe: 04XXXXX98 M0049215427 - 0D96BDW</t>
  </si>
  <si>
    <t>475704778</t>
  </si>
  <si>
    <t>VIR SEPA :7 saison ete 2 P8806895 stc novembre 2024 - 4104291</t>
  </si>
  <si>
    <t>475704781</t>
  </si>
  <si>
    <t>KASPERSKY NEXWA</t>
  </si>
  <si>
    <t>475704789</t>
  </si>
  <si>
    <t>475711425</t>
  </si>
  <si>
    <t>VIR SEPA AUBRY ALEXANDRA P8806895 Salaire - 4260992</t>
  </si>
  <si>
    <t>476600454</t>
  </si>
  <si>
    <t>PRLV SEPA SOCIETE PRINT GRAND HOTEL DES BAINS SSC003702 - 0DA4I21</t>
  </si>
  <si>
    <t>477392860</t>
  </si>
  <si>
    <t>COM CB 5667966016 - NB0001/870781 - 0059781</t>
  </si>
  <si>
    <t>477392856</t>
  </si>
  <si>
    <t>PRLV INT ETS DGFIP TVA-112024-3310CA3 NN386720320DGFIP2020807504KDIIJX - 0DA04DA</t>
  </si>
  <si>
    <t>478909553</t>
  </si>
  <si>
    <t>VIR SEPA MFG acompte sur devis 1-21-11-1 acompte sur devis 1-21-11-1 - 4341665</t>
  </si>
  <si>
    <t>478909550</t>
  </si>
  <si>
    <t>PRLV SEPA IDEAL PEINTURE FA4014985 GRAND HOTEL LES BAINS-12/2021-00 - 0DAFZAW</t>
  </si>
  <si>
    <t>478909542</t>
  </si>
  <si>
    <t>VIR SEPA ardeche randonn facture 110 facture 110 - 4341417</t>
  </si>
  <si>
    <t>478909549</t>
  </si>
  <si>
    <t>COM CB 5667966016 - NB0002/054101 - 0060101</t>
  </si>
  <si>
    <t>478909545</t>
  </si>
  <si>
    <t>LA MAISON</t>
  </si>
  <si>
    <t>478909554</t>
  </si>
  <si>
    <t>ECH PRET DONT CAP 1246,75 ASS. 0,00E INT. 66,71 COM. 0,00E - 5406472</t>
  </si>
  <si>
    <t>480042570</t>
  </si>
  <si>
    <t>COM CB 5667966016 - NB0003/205711 - 0061711</t>
  </si>
  <si>
    <t>480042573</t>
  </si>
  <si>
    <t>FB SUD EST 301124 - 3522032</t>
  </si>
  <si>
    <t>481476229</t>
  </si>
  <si>
    <t>PRLV SEPA BPIFRANCE 4898702 F2412/000583991 RUM-01255916 - 0DA9E13</t>
  </si>
  <si>
    <t>481476212</t>
  </si>
  <si>
    <t>COM CB 5667966016 - NB0001/682551 - 0063551</t>
  </si>
  <si>
    <t>481476197</t>
  </si>
  <si>
    <t>PRLV SEPA Xerox Financia 3812290 FR30PF2112674 - 0DA8UN9</t>
  </si>
  <si>
    <t>481476210</t>
  </si>
  <si>
    <t>ABON CYBERPLUS XCBVX665 2024113000045535000001 HABILITATION P8806895 - 0045535</t>
  </si>
  <si>
    <t>481476192</t>
  </si>
  <si>
    <t>ECH PRET DONT CAP 3506,46 ASS. 0,00E INT. 323,46 COM. 0,00E - 9062097</t>
  </si>
  <si>
    <t>481476196</t>
  </si>
  <si>
    <t>CEF-YESSS ELEC. DIV. SUD REF TIRE:216/30013 ECH:30/11/24 - 3522033</t>
  </si>
  <si>
    <t>481476216</t>
  </si>
  <si>
    <t>COM CB 5667966016 - NB0001/401261 - 0062261</t>
  </si>
  <si>
    <t>481476208</t>
  </si>
  <si>
    <t>PRLV SEPA HOTELIOS Maintenance Mensuelle INFHOTIK C-10-48-201109-10041889-7 - 0DAR8DE</t>
  </si>
  <si>
    <t>481476223</t>
  </si>
  <si>
    <t>PRLV SEPA Orange SA Votre abonnement fixe: 04XXXXX21 ++M0021517012 - 0DA22B8</t>
  </si>
  <si>
    <t>481476242</t>
  </si>
  <si>
    <t>SAMSE 301124 - 3522034</t>
  </si>
  <si>
    <t>481476228</t>
  </si>
  <si>
    <t>481476221</t>
  </si>
  <si>
    <t>481476236</t>
  </si>
  <si>
    <t>481495896</t>
  </si>
  <si>
    <t>VIR SEPA SAPHIRESA SOLDE FACTURE 2024 SOLDE FACTURE 2024 - 4544916</t>
  </si>
  <si>
    <t>482644740</t>
  </si>
  <si>
    <t>VIR SEPA BOOKING.COM facture 1621149740 nh 254064 facture 1621149740 nh 254064 - 4521126</t>
  </si>
  <si>
    <t>482644742</t>
  </si>
  <si>
    <t>COM CB 5667966016 - NB0002/856521 - 0064521</t>
  </si>
  <si>
    <t>482644739</t>
  </si>
  <si>
    <t>VIR SEPA M GARONZI PASCA salire novembre salire novembre - 4568332</t>
  </si>
  <si>
    <t>483988245</t>
  </si>
  <si>
    <t>VIR SEPA sarbacane facture t-24-14402 facture t-24-14402 - 4589453</t>
  </si>
  <si>
    <t>483988235</t>
  </si>
  <si>
    <t>VIR SEPA :5 saison ete 2 P8806895 salaire novembre 202 salaire novembre 2024 - 4572453</t>
  </si>
  <si>
    <t>483988239</t>
  </si>
  <si>
    <t>VIR M LOIC CAMINALE salaire novembre 2024 - 4572689</t>
  </si>
  <si>
    <t>483988238</t>
  </si>
  <si>
    <t>VIR SEPA moulon services facture f/202411/00001950 facture f/202411/00001950 - 4570702</t>
  </si>
  <si>
    <t>483988247</t>
  </si>
  <si>
    <t>VIR SEPA RHONE ALPES LIN regultva de avril 2024 facture 4 regultva de avril 2024 facture 4 - 4570818</t>
  </si>
  <si>
    <t>483988246</t>
  </si>
  <si>
    <t>CHEQUE 241204461610608437367038 1600 21716030000 16106 - 0000254</t>
  </si>
  <si>
    <t>483988241</t>
  </si>
  <si>
    <t>REMBOURSEMENT DE PRET 00001519822 05/12/24 INTERETS</t>
  </si>
  <si>
    <t>483994113</t>
  </si>
  <si>
    <t>REMBOURSEMENT DE PRET 00001519822 05/12/24 CAPITAL</t>
  </si>
  <si>
    <t>483994111</t>
  </si>
  <si>
    <t>PRLV SEPA REGIE SYNDICAT PRELEVEMENT SEBA FR62ZZZ81CBFD-2618032232-29090 - 0DBIHW3</t>
  </si>
  <si>
    <t>485164013</t>
  </si>
  <si>
    <t>PRLV SEPA ASS CONTACT HO REGUL NUM 10/2024 CONTACT HOTEL 0704 - 0DBR4R7</t>
  </si>
  <si>
    <t>485164012</t>
  </si>
  <si>
    <t>PRLV SEPA REGIE SYNDICAT PRELEVEMENT SEBA FR62ZZZ81CBFD-2618032217-29089 - 0DBIH4F</t>
  </si>
  <si>
    <t>485164006</t>
  </si>
  <si>
    <t>COM CB 5667966016 - NB0001/231901 - 0065901</t>
  </si>
  <si>
    <t>485164005</t>
  </si>
  <si>
    <t>VIR SEPA J.PEPIN FACTURE 24178 FACTURE 24178 - 4612569</t>
  </si>
  <si>
    <t>485164007</t>
  </si>
  <si>
    <t>485164014</t>
  </si>
  <si>
    <t>PRELEVEMENT AVEM /INV/NM LOC-11491166 18.11.2024/R/ 2000651648/2214693161 1000-000001045657 FR73ZZZ395135</t>
  </si>
  <si>
    <t>485166782</t>
  </si>
  <si>
    <t>COM CB 5667966016 - NB0001/432711 - 0066711</t>
  </si>
  <si>
    <t>485652879</t>
  </si>
  <si>
    <t>485652882</t>
  </si>
  <si>
    <t>485652883</t>
  </si>
  <si>
    <t>485652881</t>
  </si>
  <si>
    <t>VIR SEPA INTERNET VALON f-2024-022 et f-2024-024 f-2024-022 et f-2024-024 - 4738513</t>
  </si>
  <si>
    <t>486648994</t>
  </si>
  <si>
    <t>ECH PRET DONT CAP 1037,65 ASS. 0,00E INT. 118,45 COM. 0,00E - 9062098</t>
  </si>
  <si>
    <t>486648996</t>
  </si>
  <si>
    <t>COM CB 5667966016 - NB0001/875521 - 0068521</t>
  </si>
  <si>
    <t>486649008</t>
  </si>
  <si>
    <t>VIR SEPA AGIR RECOUVREME solde facture 2023/2024 customer solde facture 2023-2024 customer - 4747952</t>
  </si>
  <si>
    <t>486649006</t>
  </si>
  <si>
    <t>COM CB 5667966016 - NB0001/601131 - 0067131</t>
  </si>
  <si>
    <t>486648993</t>
  </si>
  <si>
    <t>PRLV SEPA Orange SA Votre abonnement internet (factu M0037206468 - 0DBXKOX</t>
  </si>
  <si>
    <t>486648997</t>
  </si>
  <si>
    <t>VIR SEPA SARL FROID CUIS FF24090189+24090179+24090052 FF24090189+24090179+24090052 - 4750441</t>
  </si>
  <si>
    <t>486649009</t>
  </si>
  <si>
    <t>ECH PRET DONT CAP 797,51 ASS. 0,00E INT. 73,57 COM. 0,00E - 9062099</t>
  </si>
  <si>
    <t>486648998</t>
  </si>
  <si>
    <t>486649005</t>
  </si>
  <si>
    <t>PRLV SEPA PREFILOC CAPIT F240706142 PRE000121421 - 0DCPTXW</t>
  </si>
  <si>
    <t>487521967</t>
  </si>
  <si>
    <t>CYBER+ PAIEMENT ABONNEMT XCPSD033 2024121000054093000001 ABONNEMENT PSD0006262976 - 0054093</t>
  </si>
  <si>
    <t>487521968</t>
  </si>
  <si>
    <t>091224 CB****9655 CCM AUBENAS ET FR AUBENAS 660,00EUR 1 EURO = 1,000000 - FV884XS</t>
  </si>
  <si>
    <t>487521972</t>
  </si>
  <si>
    <t>AMZN Mktp FR*TZ</t>
  </si>
  <si>
    <t>487521969</t>
  </si>
  <si>
    <t>AMZN Mktp FR*IB</t>
  </si>
  <si>
    <t>487521962</t>
  </si>
  <si>
    <t>487521973</t>
  </si>
  <si>
    <t>487521965</t>
  </si>
  <si>
    <t>VIR SEPA REGIE DE RECETT ABV2076362601ERAP+ABV2076262601E ABV2076362601ERAP+ABV2076262601E - 4746113</t>
  </si>
  <si>
    <t>488326732</t>
  </si>
  <si>
    <t>PRLV SEPA REGIE SYNDICAT PRELEVEMENT SEBA FR62ZZZ81CBFD-3418-28223 - 0DDEZ85</t>
  </si>
  <si>
    <t>488326731</t>
  </si>
  <si>
    <t>VIR SEPA REGIE DE RECETT ABV2076362265ERAP ABV2076362265ERAP - 4746227</t>
  </si>
  <si>
    <t>488326734</t>
  </si>
  <si>
    <t>VIR SEPA sdez rhone alpe facture 5 facture 5 - 4749907</t>
  </si>
  <si>
    <t>488326733</t>
  </si>
  <si>
    <t>PAIEMENT PAR CARTE X7976 DECOR DISCOUNT AUBEN 10/12</t>
  </si>
  <si>
    <t>488339776</t>
  </si>
  <si>
    <t>PRELEVEMENT Noelse France CPREL2412011001785 S6239571919-2239646 FR80ZZZ328855</t>
  </si>
  <si>
    <t>488339774</t>
  </si>
  <si>
    <t>COM CB 5667966016 - NB0001/468541 - 0069541</t>
  </si>
  <si>
    <t>489203891</t>
  </si>
  <si>
    <t>PRLV SEPA CEGID SAS FA002-01376296 00RC0000019770055000002B00 - 0DCONVH</t>
  </si>
  <si>
    <t>489203890</t>
  </si>
  <si>
    <t>489203893</t>
  </si>
  <si>
    <t>BISTROT UMAMI</t>
  </si>
  <si>
    <t>489203892</t>
  </si>
  <si>
    <t>489207030</t>
  </si>
  <si>
    <t>COM CB 5667966016 - NB0002/649151 - 0070151</t>
  </si>
  <si>
    <t>489740165</t>
  </si>
  <si>
    <t>489740163</t>
  </si>
  <si>
    <t>489975002</t>
  </si>
  <si>
    <t>489975001</t>
  </si>
  <si>
    <t>COM CB 5667966016 - NB0001/102951 - 0071951</t>
  </si>
  <si>
    <t>490789351</t>
  </si>
  <si>
    <t>PRLV SEPA URSSAF RHONE A UR 827000002110121762 NOV 247 T1430653867203200001297356941940 - 0DEAQ54</t>
  </si>
  <si>
    <t>490789344</t>
  </si>
  <si>
    <t>PRLV SEPA URSSAF RHONE A UR 827000002110121762 MAI 247 T1430653867203200001297356941940 - 0DEAPL7</t>
  </si>
  <si>
    <t>490789349</t>
  </si>
  <si>
    <t>PRLV SEPA IWINERESTO XXZZZA00272820067113 - 0DDY7QH</t>
  </si>
  <si>
    <t>490789341</t>
  </si>
  <si>
    <t>VIR SEPA MADAME AUBRY CA P8806895 Salaire - 4963722</t>
  </si>
  <si>
    <t>490789347</t>
  </si>
  <si>
    <t>PRLV SEPA URSSAF RHONE A UR 827000002110121762 OCT 247 T1430653867203200001297356941940 - 0DEAP1T</t>
  </si>
  <si>
    <t>490789340</t>
  </si>
  <si>
    <t>VIR SEPA AUBRY ALEXANDRA P8806895 Avance - 4963788</t>
  </si>
  <si>
    <t>490789343</t>
  </si>
  <si>
    <t>PRLV SEPA Free Pro FACTURE FREEPRO 16/12/2024 F2024 JNRUMSATHERMALECLIMA020230706103 - 0DDEQCH</t>
  </si>
  <si>
    <t>490789348</t>
  </si>
  <si>
    <t>PRLV SEPA SOLOCAL SA 204 /INV/FORM:0001674324/27.11.2024/ 02937492002 - 0DDWRKM</t>
  </si>
  <si>
    <t>490789345</t>
  </si>
  <si>
    <t>Amazon Prime*60</t>
  </si>
  <si>
    <t>490789346</t>
  </si>
  <si>
    <t>AMZN Mktp FR*5T</t>
  </si>
  <si>
    <t>490789342</t>
  </si>
  <si>
    <t>490796766</t>
  </si>
  <si>
    <t>PRLV SEPA EDF SA THERMALE CLIMATIQUE D Ref EDF MA970001250911 - 0DEG10Z</t>
  </si>
  <si>
    <t>491727296</t>
  </si>
  <si>
    <t>PRLV SEPA MF GRAND HOTEL DES BAINS PAR PRELEV A0701020241015102338480000000000 - 0DEINON</t>
  </si>
  <si>
    <t>491727297</t>
  </si>
  <si>
    <t>FACEBK *XTAL5GC</t>
  </si>
  <si>
    <t>491727299</t>
  </si>
  <si>
    <t>FACEBK *YEML5GC</t>
  </si>
  <si>
    <t>491727298</t>
  </si>
  <si>
    <t>COM CB 5667966016 - NB0001/462001 - 0072001</t>
  </si>
  <si>
    <t>492484089</t>
  </si>
  <si>
    <t>COM CB 5667966016 - NB0002/612071 - 0073071</t>
  </si>
  <si>
    <t>493458414</t>
  </si>
  <si>
    <t>VIR SEPA Cafes richard 0909541239 0909541239 - 5059098</t>
  </si>
  <si>
    <t>493458407</t>
  </si>
  <si>
    <t>PRLV SEPA Orange SA-ORAN Votre abonnement mobile: 06XXXXX ++M0017687880 - 0DETQ1X</t>
  </si>
  <si>
    <t>493458406</t>
  </si>
  <si>
    <t>VIR SEPA SARL SUD BUREAU FC-025932+026740 FC-025932+026740 - 5059009</t>
  </si>
  <si>
    <t>493458411</t>
  </si>
  <si>
    <t>VIR SEPA SARL SUD BUREAU fc-026280 fc-026280 - 5058873</t>
  </si>
  <si>
    <t>493458410</t>
  </si>
  <si>
    <t>VIR SEPA BOOKING.COM facture 1621122541 nh 57616 facture 1621122541 nh 57616 - 5058652</t>
  </si>
  <si>
    <t>493458405</t>
  </si>
  <si>
    <t>VIR SEPA CLAIR ET NET 24/8778 24/8778 - 5059164</t>
  </si>
  <si>
    <t>493458413</t>
  </si>
  <si>
    <t>PRLV SEPA Autoroutes du KK004313740041376270 112024 ++25004137627001188445 - 0DDLUCH</t>
  </si>
  <si>
    <t>493458412</t>
  </si>
  <si>
    <t>493458409</t>
  </si>
  <si>
    <t>PAIEMENT PAR CARTE X7976 INTERMARCHELALEVADE 18/12</t>
  </si>
  <si>
    <t>493460801</t>
  </si>
  <si>
    <t>493973962</t>
  </si>
  <si>
    <t>PAIEMENT PAR CARTE X7976 Zettle_*MON BOULANGE 19/12</t>
  </si>
  <si>
    <t>493975580</t>
  </si>
  <si>
    <t>494197582</t>
  </si>
  <si>
    <t>COM CB 5667966016 - NB0001/135561 - 0075561</t>
  </si>
  <si>
    <t>494774914</t>
  </si>
  <si>
    <t>PRLV SEPA Orange SA Votre abonnement fibre (facture: EPCB202311295646844 - 0DEKKPU</t>
  </si>
  <si>
    <t>494774921</t>
  </si>
  <si>
    <t>VIR SEPA M GARONZI PASCA salaire decembre salaire decembre - 5189054</t>
  </si>
  <si>
    <t>494774917</t>
  </si>
  <si>
    <t>CHEQUE 20241222204E009731800523 1600 1027802722000598827410278 - 0000253</t>
  </si>
  <si>
    <t>494774923</t>
  </si>
  <si>
    <t>COM CB 5667966016 - NB0001/982771 - 0074771</t>
  </si>
  <si>
    <t>494774920</t>
  </si>
  <si>
    <t>PRLV SEPA Orange SA Votre abonnement fixe: 04XXXXX98 M0049215427 - 0DEKKQQ</t>
  </si>
  <si>
    <t>494774915</t>
  </si>
  <si>
    <t>PRLV SEPA Orange SA Votre abonnement fixe: 04XXXXX52 M0036834648 - 0DEKKLN</t>
  </si>
  <si>
    <t>494774913</t>
  </si>
  <si>
    <t>494774912</t>
  </si>
  <si>
    <t>494774924</t>
  </si>
  <si>
    <t>PRLV INT ETS DGFIP PASDSN16122024-112024-3867203200 NN386720320DGFIP2020807504KDIIJX - 0DF4JE6</t>
  </si>
  <si>
    <t>495310964</t>
  </si>
  <si>
    <t>COM CB 5667966016 - NB0002/518351 - 0076351</t>
  </si>
  <si>
    <t>495520518</t>
  </si>
  <si>
    <t>VIR SEPA CABINET IMBERT fact 19/12/2024 005001 190040 fact 19/12/2024 005001 190040 - 5286203</t>
  </si>
  <si>
    <t>495896552</t>
  </si>
  <si>
    <t>PRLV SEPA EDF SA THERMALE CLIMATIQUE D Ref EDF MA970001250911 - 0DFEIYR</t>
  </si>
  <si>
    <t>495896556</t>
  </si>
  <si>
    <t>VIR SEPA GROUPAMA police 100071544201 prim 0004183 police 100071544201 prim 0004183 - 5287604</t>
  </si>
  <si>
    <t>495896551</t>
  </si>
  <si>
    <t>PRLV SEPA Orange SA Votre abonnement mobile: 06XXXXX ++M0003219595 - 0DFB3FX</t>
  </si>
  <si>
    <t>495896555</t>
  </si>
  <si>
    <t>PRLV SEPA DIRECTION GENE 0704738672032000012222 NNFR46ZZZ005002P007000329105 - 0DEH43S</t>
  </si>
  <si>
    <t>495896554</t>
  </si>
  <si>
    <t>PRLV SEPA GIE KLESIA COT RETRAITE - GIE KLESIA COTIS - 20 SCG023URAE000659949S - 0DFGOAC</t>
  </si>
  <si>
    <t>495896557</t>
  </si>
  <si>
    <t>VIR SEPA :4 saison ete 2 P8806895 salaire decembre 2024 - 5286453</t>
  </si>
  <si>
    <t>495896553</t>
  </si>
  <si>
    <t>496349122</t>
  </si>
  <si>
    <t>PRLV SEPA LOCAM PRELEVEMENT LOCAM PARTENAIRE DE LD159120820200062519 - 0DFWUHT</t>
  </si>
  <si>
    <t>497300853</t>
  </si>
  <si>
    <t>SAMSE 311224 - 3976023</t>
  </si>
  <si>
    <t>497300850</t>
  </si>
  <si>
    <t>COM CB 5667966016 - NB0001/926911 - 0077911</t>
  </si>
  <si>
    <t>497300852</t>
  </si>
  <si>
    <t>PRLV SEPA IDEAL PEINTURE FA4015153 GRAND HOTEL LES BAINS-12/2021-00 - 0DFMNPU</t>
  </si>
  <si>
    <t>497300849</t>
  </si>
  <si>
    <t>VIR SEPA M LOIC CAMINALE salaire decembre 2024 salaire decembre 2024 - 5386841</t>
  </si>
  <si>
    <t>497300847</t>
  </si>
  <si>
    <t>CANVA* I04379-2</t>
  </si>
  <si>
    <t>497300848</t>
  </si>
  <si>
    <t>507272782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</si>
</sst>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.00"/>
  </numFmts>
  <fonts count="4" x14ac:knownFonts="1">
    <font>
      <sz val="11"/>
      <name val="Calibri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EEC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medium">
        <color rgb="FF9E9E9E"/>
      </top>
      <bottom/>
      <diagonal/>
    </border>
    <border>
      <left/>
      <right/>
      <top/>
      <bottom style="medium">
        <color rgb="FF9E9E9E"/>
      </bottom>
      <diagonal/>
    </border>
    <border>
      <left style="medium">
        <color rgb="FF9E9E9E"/>
      </left>
      <right/>
      <top style="medium">
        <color rgb="FF9E9E9E"/>
      </top>
      <bottom/>
      <diagonal/>
    </border>
    <border>
      <left style="medium">
        <color rgb="FF9E9E9E"/>
      </left>
      <right/>
      <top/>
      <bottom/>
      <diagonal/>
    </border>
    <border>
      <left style="medium">
        <color rgb="FF9E9E9E"/>
      </left>
      <right/>
      <top/>
      <bottom style="medium">
        <color rgb="FF9E9E9E"/>
      </bottom>
      <diagonal/>
    </border>
    <border>
      <left/>
      <right style="medium">
        <color rgb="FF9E9E9E"/>
      </right>
      <top style="medium">
        <color rgb="FF9E9E9E"/>
      </top>
      <bottom/>
      <diagonal/>
    </border>
    <border>
      <left/>
      <right style="medium">
        <color rgb="FF9E9E9E"/>
      </right>
      <top/>
      <bottom/>
      <diagonal/>
    </border>
    <border>
      <left/>
      <right style="medium">
        <color rgb="FF9E9E9E"/>
      </right>
      <top/>
      <bottom style="medium">
        <color rgb="FF9E9E9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2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3" borderId="0" xfId="0" applyFill="1"/>
    <xf numFmtId="0" fontId="1" fillId="0" borderId="4" xfId="0" applyFont="1" applyBorder="1" applyAlignment="1">
      <alignment horizontal="center"/>
    </xf>
    <xf numFmtId="0" fontId="0" fillId="0" borderId="0" xfId="0"/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9877425</xdr:colOff>
      <xdr:row>0</xdr:row>
      <xdr:rowOff>47625</xdr:rowOff>
    </xdr:from>
    <xdr:ext cx="1323975" cy="323850"/>
    <xdr:pic>
      <xdr:nvPicPr>
        <xdr:cNvPr id="2" name="Agicap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5CXUS169UA" displayName="table25CXUS169UA" ref="A4:P2949">
  <autoFilter ref="A4:P2949" xr:uid="{00000000-0009-0000-0100-000001000000}">
    <filterColumn colId="0">
      <customFilters>
        <customFilter operator="notEqual" val=" "/>
      </customFilters>
    </filterColumn>
  </autoFilter>
  <tableColumns count="16">
    <tableColumn id="1" xr3:uid="{00000000-0010-0000-0000-000001000000}" name="Type d'opération"/>
    <tableColumn id="2" xr3:uid="{00000000-0010-0000-0000-000002000000}" name="Catégorie détaillée"/>
    <tableColumn id="3" xr3:uid="{00000000-0010-0000-0000-000003000000}" name="Catégorie"/>
    <tableColumn id="4" xr3:uid="{00000000-0010-0000-0000-000004000000}" name="Intitulé"/>
    <tableColumn id="5" xr3:uid="{00000000-0010-0000-0000-000005000000}" name="Montant TTC"/>
    <tableColumn id="6" xr3:uid="{00000000-0010-0000-0000-000006000000}" name="Date de règlement"/>
    <tableColumn id="7" xr3:uid="{00000000-0010-0000-0000-000007000000}" name="Date de facturation"/>
    <tableColumn id="8" xr3:uid="{00000000-0010-0000-0000-000008000000}" name="Identifiant unique de l'opération"/>
    <tableColumn id="9" xr3:uid="{00000000-0010-0000-0000-000009000000}" name="Compte bancaire"/>
    <tableColumn id="10" xr3:uid="{00000000-0010-0000-0000-00000A000000}" name="Mémo"/>
    <tableColumn id="11" xr3:uid="{00000000-0010-0000-0000-00000B000000}" name="Entreprise"/>
    <tableColumn id="12" xr3:uid="{00000000-0010-0000-0000-00000C000000}" name="Devise"/>
    <tableColumn id="13" xr3:uid="{00000000-0010-0000-0000-00000D000000}" name="Réconcilié"/>
    <tableColumn id="14" xr3:uid="{00000000-0010-0000-0000-00000E000000}" name="Ignorée"/>
    <tableColumn id="15" xr3:uid="{00000000-0010-0000-0000-00000F000000}" name="Synchronisée"/>
    <tableColumn id="16" xr3:uid="{00000000-0010-0000-0000-000010000000}" name="External Id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000"/>
  <sheetViews>
    <sheetView tabSelected="1" topLeftCell="B2879" workbookViewId="0">
      <selection activeCell="D2894" sqref="D2894"/>
    </sheetView>
  </sheetViews>
  <sheetFormatPr baseColWidth="10" defaultColWidth="8.83203125" defaultRowHeight="15" x14ac:dyDescent="0.2"/>
  <cols>
    <col min="1" max="1" width="18.83203125" customWidth="1"/>
    <col min="2" max="2" width="51" customWidth="1"/>
    <col min="3" max="3" width="36.1640625" customWidth="1"/>
    <col min="4" max="4" width="170" customWidth="1"/>
    <col min="5" max="5" width="15.5" customWidth="1"/>
    <col min="6" max="6" width="20" customWidth="1"/>
    <col min="7" max="7" width="20.83203125" customWidth="1"/>
    <col min="8" max="8" width="33.5" customWidth="1"/>
    <col min="9" max="9" width="77.5" customWidth="1"/>
    <col min="10" max="10" width="9.5" customWidth="1"/>
    <col min="11" max="11" width="21.83203125" customWidth="1"/>
    <col min="12" max="12" width="9.33203125" customWidth="1"/>
    <col min="13" max="13" width="12.6640625" customWidth="1"/>
    <col min="14" max="14" width="10.83203125" customWidth="1"/>
    <col min="15" max="15" width="15.83203125" customWidth="1"/>
    <col min="16" max="16" width="13.5" customWidth="1"/>
    <col min="17" max="51" width="9.1640625" customWidth="1"/>
  </cols>
  <sheetData>
    <row r="1" spans="1:51" ht="30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19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</row>
    <row r="3" spans="1:51" ht="21" x14ac:dyDescent="0.25">
      <c r="A3" s="15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</row>
    <row r="4" spans="1:51" x14ac:dyDescent="0.2">
      <c r="A4" s="5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9" t="s">
        <v>16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x14ac:dyDescent="0.2">
      <c r="A5" s="6" t="s">
        <v>17</v>
      </c>
      <c r="B5" t="s">
        <v>18</v>
      </c>
      <c r="C5" t="s">
        <v>18</v>
      </c>
      <c r="D5" t="s">
        <v>19</v>
      </c>
      <c r="E5" s="2">
        <v>82.5</v>
      </c>
      <c r="F5" s="3">
        <f>DATE(2024,1,2)</f>
        <v>45293</v>
      </c>
      <c r="G5" s="3">
        <f>DATE(2024,1,2)</f>
        <v>45293</v>
      </c>
      <c r="H5">
        <v>649299969</v>
      </c>
      <c r="I5" t="s">
        <v>20</v>
      </c>
      <c r="K5" t="s">
        <v>21</v>
      </c>
      <c r="L5" t="s">
        <v>22</v>
      </c>
      <c r="M5" t="s">
        <v>23</v>
      </c>
      <c r="N5" t="s">
        <v>23</v>
      </c>
      <c r="O5" t="s">
        <v>24</v>
      </c>
      <c r="P5" s="8" t="s">
        <v>25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x14ac:dyDescent="0.2">
      <c r="A6" s="6" t="s">
        <v>17</v>
      </c>
      <c r="B6" t="s">
        <v>26</v>
      </c>
      <c r="C6" t="s">
        <v>27</v>
      </c>
      <c r="D6" t="s">
        <v>28</v>
      </c>
      <c r="E6" s="2">
        <v>880</v>
      </c>
      <c r="F6" s="3">
        <f>DATE(2024,1,2)</f>
        <v>45293</v>
      </c>
      <c r="G6" s="3">
        <f>DATE(2024,1,2)</f>
        <v>45293</v>
      </c>
      <c r="H6">
        <v>649299970</v>
      </c>
      <c r="I6" t="s">
        <v>20</v>
      </c>
      <c r="K6" t="s">
        <v>21</v>
      </c>
      <c r="L6" t="s">
        <v>22</v>
      </c>
      <c r="M6" t="s">
        <v>23</v>
      </c>
      <c r="N6" t="s">
        <v>23</v>
      </c>
      <c r="O6" t="s">
        <v>24</v>
      </c>
      <c r="P6" s="8" t="s">
        <v>29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x14ac:dyDescent="0.2">
      <c r="A7" s="6" t="s">
        <v>17</v>
      </c>
      <c r="B7" t="s">
        <v>30</v>
      </c>
      <c r="C7" t="s">
        <v>31</v>
      </c>
      <c r="D7" t="s">
        <v>32</v>
      </c>
      <c r="E7" s="2">
        <v>3829.45</v>
      </c>
      <c r="F7" s="3">
        <f>DATE(2024,1,3)</f>
        <v>45294</v>
      </c>
      <c r="G7" s="3">
        <f>DATE(2024,1,3)</f>
        <v>45294</v>
      </c>
      <c r="H7">
        <v>649299971</v>
      </c>
      <c r="I7" t="s">
        <v>20</v>
      </c>
      <c r="K7" t="s">
        <v>21</v>
      </c>
      <c r="L7" t="s">
        <v>22</v>
      </c>
      <c r="M7" t="s">
        <v>23</v>
      </c>
      <c r="N7" t="s">
        <v>23</v>
      </c>
      <c r="O7" t="s">
        <v>24</v>
      </c>
      <c r="P7" s="8" t="s">
        <v>33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x14ac:dyDescent="0.2">
      <c r="A8" s="6" t="s">
        <v>17</v>
      </c>
      <c r="B8" t="s">
        <v>34</v>
      </c>
      <c r="C8" t="s">
        <v>35</v>
      </c>
      <c r="D8" t="s">
        <v>36</v>
      </c>
      <c r="E8" s="2">
        <v>102.16</v>
      </c>
      <c r="F8" s="3">
        <f t="shared" ref="F8:G12" si="0">DATE(2024,1,2)</f>
        <v>45293</v>
      </c>
      <c r="G8" s="3">
        <f t="shared" si="0"/>
        <v>45293</v>
      </c>
      <c r="H8">
        <v>649299972</v>
      </c>
      <c r="I8" t="s">
        <v>20</v>
      </c>
      <c r="K8" t="s">
        <v>21</v>
      </c>
      <c r="L8" t="s">
        <v>22</v>
      </c>
      <c r="M8" t="s">
        <v>23</v>
      </c>
      <c r="N8" t="s">
        <v>23</v>
      </c>
      <c r="O8" t="s">
        <v>24</v>
      </c>
      <c r="P8" s="8" t="s">
        <v>37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x14ac:dyDescent="0.2">
      <c r="A9" s="6" t="s">
        <v>17</v>
      </c>
      <c r="B9" t="s">
        <v>38</v>
      </c>
      <c r="C9" t="s">
        <v>39</v>
      </c>
      <c r="D9" t="s">
        <v>40</v>
      </c>
      <c r="E9" s="2">
        <v>1330</v>
      </c>
      <c r="F9" s="3">
        <f t="shared" si="0"/>
        <v>45293</v>
      </c>
      <c r="G9" s="3">
        <f t="shared" si="0"/>
        <v>45293</v>
      </c>
      <c r="H9">
        <v>649299973</v>
      </c>
      <c r="I9" t="s">
        <v>20</v>
      </c>
      <c r="K9" t="s">
        <v>21</v>
      </c>
      <c r="L9" t="s">
        <v>22</v>
      </c>
      <c r="M9" t="s">
        <v>23</v>
      </c>
      <c r="N9" t="s">
        <v>23</v>
      </c>
      <c r="O9" t="s">
        <v>24</v>
      </c>
      <c r="P9" s="8" t="s">
        <v>41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x14ac:dyDescent="0.2">
      <c r="A10" s="6" t="s">
        <v>17</v>
      </c>
      <c r="B10" t="s">
        <v>34</v>
      </c>
      <c r="C10" t="s">
        <v>35</v>
      </c>
      <c r="D10" t="s">
        <v>42</v>
      </c>
      <c r="E10" s="2">
        <v>190.08</v>
      </c>
      <c r="F10" s="3">
        <f t="shared" si="0"/>
        <v>45293</v>
      </c>
      <c r="G10" s="3">
        <f t="shared" si="0"/>
        <v>45293</v>
      </c>
      <c r="H10">
        <v>649299974</v>
      </c>
      <c r="I10" t="s">
        <v>20</v>
      </c>
      <c r="K10" t="s">
        <v>21</v>
      </c>
      <c r="L10" t="s">
        <v>22</v>
      </c>
      <c r="M10" t="s">
        <v>23</v>
      </c>
      <c r="N10" t="s">
        <v>23</v>
      </c>
      <c r="O10" t="s">
        <v>24</v>
      </c>
      <c r="P10" s="8" t="s">
        <v>43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x14ac:dyDescent="0.2">
      <c r="A11" s="6" t="s">
        <v>17</v>
      </c>
      <c r="B11" t="s">
        <v>44</v>
      </c>
      <c r="C11" t="s">
        <v>45</v>
      </c>
      <c r="D11" t="s">
        <v>46</v>
      </c>
      <c r="E11" s="2">
        <v>562.07000000000005</v>
      </c>
      <c r="F11" s="3">
        <f t="shared" si="0"/>
        <v>45293</v>
      </c>
      <c r="G11" s="3">
        <f t="shared" si="0"/>
        <v>45293</v>
      </c>
      <c r="H11">
        <v>649299975</v>
      </c>
      <c r="I11" t="s">
        <v>20</v>
      </c>
      <c r="K11" t="s">
        <v>21</v>
      </c>
      <c r="L11" t="s">
        <v>22</v>
      </c>
      <c r="M11" t="s">
        <v>23</v>
      </c>
      <c r="N11" t="s">
        <v>23</v>
      </c>
      <c r="O11" t="s">
        <v>24</v>
      </c>
      <c r="P11" s="8" t="s">
        <v>47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x14ac:dyDescent="0.2">
      <c r="A12" s="6" t="s">
        <v>17</v>
      </c>
      <c r="B12" t="s">
        <v>44</v>
      </c>
      <c r="C12" t="s">
        <v>45</v>
      </c>
      <c r="D12" t="s">
        <v>48</v>
      </c>
      <c r="E12" s="2">
        <v>3939.59</v>
      </c>
      <c r="F12" s="3">
        <f t="shared" si="0"/>
        <v>45293</v>
      </c>
      <c r="G12" s="3">
        <f t="shared" si="0"/>
        <v>45293</v>
      </c>
      <c r="H12">
        <v>649299976</v>
      </c>
      <c r="I12" t="s">
        <v>20</v>
      </c>
      <c r="K12" t="s">
        <v>21</v>
      </c>
      <c r="L12" t="s">
        <v>22</v>
      </c>
      <c r="M12" t="s">
        <v>23</v>
      </c>
      <c r="N12" t="s">
        <v>23</v>
      </c>
      <c r="O12" t="s">
        <v>24</v>
      </c>
      <c r="P12" s="8" t="s">
        <v>49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x14ac:dyDescent="0.2">
      <c r="A13" s="6" t="s">
        <v>17</v>
      </c>
      <c r="B13" t="s">
        <v>26</v>
      </c>
      <c r="C13" t="s">
        <v>27</v>
      </c>
      <c r="D13" t="s">
        <v>50</v>
      </c>
      <c r="E13" s="2">
        <v>309.12</v>
      </c>
      <c r="F13" s="3">
        <f>DATE(2024,1,1)</f>
        <v>45292</v>
      </c>
      <c r="G13" s="3">
        <f>DATE(2024,1,1)</f>
        <v>45292</v>
      </c>
      <c r="H13">
        <v>649299979</v>
      </c>
      <c r="I13" t="s">
        <v>51</v>
      </c>
      <c r="K13" t="s">
        <v>21</v>
      </c>
      <c r="L13" t="s">
        <v>22</v>
      </c>
      <c r="M13" t="s">
        <v>23</v>
      </c>
      <c r="N13" t="s">
        <v>23</v>
      </c>
      <c r="O13" t="s">
        <v>24</v>
      </c>
      <c r="P13" s="8" t="s">
        <v>52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x14ac:dyDescent="0.2">
      <c r="A14" s="6" t="s">
        <v>17</v>
      </c>
      <c r="B14" t="s">
        <v>18</v>
      </c>
      <c r="C14" t="s">
        <v>18</v>
      </c>
      <c r="D14" t="s">
        <v>53</v>
      </c>
      <c r="E14" s="2">
        <v>1.42</v>
      </c>
      <c r="F14" s="3">
        <f t="shared" ref="F14:G18" si="1">DATE(2024,1,3)</f>
        <v>45294</v>
      </c>
      <c r="G14" s="3">
        <f t="shared" si="1"/>
        <v>45294</v>
      </c>
      <c r="H14">
        <v>651112350</v>
      </c>
      <c r="I14" t="s">
        <v>20</v>
      </c>
      <c r="K14" t="s">
        <v>21</v>
      </c>
      <c r="L14" t="s">
        <v>22</v>
      </c>
      <c r="M14" t="s">
        <v>23</v>
      </c>
      <c r="N14" t="s">
        <v>23</v>
      </c>
      <c r="O14" t="s">
        <v>24</v>
      </c>
      <c r="P14" s="8" t="s">
        <v>54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x14ac:dyDescent="0.2">
      <c r="A15" s="6" t="s">
        <v>17</v>
      </c>
      <c r="B15" t="s">
        <v>18</v>
      </c>
      <c r="C15" t="s">
        <v>18</v>
      </c>
      <c r="D15" t="s">
        <v>55</v>
      </c>
      <c r="E15" s="2">
        <v>12.92</v>
      </c>
      <c r="F15" s="3">
        <f t="shared" si="1"/>
        <v>45294</v>
      </c>
      <c r="G15" s="3">
        <f t="shared" si="1"/>
        <v>45294</v>
      </c>
      <c r="H15">
        <v>651112351</v>
      </c>
      <c r="I15" t="s">
        <v>20</v>
      </c>
      <c r="K15" t="s">
        <v>21</v>
      </c>
      <c r="L15" t="s">
        <v>22</v>
      </c>
      <c r="M15" t="s">
        <v>23</v>
      </c>
      <c r="N15" t="s">
        <v>23</v>
      </c>
      <c r="O15" t="s">
        <v>24</v>
      </c>
      <c r="P15" s="8" t="s">
        <v>56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x14ac:dyDescent="0.2">
      <c r="A16" s="6" t="s">
        <v>17</v>
      </c>
      <c r="B16" t="s">
        <v>57</v>
      </c>
      <c r="C16" t="s">
        <v>58</v>
      </c>
      <c r="D16" t="s">
        <v>59</v>
      </c>
      <c r="E16" s="2">
        <v>214.4</v>
      </c>
      <c r="F16" s="3">
        <f t="shared" si="1"/>
        <v>45294</v>
      </c>
      <c r="G16" s="3">
        <f t="shared" si="1"/>
        <v>45294</v>
      </c>
      <c r="H16">
        <v>651112352</v>
      </c>
      <c r="I16" t="s">
        <v>20</v>
      </c>
      <c r="K16" t="s">
        <v>21</v>
      </c>
      <c r="L16" t="s">
        <v>22</v>
      </c>
      <c r="M16" t="s">
        <v>23</v>
      </c>
      <c r="N16" t="s">
        <v>23</v>
      </c>
      <c r="O16" t="s">
        <v>24</v>
      </c>
      <c r="P16" s="8" t="s">
        <v>60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x14ac:dyDescent="0.2">
      <c r="A17" s="6" t="s">
        <v>17</v>
      </c>
      <c r="B17" t="s">
        <v>61</v>
      </c>
      <c r="C17" t="s">
        <v>62</v>
      </c>
      <c r="D17" t="s">
        <v>63</v>
      </c>
      <c r="E17" s="2">
        <v>720</v>
      </c>
      <c r="F17" s="3">
        <f t="shared" si="1"/>
        <v>45294</v>
      </c>
      <c r="G17" s="3">
        <f t="shared" si="1"/>
        <v>45294</v>
      </c>
      <c r="H17">
        <v>651112353</v>
      </c>
      <c r="I17" t="s">
        <v>20</v>
      </c>
      <c r="K17" t="s">
        <v>21</v>
      </c>
      <c r="L17" t="s">
        <v>22</v>
      </c>
      <c r="M17" t="s">
        <v>23</v>
      </c>
      <c r="N17" t="s">
        <v>23</v>
      </c>
      <c r="O17" t="s">
        <v>24</v>
      </c>
      <c r="P17" s="8" t="s">
        <v>64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hidden="1" x14ac:dyDescent="0.2">
      <c r="A18" s="6"/>
      <c r="E18" s="2"/>
      <c r="F18" s="3"/>
      <c r="G18" s="3"/>
      <c r="P18" s="8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x14ac:dyDescent="0.2">
      <c r="A19" s="6" t="s">
        <v>17</v>
      </c>
      <c r="B19" t="s">
        <v>65</v>
      </c>
      <c r="C19" t="s">
        <v>66</v>
      </c>
      <c r="D19" t="s">
        <v>67</v>
      </c>
      <c r="E19" s="2">
        <v>89</v>
      </c>
      <c r="F19" s="3">
        <f>DATE(2024,1,4)</f>
        <v>45295</v>
      </c>
      <c r="G19" s="3">
        <f>DATE(2024,1,4)</f>
        <v>45295</v>
      </c>
      <c r="H19">
        <v>652871244</v>
      </c>
      <c r="I19" t="s">
        <v>20</v>
      </c>
      <c r="K19" t="s">
        <v>21</v>
      </c>
      <c r="L19" t="s">
        <v>22</v>
      </c>
      <c r="M19" t="s">
        <v>23</v>
      </c>
      <c r="N19" t="s">
        <v>23</v>
      </c>
      <c r="O19" t="s">
        <v>24</v>
      </c>
      <c r="P19" s="8" t="s">
        <v>68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hidden="1" x14ac:dyDescent="0.2">
      <c r="A20" s="6"/>
      <c r="E20" s="2"/>
      <c r="F20" s="3"/>
      <c r="G20" s="3"/>
      <c r="P20" s="8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">
      <c r="A21" s="6" t="s">
        <v>17</v>
      </c>
      <c r="B21" t="s">
        <v>26</v>
      </c>
      <c r="C21" t="s">
        <v>27</v>
      </c>
      <c r="D21" t="s">
        <v>69</v>
      </c>
      <c r="E21" s="2">
        <v>0.5</v>
      </c>
      <c r="F21" s="3">
        <f>DATE(2024,1,2)</f>
        <v>45293</v>
      </c>
      <c r="G21" s="3">
        <f>DATE(2024,1,2)</f>
        <v>45293</v>
      </c>
      <c r="H21">
        <v>652871253</v>
      </c>
      <c r="I21" t="s">
        <v>51</v>
      </c>
      <c r="K21" t="s">
        <v>21</v>
      </c>
      <c r="L21" t="s">
        <v>22</v>
      </c>
      <c r="M21" t="s">
        <v>23</v>
      </c>
      <c r="N21" t="s">
        <v>23</v>
      </c>
      <c r="O21" t="s">
        <v>24</v>
      </c>
      <c r="P21" s="8" t="s">
        <v>70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</row>
    <row r="22" spans="1:51" x14ac:dyDescent="0.2">
      <c r="A22" s="6" t="s">
        <v>17</v>
      </c>
      <c r="B22" t="s">
        <v>26</v>
      </c>
      <c r="C22" t="s">
        <v>27</v>
      </c>
      <c r="D22" t="s">
        <v>71</v>
      </c>
      <c r="E22" s="2">
        <v>32</v>
      </c>
      <c r="F22" s="3">
        <f>DATE(2024,1,3)</f>
        <v>45294</v>
      </c>
      <c r="G22" s="3">
        <f>DATE(2024,1,3)</f>
        <v>45294</v>
      </c>
      <c r="H22">
        <v>652871254</v>
      </c>
      <c r="I22" t="s">
        <v>51</v>
      </c>
      <c r="K22" t="s">
        <v>21</v>
      </c>
      <c r="L22" t="s">
        <v>22</v>
      </c>
      <c r="M22" t="s">
        <v>23</v>
      </c>
      <c r="N22" t="s">
        <v>23</v>
      </c>
      <c r="O22" t="s">
        <v>24</v>
      </c>
      <c r="P22" s="8" t="s">
        <v>72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hidden="1" x14ac:dyDescent="0.2">
      <c r="A23" s="6"/>
      <c r="E23" s="2"/>
      <c r="F23" s="3"/>
      <c r="G23" s="3"/>
      <c r="P23" s="8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x14ac:dyDescent="0.2">
      <c r="A24" s="6" t="s">
        <v>17</v>
      </c>
      <c r="B24" t="s">
        <v>74</v>
      </c>
      <c r="C24" t="s">
        <v>75</v>
      </c>
      <c r="D24" t="s">
        <v>76</v>
      </c>
      <c r="E24" s="2">
        <v>286.69</v>
      </c>
      <c r="F24" s="3">
        <f t="shared" ref="F24:G28" si="2">DATE(2024,1,5)</f>
        <v>45296</v>
      </c>
      <c r="G24" s="3">
        <f t="shared" si="2"/>
        <v>45296</v>
      </c>
      <c r="H24">
        <v>653029615</v>
      </c>
      <c r="I24" t="s">
        <v>73</v>
      </c>
      <c r="K24" t="s">
        <v>21</v>
      </c>
      <c r="L24" t="s">
        <v>22</v>
      </c>
      <c r="M24" t="s">
        <v>23</v>
      </c>
      <c r="N24" t="s">
        <v>23</v>
      </c>
      <c r="O24" t="s">
        <v>24</v>
      </c>
      <c r="P24" s="8" t="s">
        <v>77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">
      <c r="A25" s="6" t="s">
        <v>17</v>
      </c>
      <c r="B25" t="s">
        <v>74</v>
      </c>
      <c r="C25" t="s">
        <v>75</v>
      </c>
      <c r="D25" t="s">
        <v>78</v>
      </c>
      <c r="E25" s="2">
        <v>3566.17</v>
      </c>
      <c r="F25" s="3">
        <f t="shared" si="2"/>
        <v>45296</v>
      </c>
      <c r="G25" s="3">
        <f t="shared" si="2"/>
        <v>45296</v>
      </c>
      <c r="H25">
        <v>653029616</v>
      </c>
      <c r="I25" t="s">
        <v>73</v>
      </c>
      <c r="K25" t="s">
        <v>21</v>
      </c>
      <c r="L25" t="s">
        <v>22</v>
      </c>
      <c r="M25" t="s">
        <v>23</v>
      </c>
      <c r="N25" t="s">
        <v>23</v>
      </c>
      <c r="O25" t="s">
        <v>24</v>
      </c>
      <c r="P25" s="8" t="s">
        <v>79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">
      <c r="A26" s="6" t="s">
        <v>17</v>
      </c>
      <c r="B26" t="s">
        <v>80</v>
      </c>
      <c r="C26" t="s">
        <v>81</v>
      </c>
      <c r="D26" t="s">
        <v>82</v>
      </c>
      <c r="E26" s="2">
        <v>398.09</v>
      </c>
      <c r="F26" s="3">
        <f t="shared" si="2"/>
        <v>45296</v>
      </c>
      <c r="G26" s="3">
        <f t="shared" si="2"/>
        <v>45296</v>
      </c>
      <c r="H26">
        <v>653683242</v>
      </c>
      <c r="I26" t="s">
        <v>20</v>
      </c>
      <c r="K26" t="s">
        <v>21</v>
      </c>
      <c r="L26" t="s">
        <v>22</v>
      </c>
      <c r="M26" t="s">
        <v>23</v>
      </c>
      <c r="N26" t="s">
        <v>23</v>
      </c>
      <c r="O26" t="s">
        <v>24</v>
      </c>
      <c r="P26" s="8" t="s">
        <v>83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x14ac:dyDescent="0.2">
      <c r="A27" s="6" t="s">
        <v>17</v>
      </c>
      <c r="B27" t="s">
        <v>80</v>
      </c>
      <c r="C27" t="s">
        <v>81</v>
      </c>
      <c r="D27" t="s">
        <v>84</v>
      </c>
      <c r="E27" s="2">
        <v>303.77</v>
      </c>
      <c r="F27" s="3">
        <f t="shared" si="2"/>
        <v>45296</v>
      </c>
      <c r="G27" s="3">
        <f t="shared" si="2"/>
        <v>45296</v>
      </c>
      <c r="H27">
        <v>653683243</v>
      </c>
      <c r="I27" t="s">
        <v>20</v>
      </c>
      <c r="K27" t="s">
        <v>21</v>
      </c>
      <c r="L27" t="s">
        <v>22</v>
      </c>
      <c r="M27" t="s">
        <v>23</v>
      </c>
      <c r="N27" t="s">
        <v>23</v>
      </c>
      <c r="O27" t="s">
        <v>24</v>
      </c>
      <c r="P27" s="8" t="s">
        <v>85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x14ac:dyDescent="0.2">
      <c r="A28" s="6" t="s">
        <v>17</v>
      </c>
      <c r="B28" t="s">
        <v>18</v>
      </c>
      <c r="C28" t="s">
        <v>18</v>
      </c>
      <c r="D28" t="s">
        <v>86</v>
      </c>
      <c r="E28" s="2">
        <v>12</v>
      </c>
      <c r="F28" s="3">
        <f t="shared" si="2"/>
        <v>45296</v>
      </c>
      <c r="G28" s="3">
        <f t="shared" si="2"/>
        <v>45296</v>
      </c>
      <c r="H28">
        <v>653792599</v>
      </c>
      <c r="I28" t="s">
        <v>73</v>
      </c>
      <c r="K28" t="s">
        <v>21</v>
      </c>
      <c r="L28" t="s">
        <v>22</v>
      </c>
      <c r="M28" t="s">
        <v>23</v>
      </c>
      <c r="N28" t="s">
        <v>23</v>
      </c>
      <c r="O28" t="s">
        <v>24</v>
      </c>
      <c r="P28" s="8" t="s">
        <v>87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x14ac:dyDescent="0.2">
      <c r="A29" s="6" t="s">
        <v>17</v>
      </c>
      <c r="B29" t="s">
        <v>57</v>
      </c>
      <c r="C29" t="s">
        <v>58</v>
      </c>
      <c r="D29" t="s">
        <v>88</v>
      </c>
      <c r="E29" s="2">
        <v>50.1</v>
      </c>
      <c r="F29" s="3">
        <f>DATE(2024,1,8)</f>
        <v>45299</v>
      </c>
      <c r="G29" s="3">
        <f>DATE(2024,1,8)</f>
        <v>45299</v>
      </c>
      <c r="H29">
        <v>655548341</v>
      </c>
      <c r="I29" t="s">
        <v>20</v>
      </c>
      <c r="K29" t="s">
        <v>21</v>
      </c>
      <c r="L29" t="s">
        <v>22</v>
      </c>
      <c r="M29" t="s">
        <v>23</v>
      </c>
      <c r="N29" t="s">
        <v>23</v>
      </c>
      <c r="O29" t="s">
        <v>24</v>
      </c>
      <c r="P29" s="8" t="s">
        <v>89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hidden="1" x14ac:dyDescent="0.2">
      <c r="A30" s="6"/>
      <c r="E30" s="2"/>
      <c r="F30" s="3"/>
      <c r="G30" s="3"/>
      <c r="P30" s="8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x14ac:dyDescent="0.2">
      <c r="A31" s="6" t="s">
        <v>17</v>
      </c>
      <c r="B31" t="s">
        <v>30</v>
      </c>
      <c r="C31" t="s">
        <v>31</v>
      </c>
      <c r="D31" t="s">
        <v>90</v>
      </c>
      <c r="E31" s="2">
        <v>835.23</v>
      </c>
      <c r="F31" s="3">
        <f>DATE(2024,1,9)</f>
        <v>45300</v>
      </c>
      <c r="G31" s="3">
        <f>DATE(2024,1,9)</f>
        <v>45300</v>
      </c>
      <c r="H31">
        <v>655548343</v>
      </c>
      <c r="I31" t="s">
        <v>20</v>
      </c>
      <c r="K31" t="s">
        <v>21</v>
      </c>
      <c r="L31" t="s">
        <v>22</v>
      </c>
      <c r="M31" t="s">
        <v>23</v>
      </c>
      <c r="N31" t="s">
        <v>23</v>
      </c>
      <c r="O31" t="s">
        <v>24</v>
      </c>
      <c r="P31" s="8" t="s">
        <v>91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x14ac:dyDescent="0.2">
      <c r="A32" s="6" t="s">
        <v>17</v>
      </c>
      <c r="B32" t="s">
        <v>30</v>
      </c>
      <c r="C32" t="s">
        <v>31</v>
      </c>
      <c r="D32" t="s">
        <v>92</v>
      </c>
      <c r="E32" s="2">
        <v>1115.5999999999999</v>
      </c>
      <c r="F32" s="3">
        <f>DATE(2024,1,9)</f>
        <v>45300</v>
      </c>
      <c r="G32" s="3">
        <f>DATE(2024,1,9)</f>
        <v>45300</v>
      </c>
      <c r="H32">
        <v>655548344</v>
      </c>
      <c r="I32" t="s">
        <v>20</v>
      </c>
      <c r="K32" t="s">
        <v>21</v>
      </c>
      <c r="L32" t="s">
        <v>22</v>
      </c>
      <c r="M32" t="s">
        <v>23</v>
      </c>
      <c r="N32" t="s">
        <v>23</v>
      </c>
      <c r="O32" t="s">
        <v>24</v>
      </c>
      <c r="P32" s="8" t="s">
        <v>93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x14ac:dyDescent="0.2">
      <c r="A33" s="6" t="s">
        <v>17</v>
      </c>
      <c r="B33" t="s">
        <v>18</v>
      </c>
      <c r="C33" t="s">
        <v>18</v>
      </c>
      <c r="D33" t="s">
        <v>94</v>
      </c>
      <c r="E33" s="2">
        <v>2.25</v>
      </c>
      <c r="F33" s="3">
        <f t="shared" ref="F33:G36" si="3">DATE(2024,1,8)</f>
        <v>45299</v>
      </c>
      <c r="G33" s="3">
        <f t="shared" si="3"/>
        <v>45299</v>
      </c>
      <c r="H33">
        <v>655548345</v>
      </c>
      <c r="I33" t="s">
        <v>20</v>
      </c>
      <c r="K33" t="s">
        <v>21</v>
      </c>
      <c r="L33" t="s">
        <v>22</v>
      </c>
      <c r="M33" t="s">
        <v>23</v>
      </c>
      <c r="N33" t="s">
        <v>23</v>
      </c>
      <c r="O33" t="s">
        <v>24</v>
      </c>
      <c r="P33" s="8" t="s">
        <v>95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hidden="1" x14ac:dyDescent="0.2">
      <c r="A34" s="6"/>
      <c r="E34" s="2"/>
      <c r="F34" s="3"/>
      <c r="G34" s="3"/>
      <c r="P34" s="8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x14ac:dyDescent="0.2">
      <c r="A35" s="6" t="s">
        <v>17</v>
      </c>
      <c r="B35" t="s">
        <v>18</v>
      </c>
      <c r="C35" t="s">
        <v>18</v>
      </c>
      <c r="D35" t="s">
        <v>96</v>
      </c>
      <c r="E35" s="2">
        <v>330.75</v>
      </c>
      <c r="F35" s="3">
        <f t="shared" si="3"/>
        <v>45299</v>
      </c>
      <c r="G35" s="3">
        <f t="shared" si="3"/>
        <v>45299</v>
      </c>
      <c r="H35">
        <v>655548347</v>
      </c>
      <c r="I35" t="s">
        <v>20</v>
      </c>
      <c r="K35" t="s">
        <v>21</v>
      </c>
      <c r="L35" t="s">
        <v>22</v>
      </c>
      <c r="M35" t="s">
        <v>23</v>
      </c>
      <c r="N35" t="s">
        <v>23</v>
      </c>
      <c r="O35" t="s">
        <v>24</v>
      </c>
      <c r="P35" s="8" t="s">
        <v>97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x14ac:dyDescent="0.2">
      <c r="A36" s="6" t="s">
        <v>17</v>
      </c>
      <c r="B36" t="s">
        <v>34</v>
      </c>
      <c r="C36" t="s">
        <v>35</v>
      </c>
      <c r="D36" t="s">
        <v>98</v>
      </c>
      <c r="E36" s="2">
        <v>500</v>
      </c>
      <c r="F36" s="3">
        <f t="shared" si="3"/>
        <v>45299</v>
      </c>
      <c r="G36" s="3">
        <f t="shared" si="3"/>
        <v>45299</v>
      </c>
      <c r="H36">
        <v>655548348</v>
      </c>
      <c r="I36" t="s">
        <v>20</v>
      </c>
      <c r="K36" t="s">
        <v>21</v>
      </c>
      <c r="L36" t="s">
        <v>22</v>
      </c>
      <c r="M36" t="s">
        <v>23</v>
      </c>
      <c r="N36" t="s">
        <v>23</v>
      </c>
      <c r="O36" t="s">
        <v>24</v>
      </c>
      <c r="P36" s="8" t="s">
        <v>99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">
      <c r="A37" s="6" t="s">
        <v>17</v>
      </c>
      <c r="B37" t="s">
        <v>100</v>
      </c>
      <c r="C37" t="s">
        <v>101</v>
      </c>
      <c r="D37" t="s">
        <v>102</v>
      </c>
      <c r="E37" s="2">
        <v>48.85</v>
      </c>
      <c r="F37" s="3">
        <f>DATE(2024,1,5)</f>
        <v>45296</v>
      </c>
      <c r="G37" s="3">
        <f>DATE(2024,1,5)</f>
        <v>45296</v>
      </c>
      <c r="H37">
        <v>655548353</v>
      </c>
      <c r="I37" t="s">
        <v>51</v>
      </c>
      <c r="K37" t="s">
        <v>21</v>
      </c>
      <c r="L37" t="s">
        <v>22</v>
      </c>
      <c r="M37" t="s">
        <v>23</v>
      </c>
      <c r="N37" t="s">
        <v>23</v>
      </c>
      <c r="O37" t="s">
        <v>24</v>
      </c>
      <c r="P37" s="8" t="s">
        <v>103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">
      <c r="A38" s="6" t="s">
        <v>17</v>
      </c>
      <c r="B38" t="s">
        <v>104</v>
      </c>
      <c r="C38" t="s">
        <v>105</v>
      </c>
      <c r="D38" t="s">
        <v>106</v>
      </c>
      <c r="E38" s="2">
        <v>46.84</v>
      </c>
      <c r="F38" s="3">
        <f>DATE(2024,1,5)</f>
        <v>45296</v>
      </c>
      <c r="G38" s="3">
        <f>DATE(2024,1,5)</f>
        <v>45296</v>
      </c>
      <c r="H38">
        <v>655548354</v>
      </c>
      <c r="I38" t="s">
        <v>51</v>
      </c>
      <c r="K38" t="s">
        <v>21</v>
      </c>
      <c r="L38" t="s">
        <v>22</v>
      </c>
      <c r="M38" t="s">
        <v>23</v>
      </c>
      <c r="N38" t="s">
        <v>23</v>
      </c>
      <c r="O38" t="s">
        <v>24</v>
      </c>
      <c r="P38" s="8" t="s">
        <v>107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x14ac:dyDescent="0.2">
      <c r="A39" s="6" t="s">
        <v>17</v>
      </c>
      <c r="B39" t="s">
        <v>61</v>
      </c>
      <c r="C39" t="s">
        <v>62</v>
      </c>
      <c r="D39" t="s">
        <v>108</v>
      </c>
      <c r="E39" s="2">
        <v>1</v>
      </c>
      <c r="F39" s="3">
        <f>DATE(2024,1,6)</f>
        <v>45297</v>
      </c>
      <c r="G39" s="3">
        <f>DATE(2024,1,6)</f>
        <v>45297</v>
      </c>
      <c r="H39">
        <v>655548355</v>
      </c>
      <c r="I39" t="s">
        <v>51</v>
      </c>
      <c r="K39" t="s">
        <v>21</v>
      </c>
      <c r="L39" t="s">
        <v>22</v>
      </c>
      <c r="M39" t="s">
        <v>23</v>
      </c>
      <c r="N39" t="s">
        <v>23</v>
      </c>
      <c r="O39" t="s">
        <v>24</v>
      </c>
      <c r="P39" s="8" t="s">
        <v>109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x14ac:dyDescent="0.2">
      <c r="A40" s="6" t="s">
        <v>17</v>
      </c>
      <c r="B40" t="s">
        <v>110</v>
      </c>
      <c r="C40" t="s">
        <v>111</v>
      </c>
      <c r="D40" t="s">
        <v>112</v>
      </c>
      <c r="E40" s="2">
        <v>58</v>
      </c>
      <c r="F40" s="3">
        <f t="shared" ref="F40:G50" si="4">DATE(2024,1,10)</f>
        <v>45301</v>
      </c>
      <c r="G40" s="3">
        <f t="shared" si="4"/>
        <v>45301</v>
      </c>
      <c r="H40">
        <v>657939360</v>
      </c>
      <c r="I40" t="s">
        <v>113</v>
      </c>
      <c r="K40" t="s">
        <v>21</v>
      </c>
      <c r="L40" t="s">
        <v>22</v>
      </c>
      <c r="M40" t="s">
        <v>23</v>
      </c>
      <c r="N40" t="s">
        <v>23</v>
      </c>
      <c r="O40" t="s">
        <v>24</v>
      </c>
      <c r="P40" s="8" t="s">
        <v>114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x14ac:dyDescent="0.2">
      <c r="A41" s="6" t="s">
        <v>17</v>
      </c>
      <c r="B41" t="s">
        <v>115</v>
      </c>
      <c r="C41" t="s">
        <v>116</v>
      </c>
      <c r="D41" t="s">
        <v>117</v>
      </c>
      <c r="E41" s="2">
        <v>976.78</v>
      </c>
      <c r="F41" s="3">
        <f t="shared" si="4"/>
        <v>45301</v>
      </c>
      <c r="G41" s="3">
        <f t="shared" si="4"/>
        <v>45301</v>
      </c>
      <c r="H41">
        <v>658820265</v>
      </c>
      <c r="I41" t="s">
        <v>20</v>
      </c>
      <c r="K41" t="s">
        <v>21</v>
      </c>
      <c r="L41" t="s">
        <v>22</v>
      </c>
      <c r="M41" t="s">
        <v>23</v>
      </c>
      <c r="N41" t="s">
        <v>23</v>
      </c>
      <c r="O41" t="s">
        <v>24</v>
      </c>
      <c r="P41" s="8" t="s">
        <v>118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x14ac:dyDescent="0.2">
      <c r="A42" s="6" t="s">
        <v>17</v>
      </c>
      <c r="B42" t="s">
        <v>115</v>
      </c>
      <c r="C42" t="s">
        <v>116</v>
      </c>
      <c r="D42" t="s">
        <v>119</v>
      </c>
      <c r="E42" s="2">
        <v>1695.57</v>
      </c>
      <c r="F42" s="3">
        <f t="shared" si="4"/>
        <v>45301</v>
      </c>
      <c r="G42" s="3">
        <f t="shared" si="4"/>
        <v>45301</v>
      </c>
      <c r="H42">
        <v>658820266</v>
      </c>
      <c r="I42" t="s">
        <v>20</v>
      </c>
      <c r="K42" t="s">
        <v>21</v>
      </c>
      <c r="L42" t="s">
        <v>22</v>
      </c>
      <c r="M42" t="s">
        <v>23</v>
      </c>
      <c r="N42" t="s">
        <v>23</v>
      </c>
      <c r="O42" t="s">
        <v>24</v>
      </c>
      <c r="P42" s="8" t="s">
        <v>120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x14ac:dyDescent="0.2">
      <c r="A43" s="6" t="s">
        <v>17</v>
      </c>
      <c r="B43" t="s">
        <v>115</v>
      </c>
      <c r="C43" t="s">
        <v>116</v>
      </c>
      <c r="D43" t="s">
        <v>121</v>
      </c>
      <c r="E43" s="2">
        <v>554.83000000000004</v>
      </c>
      <c r="F43" s="3">
        <f t="shared" si="4"/>
        <v>45301</v>
      </c>
      <c r="G43" s="3">
        <f t="shared" si="4"/>
        <v>45301</v>
      </c>
      <c r="H43">
        <v>658820267</v>
      </c>
      <c r="I43" t="s">
        <v>20</v>
      </c>
      <c r="K43" t="s">
        <v>21</v>
      </c>
      <c r="L43" t="s">
        <v>22</v>
      </c>
      <c r="M43" t="s">
        <v>23</v>
      </c>
      <c r="N43" t="s">
        <v>23</v>
      </c>
      <c r="O43" t="s">
        <v>24</v>
      </c>
      <c r="P43" s="8" t="s">
        <v>122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x14ac:dyDescent="0.2">
      <c r="A44" s="6" t="s">
        <v>17</v>
      </c>
      <c r="B44" t="s">
        <v>115</v>
      </c>
      <c r="C44" t="s">
        <v>116</v>
      </c>
      <c r="D44" t="s">
        <v>123</v>
      </c>
      <c r="E44" s="2">
        <v>4226.87</v>
      </c>
      <c r="F44" s="3">
        <f t="shared" si="4"/>
        <v>45301</v>
      </c>
      <c r="G44" s="3">
        <f t="shared" si="4"/>
        <v>45301</v>
      </c>
      <c r="H44">
        <v>658820268</v>
      </c>
      <c r="I44" t="s">
        <v>20</v>
      </c>
      <c r="K44" t="s">
        <v>21</v>
      </c>
      <c r="L44" t="s">
        <v>22</v>
      </c>
      <c r="M44" t="s">
        <v>23</v>
      </c>
      <c r="N44" t="s">
        <v>23</v>
      </c>
      <c r="O44" t="s">
        <v>24</v>
      </c>
      <c r="P44" s="8" t="s">
        <v>124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">
      <c r="A45" s="6" t="s">
        <v>17</v>
      </c>
      <c r="B45" t="s">
        <v>115</v>
      </c>
      <c r="C45" t="s">
        <v>116</v>
      </c>
      <c r="D45" t="s">
        <v>125</v>
      </c>
      <c r="E45" s="2">
        <v>546.05999999999995</v>
      </c>
      <c r="F45" s="3">
        <f t="shared" si="4"/>
        <v>45301</v>
      </c>
      <c r="G45" s="3">
        <f t="shared" si="4"/>
        <v>45301</v>
      </c>
      <c r="H45">
        <v>658820269</v>
      </c>
      <c r="I45" t="s">
        <v>20</v>
      </c>
      <c r="K45" t="s">
        <v>21</v>
      </c>
      <c r="L45" t="s">
        <v>22</v>
      </c>
      <c r="M45" t="s">
        <v>23</v>
      </c>
      <c r="N45" t="s">
        <v>23</v>
      </c>
      <c r="O45" t="s">
        <v>24</v>
      </c>
      <c r="P45" s="8" t="s">
        <v>126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">
      <c r="A46" s="6" t="s">
        <v>17</v>
      </c>
      <c r="B46" t="s">
        <v>115</v>
      </c>
      <c r="C46" t="s">
        <v>116</v>
      </c>
      <c r="D46" t="s">
        <v>127</v>
      </c>
      <c r="E46" s="2">
        <v>744.9</v>
      </c>
      <c r="F46" s="3">
        <f t="shared" si="4"/>
        <v>45301</v>
      </c>
      <c r="G46" s="3">
        <f t="shared" si="4"/>
        <v>45301</v>
      </c>
      <c r="H46">
        <v>658820270</v>
      </c>
      <c r="I46" t="s">
        <v>20</v>
      </c>
      <c r="K46" t="s">
        <v>21</v>
      </c>
      <c r="L46" t="s">
        <v>22</v>
      </c>
      <c r="M46" t="s">
        <v>23</v>
      </c>
      <c r="N46" t="s">
        <v>23</v>
      </c>
      <c r="O46" t="s">
        <v>24</v>
      </c>
      <c r="P46" s="8" t="s">
        <v>128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x14ac:dyDescent="0.2">
      <c r="A47" s="6" t="s">
        <v>17</v>
      </c>
      <c r="B47" t="s">
        <v>115</v>
      </c>
      <c r="C47" t="s">
        <v>116</v>
      </c>
      <c r="D47" t="s">
        <v>129</v>
      </c>
      <c r="E47" s="2">
        <v>554.9</v>
      </c>
      <c r="F47" s="3">
        <f t="shared" si="4"/>
        <v>45301</v>
      </c>
      <c r="G47" s="3">
        <f t="shared" si="4"/>
        <v>45301</v>
      </c>
      <c r="H47">
        <v>658820271</v>
      </c>
      <c r="I47" t="s">
        <v>20</v>
      </c>
      <c r="K47" t="s">
        <v>21</v>
      </c>
      <c r="L47" t="s">
        <v>22</v>
      </c>
      <c r="M47" t="s">
        <v>23</v>
      </c>
      <c r="N47" t="s">
        <v>23</v>
      </c>
      <c r="O47" t="s">
        <v>24</v>
      </c>
      <c r="P47" s="8" t="s">
        <v>130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x14ac:dyDescent="0.2">
      <c r="A48" s="6" t="s">
        <v>17</v>
      </c>
      <c r="B48" t="s">
        <v>115</v>
      </c>
      <c r="C48" t="s">
        <v>116</v>
      </c>
      <c r="D48" t="s">
        <v>131</v>
      </c>
      <c r="E48" s="2">
        <v>926.86</v>
      </c>
      <c r="F48" s="3">
        <f t="shared" si="4"/>
        <v>45301</v>
      </c>
      <c r="G48" s="3">
        <f t="shared" si="4"/>
        <v>45301</v>
      </c>
      <c r="H48">
        <v>658820272</v>
      </c>
      <c r="I48" t="s">
        <v>20</v>
      </c>
      <c r="K48" t="s">
        <v>21</v>
      </c>
      <c r="L48" t="s">
        <v>22</v>
      </c>
      <c r="M48" t="s">
        <v>23</v>
      </c>
      <c r="N48" t="s">
        <v>23</v>
      </c>
      <c r="O48" t="s">
        <v>24</v>
      </c>
      <c r="P48" s="8" t="s">
        <v>132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x14ac:dyDescent="0.2">
      <c r="A49" s="6" t="s">
        <v>17</v>
      </c>
      <c r="B49" t="s">
        <v>133</v>
      </c>
      <c r="C49" t="s">
        <v>134</v>
      </c>
      <c r="D49" t="s">
        <v>135</v>
      </c>
      <c r="E49" s="2">
        <v>109.83</v>
      </c>
      <c r="F49" s="3">
        <f t="shared" si="4"/>
        <v>45301</v>
      </c>
      <c r="G49" s="3">
        <f t="shared" si="4"/>
        <v>45301</v>
      </c>
      <c r="H49">
        <v>658820273</v>
      </c>
      <c r="I49" t="s">
        <v>20</v>
      </c>
      <c r="K49" t="s">
        <v>21</v>
      </c>
      <c r="L49" t="s">
        <v>22</v>
      </c>
      <c r="M49" t="s">
        <v>23</v>
      </c>
      <c r="N49" t="s">
        <v>23</v>
      </c>
      <c r="O49" t="s">
        <v>24</v>
      </c>
      <c r="P49" s="8" t="s">
        <v>136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</row>
    <row r="50" spans="1:51" x14ac:dyDescent="0.2">
      <c r="A50" s="6" t="s">
        <v>17</v>
      </c>
      <c r="B50" t="s">
        <v>137</v>
      </c>
      <c r="C50" t="s">
        <v>138</v>
      </c>
      <c r="D50" t="s">
        <v>139</v>
      </c>
      <c r="E50" s="2">
        <v>118.8</v>
      </c>
      <c r="F50" s="3">
        <f t="shared" si="4"/>
        <v>45301</v>
      </c>
      <c r="G50" s="3">
        <f t="shared" si="4"/>
        <v>45301</v>
      </c>
      <c r="H50">
        <v>658820274</v>
      </c>
      <c r="I50" t="s">
        <v>20</v>
      </c>
      <c r="K50" t="s">
        <v>21</v>
      </c>
      <c r="L50" t="s">
        <v>22</v>
      </c>
      <c r="M50" t="s">
        <v>23</v>
      </c>
      <c r="N50" t="s">
        <v>23</v>
      </c>
      <c r="O50" t="s">
        <v>24</v>
      </c>
      <c r="P50" s="8" t="s">
        <v>140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x14ac:dyDescent="0.2">
      <c r="A51" s="6" t="s">
        <v>17</v>
      </c>
      <c r="B51" t="s">
        <v>18</v>
      </c>
      <c r="C51" t="s">
        <v>18</v>
      </c>
      <c r="D51" t="s">
        <v>141</v>
      </c>
      <c r="E51" s="2">
        <v>6.5</v>
      </c>
      <c r="F51" s="3">
        <f t="shared" ref="F51:G54" si="5">DATE(2024,1,9)</f>
        <v>45300</v>
      </c>
      <c r="G51" s="3">
        <f t="shared" si="5"/>
        <v>45300</v>
      </c>
      <c r="H51">
        <v>658820275</v>
      </c>
      <c r="I51" t="s">
        <v>51</v>
      </c>
      <c r="K51" t="s">
        <v>21</v>
      </c>
      <c r="L51" t="s">
        <v>22</v>
      </c>
      <c r="M51" t="s">
        <v>23</v>
      </c>
      <c r="N51" t="s">
        <v>23</v>
      </c>
      <c r="O51" t="s">
        <v>24</v>
      </c>
      <c r="P51" s="8" t="s">
        <v>142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x14ac:dyDescent="0.2">
      <c r="A52" s="6" t="s">
        <v>17</v>
      </c>
      <c r="B52" t="s">
        <v>18</v>
      </c>
      <c r="C52" t="s">
        <v>18</v>
      </c>
      <c r="D52" t="s">
        <v>141</v>
      </c>
      <c r="E52" s="2">
        <v>4.25</v>
      </c>
      <c r="F52" s="3">
        <f t="shared" si="5"/>
        <v>45300</v>
      </c>
      <c r="G52" s="3">
        <f t="shared" si="5"/>
        <v>45300</v>
      </c>
      <c r="H52">
        <v>658820276</v>
      </c>
      <c r="I52" t="s">
        <v>51</v>
      </c>
      <c r="K52" t="s">
        <v>21</v>
      </c>
      <c r="L52" t="s">
        <v>22</v>
      </c>
      <c r="M52" t="s">
        <v>23</v>
      </c>
      <c r="N52" t="s">
        <v>23</v>
      </c>
      <c r="O52" t="s">
        <v>24</v>
      </c>
      <c r="P52" s="8" t="s">
        <v>143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">
      <c r="A53" s="6" t="s">
        <v>17</v>
      </c>
      <c r="B53" t="s">
        <v>144</v>
      </c>
      <c r="C53" t="s">
        <v>145</v>
      </c>
      <c r="D53" t="s">
        <v>146</v>
      </c>
      <c r="E53" s="2">
        <v>1</v>
      </c>
      <c r="F53" s="3">
        <f t="shared" si="5"/>
        <v>45300</v>
      </c>
      <c r="G53" s="3">
        <f t="shared" si="5"/>
        <v>45300</v>
      </c>
      <c r="H53">
        <v>658820277</v>
      </c>
      <c r="I53" t="s">
        <v>51</v>
      </c>
      <c r="K53" t="s">
        <v>21</v>
      </c>
      <c r="L53" t="s">
        <v>22</v>
      </c>
      <c r="M53" t="s">
        <v>23</v>
      </c>
      <c r="N53" t="s">
        <v>23</v>
      </c>
      <c r="O53" t="s">
        <v>24</v>
      </c>
      <c r="P53" s="8" t="s">
        <v>147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</row>
    <row r="54" spans="1:51" x14ac:dyDescent="0.2">
      <c r="A54" s="6" t="s">
        <v>17</v>
      </c>
      <c r="B54" t="s">
        <v>144</v>
      </c>
      <c r="C54" t="s">
        <v>145</v>
      </c>
      <c r="D54" t="s">
        <v>146</v>
      </c>
      <c r="E54" s="2">
        <v>1</v>
      </c>
      <c r="F54" s="3">
        <f t="shared" si="5"/>
        <v>45300</v>
      </c>
      <c r="G54" s="3">
        <f t="shared" si="5"/>
        <v>45300</v>
      </c>
      <c r="H54">
        <v>658820278</v>
      </c>
      <c r="I54" t="s">
        <v>51</v>
      </c>
      <c r="K54" t="s">
        <v>21</v>
      </c>
      <c r="L54" t="s">
        <v>22</v>
      </c>
      <c r="M54" t="s">
        <v>23</v>
      </c>
      <c r="N54" t="s">
        <v>23</v>
      </c>
      <c r="O54" t="s">
        <v>24</v>
      </c>
      <c r="P54" s="8" t="s">
        <v>148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</row>
    <row r="55" spans="1:51" x14ac:dyDescent="0.2">
      <c r="A55" s="6" t="s">
        <v>17</v>
      </c>
      <c r="B55" t="s">
        <v>26</v>
      </c>
      <c r="C55" t="s">
        <v>27</v>
      </c>
      <c r="D55" t="s">
        <v>149</v>
      </c>
      <c r="E55" s="2">
        <v>30</v>
      </c>
      <c r="F55" s="3">
        <f t="shared" ref="F55:G58" si="6">DATE(2024,1,11)</f>
        <v>45302</v>
      </c>
      <c r="G55" s="3">
        <f t="shared" si="6"/>
        <v>45302</v>
      </c>
      <c r="H55">
        <v>660484605</v>
      </c>
      <c r="I55" t="s">
        <v>20</v>
      </c>
      <c r="K55" t="s">
        <v>21</v>
      </c>
      <c r="L55" t="s">
        <v>22</v>
      </c>
      <c r="M55" t="s">
        <v>23</v>
      </c>
      <c r="N55" t="s">
        <v>23</v>
      </c>
      <c r="O55" t="s">
        <v>24</v>
      </c>
      <c r="P55" s="8" t="s">
        <v>150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x14ac:dyDescent="0.2">
      <c r="A56" s="6" t="s">
        <v>17</v>
      </c>
      <c r="B56" t="s">
        <v>44</v>
      </c>
      <c r="C56" t="s">
        <v>45</v>
      </c>
      <c r="D56" t="s">
        <v>151</v>
      </c>
      <c r="E56" s="2">
        <v>72.2</v>
      </c>
      <c r="F56" s="3">
        <f t="shared" si="6"/>
        <v>45302</v>
      </c>
      <c r="G56" s="3">
        <f t="shared" si="6"/>
        <v>45302</v>
      </c>
      <c r="H56">
        <v>660484606</v>
      </c>
      <c r="I56" t="s">
        <v>20</v>
      </c>
      <c r="K56" t="s">
        <v>21</v>
      </c>
      <c r="L56" t="s">
        <v>22</v>
      </c>
      <c r="M56" t="s">
        <v>23</v>
      </c>
      <c r="N56" t="s">
        <v>23</v>
      </c>
      <c r="O56" t="s">
        <v>24</v>
      </c>
      <c r="P56" s="8" t="s">
        <v>152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">
      <c r="A57" s="6" t="s">
        <v>17</v>
      </c>
      <c r="B57" t="s">
        <v>34</v>
      </c>
      <c r="C57" t="s">
        <v>35</v>
      </c>
      <c r="D57" t="s">
        <v>153</v>
      </c>
      <c r="E57" s="2">
        <v>4618.2700000000004</v>
      </c>
      <c r="F57" s="3">
        <f t="shared" si="6"/>
        <v>45302</v>
      </c>
      <c r="G57" s="3">
        <f t="shared" si="6"/>
        <v>45302</v>
      </c>
      <c r="H57">
        <v>660484607</v>
      </c>
      <c r="I57" t="s">
        <v>20</v>
      </c>
      <c r="K57" t="s">
        <v>21</v>
      </c>
      <c r="L57" t="s">
        <v>22</v>
      </c>
      <c r="M57" t="s">
        <v>23</v>
      </c>
      <c r="N57" t="s">
        <v>23</v>
      </c>
      <c r="O57" t="s">
        <v>24</v>
      </c>
      <c r="P57" s="8" t="s">
        <v>154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hidden="1" x14ac:dyDescent="0.2">
      <c r="A58" s="6"/>
      <c r="E58" s="2"/>
      <c r="F58" s="3"/>
      <c r="G58" s="3"/>
      <c r="P58" s="8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</row>
    <row r="59" spans="1:51" x14ac:dyDescent="0.2">
      <c r="A59" s="6" t="s">
        <v>17</v>
      </c>
      <c r="B59" t="s">
        <v>44</v>
      </c>
      <c r="C59" t="s">
        <v>45</v>
      </c>
      <c r="D59" t="s">
        <v>155</v>
      </c>
      <c r="E59" s="2">
        <v>397.17</v>
      </c>
      <c r="F59" s="3">
        <f>DATE(2024,1,12)</f>
        <v>45303</v>
      </c>
      <c r="G59" s="3">
        <f>DATE(2024,1,12)</f>
        <v>45303</v>
      </c>
      <c r="H59">
        <v>660484610</v>
      </c>
      <c r="I59" t="s">
        <v>20</v>
      </c>
      <c r="K59" t="s">
        <v>21</v>
      </c>
      <c r="L59" t="s">
        <v>22</v>
      </c>
      <c r="M59" t="s">
        <v>23</v>
      </c>
      <c r="N59" t="s">
        <v>23</v>
      </c>
      <c r="O59" t="s">
        <v>24</v>
      </c>
      <c r="P59" s="8" t="s">
        <v>156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</row>
    <row r="60" spans="1:51" x14ac:dyDescent="0.2">
      <c r="A60" s="6" t="s">
        <v>17</v>
      </c>
      <c r="B60" t="s">
        <v>144</v>
      </c>
      <c r="C60" t="s">
        <v>145</v>
      </c>
      <c r="D60" t="s">
        <v>157</v>
      </c>
      <c r="E60" s="2">
        <v>3</v>
      </c>
      <c r="F60" s="3">
        <f>DATE(2024,1,9)</f>
        <v>45300</v>
      </c>
      <c r="G60" s="3">
        <f>DATE(2024,1,9)</f>
        <v>45300</v>
      </c>
      <c r="H60">
        <v>660484611</v>
      </c>
      <c r="I60" t="s">
        <v>51</v>
      </c>
      <c r="K60" t="s">
        <v>21</v>
      </c>
      <c r="L60" t="s">
        <v>22</v>
      </c>
      <c r="M60" t="s">
        <v>23</v>
      </c>
      <c r="N60" t="s">
        <v>23</v>
      </c>
      <c r="O60" t="s">
        <v>24</v>
      </c>
      <c r="P60" s="8" t="s">
        <v>158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</row>
    <row r="61" spans="1:51" hidden="1" x14ac:dyDescent="0.2">
      <c r="A61" s="6"/>
      <c r="E61" s="2"/>
      <c r="F61" s="3"/>
      <c r="G61" s="3"/>
      <c r="P61" s="8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hidden="1" x14ac:dyDescent="0.2">
      <c r="A62" s="6"/>
      <c r="E62" s="2"/>
      <c r="F62" s="3"/>
      <c r="G62" s="3"/>
      <c r="P62" s="8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x14ac:dyDescent="0.2">
      <c r="A63" s="6" t="s">
        <v>17</v>
      </c>
      <c r="B63" t="s">
        <v>110</v>
      </c>
      <c r="C63" t="s">
        <v>111</v>
      </c>
      <c r="D63" t="s">
        <v>159</v>
      </c>
      <c r="E63" s="2">
        <v>2.06</v>
      </c>
      <c r="F63" s="3">
        <f t="shared" ref="F61:G65" si="7">DATE(2024,1,11)</f>
        <v>45302</v>
      </c>
      <c r="G63" s="3">
        <f t="shared" si="7"/>
        <v>45302</v>
      </c>
      <c r="H63">
        <v>660688995</v>
      </c>
      <c r="I63" t="s">
        <v>73</v>
      </c>
      <c r="K63" t="s">
        <v>21</v>
      </c>
      <c r="L63" t="s">
        <v>22</v>
      </c>
      <c r="M63" t="s">
        <v>23</v>
      </c>
      <c r="N63" t="s">
        <v>23</v>
      </c>
      <c r="O63" t="s">
        <v>24</v>
      </c>
      <c r="P63" s="8" t="s">
        <v>160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hidden="1" x14ac:dyDescent="0.2">
      <c r="A64" s="6"/>
      <c r="E64" s="2"/>
      <c r="F64" s="3"/>
      <c r="G64" s="3"/>
      <c r="P64" s="8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hidden="1" x14ac:dyDescent="0.2">
      <c r="A65" s="6"/>
      <c r="E65" s="2"/>
      <c r="F65" s="3"/>
      <c r="G65" s="3"/>
      <c r="P65" s="8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x14ac:dyDescent="0.2">
      <c r="A66" s="6" t="s">
        <v>17</v>
      </c>
      <c r="B66" t="s">
        <v>18</v>
      </c>
      <c r="C66" t="s">
        <v>18</v>
      </c>
      <c r="D66" t="s">
        <v>161</v>
      </c>
      <c r="E66" s="2">
        <v>6.86</v>
      </c>
      <c r="F66" s="3">
        <f>DATE(2024,1,1)</f>
        <v>45292</v>
      </c>
      <c r="G66" s="3">
        <f>DATE(2024,1,1)</f>
        <v>45292</v>
      </c>
      <c r="H66">
        <v>661727547</v>
      </c>
      <c r="I66" t="s">
        <v>113</v>
      </c>
      <c r="K66" t="s">
        <v>21</v>
      </c>
      <c r="L66" t="s">
        <v>22</v>
      </c>
      <c r="M66" t="s">
        <v>23</v>
      </c>
      <c r="N66" t="s">
        <v>23</v>
      </c>
      <c r="O66" t="s">
        <v>24</v>
      </c>
      <c r="P66" s="8" t="s">
        <v>162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x14ac:dyDescent="0.2">
      <c r="A67" s="6" t="s">
        <v>17</v>
      </c>
      <c r="B67" t="s">
        <v>163</v>
      </c>
      <c r="C67" t="s">
        <v>164</v>
      </c>
      <c r="D67" t="s">
        <v>165</v>
      </c>
      <c r="E67" s="2">
        <v>1839.11</v>
      </c>
      <c r="F67" s="3">
        <f t="shared" ref="F67:G70" si="8">DATE(2024,1,15)</f>
        <v>45306</v>
      </c>
      <c r="G67" s="3">
        <f t="shared" si="8"/>
        <v>45306</v>
      </c>
      <c r="H67">
        <v>663647110</v>
      </c>
      <c r="I67" t="s">
        <v>20</v>
      </c>
      <c r="K67" t="s">
        <v>21</v>
      </c>
      <c r="L67" t="s">
        <v>22</v>
      </c>
      <c r="M67" t="s">
        <v>23</v>
      </c>
      <c r="N67" t="s">
        <v>23</v>
      </c>
      <c r="O67" t="s">
        <v>24</v>
      </c>
      <c r="P67" s="8" t="s">
        <v>166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">
      <c r="A68" s="6" t="s">
        <v>17</v>
      </c>
      <c r="B68" t="s">
        <v>163</v>
      </c>
      <c r="C68" t="s">
        <v>164</v>
      </c>
      <c r="D68" t="s">
        <v>167</v>
      </c>
      <c r="E68" s="2">
        <v>4628.7</v>
      </c>
      <c r="F68" s="3">
        <f t="shared" si="8"/>
        <v>45306</v>
      </c>
      <c r="G68" s="3">
        <f t="shared" si="8"/>
        <v>45306</v>
      </c>
      <c r="H68">
        <v>663647111</v>
      </c>
      <c r="I68" t="s">
        <v>20</v>
      </c>
      <c r="K68" t="s">
        <v>21</v>
      </c>
      <c r="L68" t="s">
        <v>22</v>
      </c>
      <c r="M68" t="s">
        <v>23</v>
      </c>
      <c r="N68" t="s">
        <v>23</v>
      </c>
      <c r="O68" t="s">
        <v>24</v>
      </c>
      <c r="P68" s="8" t="s">
        <v>168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</row>
    <row r="69" spans="1:51" x14ac:dyDescent="0.2">
      <c r="A69" s="6" t="s">
        <v>17</v>
      </c>
      <c r="B69" t="s">
        <v>65</v>
      </c>
      <c r="C69" t="s">
        <v>66</v>
      </c>
      <c r="D69" t="s">
        <v>169</v>
      </c>
      <c r="E69" s="2">
        <v>263.22000000000003</v>
      </c>
      <c r="F69" s="3">
        <f t="shared" si="8"/>
        <v>45306</v>
      </c>
      <c r="G69" s="3">
        <f t="shared" si="8"/>
        <v>45306</v>
      </c>
      <c r="H69">
        <v>663647112</v>
      </c>
      <c r="I69" t="s">
        <v>20</v>
      </c>
      <c r="K69" t="s">
        <v>21</v>
      </c>
      <c r="L69" t="s">
        <v>22</v>
      </c>
      <c r="M69" t="s">
        <v>23</v>
      </c>
      <c r="N69" t="s">
        <v>23</v>
      </c>
      <c r="O69" t="s">
        <v>24</v>
      </c>
      <c r="P69" s="8" t="s">
        <v>170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</row>
    <row r="70" spans="1:51" x14ac:dyDescent="0.2">
      <c r="A70" s="6" t="s">
        <v>17</v>
      </c>
      <c r="B70" t="s">
        <v>44</v>
      </c>
      <c r="C70" t="s">
        <v>45</v>
      </c>
      <c r="D70" t="s">
        <v>171</v>
      </c>
      <c r="E70" s="2">
        <v>111.12</v>
      </c>
      <c r="F70" s="3">
        <f t="shared" si="8"/>
        <v>45306</v>
      </c>
      <c r="G70" s="3">
        <f t="shared" si="8"/>
        <v>45306</v>
      </c>
      <c r="H70">
        <v>663647113</v>
      </c>
      <c r="I70" t="s">
        <v>20</v>
      </c>
      <c r="K70" t="s">
        <v>21</v>
      </c>
      <c r="L70" t="s">
        <v>22</v>
      </c>
      <c r="M70" t="s">
        <v>23</v>
      </c>
      <c r="N70" t="s">
        <v>23</v>
      </c>
      <c r="O70" t="s">
        <v>24</v>
      </c>
      <c r="P70" s="8" t="s">
        <v>172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hidden="1" x14ac:dyDescent="0.2">
      <c r="A71" s="6"/>
      <c r="E71" s="2"/>
      <c r="F71" s="3"/>
      <c r="G71" s="3"/>
      <c r="P71" s="8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x14ac:dyDescent="0.2">
      <c r="A72" s="6" t="s">
        <v>17</v>
      </c>
      <c r="B72" t="s">
        <v>57</v>
      </c>
      <c r="C72" t="s">
        <v>58</v>
      </c>
      <c r="D72" t="s">
        <v>173</v>
      </c>
      <c r="E72" s="2">
        <v>47.98</v>
      </c>
      <c r="F72" s="3">
        <f>DATE(2024,1,15)</f>
        <v>45306</v>
      </c>
      <c r="G72" s="3">
        <f>DATE(2024,1,15)</f>
        <v>45306</v>
      </c>
      <c r="H72">
        <v>663647115</v>
      </c>
      <c r="I72" t="s">
        <v>20</v>
      </c>
      <c r="K72" t="s">
        <v>21</v>
      </c>
      <c r="L72" t="s">
        <v>22</v>
      </c>
      <c r="M72" t="s">
        <v>23</v>
      </c>
      <c r="N72" t="s">
        <v>23</v>
      </c>
      <c r="O72" t="s">
        <v>24</v>
      </c>
      <c r="P72" s="8" t="s">
        <v>174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x14ac:dyDescent="0.2">
      <c r="A73" s="6" t="s">
        <v>17</v>
      </c>
      <c r="B73" t="s">
        <v>175</v>
      </c>
      <c r="C73" t="s">
        <v>176</v>
      </c>
      <c r="D73" t="s">
        <v>177</v>
      </c>
      <c r="E73" s="2">
        <v>500</v>
      </c>
      <c r="F73" s="3">
        <f>DATE(2024,1,15)</f>
        <v>45306</v>
      </c>
      <c r="G73" s="3">
        <f>DATE(2024,1,15)</f>
        <v>45306</v>
      </c>
      <c r="H73">
        <v>663647116</v>
      </c>
      <c r="I73" t="s">
        <v>20</v>
      </c>
      <c r="K73" t="s">
        <v>21</v>
      </c>
      <c r="L73" t="s">
        <v>22</v>
      </c>
      <c r="M73" t="s">
        <v>23</v>
      </c>
      <c r="N73" t="s">
        <v>23</v>
      </c>
      <c r="O73" t="s">
        <v>24</v>
      </c>
      <c r="P73" s="8" t="s">
        <v>178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">
      <c r="A74" s="6" t="s">
        <v>17</v>
      </c>
      <c r="B74" t="s">
        <v>179</v>
      </c>
      <c r="C74" t="s">
        <v>180</v>
      </c>
      <c r="D74" t="s">
        <v>181</v>
      </c>
      <c r="E74" s="2">
        <v>261.01</v>
      </c>
      <c r="F74" s="3">
        <f>DATE(2024,1,12)</f>
        <v>45303</v>
      </c>
      <c r="G74" s="3">
        <f>DATE(2024,1,12)</f>
        <v>45303</v>
      </c>
      <c r="H74">
        <v>663647117</v>
      </c>
      <c r="I74" t="s">
        <v>51</v>
      </c>
      <c r="K74" t="s">
        <v>21</v>
      </c>
      <c r="L74" t="s">
        <v>22</v>
      </c>
      <c r="M74" t="s">
        <v>23</v>
      </c>
      <c r="N74" t="s">
        <v>23</v>
      </c>
      <c r="O74" t="s">
        <v>24</v>
      </c>
      <c r="P74" s="8" t="s">
        <v>182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">
      <c r="A75" s="6" t="s">
        <v>17</v>
      </c>
      <c r="B75" t="s">
        <v>183</v>
      </c>
      <c r="C75" t="s">
        <v>184</v>
      </c>
      <c r="D75" t="s">
        <v>185</v>
      </c>
      <c r="E75" s="2">
        <v>8301</v>
      </c>
      <c r="F75" s="3">
        <f>DATE(2024,1,16)</f>
        <v>45307</v>
      </c>
      <c r="G75" s="3">
        <f>DATE(2024,1,16)</f>
        <v>45307</v>
      </c>
      <c r="H75">
        <v>665616935</v>
      </c>
      <c r="I75" t="s">
        <v>20</v>
      </c>
      <c r="K75" t="s">
        <v>21</v>
      </c>
      <c r="L75" t="s">
        <v>22</v>
      </c>
      <c r="M75" t="s">
        <v>23</v>
      </c>
      <c r="N75" t="s">
        <v>23</v>
      </c>
      <c r="O75" t="s">
        <v>24</v>
      </c>
      <c r="P75" s="8" t="s">
        <v>186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">
      <c r="A76" s="6" t="s">
        <v>17</v>
      </c>
      <c r="B76" t="s">
        <v>18</v>
      </c>
      <c r="C76" t="s">
        <v>18</v>
      </c>
      <c r="D76" t="s">
        <v>187</v>
      </c>
      <c r="E76" s="2">
        <v>6.99</v>
      </c>
      <c r="F76" s="3">
        <f>DATE(2024,1,15)</f>
        <v>45306</v>
      </c>
      <c r="G76" s="3">
        <f>DATE(2024,1,15)</f>
        <v>45306</v>
      </c>
      <c r="H76">
        <v>665616936</v>
      </c>
      <c r="I76" t="s">
        <v>51</v>
      </c>
      <c r="K76" t="s">
        <v>21</v>
      </c>
      <c r="L76" t="s">
        <v>22</v>
      </c>
      <c r="M76" t="s">
        <v>23</v>
      </c>
      <c r="N76" t="s">
        <v>23</v>
      </c>
      <c r="O76" t="s">
        <v>24</v>
      </c>
      <c r="P76" s="8" t="s">
        <v>188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x14ac:dyDescent="0.2">
      <c r="A77" s="6" t="s">
        <v>17</v>
      </c>
      <c r="B77" t="s">
        <v>18</v>
      </c>
      <c r="C77" t="s">
        <v>18</v>
      </c>
      <c r="D77" t="s">
        <v>189</v>
      </c>
      <c r="E77" s="2">
        <v>55.24</v>
      </c>
      <c r="F77" s="3">
        <f>DATE(2024,1,16)</f>
        <v>45307</v>
      </c>
      <c r="G77" s="3">
        <f>DATE(2024,1,16)</f>
        <v>45307</v>
      </c>
      <c r="H77">
        <v>665999358</v>
      </c>
      <c r="I77" t="s">
        <v>73</v>
      </c>
      <c r="K77" t="s">
        <v>21</v>
      </c>
      <c r="L77" t="s">
        <v>22</v>
      </c>
      <c r="M77" t="s">
        <v>23</v>
      </c>
      <c r="N77" t="s">
        <v>23</v>
      </c>
      <c r="O77" t="s">
        <v>24</v>
      </c>
      <c r="P77" s="8" t="s">
        <v>190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x14ac:dyDescent="0.2">
      <c r="A78" s="6" t="s">
        <v>17</v>
      </c>
      <c r="B78" t="s">
        <v>191</v>
      </c>
      <c r="C78" t="s">
        <v>192</v>
      </c>
      <c r="D78" t="s">
        <v>193</v>
      </c>
      <c r="E78" s="2">
        <v>840</v>
      </c>
      <c r="F78" s="3">
        <f t="shared" ref="F78:G80" si="9">DATE(2024,1,17)</f>
        <v>45308</v>
      </c>
      <c r="G78" s="3">
        <f t="shared" si="9"/>
        <v>45308</v>
      </c>
      <c r="H78">
        <v>667478912</v>
      </c>
      <c r="I78" t="s">
        <v>20</v>
      </c>
      <c r="K78" t="s">
        <v>21</v>
      </c>
      <c r="L78" t="s">
        <v>22</v>
      </c>
      <c r="M78" t="s">
        <v>23</v>
      </c>
      <c r="N78" t="s">
        <v>23</v>
      </c>
      <c r="O78" t="s">
        <v>24</v>
      </c>
      <c r="P78" s="8" t="s">
        <v>194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x14ac:dyDescent="0.2">
      <c r="A79" s="6" t="s">
        <v>17</v>
      </c>
      <c r="B79" t="s">
        <v>191</v>
      </c>
      <c r="C79" t="s">
        <v>192</v>
      </c>
      <c r="D79" t="s">
        <v>195</v>
      </c>
      <c r="E79" s="2">
        <v>1000</v>
      </c>
      <c r="F79" s="3">
        <f t="shared" si="9"/>
        <v>45308</v>
      </c>
      <c r="G79" s="3">
        <f t="shared" si="9"/>
        <v>45308</v>
      </c>
      <c r="H79">
        <v>667478913</v>
      </c>
      <c r="I79" t="s">
        <v>20</v>
      </c>
      <c r="K79" t="s">
        <v>21</v>
      </c>
      <c r="L79" t="s">
        <v>22</v>
      </c>
      <c r="M79" t="s">
        <v>23</v>
      </c>
      <c r="N79" t="s">
        <v>23</v>
      </c>
      <c r="O79" t="s">
        <v>24</v>
      </c>
      <c r="P79" s="8" t="s">
        <v>196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hidden="1" x14ac:dyDescent="0.2">
      <c r="A80" s="6"/>
      <c r="E80" s="2"/>
      <c r="F80" s="3"/>
      <c r="G80" s="3"/>
      <c r="P80" s="8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x14ac:dyDescent="0.2">
      <c r="A81" s="6" t="s">
        <v>17</v>
      </c>
      <c r="B81" t="s">
        <v>61</v>
      </c>
      <c r="C81" t="s">
        <v>62</v>
      </c>
      <c r="D81" t="s">
        <v>197</v>
      </c>
      <c r="E81" s="2">
        <v>95.76</v>
      </c>
      <c r="F81" s="3">
        <f>DATE(2024,1,16)</f>
        <v>45307</v>
      </c>
      <c r="G81" s="3">
        <f>DATE(2024,1,16)</f>
        <v>45307</v>
      </c>
      <c r="H81">
        <v>667478915</v>
      </c>
      <c r="I81" t="s">
        <v>51</v>
      </c>
      <c r="K81" t="s">
        <v>21</v>
      </c>
      <c r="L81" t="s">
        <v>22</v>
      </c>
      <c r="M81" t="s">
        <v>23</v>
      </c>
      <c r="N81" t="s">
        <v>23</v>
      </c>
      <c r="O81" t="s">
        <v>24</v>
      </c>
      <c r="P81" s="8" t="s">
        <v>198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hidden="1" x14ac:dyDescent="0.2">
      <c r="A82" s="6"/>
      <c r="E82" s="2"/>
      <c r="F82" s="3"/>
      <c r="G82" s="3"/>
      <c r="P82" s="8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x14ac:dyDescent="0.2">
      <c r="A83" s="6" t="s">
        <v>17</v>
      </c>
      <c r="B83" t="s">
        <v>110</v>
      </c>
      <c r="C83" t="s">
        <v>111</v>
      </c>
      <c r="D83" t="s">
        <v>199</v>
      </c>
      <c r="E83" s="2">
        <v>2.54</v>
      </c>
      <c r="F83" s="3">
        <f>DATE(2024,1,17)</f>
        <v>45308</v>
      </c>
      <c r="G83" s="3">
        <f>DATE(2024,1,17)</f>
        <v>45308</v>
      </c>
      <c r="H83">
        <v>667811028</v>
      </c>
      <c r="I83" t="s">
        <v>73</v>
      </c>
      <c r="K83" t="s">
        <v>21</v>
      </c>
      <c r="L83" t="s">
        <v>22</v>
      </c>
      <c r="M83" t="s">
        <v>23</v>
      </c>
      <c r="N83" t="s">
        <v>23</v>
      </c>
      <c r="O83" t="s">
        <v>24</v>
      </c>
      <c r="P83" s="8" t="s">
        <v>200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x14ac:dyDescent="0.2">
      <c r="A84" s="6" t="s">
        <v>17</v>
      </c>
      <c r="B84" t="s">
        <v>61</v>
      </c>
      <c r="C84" t="s">
        <v>62</v>
      </c>
      <c r="D84" t="s">
        <v>201</v>
      </c>
      <c r="E84" s="2">
        <v>0.9</v>
      </c>
      <c r="F84" s="3">
        <f t="shared" ref="F84:G87" si="10">DATE(2024,1,18)</f>
        <v>45309</v>
      </c>
      <c r="G84" s="3">
        <f t="shared" si="10"/>
        <v>45309</v>
      </c>
      <c r="H84">
        <v>669504721</v>
      </c>
      <c r="I84" t="s">
        <v>20</v>
      </c>
      <c r="K84" t="s">
        <v>21</v>
      </c>
      <c r="L84" t="s">
        <v>22</v>
      </c>
      <c r="M84" t="s">
        <v>23</v>
      </c>
      <c r="N84" t="s">
        <v>23</v>
      </c>
      <c r="O84" t="s">
        <v>24</v>
      </c>
      <c r="P84" s="8" t="s">
        <v>202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</row>
    <row r="85" spans="1:51" x14ac:dyDescent="0.2">
      <c r="A85" s="6" t="s">
        <v>17</v>
      </c>
      <c r="B85" t="s">
        <v>61</v>
      </c>
      <c r="C85" t="s">
        <v>62</v>
      </c>
      <c r="D85" t="s">
        <v>203</v>
      </c>
      <c r="E85" s="2">
        <v>140</v>
      </c>
      <c r="F85" s="3">
        <f t="shared" si="10"/>
        <v>45309</v>
      </c>
      <c r="G85" s="3">
        <f t="shared" si="10"/>
        <v>45309</v>
      </c>
      <c r="H85">
        <v>669504722</v>
      </c>
      <c r="I85" t="s">
        <v>20</v>
      </c>
      <c r="K85" t="s">
        <v>21</v>
      </c>
      <c r="L85" t="s">
        <v>22</v>
      </c>
      <c r="M85" t="s">
        <v>23</v>
      </c>
      <c r="N85" t="s">
        <v>23</v>
      </c>
      <c r="O85" t="s">
        <v>24</v>
      </c>
      <c r="P85" s="8" t="s">
        <v>204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</row>
    <row r="86" spans="1:51" hidden="1" x14ac:dyDescent="0.2">
      <c r="A86" s="6"/>
      <c r="E86" s="2"/>
      <c r="F86" s="3"/>
      <c r="G86" s="3"/>
      <c r="P86" s="8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</row>
    <row r="87" spans="1:51" x14ac:dyDescent="0.2">
      <c r="A87" s="6" t="s">
        <v>17</v>
      </c>
      <c r="B87" t="s">
        <v>110</v>
      </c>
      <c r="C87" t="s">
        <v>111</v>
      </c>
      <c r="D87" t="s">
        <v>205</v>
      </c>
      <c r="E87" s="2">
        <v>8.66</v>
      </c>
      <c r="F87" s="3">
        <f t="shared" si="10"/>
        <v>45309</v>
      </c>
      <c r="G87" s="3">
        <f t="shared" si="10"/>
        <v>45309</v>
      </c>
      <c r="H87">
        <v>669682597</v>
      </c>
      <c r="I87" t="s">
        <v>73</v>
      </c>
      <c r="K87" t="s">
        <v>21</v>
      </c>
      <c r="L87" t="s">
        <v>22</v>
      </c>
      <c r="M87" t="s">
        <v>23</v>
      </c>
      <c r="N87" t="s">
        <v>23</v>
      </c>
      <c r="O87" t="s">
        <v>24</v>
      </c>
      <c r="P87" s="8" t="s">
        <v>206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</row>
    <row r="88" spans="1:51" x14ac:dyDescent="0.2">
      <c r="A88" s="6" t="s">
        <v>17</v>
      </c>
      <c r="B88" t="s">
        <v>26</v>
      </c>
      <c r="C88" t="s">
        <v>27</v>
      </c>
      <c r="D88" t="s">
        <v>207</v>
      </c>
      <c r="E88" s="2">
        <v>6.74</v>
      </c>
      <c r="F88" s="3">
        <f t="shared" ref="F88:G91" si="11">DATE(2024,1,19)</f>
        <v>45310</v>
      </c>
      <c r="G88" s="3">
        <f t="shared" si="11"/>
        <v>45310</v>
      </c>
      <c r="H88">
        <v>670766916</v>
      </c>
      <c r="I88" t="s">
        <v>20</v>
      </c>
      <c r="K88" t="s">
        <v>21</v>
      </c>
      <c r="L88" t="s">
        <v>22</v>
      </c>
      <c r="M88" t="s">
        <v>23</v>
      </c>
      <c r="N88" t="s">
        <v>23</v>
      </c>
      <c r="O88" t="s">
        <v>24</v>
      </c>
      <c r="P88" s="8" t="s">
        <v>208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</row>
    <row r="89" spans="1:51" hidden="1" x14ac:dyDescent="0.2">
      <c r="A89" s="6"/>
      <c r="E89" s="2"/>
      <c r="F89" s="3"/>
      <c r="G89" s="3"/>
      <c r="P89" s="8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</row>
    <row r="90" spans="1:51" hidden="1" x14ac:dyDescent="0.2">
      <c r="A90" s="6"/>
      <c r="E90" s="2"/>
      <c r="F90" s="3"/>
      <c r="G90" s="3"/>
      <c r="P90" s="8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</row>
    <row r="91" spans="1:51" x14ac:dyDescent="0.2">
      <c r="A91" s="6" t="s">
        <v>17</v>
      </c>
      <c r="B91" t="s">
        <v>110</v>
      </c>
      <c r="C91" t="s">
        <v>111</v>
      </c>
      <c r="D91" t="s">
        <v>209</v>
      </c>
      <c r="E91" s="2">
        <v>4.4000000000000004</v>
      </c>
      <c r="F91" s="3">
        <f t="shared" si="11"/>
        <v>45310</v>
      </c>
      <c r="G91" s="3">
        <f t="shared" si="11"/>
        <v>45310</v>
      </c>
      <c r="H91">
        <v>670860462</v>
      </c>
      <c r="I91" t="s">
        <v>73</v>
      </c>
      <c r="K91" t="s">
        <v>21</v>
      </c>
      <c r="L91" t="s">
        <v>22</v>
      </c>
      <c r="M91" t="s">
        <v>23</v>
      </c>
      <c r="N91" t="s">
        <v>23</v>
      </c>
      <c r="O91" t="s">
        <v>24</v>
      </c>
      <c r="P91" s="8" t="s">
        <v>210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</row>
    <row r="92" spans="1:51" hidden="1" x14ac:dyDescent="0.2">
      <c r="A92" s="6"/>
      <c r="E92" s="2"/>
      <c r="F92" s="3"/>
      <c r="G92" s="3"/>
      <c r="P92" s="8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</row>
    <row r="93" spans="1:51" x14ac:dyDescent="0.2">
      <c r="A93" s="6" t="s">
        <v>17</v>
      </c>
      <c r="B93" t="s">
        <v>110</v>
      </c>
      <c r="C93" t="s">
        <v>111</v>
      </c>
      <c r="D93" t="s">
        <v>211</v>
      </c>
      <c r="E93" s="2">
        <v>0.03</v>
      </c>
      <c r="F93" s="3">
        <f>DATE(2024,1,20)</f>
        <v>45311</v>
      </c>
      <c r="G93" s="3">
        <f>DATE(2024,1,20)</f>
        <v>45311</v>
      </c>
      <c r="H93">
        <v>671464118</v>
      </c>
      <c r="I93" t="s">
        <v>73</v>
      </c>
      <c r="K93" t="s">
        <v>21</v>
      </c>
      <c r="L93" t="s">
        <v>22</v>
      </c>
      <c r="M93" t="s">
        <v>23</v>
      </c>
      <c r="N93" t="s">
        <v>23</v>
      </c>
      <c r="O93" t="s">
        <v>24</v>
      </c>
      <c r="P93" s="8" t="s">
        <v>212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</row>
    <row r="94" spans="1:51" x14ac:dyDescent="0.2">
      <c r="A94" s="6" t="s">
        <v>17</v>
      </c>
      <c r="B94" t="s">
        <v>57</v>
      </c>
      <c r="C94" t="s">
        <v>58</v>
      </c>
      <c r="D94" t="s">
        <v>213</v>
      </c>
      <c r="E94" s="2">
        <v>70.16</v>
      </c>
      <c r="F94" s="3">
        <f t="shared" ref="F94:G101" si="12">DATE(2024,1,22)</f>
        <v>45313</v>
      </c>
      <c r="G94" s="3">
        <f t="shared" si="12"/>
        <v>45313</v>
      </c>
      <c r="H94">
        <v>673022115</v>
      </c>
      <c r="I94" t="s">
        <v>20</v>
      </c>
      <c r="K94" t="s">
        <v>21</v>
      </c>
      <c r="L94" t="s">
        <v>22</v>
      </c>
      <c r="M94" t="s">
        <v>23</v>
      </c>
      <c r="N94" t="s">
        <v>23</v>
      </c>
      <c r="O94" t="s">
        <v>24</v>
      </c>
      <c r="P94" s="8" t="s">
        <v>214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</row>
    <row r="95" spans="1:51" x14ac:dyDescent="0.2">
      <c r="A95" s="6" t="s">
        <v>17</v>
      </c>
      <c r="B95" t="s">
        <v>115</v>
      </c>
      <c r="C95" t="s">
        <v>116</v>
      </c>
      <c r="D95" t="s">
        <v>215</v>
      </c>
      <c r="E95" s="2">
        <v>1139.4000000000001</v>
      </c>
      <c r="F95" s="3">
        <f t="shared" si="12"/>
        <v>45313</v>
      </c>
      <c r="G95" s="3">
        <f t="shared" si="12"/>
        <v>45313</v>
      </c>
      <c r="H95">
        <v>673022116</v>
      </c>
      <c r="I95" t="s">
        <v>20</v>
      </c>
      <c r="K95" t="s">
        <v>21</v>
      </c>
      <c r="L95" t="s">
        <v>22</v>
      </c>
      <c r="M95" t="s">
        <v>23</v>
      </c>
      <c r="N95" t="s">
        <v>23</v>
      </c>
      <c r="O95" t="s">
        <v>24</v>
      </c>
      <c r="P95" s="8" t="s">
        <v>216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</row>
    <row r="96" spans="1:51" x14ac:dyDescent="0.2">
      <c r="A96" s="6" t="s">
        <v>17</v>
      </c>
      <c r="B96" t="s">
        <v>57</v>
      </c>
      <c r="C96" t="s">
        <v>58</v>
      </c>
      <c r="D96" t="s">
        <v>217</v>
      </c>
      <c r="E96" s="2">
        <v>96.46</v>
      </c>
      <c r="F96" s="3">
        <f t="shared" si="12"/>
        <v>45313</v>
      </c>
      <c r="G96" s="3">
        <f t="shared" si="12"/>
        <v>45313</v>
      </c>
      <c r="H96">
        <v>673022117</v>
      </c>
      <c r="I96" t="s">
        <v>20</v>
      </c>
      <c r="K96" t="s">
        <v>21</v>
      </c>
      <c r="L96" t="s">
        <v>22</v>
      </c>
      <c r="M96" t="s">
        <v>23</v>
      </c>
      <c r="N96" t="s">
        <v>23</v>
      </c>
      <c r="O96" t="s">
        <v>24</v>
      </c>
      <c r="P96" s="8" t="s">
        <v>218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</row>
    <row r="97" spans="1:51" x14ac:dyDescent="0.2">
      <c r="A97" s="6" t="s">
        <v>17</v>
      </c>
      <c r="B97" t="s">
        <v>57</v>
      </c>
      <c r="C97" t="s">
        <v>58</v>
      </c>
      <c r="D97" t="s">
        <v>219</v>
      </c>
      <c r="E97" s="2">
        <v>78</v>
      </c>
      <c r="F97" s="3">
        <f t="shared" si="12"/>
        <v>45313</v>
      </c>
      <c r="G97" s="3">
        <f t="shared" si="12"/>
        <v>45313</v>
      </c>
      <c r="H97">
        <v>673022118</v>
      </c>
      <c r="I97" t="s">
        <v>20</v>
      </c>
      <c r="K97" t="s">
        <v>21</v>
      </c>
      <c r="L97" t="s">
        <v>22</v>
      </c>
      <c r="M97" t="s">
        <v>23</v>
      </c>
      <c r="N97" t="s">
        <v>23</v>
      </c>
      <c r="O97" t="s">
        <v>24</v>
      </c>
      <c r="P97" s="8" t="s">
        <v>220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</row>
    <row r="98" spans="1:51" x14ac:dyDescent="0.2">
      <c r="A98" s="6" t="s">
        <v>17</v>
      </c>
      <c r="B98" t="s">
        <v>57</v>
      </c>
      <c r="C98" t="s">
        <v>58</v>
      </c>
      <c r="D98" t="s">
        <v>221</v>
      </c>
      <c r="E98" s="2">
        <v>51.99</v>
      </c>
      <c r="F98" s="3">
        <f t="shared" si="12"/>
        <v>45313</v>
      </c>
      <c r="G98" s="3">
        <f t="shared" si="12"/>
        <v>45313</v>
      </c>
      <c r="H98">
        <v>673022119</v>
      </c>
      <c r="I98" t="s">
        <v>20</v>
      </c>
      <c r="K98" t="s">
        <v>21</v>
      </c>
      <c r="L98" t="s">
        <v>22</v>
      </c>
      <c r="M98" t="s">
        <v>23</v>
      </c>
      <c r="N98" t="s">
        <v>23</v>
      </c>
      <c r="O98" t="s">
        <v>24</v>
      </c>
      <c r="P98" s="8" t="s">
        <v>222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</row>
    <row r="99" spans="1:51" x14ac:dyDescent="0.2">
      <c r="A99" s="6" t="s">
        <v>17</v>
      </c>
      <c r="B99" t="s">
        <v>223</v>
      </c>
      <c r="C99" t="s">
        <v>223</v>
      </c>
      <c r="D99" t="s">
        <v>224</v>
      </c>
      <c r="E99" s="2">
        <v>299.33999999999997</v>
      </c>
      <c r="F99" s="3">
        <f t="shared" si="12"/>
        <v>45313</v>
      </c>
      <c r="G99" s="3">
        <f t="shared" si="12"/>
        <v>45313</v>
      </c>
      <c r="H99">
        <v>673022120</v>
      </c>
      <c r="I99" t="s">
        <v>20</v>
      </c>
      <c r="K99" t="s">
        <v>21</v>
      </c>
      <c r="L99" t="s">
        <v>22</v>
      </c>
      <c r="M99" t="s">
        <v>23</v>
      </c>
      <c r="N99" t="s">
        <v>23</v>
      </c>
      <c r="O99" t="s">
        <v>24</v>
      </c>
      <c r="P99" s="8" t="s">
        <v>225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</row>
    <row r="100" spans="1:51" hidden="1" x14ac:dyDescent="0.2">
      <c r="A100" s="6"/>
      <c r="E100" s="2"/>
      <c r="F100" s="3"/>
      <c r="G100" s="3"/>
      <c r="P100" s="8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</row>
    <row r="101" spans="1:51" x14ac:dyDescent="0.2">
      <c r="A101" s="6" t="s">
        <v>17</v>
      </c>
      <c r="B101" t="s">
        <v>61</v>
      </c>
      <c r="C101" t="s">
        <v>62</v>
      </c>
      <c r="D101" t="s">
        <v>226</v>
      </c>
      <c r="E101" s="2">
        <v>606</v>
      </c>
      <c r="F101" s="3">
        <f t="shared" si="12"/>
        <v>45313</v>
      </c>
      <c r="G101" s="3">
        <f t="shared" si="12"/>
        <v>45313</v>
      </c>
      <c r="H101">
        <v>673022122</v>
      </c>
      <c r="I101" t="s">
        <v>20</v>
      </c>
      <c r="K101" t="s">
        <v>21</v>
      </c>
      <c r="L101" t="s">
        <v>22</v>
      </c>
      <c r="M101" t="s">
        <v>23</v>
      </c>
      <c r="N101" t="s">
        <v>23</v>
      </c>
      <c r="O101" t="s">
        <v>24</v>
      </c>
      <c r="P101" s="8" t="s">
        <v>227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</row>
    <row r="102" spans="1:51" x14ac:dyDescent="0.2">
      <c r="A102" s="6" t="s">
        <v>17</v>
      </c>
      <c r="B102" t="s">
        <v>34</v>
      </c>
      <c r="C102" t="s">
        <v>35</v>
      </c>
      <c r="D102" t="s">
        <v>228</v>
      </c>
      <c r="E102" s="2">
        <v>40</v>
      </c>
      <c r="F102" s="3">
        <f>DATE(2024,1,20)</f>
        <v>45311</v>
      </c>
      <c r="G102" s="3">
        <f>DATE(2024,1,20)</f>
        <v>45311</v>
      </c>
      <c r="H102">
        <v>673022123</v>
      </c>
      <c r="I102" t="s">
        <v>51</v>
      </c>
      <c r="K102" t="s">
        <v>21</v>
      </c>
      <c r="L102" t="s">
        <v>22</v>
      </c>
      <c r="M102" t="s">
        <v>23</v>
      </c>
      <c r="N102" t="s">
        <v>23</v>
      </c>
      <c r="O102" t="s">
        <v>24</v>
      </c>
      <c r="P102" s="8" t="s">
        <v>229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</row>
    <row r="103" spans="1:51" x14ac:dyDescent="0.2">
      <c r="A103" s="6" t="s">
        <v>17</v>
      </c>
      <c r="B103" t="s">
        <v>26</v>
      </c>
      <c r="C103" t="s">
        <v>27</v>
      </c>
      <c r="D103" t="s">
        <v>230</v>
      </c>
      <c r="E103" s="2">
        <v>5.99</v>
      </c>
      <c r="F103" s="3">
        <f>DATE(2024,1,20)</f>
        <v>45311</v>
      </c>
      <c r="G103" s="3">
        <f>DATE(2024,1,20)</f>
        <v>45311</v>
      </c>
      <c r="H103">
        <v>673022124</v>
      </c>
      <c r="I103" t="s">
        <v>51</v>
      </c>
      <c r="K103" t="s">
        <v>21</v>
      </c>
      <c r="L103" t="s">
        <v>22</v>
      </c>
      <c r="M103" t="s">
        <v>23</v>
      </c>
      <c r="N103" t="s">
        <v>23</v>
      </c>
      <c r="O103" t="s">
        <v>24</v>
      </c>
      <c r="P103" s="8" t="s">
        <v>231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</row>
    <row r="104" spans="1:51" hidden="1" x14ac:dyDescent="0.2">
      <c r="A104" s="6"/>
      <c r="E104" s="2"/>
      <c r="F104" s="3"/>
      <c r="G104" s="3"/>
      <c r="P104" s="8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</row>
    <row r="105" spans="1:51" x14ac:dyDescent="0.2">
      <c r="A105" s="6" t="s">
        <v>17</v>
      </c>
      <c r="B105" t="s">
        <v>232</v>
      </c>
      <c r="C105" t="s">
        <v>233</v>
      </c>
      <c r="D105" t="s">
        <v>234</v>
      </c>
      <c r="E105" s="2">
        <v>1778</v>
      </c>
      <c r="F105" s="3">
        <f>DATE(2024,1,23)</f>
        <v>45314</v>
      </c>
      <c r="G105" s="3">
        <f>DATE(2024,1,23)</f>
        <v>45314</v>
      </c>
      <c r="H105">
        <v>675097686</v>
      </c>
      <c r="I105" t="s">
        <v>20</v>
      </c>
      <c r="K105" t="s">
        <v>21</v>
      </c>
      <c r="L105" t="s">
        <v>22</v>
      </c>
      <c r="M105" t="s">
        <v>23</v>
      </c>
      <c r="N105" t="s">
        <v>23</v>
      </c>
      <c r="O105" t="s">
        <v>24</v>
      </c>
      <c r="P105" s="8" t="s">
        <v>235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</row>
    <row r="106" spans="1:51" hidden="1" x14ac:dyDescent="0.2">
      <c r="A106" s="6"/>
      <c r="E106" s="2"/>
      <c r="F106" s="3"/>
      <c r="G106" s="3"/>
      <c r="P106" s="8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</row>
    <row r="107" spans="1:51" x14ac:dyDescent="0.2">
      <c r="A107" s="6" t="s">
        <v>17</v>
      </c>
      <c r="B107" t="s">
        <v>61</v>
      </c>
      <c r="C107" t="s">
        <v>62</v>
      </c>
      <c r="D107" t="s">
        <v>236</v>
      </c>
      <c r="E107" s="2">
        <v>59.99</v>
      </c>
      <c r="F107" s="3">
        <f>DATE(2024,1,22)</f>
        <v>45313</v>
      </c>
      <c r="G107" s="3">
        <f>DATE(2024,1,22)</f>
        <v>45313</v>
      </c>
      <c r="H107">
        <v>675097688</v>
      </c>
      <c r="I107" t="s">
        <v>51</v>
      </c>
      <c r="K107" t="s">
        <v>21</v>
      </c>
      <c r="L107" t="s">
        <v>22</v>
      </c>
      <c r="M107" t="s">
        <v>23</v>
      </c>
      <c r="N107" t="s">
        <v>23</v>
      </c>
      <c r="O107" t="s">
        <v>24</v>
      </c>
      <c r="P107" s="8" t="s">
        <v>237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</row>
    <row r="108" spans="1:51" x14ac:dyDescent="0.2">
      <c r="A108" s="6" t="s">
        <v>17</v>
      </c>
      <c r="B108" t="s">
        <v>61</v>
      </c>
      <c r="C108" t="s">
        <v>62</v>
      </c>
      <c r="D108" t="s">
        <v>236</v>
      </c>
      <c r="E108" s="2">
        <v>30.99</v>
      </c>
      <c r="F108" s="3">
        <f>DATE(2024,1,22)</f>
        <v>45313</v>
      </c>
      <c r="G108" s="3">
        <f>DATE(2024,1,22)</f>
        <v>45313</v>
      </c>
      <c r="H108">
        <v>675097689</v>
      </c>
      <c r="I108" t="s">
        <v>51</v>
      </c>
      <c r="K108" t="s">
        <v>21</v>
      </c>
      <c r="L108" t="s">
        <v>22</v>
      </c>
      <c r="M108" t="s">
        <v>23</v>
      </c>
      <c r="N108" t="s">
        <v>23</v>
      </c>
      <c r="O108" t="s">
        <v>24</v>
      </c>
      <c r="P108" s="8" t="s">
        <v>238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</row>
    <row r="109" spans="1:51" hidden="1" x14ac:dyDescent="0.2">
      <c r="A109" s="6"/>
      <c r="E109" s="2"/>
      <c r="F109" s="3"/>
      <c r="G109" s="3"/>
      <c r="P109" s="8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</row>
    <row r="110" spans="1:51" x14ac:dyDescent="0.2">
      <c r="A110" s="6" t="s">
        <v>17</v>
      </c>
      <c r="B110" t="s">
        <v>110</v>
      </c>
      <c r="C110" t="s">
        <v>111</v>
      </c>
      <c r="D110" t="s">
        <v>239</v>
      </c>
      <c r="E110" s="2">
        <v>6.14</v>
      </c>
      <c r="F110" s="3">
        <f t="shared" ref="F109:G111" si="13">DATE(2024,1,23)</f>
        <v>45314</v>
      </c>
      <c r="G110" s="3">
        <f t="shared" si="13"/>
        <v>45314</v>
      </c>
      <c r="H110">
        <v>675546246</v>
      </c>
      <c r="I110" t="s">
        <v>73</v>
      </c>
      <c r="K110" t="s">
        <v>21</v>
      </c>
      <c r="L110" t="s">
        <v>22</v>
      </c>
      <c r="M110" t="s">
        <v>23</v>
      </c>
      <c r="N110" t="s">
        <v>23</v>
      </c>
      <c r="O110" t="s">
        <v>24</v>
      </c>
      <c r="P110" s="8" t="s">
        <v>240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</row>
    <row r="111" spans="1:51" hidden="1" x14ac:dyDescent="0.2">
      <c r="A111" s="6"/>
      <c r="E111" s="2"/>
      <c r="F111" s="3"/>
      <c r="G111" s="3"/>
      <c r="P111" s="8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</row>
    <row r="112" spans="1:51" x14ac:dyDescent="0.2">
      <c r="A112" s="6" t="s">
        <v>17</v>
      </c>
      <c r="B112" t="s">
        <v>223</v>
      </c>
      <c r="C112" t="s">
        <v>223</v>
      </c>
      <c r="D112" t="s">
        <v>241</v>
      </c>
      <c r="E112" s="2">
        <v>3568.67</v>
      </c>
      <c r="F112" s="3">
        <f t="shared" ref="F112:G120" si="14">DATE(2024,1,24)</f>
        <v>45315</v>
      </c>
      <c r="G112" s="3">
        <f t="shared" si="14"/>
        <v>45315</v>
      </c>
      <c r="H112">
        <v>677405046</v>
      </c>
      <c r="I112" t="s">
        <v>20</v>
      </c>
      <c r="K112" t="s">
        <v>21</v>
      </c>
      <c r="L112" t="s">
        <v>22</v>
      </c>
      <c r="M112" t="s">
        <v>23</v>
      </c>
      <c r="N112" t="s">
        <v>23</v>
      </c>
      <c r="O112" t="s">
        <v>24</v>
      </c>
      <c r="P112" s="8" t="s">
        <v>242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</row>
    <row r="113" spans="1:51" x14ac:dyDescent="0.2">
      <c r="A113" s="6" t="s">
        <v>17</v>
      </c>
      <c r="B113" t="s">
        <v>191</v>
      </c>
      <c r="C113" t="s">
        <v>192</v>
      </c>
      <c r="D113" t="s">
        <v>243</v>
      </c>
      <c r="E113" s="2">
        <v>457.48</v>
      </c>
      <c r="F113" s="3">
        <f t="shared" si="14"/>
        <v>45315</v>
      </c>
      <c r="G113" s="3">
        <f t="shared" si="14"/>
        <v>45315</v>
      </c>
      <c r="H113">
        <v>677405047</v>
      </c>
      <c r="I113" t="s">
        <v>20</v>
      </c>
      <c r="K113" t="s">
        <v>21</v>
      </c>
      <c r="L113" t="s">
        <v>22</v>
      </c>
      <c r="M113" t="s">
        <v>23</v>
      </c>
      <c r="N113" t="s">
        <v>23</v>
      </c>
      <c r="O113" t="s">
        <v>24</v>
      </c>
      <c r="P113" s="8" t="s">
        <v>244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</row>
    <row r="114" spans="1:51" x14ac:dyDescent="0.2">
      <c r="A114" s="6" t="s">
        <v>17</v>
      </c>
      <c r="B114" t="s">
        <v>137</v>
      </c>
      <c r="C114" t="s">
        <v>138</v>
      </c>
      <c r="D114" t="s">
        <v>245</v>
      </c>
      <c r="E114" s="2">
        <v>99.36</v>
      </c>
      <c r="F114" s="3">
        <f t="shared" si="14"/>
        <v>45315</v>
      </c>
      <c r="G114" s="3">
        <f t="shared" si="14"/>
        <v>45315</v>
      </c>
      <c r="H114">
        <v>677405048</v>
      </c>
      <c r="I114" t="s">
        <v>20</v>
      </c>
      <c r="K114" t="s">
        <v>21</v>
      </c>
      <c r="L114" t="s">
        <v>22</v>
      </c>
      <c r="M114" t="s">
        <v>23</v>
      </c>
      <c r="N114" t="s">
        <v>23</v>
      </c>
      <c r="O114" t="s">
        <v>24</v>
      </c>
      <c r="P114" s="8" t="s">
        <v>246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</row>
    <row r="115" spans="1:51" x14ac:dyDescent="0.2">
      <c r="A115" s="6" t="s">
        <v>17</v>
      </c>
      <c r="B115" t="s">
        <v>65</v>
      </c>
      <c r="C115" t="s">
        <v>66</v>
      </c>
      <c r="D115" t="s">
        <v>247</v>
      </c>
      <c r="E115" s="2">
        <v>207.23</v>
      </c>
      <c r="F115" s="3">
        <f t="shared" si="14"/>
        <v>45315</v>
      </c>
      <c r="G115" s="3">
        <f t="shared" si="14"/>
        <v>45315</v>
      </c>
      <c r="H115">
        <v>677405049</v>
      </c>
      <c r="I115" t="s">
        <v>20</v>
      </c>
      <c r="K115" t="s">
        <v>21</v>
      </c>
      <c r="L115" t="s">
        <v>22</v>
      </c>
      <c r="M115" t="s">
        <v>23</v>
      </c>
      <c r="N115" t="s">
        <v>23</v>
      </c>
      <c r="O115" t="s">
        <v>24</v>
      </c>
      <c r="P115" s="8" t="s">
        <v>248</v>
      </c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</row>
    <row r="116" spans="1:51" x14ac:dyDescent="0.2">
      <c r="A116" s="6" t="s">
        <v>17</v>
      </c>
      <c r="B116" t="s">
        <v>137</v>
      </c>
      <c r="C116" t="s">
        <v>138</v>
      </c>
      <c r="D116" t="s">
        <v>249</v>
      </c>
      <c r="E116" s="2">
        <v>159</v>
      </c>
      <c r="F116" s="3">
        <f t="shared" si="14"/>
        <v>45315</v>
      </c>
      <c r="G116" s="3">
        <f t="shared" si="14"/>
        <v>45315</v>
      </c>
      <c r="H116">
        <v>677405050</v>
      </c>
      <c r="I116" t="s">
        <v>20</v>
      </c>
      <c r="K116" t="s">
        <v>21</v>
      </c>
      <c r="L116" t="s">
        <v>22</v>
      </c>
      <c r="M116" t="s">
        <v>23</v>
      </c>
      <c r="N116" t="s">
        <v>23</v>
      </c>
      <c r="O116" t="s">
        <v>24</v>
      </c>
      <c r="P116" s="8" t="s">
        <v>250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</row>
    <row r="117" spans="1:51" x14ac:dyDescent="0.2">
      <c r="A117" s="6" t="s">
        <v>17</v>
      </c>
      <c r="B117" t="s">
        <v>251</v>
      </c>
      <c r="C117" t="s">
        <v>252</v>
      </c>
      <c r="D117" t="s">
        <v>253</v>
      </c>
      <c r="E117" s="2">
        <v>1408.32</v>
      </c>
      <c r="F117" s="3">
        <f t="shared" si="14"/>
        <v>45315</v>
      </c>
      <c r="G117" s="3">
        <f t="shared" si="14"/>
        <v>45315</v>
      </c>
      <c r="H117">
        <v>677405051</v>
      </c>
      <c r="I117" t="s">
        <v>20</v>
      </c>
      <c r="K117" t="s">
        <v>21</v>
      </c>
      <c r="L117" t="s">
        <v>22</v>
      </c>
      <c r="M117" t="s">
        <v>23</v>
      </c>
      <c r="N117" t="s">
        <v>23</v>
      </c>
      <c r="O117" t="s">
        <v>24</v>
      </c>
      <c r="P117" s="8" t="s">
        <v>254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</row>
    <row r="118" spans="1:51" x14ac:dyDescent="0.2">
      <c r="A118" s="6" t="s">
        <v>17</v>
      </c>
      <c r="B118" t="s">
        <v>137</v>
      </c>
      <c r="C118" t="s">
        <v>138</v>
      </c>
      <c r="D118" t="s">
        <v>255</v>
      </c>
      <c r="E118" s="2">
        <v>96</v>
      </c>
      <c r="F118" s="3">
        <f t="shared" si="14"/>
        <v>45315</v>
      </c>
      <c r="G118" s="3">
        <f t="shared" si="14"/>
        <v>45315</v>
      </c>
      <c r="H118">
        <v>677405052</v>
      </c>
      <c r="I118" t="s">
        <v>20</v>
      </c>
      <c r="K118" t="s">
        <v>21</v>
      </c>
      <c r="L118" t="s">
        <v>22</v>
      </c>
      <c r="M118" t="s">
        <v>23</v>
      </c>
      <c r="N118" t="s">
        <v>23</v>
      </c>
      <c r="O118" t="s">
        <v>24</v>
      </c>
      <c r="P118" s="8" t="s">
        <v>256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</row>
    <row r="119" spans="1:51" x14ac:dyDescent="0.2">
      <c r="A119" s="6" t="s">
        <v>17</v>
      </c>
      <c r="B119" t="s">
        <v>137</v>
      </c>
      <c r="C119" t="s">
        <v>138</v>
      </c>
      <c r="D119" t="s">
        <v>257</v>
      </c>
      <c r="E119" s="2">
        <v>54.71</v>
      </c>
      <c r="F119" s="3">
        <f t="shared" si="14"/>
        <v>45315</v>
      </c>
      <c r="G119" s="3">
        <f t="shared" si="14"/>
        <v>45315</v>
      </c>
      <c r="H119">
        <v>677405053</v>
      </c>
      <c r="I119" t="s">
        <v>20</v>
      </c>
      <c r="K119" t="s">
        <v>21</v>
      </c>
      <c r="L119" t="s">
        <v>22</v>
      </c>
      <c r="M119" t="s">
        <v>23</v>
      </c>
      <c r="N119" t="s">
        <v>23</v>
      </c>
      <c r="O119" t="s">
        <v>24</v>
      </c>
      <c r="P119" s="8" t="s">
        <v>258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</row>
    <row r="120" spans="1:51" hidden="1" x14ac:dyDescent="0.2">
      <c r="A120" s="6"/>
      <c r="E120" s="2"/>
      <c r="F120" s="3"/>
      <c r="G120" s="3"/>
      <c r="P120" s="8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</row>
    <row r="121" spans="1:51" hidden="1" x14ac:dyDescent="0.2">
      <c r="A121" s="6"/>
      <c r="E121" s="2"/>
      <c r="F121" s="3"/>
      <c r="G121" s="3"/>
      <c r="P121" s="8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</row>
    <row r="122" spans="1:51" x14ac:dyDescent="0.2">
      <c r="A122" s="6" t="s">
        <v>17</v>
      </c>
      <c r="B122" t="s">
        <v>34</v>
      </c>
      <c r="C122" t="s">
        <v>35</v>
      </c>
      <c r="D122" t="s">
        <v>259</v>
      </c>
      <c r="E122" s="2">
        <v>28.8</v>
      </c>
      <c r="F122" s="3">
        <f>DATE(2024,1,24)</f>
        <v>45315</v>
      </c>
      <c r="G122" s="3">
        <f>DATE(2024,1,24)</f>
        <v>45315</v>
      </c>
      <c r="H122">
        <v>677760058</v>
      </c>
      <c r="I122" t="s">
        <v>73</v>
      </c>
      <c r="K122" t="s">
        <v>21</v>
      </c>
      <c r="L122" t="s">
        <v>22</v>
      </c>
      <c r="M122" t="s">
        <v>23</v>
      </c>
      <c r="N122" t="s">
        <v>23</v>
      </c>
      <c r="O122" t="s">
        <v>24</v>
      </c>
      <c r="P122" s="8" t="s">
        <v>260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</row>
    <row r="123" spans="1:51" x14ac:dyDescent="0.2">
      <c r="A123" s="6" t="s">
        <v>17</v>
      </c>
      <c r="B123" t="s">
        <v>261</v>
      </c>
      <c r="C123" t="s">
        <v>262</v>
      </c>
      <c r="D123" t="s">
        <v>263</v>
      </c>
      <c r="E123" s="2">
        <v>2546.96</v>
      </c>
      <c r="F123" s="3">
        <f t="shared" ref="F123:G125" si="15">DATE(2024,1,25)</f>
        <v>45316</v>
      </c>
      <c r="G123" s="3">
        <f t="shared" si="15"/>
        <v>45316</v>
      </c>
      <c r="H123">
        <v>679416883</v>
      </c>
      <c r="I123" t="s">
        <v>20</v>
      </c>
      <c r="K123" t="s">
        <v>21</v>
      </c>
      <c r="L123" t="s">
        <v>22</v>
      </c>
      <c r="M123" t="s">
        <v>23</v>
      </c>
      <c r="N123" t="s">
        <v>23</v>
      </c>
      <c r="O123" t="s">
        <v>24</v>
      </c>
      <c r="P123" s="8" t="s">
        <v>264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</row>
    <row r="124" spans="1:51" hidden="1" x14ac:dyDescent="0.2">
      <c r="A124" s="6"/>
      <c r="E124" s="2"/>
      <c r="F124" s="3"/>
      <c r="G124" s="3"/>
      <c r="P124" s="8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</row>
    <row r="125" spans="1:51" x14ac:dyDescent="0.2">
      <c r="A125" s="6" t="s">
        <v>17</v>
      </c>
      <c r="B125" t="s">
        <v>18</v>
      </c>
      <c r="C125" t="s">
        <v>18</v>
      </c>
      <c r="D125" t="s">
        <v>265</v>
      </c>
      <c r="E125" s="2">
        <v>2.2799999999999998</v>
      </c>
      <c r="F125" s="3">
        <f t="shared" si="15"/>
        <v>45316</v>
      </c>
      <c r="G125" s="3">
        <f t="shared" si="15"/>
        <v>45316</v>
      </c>
      <c r="H125">
        <v>679416885</v>
      </c>
      <c r="I125" t="s">
        <v>20</v>
      </c>
      <c r="K125" t="s">
        <v>21</v>
      </c>
      <c r="L125" t="s">
        <v>22</v>
      </c>
      <c r="M125" t="s">
        <v>23</v>
      </c>
      <c r="N125" t="s">
        <v>23</v>
      </c>
      <c r="O125" t="s">
        <v>24</v>
      </c>
      <c r="P125" s="8" t="s">
        <v>266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</row>
    <row r="126" spans="1:51" x14ac:dyDescent="0.2">
      <c r="A126" s="6" t="s">
        <v>17</v>
      </c>
      <c r="B126" t="s">
        <v>44</v>
      </c>
      <c r="C126" t="s">
        <v>45</v>
      </c>
      <c r="D126" t="s">
        <v>267</v>
      </c>
      <c r="E126" s="2">
        <v>139.97999999999999</v>
      </c>
      <c r="F126" s="3">
        <f t="shared" ref="F126:G130" si="16">DATE(2024,1,24)</f>
        <v>45315</v>
      </c>
      <c r="G126" s="3">
        <f t="shared" si="16"/>
        <v>45315</v>
      </c>
      <c r="H126">
        <v>679416889</v>
      </c>
      <c r="I126" t="s">
        <v>51</v>
      </c>
      <c r="K126" t="s">
        <v>21</v>
      </c>
      <c r="L126" t="s">
        <v>22</v>
      </c>
      <c r="M126" t="s">
        <v>23</v>
      </c>
      <c r="N126" t="s">
        <v>23</v>
      </c>
      <c r="O126" t="s">
        <v>24</v>
      </c>
      <c r="P126" s="8" t="s">
        <v>268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</row>
    <row r="127" spans="1:51" x14ac:dyDescent="0.2">
      <c r="A127" s="6" t="s">
        <v>17</v>
      </c>
      <c r="B127" t="s">
        <v>44</v>
      </c>
      <c r="C127" t="s">
        <v>45</v>
      </c>
      <c r="D127" t="s">
        <v>269</v>
      </c>
      <c r="E127" s="2">
        <v>123.02</v>
      </c>
      <c r="F127" s="3">
        <f t="shared" si="16"/>
        <v>45315</v>
      </c>
      <c r="G127" s="3">
        <f t="shared" si="16"/>
        <v>45315</v>
      </c>
      <c r="H127">
        <v>679416890</v>
      </c>
      <c r="I127" t="s">
        <v>51</v>
      </c>
      <c r="K127" t="s">
        <v>21</v>
      </c>
      <c r="L127" t="s">
        <v>22</v>
      </c>
      <c r="M127" t="s">
        <v>23</v>
      </c>
      <c r="N127" t="s">
        <v>23</v>
      </c>
      <c r="O127" t="s">
        <v>24</v>
      </c>
      <c r="P127" s="8" t="s">
        <v>270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</row>
    <row r="128" spans="1:51" x14ac:dyDescent="0.2">
      <c r="A128" s="6" t="s">
        <v>17</v>
      </c>
      <c r="B128" t="s">
        <v>44</v>
      </c>
      <c r="C128" t="s">
        <v>45</v>
      </c>
      <c r="D128" t="s">
        <v>271</v>
      </c>
      <c r="E128" s="2">
        <v>97.05</v>
      </c>
      <c r="F128" s="3">
        <f t="shared" si="16"/>
        <v>45315</v>
      </c>
      <c r="G128" s="3">
        <f t="shared" si="16"/>
        <v>45315</v>
      </c>
      <c r="H128">
        <v>679416891</v>
      </c>
      <c r="I128" t="s">
        <v>51</v>
      </c>
      <c r="K128" t="s">
        <v>21</v>
      </c>
      <c r="L128" t="s">
        <v>22</v>
      </c>
      <c r="M128" t="s">
        <v>23</v>
      </c>
      <c r="N128" t="s">
        <v>23</v>
      </c>
      <c r="O128" t="s">
        <v>24</v>
      </c>
      <c r="P128" s="8" t="s">
        <v>272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</row>
    <row r="129" spans="1:51" x14ac:dyDescent="0.2">
      <c r="A129" s="6" t="s">
        <v>17</v>
      </c>
      <c r="B129" t="s">
        <v>44</v>
      </c>
      <c r="C129" t="s">
        <v>45</v>
      </c>
      <c r="D129" t="s">
        <v>273</v>
      </c>
      <c r="E129" s="2">
        <v>84</v>
      </c>
      <c r="F129" s="3">
        <f t="shared" si="16"/>
        <v>45315</v>
      </c>
      <c r="G129" s="3">
        <f t="shared" si="16"/>
        <v>45315</v>
      </c>
      <c r="H129">
        <v>679416892</v>
      </c>
      <c r="I129" t="s">
        <v>51</v>
      </c>
      <c r="K129" t="s">
        <v>21</v>
      </c>
      <c r="L129" t="s">
        <v>22</v>
      </c>
      <c r="M129" t="s">
        <v>23</v>
      </c>
      <c r="N129" t="s">
        <v>23</v>
      </c>
      <c r="O129" t="s">
        <v>24</v>
      </c>
      <c r="P129" s="8" t="s">
        <v>274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</row>
    <row r="130" spans="1:51" x14ac:dyDescent="0.2">
      <c r="A130" s="6" t="s">
        <v>17</v>
      </c>
      <c r="B130" t="s">
        <v>44</v>
      </c>
      <c r="C130" t="s">
        <v>45</v>
      </c>
      <c r="D130" t="s">
        <v>275</v>
      </c>
      <c r="E130" s="2">
        <v>22.53</v>
      </c>
      <c r="F130" s="3">
        <f t="shared" si="16"/>
        <v>45315</v>
      </c>
      <c r="G130" s="3">
        <f t="shared" si="16"/>
        <v>45315</v>
      </c>
      <c r="H130">
        <v>679416893</v>
      </c>
      <c r="I130" t="s">
        <v>51</v>
      </c>
      <c r="K130" t="s">
        <v>21</v>
      </c>
      <c r="L130" t="s">
        <v>22</v>
      </c>
      <c r="M130" t="s">
        <v>23</v>
      </c>
      <c r="N130" t="s">
        <v>23</v>
      </c>
      <c r="O130" t="s">
        <v>24</v>
      </c>
      <c r="P130" s="8" t="s">
        <v>276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</row>
    <row r="131" spans="1:51" x14ac:dyDescent="0.2">
      <c r="A131" s="6" t="s">
        <v>17</v>
      </c>
      <c r="B131" t="s">
        <v>57</v>
      </c>
      <c r="C131" t="s">
        <v>58</v>
      </c>
      <c r="D131" t="s">
        <v>277</v>
      </c>
      <c r="E131" s="2">
        <v>64.98</v>
      </c>
      <c r="F131" s="3">
        <f t="shared" ref="F131:G134" si="17">DATE(2024,1,26)</f>
        <v>45317</v>
      </c>
      <c r="G131" s="3">
        <f t="shared" si="17"/>
        <v>45317</v>
      </c>
      <c r="H131">
        <v>680334463</v>
      </c>
      <c r="I131" t="s">
        <v>20</v>
      </c>
      <c r="K131" t="s">
        <v>21</v>
      </c>
      <c r="L131" t="s">
        <v>22</v>
      </c>
      <c r="M131" t="s">
        <v>23</v>
      </c>
      <c r="N131" t="s">
        <v>23</v>
      </c>
      <c r="O131" t="s">
        <v>24</v>
      </c>
      <c r="P131" s="8" t="s">
        <v>278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</row>
    <row r="132" spans="1:51" x14ac:dyDescent="0.2">
      <c r="A132" s="6" t="s">
        <v>17</v>
      </c>
      <c r="B132" t="s">
        <v>61</v>
      </c>
      <c r="C132" t="s">
        <v>62</v>
      </c>
      <c r="D132" t="s">
        <v>279</v>
      </c>
      <c r="E132" s="2">
        <v>378</v>
      </c>
      <c r="F132" s="3">
        <f t="shared" si="17"/>
        <v>45317</v>
      </c>
      <c r="G132" s="3">
        <f t="shared" si="17"/>
        <v>45317</v>
      </c>
      <c r="H132">
        <v>680334464</v>
      </c>
      <c r="I132" t="s">
        <v>20</v>
      </c>
      <c r="K132" t="s">
        <v>21</v>
      </c>
      <c r="L132" t="s">
        <v>22</v>
      </c>
      <c r="M132" t="s">
        <v>23</v>
      </c>
      <c r="N132" t="s">
        <v>23</v>
      </c>
      <c r="O132" t="s">
        <v>24</v>
      </c>
      <c r="P132" s="8" t="s">
        <v>280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</row>
    <row r="133" spans="1:51" x14ac:dyDescent="0.2">
      <c r="A133" s="6" t="s">
        <v>17</v>
      </c>
      <c r="B133" t="s">
        <v>26</v>
      </c>
      <c r="C133" t="s">
        <v>27</v>
      </c>
      <c r="D133" t="s">
        <v>281</v>
      </c>
      <c r="E133" s="2">
        <v>880</v>
      </c>
      <c r="F133" s="3">
        <f t="shared" si="17"/>
        <v>45317</v>
      </c>
      <c r="G133" s="3">
        <f t="shared" si="17"/>
        <v>45317</v>
      </c>
      <c r="H133">
        <v>680334465</v>
      </c>
      <c r="I133" t="s">
        <v>20</v>
      </c>
      <c r="K133" t="s">
        <v>21</v>
      </c>
      <c r="L133" t="s">
        <v>22</v>
      </c>
      <c r="M133" t="s">
        <v>23</v>
      </c>
      <c r="N133" t="s">
        <v>23</v>
      </c>
      <c r="O133" t="s">
        <v>24</v>
      </c>
      <c r="P133" s="8" t="s">
        <v>282</v>
      </c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</row>
    <row r="134" spans="1:51" hidden="1" x14ac:dyDescent="0.2">
      <c r="A134" s="6"/>
      <c r="E134" s="2"/>
      <c r="F134" s="3"/>
      <c r="G134" s="3"/>
      <c r="P134" s="8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</row>
    <row r="135" spans="1:51" x14ac:dyDescent="0.2">
      <c r="A135" s="6" t="s">
        <v>17</v>
      </c>
      <c r="B135" t="s">
        <v>100</v>
      </c>
      <c r="C135" t="s">
        <v>101</v>
      </c>
      <c r="D135" t="s">
        <v>283</v>
      </c>
      <c r="E135" s="2">
        <v>49.66</v>
      </c>
      <c r="F135" s="3">
        <f>DATE(2024,1,25)</f>
        <v>45316</v>
      </c>
      <c r="G135" s="3">
        <f>DATE(2024,1,25)</f>
        <v>45316</v>
      </c>
      <c r="H135">
        <v>680334467</v>
      </c>
      <c r="I135" t="s">
        <v>51</v>
      </c>
      <c r="K135" t="s">
        <v>21</v>
      </c>
      <c r="L135" t="s">
        <v>22</v>
      </c>
      <c r="M135" t="s">
        <v>23</v>
      </c>
      <c r="N135" t="s">
        <v>23</v>
      </c>
      <c r="O135" t="s">
        <v>24</v>
      </c>
      <c r="P135" s="8" t="s">
        <v>284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</row>
    <row r="136" spans="1:51" x14ac:dyDescent="0.2">
      <c r="A136" s="6" t="s">
        <v>17</v>
      </c>
      <c r="B136" t="s">
        <v>251</v>
      </c>
      <c r="C136" t="s">
        <v>252</v>
      </c>
      <c r="D136" t="s">
        <v>285</v>
      </c>
      <c r="E136" s="2">
        <v>276</v>
      </c>
      <c r="F136" s="3">
        <f>DATE(2024,1,29)</f>
        <v>45320</v>
      </c>
      <c r="G136" s="3">
        <f>DATE(2024,1,29)</f>
        <v>45320</v>
      </c>
      <c r="H136">
        <v>682625538</v>
      </c>
      <c r="I136" t="s">
        <v>20</v>
      </c>
      <c r="K136" t="s">
        <v>21</v>
      </c>
      <c r="L136" t="s">
        <v>22</v>
      </c>
      <c r="M136" t="s">
        <v>23</v>
      </c>
      <c r="N136" t="s">
        <v>23</v>
      </c>
      <c r="O136" t="s">
        <v>24</v>
      </c>
      <c r="P136" s="8" t="s">
        <v>286</v>
      </c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</row>
    <row r="137" spans="1:51" x14ac:dyDescent="0.2">
      <c r="A137" s="6" t="s">
        <v>17</v>
      </c>
      <c r="B137" t="s">
        <v>44</v>
      </c>
      <c r="C137" t="s">
        <v>45</v>
      </c>
      <c r="D137" t="s">
        <v>287</v>
      </c>
      <c r="E137" s="2">
        <v>78</v>
      </c>
      <c r="F137" s="3">
        <f>DATE(2024,1,29)</f>
        <v>45320</v>
      </c>
      <c r="G137" s="3">
        <f>DATE(2024,1,29)</f>
        <v>45320</v>
      </c>
      <c r="H137">
        <v>682625539</v>
      </c>
      <c r="I137" t="s">
        <v>20</v>
      </c>
      <c r="K137" t="s">
        <v>21</v>
      </c>
      <c r="L137" t="s">
        <v>22</v>
      </c>
      <c r="M137" t="s">
        <v>23</v>
      </c>
      <c r="N137" t="s">
        <v>23</v>
      </c>
      <c r="O137" t="s">
        <v>24</v>
      </c>
      <c r="P137" s="8" t="s">
        <v>288</v>
      </c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</row>
    <row r="138" spans="1:51" x14ac:dyDescent="0.2">
      <c r="A138" s="6" t="s">
        <v>17</v>
      </c>
      <c r="B138" t="s">
        <v>44</v>
      </c>
      <c r="C138" t="s">
        <v>45</v>
      </c>
      <c r="D138" t="s">
        <v>289</v>
      </c>
      <c r="E138" s="2">
        <v>90</v>
      </c>
      <c r="F138" s="3">
        <f t="shared" ref="F138:G141" si="18">DATE(2024,1,30)</f>
        <v>45321</v>
      </c>
      <c r="G138" s="3">
        <f t="shared" si="18"/>
        <v>45321</v>
      </c>
      <c r="H138">
        <v>682625540</v>
      </c>
      <c r="I138" t="s">
        <v>20</v>
      </c>
      <c r="K138" t="s">
        <v>21</v>
      </c>
      <c r="L138" t="s">
        <v>22</v>
      </c>
      <c r="M138" t="s">
        <v>23</v>
      </c>
      <c r="N138" t="s">
        <v>23</v>
      </c>
      <c r="O138" t="s">
        <v>24</v>
      </c>
      <c r="P138" s="8" t="s">
        <v>290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</row>
    <row r="139" spans="1:51" hidden="1" x14ac:dyDescent="0.2">
      <c r="A139" s="6"/>
      <c r="E139" s="2"/>
      <c r="F139" s="3"/>
      <c r="G139" s="3"/>
      <c r="P139" s="8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</row>
    <row r="140" spans="1:51" hidden="1" x14ac:dyDescent="0.2">
      <c r="A140" s="6"/>
      <c r="E140" s="2"/>
      <c r="F140" s="3"/>
      <c r="G140" s="3"/>
      <c r="P140" s="8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</row>
    <row r="141" spans="1:51" hidden="1" x14ac:dyDescent="0.2">
      <c r="A141" s="6"/>
      <c r="E141" s="2"/>
      <c r="F141" s="3"/>
      <c r="G141" s="3"/>
      <c r="P141" s="8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</row>
    <row r="142" spans="1:51" hidden="1" x14ac:dyDescent="0.2">
      <c r="A142" s="6"/>
      <c r="E142" s="2"/>
      <c r="F142" s="3"/>
      <c r="G142" s="3"/>
      <c r="P142" s="8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</row>
    <row r="143" spans="1:51" x14ac:dyDescent="0.2">
      <c r="A143" s="6" t="s">
        <v>17</v>
      </c>
      <c r="B143" t="s">
        <v>26</v>
      </c>
      <c r="C143" t="s">
        <v>27</v>
      </c>
      <c r="D143" t="s">
        <v>69</v>
      </c>
      <c r="E143" s="2">
        <v>3</v>
      </c>
      <c r="F143" s="3">
        <f>DATE(2024,1,26)</f>
        <v>45317</v>
      </c>
      <c r="G143" s="3">
        <f>DATE(2024,1,26)</f>
        <v>45317</v>
      </c>
      <c r="H143">
        <v>682625545</v>
      </c>
      <c r="I143" t="s">
        <v>51</v>
      </c>
      <c r="K143" t="s">
        <v>21</v>
      </c>
      <c r="L143" t="s">
        <v>22</v>
      </c>
      <c r="M143" t="s">
        <v>23</v>
      </c>
      <c r="N143" t="s">
        <v>23</v>
      </c>
      <c r="O143" t="s">
        <v>24</v>
      </c>
      <c r="P143" s="8" t="s">
        <v>291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</row>
    <row r="144" spans="1:51" x14ac:dyDescent="0.2">
      <c r="A144" s="6" t="s">
        <v>17</v>
      </c>
      <c r="B144" t="s">
        <v>44</v>
      </c>
      <c r="C144" t="s">
        <v>45</v>
      </c>
      <c r="D144" t="s">
        <v>292</v>
      </c>
      <c r="E144" s="2">
        <v>34.96</v>
      </c>
      <c r="F144" s="3">
        <f>DATE(2024,1,28)</f>
        <v>45319</v>
      </c>
      <c r="G144" s="3">
        <f>DATE(2024,1,28)</f>
        <v>45319</v>
      </c>
      <c r="H144">
        <v>682625546</v>
      </c>
      <c r="I144" t="s">
        <v>51</v>
      </c>
      <c r="K144" t="s">
        <v>21</v>
      </c>
      <c r="L144" t="s">
        <v>22</v>
      </c>
      <c r="M144" t="s">
        <v>23</v>
      </c>
      <c r="N144" t="s">
        <v>23</v>
      </c>
      <c r="O144" t="s">
        <v>24</v>
      </c>
      <c r="P144" s="8" t="s">
        <v>293</v>
      </c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</row>
    <row r="145" spans="1:51" x14ac:dyDescent="0.2">
      <c r="A145" s="6" t="s">
        <v>17</v>
      </c>
      <c r="B145" t="s">
        <v>44</v>
      </c>
      <c r="C145" t="s">
        <v>45</v>
      </c>
      <c r="D145" t="s">
        <v>294</v>
      </c>
      <c r="E145" s="2">
        <v>53.98</v>
      </c>
      <c r="F145" s="3">
        <f t="shared" ref="F145:G148" si="19">DATE(2024,1,29)</f>
        <v>45320</v>
      </c>
      <c r="G145" s="3">
        <f t="shared" si="19"/>
        <v>45320</v>
      </c>
      <c r="H145">
        <v>682625547</v>
      </c>
      <c r="I145" t="s">
        <v>51</v>
      </c>
      <c r="K145" t="s">
        <v>21</v>
      </c>
      <c r="L145" t="s">
        <v>22</v>
      </c>
      <c r="M145" t="s">
        <v>23</v>
      </c>
      <c r="N145" t="s">
        <v>23</v>
      </c>
      <c r="O145" t="s">
        <v>24</v>
      </c>
      <c r="P145" s="8" t="s">
        <v>295</v>
      </c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</row>
    <row r="146" spans="1:51" x14ac:dyDescent="0.2">
      <c r="A146" s="6" t="s">
        <v>17</v>
      </c>
      <c r="B146" t="s">
        <v>44</v>
      </c>
      <c r="C146" t="s">
        <v>45</v>
      </c>
      <c r="D146" t="s">
        <v>296</v>
      </c>
      <c r="E146" s="2">
        <v>35.99</v>
      </c>
      <c r="F146" s="3">
        <f t="shared" si="19"/>
        <v>45320</v>
      </c>
      <c r="G146" s="3">
        <f t="shared" si="19"/>
        <v>45320</v>
      </c>
      <c r="H146">
        <v>682625548</v>
      </c>
      <c r="I146" t="s">
        <v>51</v>
      </c>
      <c r="K146" t="s">
        <v>21</v>
      </c>
      <c r="L146" t="s">
        <v>22</v>
      </c>
      <c r="M146" t="s">
        <v>23</v>
      </c>
      <c r="N146" t="s">
        <v>23</v>
      </c>
      <c r="O146" t="s">
        <v>24</v>
      </c>
      <c r="P146" s="8" t="s">
        <v>297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</row>
    <row r="147" spans="1:51" x14ac:dyDescent="0.2">
      <c r="A147" s="6" t="s">
        <v>17</v>
      </c>
      <c r="B147" t="s">
        <v>44</v>
      </c>
      <c r="C147" t="s">
        <v>45</v>
      </c>
      <c r="D147" t="s">
        <v>298</v>
      </c>
      <c r="E147" s="2">
        <v>7.19</v>
      </c>
      <c r="F147" s="3">
        <f t="shared" si="19"/>
        <v>45320</v>
      </c>
      <c r="G147" s="3">
        <f t="shared" si="19"/>
        <v>45320</v>
      </c>
      <c r="H147">
        <v>682625549</v>
      </c>
      <c r="I147" t="s">
        <v>51</v>
      </c>
      <c r="K147" t="s">
        <v>21</v>
      </c>
      <c r="L147" t="s">
        <v>22</v>
      </c>
      <c r="M147" t="s">
        <v>23</v>
      </c>
      <c r="N147" t="s">
        <v>23</v>
      </c>
      <c r="O147" t="s">
        <v>24</v>
      </c>
      <c r="P147" s="8" t="s">
        <v>299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</row>
    <row r="148" spans="1:51" x14ac:dyDescent="0.2">
      <c r="A148" s="6" t="s">
        <v>17</v>
      </c>
      <c r="B148" t="s">
        <v>44</v>
      </c>
      <c r="C148" t="s">
        <v>45</v>
      </c>
      <c r="D148" t="s">
        <v>300</v>
      </c>
      <c r="E148" s="2">
        <v>7.19</v>
      </c>
      <c r="F148" s="3">
        <f t="shared" si="19"/>
        <v>45320</v>
      </c>
      <c r="G148" s="3">
        <f t="shared" si="19"/>
        <v>45320</v>
      </c>
      <c r="H148">
        <v>682625550</v>
      </c>
      <c r="I148" t="s">
        <v>51</v>
      </c>
      <c r="K148" t="s">
        <v>21</v>
      </c>
      <c r="L148" t="s">
        <v>22</v>
      </c>
      <c r="M148" t="s">
        <v>23</v>
      </c>
      <c r="N148" t="s">
        <v>23</v>
      </c>
      <c r="O148" t="s">
        <v>24</v>
      </c>
      <c r="P148" s="8" t="s">
        <v>301</v>
      </c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</row>
    <row r="149" spans="1:51" x14ac:dyDescent="0.2">
      <c r="A149" s="6" t="s">
        <v>17</v>
      </c>
      <c r="B149" t="s">
        <v>44</v>
      </c>
      <c r="C149" t="s">
        <v>45</v>
      </c>
      <c r="D149" t="s">
        <v>302</v>
      </c>
      <c r="E149" s="2">
        <v>843.6</v>
      </c>
      <c r="F149" s="3">
        <f>DATE(2024,1,31)</f>
        <v>45322</v>
      </c>
      <c r="G149" s="3">
        <f>DATE(2024,1,31)</f>
        <v>45322</v>
      </c>
      <c r="H149">
        <v>684810360</v>
      </c>
      <c r="I149" t="s">
        <v>20</v>
      </c>
      <c r="K149" t="s">
        <v>21</v>
      </c>
      <c r="L149" t="s">
        <v>22</v>
      </c>
      <c r="M149" t="s">
        <v>23</v>
      </c>
      <c r="N149" t="s">
        <v>23</v>
      </c>
      <c r="O149" t="s">
        <v>24</v>
      </c>
      <c r="P149" s="8" t="s">
        <v>303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</row>
    <row r="150" spans="1:51" x14ac:dyDescent="0.2">
      <c r="A150" s="6" t="s">
        <v>17</v>
      </c>
      <c r="B150" t="s">
        <v>175</v>
      </c>
      <c r="C150" t="s">
        <v>176</v>
      </c>
      <c r="D150" t="s">
        <v>304</v>
      </c>
      <c r="E150" s="2">
        <v>4947.6499999999996</v>
      </c>
      <c r="F150" s="3">
        <f>DATE(2024,1,31)</f>
        <v>45322</v>
      </c>
      <c r="G150" s="3">
        <f>DATE(2024,1,31)</f>
        <v>45322</v>
      </c>
      <c r="H150">
        <v>684810361</v>
      </c>
      <c r="I150" t="s">
        <v>20</v>
      </c>
      <c r="K150" t="s">
        <v>21</v>
      </c>
      <c r="L150" t="s">
        <v>22</v>
      </c>
      <c r="M150" t="s">
        <v>23</v>
      </c>
      <c r="N150" t="s">
        <v>23</v>
      </c>
      <c r="O150" t="s">
        <v>24</v>
      </c>
      <c r="P150" s="8" t="s">
        <v>305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</row>
    <row r="151" spans="1:51" x14ac:dyDescent="0.2">
      <c r="A151" s="6" t="s">
        <v>17</v>
      </c>
      <c r="B151" t="s">
        <v>44</v>
      </c>
      <c r="C151" t="s">
        <v>45</v>
      </c>
      <c r="D151" t="s">
        <v>306</v>
      </c>
      <c r="E151" s="2">
        <v>7.19</v>
      </c>
      <c r="F151" s="3">
        <f>DATE(2024,1,29)</f>
        <v>45320</v>
      </c>
      <c r="G151" s="3">
        <f>DATE(2024,1,29)</f>
        <v>45320</v>
      </c>
      <c r="H151">
        <v>684810413</v>
      </c>
      <c r="I151" t="s">
        <v>51</v>
      </c>
      <c r="K151" t="s">
        <v>21</v>
      </c>
      <c r="L151" t="s">
        <v>22</v>
      </c>
      <c r="M151" t="s">
        <v>23</v>
      </c>
      <c r="N151" t="s">
        <v>23</v>
      </c>
      <c r="O151" t="s">
        <v>24</v>
      </c>
      <c r="P151" s="8" t="s">
        <v>307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</row>
    <row r="152" spans="1:51" x14ac:dyDescent="0.2">
      <c r="A152" s="6" t="s">
        <v>17</v>
      </c>
      <c r="B152" t="s">
        <v>44</v>
      </c>
      <c r="C152" t="s">
        <v>45</v>
      </c>
      <c r="D152" t="s">
        <v>308</v>
      </c>
      <c r="E152" s="2">
        <v>7.19</v>
      </c>
      <c r="F152" s="3">
        <f>DATE(2024,1,29)</f>
        <v>45320</v>
      </c>
      <c r="G152" s="3">
        <f>DATE(2024,1,29)</f>
        <v>45320</v>
      </c>
      <c r="H152">
        <v>684810414</v>
      </c>
      <c r="I152" t="s">
        <v>51</v>
      </c>
      <c r="K152" t="s">
        <v>21</v>
      </c>
      <c r="L152" t="s">
        <v>22</v>
      </c>
      <c r="M152" t="s">
        <v>23</v>
      </c>
      <c r="N152" t="s">
        <v>23</v>
      </c>
      <c r="O152" t="s">
        <v>24</v>
      </c>
      <c r="P152" s="8" t="s">
        <v>309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</row>
    <row r="153" spans="1:51" x14ac:dyDescent="0.2">
      <c r="A153" s="6" t="s">
        <v>17</v>
      </c>
      <c r="B153" t="s">
        <v>61</v>
      </c>
      <c r="C153" t="s">
        <v>62</v>
      </c>
      <c r="D153" t="s">
        <v>310</v>
      </c>
      <c r="E153" s="2">
        <v>720</v>
      </c>
      <c r="F153" s="3">
        <f t="shared" ref="F153:G158" si="20">DATE(2024,1,31)</f>
        <v>45322</v>
      </c>
      <c r="G153" s="3">
        <f t="shared" si="20"/>
        <v>45322</v>
      </c>
      <c r="H153">
        <v>687129720</v>
      </c>
      <c r="I153" t="s">
        <v>20</v>
      </c>
      <c r="K153" t="s">
        <v>21</v>
      </c>
      <c r="L153" t="s">
        <v>22</v>
      </c>
      <c r="M153" t="s">
        <v>23</v>
      </c>
      <c r="N153" t="s">
        <v>23</v>
      </c>
      <c r="O153" t="s">
        <v>24</v>
      </c>
      <c r="P153" s="8" t="s">
        <v>311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</row>
    <row r="154" spans="1:51" x14ac:dyDescent="0.2">
      <c r="A154" s="6" t="s">
        <v>17</v>
      </c>
      <c r="B154" t="s">
        <v>312</v>
      </c>
      <c r="C154" t="s">
        <v>313</v>
      </c>
      <c r="D154" t="s">
        <v>314</v>
      </c>
      <c r="E154" s="2">
        <v>144.83000000000001</v>
      </c>
      <c r="F154" s="3">
        <f t="shared" si="20"/>
        <v>45322</v>
      </c>
      <c r="G154" s="3">
        <f t="shared" si="20"/>
        <v>45322</v>
      </c>
      <c r="H154">
        <v>687129721</v>
      </c>
      <c r="I154" t="s">
        <v>20</v>
      </c>
      <c r="K154" t="s">
        <v>21</v>
      </c>
      <c r="L154" t="s">
        <v>22</v>
      </c>
      <c r="M154" t="s">
        <v>23</v>
      </c>
      <c r="N154" t="s">
        <v>23</v>
      </c>
      <c r="O154" t="s">
        <v>24</v>
      </c>
      <c r="P154" s="8" t="s">
        <v>315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</row>
    <row r="155" spans="1:51" hidden="1" x14ac:dyDescent="0.2">
      <c r="A155" s="6"/>
      <c r="E155" s="2"/>
      <c r="F155" s="3"/>
      <c r="G155" s="3"/>
      <c r="P155" s="8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</row>
    <row r="156" spans="1:51" hidden="1" x14ac:dyDescent="0.2">
      <c r="A156" s="6"/>
      <c r="E156" s="2"/>
      <c r="F156" s="3"/>
      <c r="G156" s="3"/>
      <c r="P156" s="8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</row>
    <row r="157" spans="1:51" hidden="1" x14ac:dyDescent="0.2">
      <c r="A157" s="6"/>
      <c r="E157" s="2"/>
      <c r="F157" s="3"/>
      <c r="G157" s="3"/>
      <c r="P157" s="8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</row>
    <row r="158" spans="1:51" hidden="1" x14ac:dyDescent="0.2">
      <c r="A158" s="6"/>
      <c r="E158" s="2"/>
      <c r="F158" s="3"/>
      <c r="G158" s="3"/>
      <c r="P158" s="8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</row>
    <row r="159" spans="1:51" x14ac:dyDescent="0.2">
      <c r="A159" s="6" t="s">
        <v>17</v>
      </c>
      <c r="B159" t="s">
        <v>30</v>
      </c>
      <c r="C159" t="s">
        <v>31</v>
      </c>
      <c r="D159" t="s">
        <v>317</v>
      </c>
      <c r="E159" s="2">
        <v>1313.46</v>
      </c>
      <c r="F159" s="3">
        <f>DATE(2024,2,1)</f>
        <v>45323</v>
      </c>
      <c r="G159" s="3">
        <f>DATE(2024,2,1)</f>
        <v>45323</v>
      </c>
      <c r="H159">
        <v>687129726</v>
      </c>
      <c r="I159" t="s">
        <v>20</v>
      </c>
      <c r="K159" t="s">
        <v>21</v>
      </c>
      <c r="L159" t="s">
        <v>22</v>
      </c>
      <c r="M159" t="s">
        <v>23</v>
      </c>
      <c r="N159" t="s">
        <v>23</v>
      </c>
      <c r="O159" t="s">
        <v>24</v>
      </c>
      <c r="P159" s="8" t="s">
        <v>318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</row>
    <row r="160" spans="1:51" hidden="1" x14ac:dyDescent="0.2">
      <c r="A160" s="6"/>
      <c r="E160" s="2"/>
      <c r="F160" s="3"/>
      <c r="G160" s="3"/>
      <c r="P160" s="8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</row>
    <row r="161" spans="1:51" x14ac:dyDescent="0.2">
      <c r="A161" s="6" t="s">
        <v>17</v>
      </c>
      <c r="B161" t="s">
        <v>18</v>
      </c>
      <c r="C161" t="s">
        <v>18</v>
      </c>
      <c r="D161" t="s">
        <v>319</v>
      </c>
      <c r="E161" s="2">
        <v>12.92</v>
      </c>
      <c r="F161" s="3">
        <f t="shared" ref="F161:G167" si="21">DATE(2024,2,1)</f>
        <v>45323</v>
      </c>
      <c r="G161" s="3">
        <f t="shared" si="21"/>
        <v>45323</v>
      </c>
      <c r="H161">
        <v>688925245</v>
      </c>
      <c r="I161" t="s">
        <v>20</v>
      </c>
      <c r="K161" t="s">
        <v>21</v>
      </c>
      <c r="L161" t="s">
        <v>22</v>
      </c>
      <c r="M161" t="s">
        <v>23</v>
      </c>
      <c r="N161" t="s">
        <v>23</v>
      </c>
      <c r="O161" t="s">
        <v>24</v>
      </c>
      <c r="P161" s="8" t="s">
        <v>320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</row>
    <row r="162" spans="1:51" x14ac:dyDescent="0.2">
      <c r="A162" s="6" t="s">
        <v>17</v>
      </c>
      <c r="B162" t="s">
        <v>65</v>
      </c>
      <c r="C162" t="s">
        <v>66</v>
      </c>
      <c r="D162" t="s">
        <v>321</v>
      </c>
      <c r="E162" s="2">
        <v>89</v>
      </c>
      <c r="F162" s="3">
        <f t="shared" si="21"/>
        <v>45323</v>
      </c>
      <c r="G162" s="3">
        <f t="shared" si="21"/>
        <v>45323</v>
      </c>
      <c r="H162">
        <v>688925246</v>
      </c>
      <c r="I162" t="s">
        <v>20</v>
      </c>
      <c r="K162" t="s">
        <v>21</v>
      </c>
      <c r="L162" t="s">
        <v>22</v>
      </c>
      <c r="M162" t="s">
        <v>23</v>
      </c>
      <c r="N162" t="s">
        <v>23</v>
      </c>
      <c r="O162" t="s">
        <v>24</v>
      </c>
      <c r="P162" s="8" t="s">
        <v>322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</row>
    <row r="163" spans="1:51" x14ac:dyDescent="0.2">
      <c r="A163" s="6" t="s">
        <v>17</v>
      </c>
      <c r="B163" t="s">
        <v>34</v>
      </c>
      <c r="C163" t="s">
        <v>35</v>
      </c>
      <c r="D163" t="s">
        <v>323</v>
      </c>
      <c r="E163" s="2">
        <v>102.16</v>
      </c>
      <c r="F163" s="3">
        <f t="shared" si="21"/>
        <v>45323</v>
      </c>
      <c r="G163" s="3">
        <f t="shared" si="21"/>
        <v>45323</v>
      </c>
      <c r="H163">
        <v>688925247</v>
      </c>
      <c r="I163" t="s">
        <v>20</v>
      </c>
      <c r="K163" t="s">
        <v>21</v>
      </c>
      <c r="L163" t="s">
        <v>22</v>
      </c>
      <c r="M163" t="s">
        <v>23</v>
      </c>
      <c r="N163" t="s">
        <v>23</v>
      </c>
      <c r="O163" t="s">
        <v>24</v>
      </c>
      <c r="P163" s="8" t="s">
        <v>324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</row>
    <row r="164" spans="1:51" hidden="1" x14ac:dyDescent="0.2">
      <c r="A164" s="6"/>
      <c r="E164" s="2"/>
      <c r="F164" s="3"/>
      <c r="G164" s="3"/>
      <c r="P164" s="8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</row>
    <row r="165" spans="1:51" x14ac:dyDescent="0.2">
      <c r="A165" s="6" t="s">
        <v>17</v>
      </c>
      <c r="B165" t="s">
        <v>18</v>
      </c>
      <c r="C165" t="s">
        <v>18</v>
      </c>
      <c r="D165" t="s">
        <v>325</v>
      </c>
      <c r="E165" s="2">
        <v>1.83</v>
      </c>
      <c r="F165" s="3">
        <f t="shared" si="21"/>
        <v>45323</v>
      </c>
      <c r="G165" s="3">
        <f t="shared" si="21"/>
        <v>45323</v>
      </c>
      <c r="H165">
        <v>688925249</v>
      </c>
      <c r="I165" t="s">
        <v>20</v>
      </c>
      <c r="K165" t="s">
        <v>21</v>
      </c>
      <c r="L165" t="s">
        <v>22</v>
      </c>
      <c r="M165" t="s">
        <v>23</v>
      </c>
      <c r="N165" t="s">
        <v>23</v>
      </c>
      <c r="O165" t="s">
        <v>24</v>
      </c>
      <c r="P165" s="8" t="s">
        <v>326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</row>
    <row r="166" spans="1:51" x14ac:dyDescent="0.2">
      <c r="A166" s="6" t="s">
        <v>17</v>
      </c>
      <c r="B166" t="s">
        <v>191</v>
      </c>
      <c r="C166" t="s">
        <v>192</v>
      </c>
      <c r="D166" t="s">
        <v>327</v>
      </c>
      <c r="E166" s="2">
        <v>5098.6400000000003</v>
      </c>
      <c r="F166" s="3">
        <f t="shared" si="21"/>
        <v>45323</v>
      </c>
      <c r="G166" s="3">
        <f t="shared" si="21"/>
        <v>45323</v>
      </c>
      <c r="H166">
        <v>688925250</v>
      </c>
      <c r="I166" t="s">
        <v>20</v>
      </c>
      <c r="K166" t="s">
        <v>21</v>
      </c>
      <c r="L166" t="s">
        <v>22</v>
      </c>
      <c r="M166" t="s">
        <v>23</v>
      </c>
      <c r="N166" t="s">
        <v>23</v>
      </c>
      <c r="O166" t="s">
        <v>24</v>
      </c>
      <c r="P166" s="8" t="s">
        <v>328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</row>
    <row r="167" spans="1:51" hidden="1" x14ac:dyDescent="0.2">
      <c r="A167" s="6"/>
      <c r="E167" s="2"/>
      <c r="F167" s="3"/>
      <c r="G167" s="3"/>
      <c r="P167" s="8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</row>
    <row r="168" spans="1:51" x14ac:dyDescent="0.2">
      <c r="A168" s="6" t="s">
        <v>17</v>
      </c>
      <c r="B168" t="s">
        <v>61</v>
      </c>
      <c r="C168" t="s">
        <v>62</v>
      </c>
      <c r="D168" t="s">
        <v>329</v>
      </c>
      <c r="E168" s="2">
        <v>216</v>
      </c>
      <c r="F168" s="3">
        <f>DATE(2024,1,31)</f>
        <v>45322</v>
      </c>
      <c r="G168" s="3">
        <f>DATE(2024,1,31)</f>
        <v>45322</v>
      </c>
      <c r="H168">
        <v>688925252</v>
      </c>
      <c r="I168" t="s">
        <v>51</v>
      </c>
      <c r="K168" t="s">
        <v>21</v>
      </c>
      <c r="L168" t="s">
        <v>22</v>
      </c>
      <c r="M168" t="s">
        <v>23</v>
      </c>
      <c r="N168" t="s">
        <v>23</v>
      </c>
      <c r="O168" t="s">
        <v>24</v>
      </c>
      <c r="P168" s="8" t="s">
        <v>330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</row>
    <row r="169" spans="1:51" x14ac:dyDescent="0.2">
      <c r="A169" s="6" t="s">
        <v>17</v>
      </c>
      <c r="B169" t="s">
        <v>61</v>
      </c>
      <c r="C169" t="s">
        <v>62</v>
      </c>
      <c r="D169" t="s">
        <v>329</v>
      </c>
      <c r="E169" s="2">
        <v>96</v>
      </c>
      <c r="F169" s="3">
        <f>DATE(2024,1,31)</f>
        <v>45322</v>
      </c>
      <c r="G169" s="3">
        <f>DATE(2024,1,31)</f>
        <v>45322</v>
      </c>
      <c r="H169">
        <v>688925253</v>
      </c>
      <c r="I169" t="s">
        <v>51</v>
      </c>
      <c r="K169" t="s">
        <v>21</v>
      </c>
      <c r="L169" t="s">
        <v>22</v>
      </c>
      <c r="M169" t="s">
        <v>23</v>
      </c>
      <c r="N169" t="s">
        <v>23</v>
      </c>
      <c r="O169" t="s">
        <v>24</v>
      </c>
      <c r="P169" s="8" t="s">
        <v>331</v>
      </c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</row>
    <row r="170" spans="1:51" hidden="1" x14ac:dyDescent="0.2">
      <c r="A170" s="6"/>
      <c r="E170" s="2"/>
      <c r="F170" s="3"/>
      <c r="G170" s="3"/>
      <c r="P170" s="8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</row>
    <row r="171" spans="1:51" x14ac:dyDescent="0.2">
      <c r="A171" s="6" t="s">
        <v>17</v>
      </c>
      <c r="B171" t="s">
        <v>26</v>
      </c>
      <c r="C171" t="s">
        <v>27</v>
      </c>
      <c r="D171" t="s">
        <v>332</v>
      </c>
      <c r="E171" s="2">
        <v>880</v>
      </c>
      <c r="F171" s="3">
        <f>DATE(2024,2,2)</f>
        <v>45324</v>
      </c>
      <c r="G171" s="3">
        <f>DATE(2024,2,2)</f>
        <v>45324</v>
      </c>
      <c r="H171">
        <v>690078671</v>
      </c>
      <c r="I171" t="s">
        <v>20</v>
      </c>
      <c r="K171" t="s">
        <v>21</v>
      </c>
      <c r="L171" t="s">
        <v>22</v>
      </c>
      <c r="M171" t="s">
        <v>23</v>
      </c>
      <c r="N171" t="s">
        <v>23</v>
      </c>
      <c r="O171" t="s">
        <v>24</v>
      </c>
      <c r="P171" s="8" t="s">
        <v>333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</row>
    <row r="172" spans="1:51" x14ac:dyDescent="0.2">
      <c r="A172" s="6" t="s">
        <v>17</v>
      </c>
      <c r="B172" t="s">
        <v>30</v>
      </c>
      <c r="C172" t="s">
        <v>31</v>
      </c>
      <c r="D172" t="s">
        <v>334</v>
      </c>
      <c r="E172" s="2">
        <v>3829.45</v>
      </c>
      <c r="F172" s="3">
        <f>DATE(2024,2,3)</f>
        <v>45325</v>
      </c>
      <c r="G172" s="3">
        <f>DATE(2024,2,3)</f>
        <v>45325</v>
      </c>
      <c r="H172">
        <v>690078672</v>
      </c>
      <c r="I172" t="s">
        <v>20</v>
      </c>
      <c r="K172" t="s">
        <v>21</v>
      </c>
      <c r="L172" t="s">
        <v>22</v>
      </c>
      <c r="M172" t="s">
        <v>23</v>
      </c>
      <c r="N172" t="s">
        <v>23</v>
      </c>
      <c r="O172" t="s">
        <v>24</v>
      </c>
      <c r="P172" s="8" t="s">
        <v>335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</row>
    <row r="173" spans="1:51" x14ac:dyDescent="0.2">
      <c r="A173" s="6" t="s">
        <v>17</v>
      </c>
      <c r="B173" t="s">
        <v>26</v>
      </c>
      <c r="C173" t="s">
        <v>27</v>
      </c>
      <c r="D173" t="s">
        <v>50</v>
      </c>
      <c r="E173" s="2">
        <v>309.97000000000003</v>
      </c>
      <c r="F173" s="3">
        <f>DATE(2024,2,1)</f>
        <v>45323</v>
      </c>
      <c r="G173" s="3">
        <f>DATE(2024,2,1)</f>
        <v>45323</v>
      </c>
      <c r="H173">
        <v>690078673</v>
      </c>
      <c r="I173" t="s">
        <v>51</v>
      </c>
      <c r="K173" t="s">
        <v>21</v>
      </c>
      <c r="L173" t="s">
        <v>22</v>
      </c>
      <c r="M173" t="s">
        <v>23</v>
      </c>
      <c r="N173" t="s">
        <v>23</v>
      </c>
      <c r="O173" t="s">
        <v>24</v>
      </c>
      <c r="P173" s="8" t="s">
        <v>336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</row>
    <row r="174" spans="1:51" hidden="1" x14ac:dyDescent="0.2">
      <c r="A174" s="6"/>
      <c r="E174" s="2"/>
      <c r="F174" s="3"/>
      <c r="G174" s="3"/>
      <c r="P174" s="8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</row>
    <row r="175" spans="1:51" x14ac:dyDescent="0.2">
      <c r="A175" s="6" t="s">
        <v>17</v>
      </c>
      <c r="B175" t="s">
        <v>110</v>
      </c>
      <c r="C175" t="s">
        <v>111</v>
      </c>
      <c r="D175" t="s">
        <v>337</v>
      </c>
      <c r="E175" s="2">
        <v>2.2799999999999998</v>
      </c>
      <c r="F175" s="3">
        <f>DATE(2024,2,2)</f>
        <v>45324</v>
      </c>
      <c r="G175" s="3">
        <f>DATE(2024,2,2)</f>
        <v>45324</v>
      </c>
      <c r="H175">
        <v>690225079</v>
      </c>
      <c r="I175" t="s">
        <v>73</v>
      </c>
      <c r="K175" t="s">
        <v>21</v>
      </c>
      <c r="L175" t="s">
        <v>22</v>
      </c>
      <c r="M175" t="s">
        <v>23</v>
      </c>
      <c r="N175" t="s">
        <v>23</v>
      </c>
      <c r="O175" t="s">
        <v>24</v>
      </c>
      <c r="P175" s="8" t="s">
        <v>338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</row>
    <row r="176" spans="1:51" hidden="1" x14ac:dyDescent="0.2">
      <c r="A176" s="6"/>
      <c r="E176" s="2"/>
      <c r="F176" s="3"/>
      <c r="G176" s="3"/>
      <c r="P176" s="8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</row>
    <row r="177" spans="1:51" x14ac:dyDescent="0.2">
      <c r="A177" s="6" t="s">
        <v>17</v>
      </c>
      <c r="B177" t="s">
        <v>110</v>
      </c>
      <c r="C177" t="s">
        <v>111</v>
      </c>
      <c r="D177" t="s">
        <v>339</v>
      </c>
      <c r="E177" s="2">
        <v>0.23</v>
      </c>
      <c r="F177" s="3">
        <f>DATE(2024,2,3)</f>
        <v>45325</v>
      </c>
      <c r="G177" s="3">
        <f>DATE(2024,2,3)</f>
        <v>45325</v>
      </c>
      <c r="H177">
        <v>690830980</v>
      </c>
      <c r="I177" t="s">
        <v>73</v>
      </c>
      <c r="K177" t="s">
        <v>21</v>
      </c>
      <c r="L177" t="s">
        <v>22</v>
      </c>
      <c r="M177" t="s">
        <v>23</v>
      </c>
      <c r="N177" t="s">
        <v>23</v>
      </c>
      <c r="O177" t="s">
        <v>24</v>
      </c>
      <c r="P177" s="8" t="s">
        <v>340</v>
      </c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</row>
    <row r="178" spans="1:51" x14ac:dyDescent="0.2">
      <c r="A178" s="6" t="s">
        <v>17</v>
      </c>
      <c r="B178" t="s">
        <v>65</v>
      </c>
      <c r="C178" t="s">
        <v>66</v>
      </c>
      <c r="D178" t="s">
        <v>341</v>
      </c>
      <c r="E178" s="2">
        <v>99</v>
      </c>
      <c r="F178" s="3">
        <f t="shared" ref="F178:G187" si="22">DATE(2024,2,5)</f>
        <v>45327</v>
      </c>
      <c r="G178" s="3">
        <f t="shared" si="22"/>
        <v>45327</v>
      </c>
      <c r="H178">
        <v>692963539</v>
      </c>
      <c r="I178" t="s">
        <v>20</v>
      </c>
      <c r="K178" t="s">
        <v>21</v>
      </c>
      <c r="L178" t="s">
        <v>22</v>
      </c>
      <c r="M178" t="s">
        <v>23</v>
      </c>
      <c r="N178" t="s">
        <v>23</v>
      </c>
      <c r="O178" t="s">
        <v>24</v>
      </c>
      <c r="P178" s="8" t="s">
        <v>342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</row>
    <row r="179" spans="1:51" x14ac:dyDescent="0.2">
      <c r="A179" s="6" t="s">
        <v>17</v>
      </c>
      <c r="B179" t="s">
        <v>80</v>
      </c>
      <c r="C179" t="s">
        <v>81</v>
      </c>
      <c r="D179" t="s">
        <v>343</v>
      </c>
      <c r="E179" s="2">
        <v>279.62</v>
      </c>
      <c r="F179" s="3">
        <f t="shared" si="22"/>
        <v>45327</v>
      </c>
      <c r="G179" s="3">
        <f t="shared" si="22"/>
        <v>45327</v>
      </c>
      <c r="H179">
        <v>692963540</v>
      </c>
      <c r="I179" t="s">
        <v>20</v>
      </c>
      <c r="K179" t="s">
        <v>21</v>
      </c>
      <c r="L179" t="s">
        <v>22</v>
      </c>
      <c r="M179" t="s">
        <v>23</v>
      </c>
      <c r="N179" t="s">
        <v>23</v>
      </c>
      <c r="O179" t="s">
        <v>24</v>
      </c>
      <c r="P179" s="8" t="s">
        <v>344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</row>
    <row r="180" spans="1:51" x14ac:dyDescent="0.2">
      <c r="A180" s="6" t="s">
        <v>17</v>
      </c>
      <c r="B180" t="s">
        <v>80</v>
      </c>
      <c r="C180" t="s">
        <v>81</v>
      </c>
      <c r="D180" t="s">
        <v>345</v>
      </c>
      <c r="E180" s="2">
        <v>199</v>
      </c>
      <c r="F180" s="3">
        <f t="shared" si="22"/>
        <v>45327</v>
      </c>
      <c r="G180" s="3">
        <f t="shared" si="22"/>
        <v>45327</v>
      </c>
      <c r="H180">
        <v>692963541</v>
      </c>
      <c r="I180" t="s">
        <v>20</v>
      </c>
      <c r="K180" t="s">
        <v>21</v>
      </c>
      <c r="L180" t="s">
        <v>22</v>
      </c>
      <c r="M180" t="s">
        <v>23</v>
      </c>
      <c r="N180" t="s">
        <v>23</v>
      </c>
      <c r="O180" t="s">
        <v>24</v>
      </c>
      <c r="P180" s="8" t="s">
        <v>346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</row>
    <row r="181" spans="1:51" x14ac:dyDescent="0.2">
      <c r="A181" s="6" t="s">
        <v>17</v>
      </c>
      <c r="B181" t="s">
        <v>57</v>
      </c>
      <c r="C181" t="s">
        <v>58</v>
      </c>
      <c r="D181" t="s">
        <v>347</v>
      </c>
      <c r="E181" s="2">
        <v>230.65</v>
      </c>
      <c r="F181" s="3">
        <f t="shared" si="22"/>
        <v>45327</v>
      </c>
      <c r="G181" s="3">
        <f t="shared" si="22"/>
        <v>45327</v>
      </c>
      <c r="H181">
        <v>692963542</v>
      </c>
      <c r="I181" t="s">
        <v>20</v>
      </c>
      <c r="K181" t="s">
        <v>21</v>
      </c>
      <c r="L181" t="s">
        <v>22</v>
      </c>
      <c r="M181" t="s">
        <v>23</v>
      </c>
      <c r="N181" t="s">
        <v>23</v>
      </c>
      <c r="O181" t="s">
        <v>24</v>
      </c>
      <c r="P181" s="8" t="s">
        <v>348</v>
      </c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</row>
    <row r="182" spans="1:51" x14ac:dyDescent="0.2">
      <c r="A182" s="6" t="s">
        <v>17</v>
      </c>
      <c r="B182" t="s">
        <v>57</v>
      </c>
      <c r="C182" t="s">
        <v>58</v>
      </c>
      <c r="D182" t="s">
        <v>349</v>
      </c>
      <c r="E182" s="2">
        <v>50.1</v>
      </c>
      <c r="F182" s="3">
        <f t="shared" si="22"/>
        <v>45327</v>
      </c>
      <c r="G182" s="3">
        <f t="shared" si="22"/>
        <v>45327</v>
      </c>
      <c r="H182">
        <v>692963543</v>
      </c>
      <c r="I182" t="s">
        <v>20</v>
      </c>
      <c r="K182" t="s">
        <v>21</v>
      </c>
      <c r="L182" t="s">
        <v>22</v>
      </c>
      <c r="M182" t="s">
        <v>23</v>
      </c>
      <c r="N182" t="s">
        <v>23</v>
      </c>
      <c r="O182" t="s">
        <v>24</v>
      </c>
      <c r="P182" s="8" t="s">
        <v>350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</row>
    <row r="183" spans="1:51" hidden="1" x14ac:dyDescent="0.2">
      <c r="A183" s="6"/>
      <c r="E183" s="2"/>
      <c r="F183" s="3"/>
      <c r="G183" s="3"/>
      <c r="P183" s="8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</row>
    <row r="184" spans="1:51" x14ac:dyDescent="0.2">
      <c r="A184" s="6" t="s">
        <v>17</v>
      </c>
      <c r="B184" t="s">
        <v>18</v>
      </c>
      <c r="C184" t="s">
        <v>18</v>
      </c>
      <c r="D184" t="s">
        <v>351</v>
      </c>
      <c r="E184" s="2">
        <v>2.2799999999999998</v>
      </c>
      <c r="F184" s="3">
        <f t="shared" si="22"/>
        <v>45327</v>
      </c>
      <c r="G184" s="3">
        <f t="shared" si="22"/>
        <v>45327</v>
      </c>
      <c r="H184">
        <v>692963545</v>
      </c>
      <c r="I184" t="s">
        <v>20</v>
      </c>
      <c r="K184" t="s">
        <v>21</v>
      </c>
      <c r="L184" t="s">
        <v>22</v>
      </c>
      <c r="M184" t="s">
        <v>23</v>
      </c>
      <c r="N184" t="s">
        <v>23</v>
      </c>
      <c r="O184" t="s">
        <v>24</v>
      </c>
      <c r="P184" s="8" t="s">
        <v>352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</row>
    <row r="185" spans="1:51" x14ac:dyDescent="0.2">
      <c r="A185" s="6" t="s">
        <v>17</v>
      </c>
      <c r="B185" t="s">
        <v>18</v>
      </c>
      <c r="C185" t="s">
        <v>18</v>
      </c>
      <c r="D185" t="s">
        <v>86</v>
      </c>
      <c r="E185" s="2">
        <v>12</v>
      </c>
      <c r="F185" s="3">
        <f t="shared" si="22"/>
        <v>45327</v>
      </c>
      <c r="G185" s="3">
        <f t="shared" si="22"/>
        <v>45327</v>
      </c>
      <c r="H185">
        <v>693413837</v>
      </c>
      <c r="I185" t="s">
        <v>73</v>
      </c>
      <c r="K185" t="s">
        <v>21</v>
      </c>
      <c r="L185" t="s">
        <v>22</v>
      </c>
      <c r="M185" t="s">
        <v>23</v>
      </c>
      <c r="N185" t="s">
        <v>23</v>
      </c>
      <c r="O185" t="s">
        <v>24</v>
      </c>
      <c r="P185" s="8" t="s">
        <v>353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</row>
    <row r="186" spans="1:51" x14ac:dyDescent="0.2">
      <c r="A186" s="6" t="s">
        <v>17</v>
      </c>
      <c r="B186" t="s">
        <v>74</v>
      </c>
      <c r="C186" t="s">
        <v>75</v>
      </c>
      <c r="D186" t="s">
        <v>354</v>
      </c>
      <c r="E186" s="2">
        <v>283.27</v>
      </c>
      <c r="F186" s="3">
        <f t="shared" si="22"/>
        <v>45327</v>
      </c>
      <c r="G186" s="3">
        <f t="shared" si="22"/>
        <v>45327</v>
      </c>
      <c r="H186">
        <v>693413838</v>
      </c>
      <c r="I186" t="s">
        <v>73</v>
      </c>
      <c r="K186" t="s">
        <v>21</v>
      </c>
      <c r="L186" t="s">
        <v>22</v>
      </c>
      <c r="M186" t="s">
        <v>23</v>
      </c>
      <c r="N186" t="s">
        <v>23</v>
      </c>
      <c r="O186" t="s">
        <v>24</v>
      </c>
      <c r="P186" s="8" t="s">
        <v>355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</row>
    <row r="187" spans="1:51" x14ac:dyDescent="0.2">
      <c r="A187" s="6" t="s">
        <v>17</v>
      </c>
      <c r="B187" t="s">
        <v>74</v>
      </c>
      <c r="C187" t="s">
        <v>75</v>
      </c>
      <c r="D187" t="s">
        <v>356</v>
      </c>
      <c r="E187" s="2">
        <v>3569.59</v>
      </c>
      <c r="F187" s="3">
        <f t="shared" si="22"/>
        <v>45327</v>
      </c>
      <c r="G187" s="3">
        <f t="shared" si="22"/>
        <v>45327</v>
      </c>
      <c r="H187">
        <v>693413839</v>
      </c>
      <c r="I187" t="s">
        <v>73</v>
      </c>
      <c r="K187" t="s">
        <v>21</v>
      </c>
      <c r="L187" t="s">
        <v>22</v>
      </c>
      <c r="M187" t="s">
        <v>23</v>
      </c>
      <c r="N187" t="s">
        <v>23</v>
      </c>
      <c r="O187" t="s">
        <v>24</v>
      </c>
      <c r="P187" s="8" t="s">
        <v>357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</row>
    <row r="188" spans="1:51" x14ac:dyDescent="0.2">
      <c r="A188" s="6" t="s">
        <v>17</v>
      </c>
      <c r="B188" t="s">
        <v>191</v>
      </c>
      <c r="C188" t="s">
        <v>192</v>
      </c>
      <c r="D188" t="s">
        <v>358</v>
      </c>
      <c r="E188" s="2">
        <v>7366.77</v>
      </c>
      <c r="F188" s="3">
        <f>DATE(2024,2,6)</f>
        <v>45328</v>
      </c>
      <c r="G188" s="3">
        <f>DATE(2024,2,6)</f>
        <v>45328</v>
      </c>
      <c r="H188">
        <v>695433868</v>
      </c>
      <c r="I188" t="s">
        <v>20</v>
      </c>
      <c r="K188" t="s">
        <v>21</v>
      </c>
      <c r="L188" t="s">
        <v>22</v>
      </c>
      <c r="M188" t="s">
        <v>23</v>
      </c>
      <c r="N188" t="s">
        <v>23</v>
      </c>
      <c r="O188" t="s">
        <v>24</v>
      </c>
      <c r="P188" s="8" t="s">
        <v>359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</row>
    <row r="189" spans="1:51" hidden="1" x14ac:dyDescent="0.2">
      <c r="A189" s="6"/>
      <c r="E189" s="2"/>
      <c r="F189" s="3"/>
      <c r="G189" s="3"/>
      <c r="P189" s="8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</row>
    <row r="190" spans="1:51" x14ac:dyDescent="0.2">
      <c r="A190" s="6" t="s">
        <v>17</v>
      </c>
      <c r="B190" t="s">
        <v>34</v>
      </c>
      <c r="C190" t="s">
        <v>35</v>
      </c>
      <c r="D190" t="s">
        <v>98</v>
      </c>
      <c r="E190" s="2">
        <v>500</v>
      </c>
      <c r="F190" s="3">
        <f>DATE(2024,2,7)</f>
        <v>45329</v>
      </c>
      <c r="G190" s="3">
        <f>DATE(2024,2,7)</f>
        <v>45329</v>
      </c>
      <c r="H190">
        <v>695433870</v>
      </c>
      <c r="I190" t="s">
        <v>20</v>
      </c>
      <c r="K190" t="s">
        <v>21</v>
      </c>
      <c r="L190" t="s">
        <v>22</v>
      </c>
      <c r="M190" t="s">
        <v>23</v>
      </c>
      <c r="N190" t="s">
        <v>23</v>
      </c>
      <c r="O190" t="s">
        <v>24</v>
      </c>
      <c r="P190" s="8" t="s">
        <v>360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</row>
    <row r="191" spans="1:51" x14ac:dyDescent="0.2">
      <c r="A191" s="6" t="s">
        <v>17</v>
      </c>
      <c r="B191" t="s">
        <v>44</v>
      </c>
      <c r="C191" t="s">
        <v>45</v>
      </c>
      <c r="D191" t="s">
        <v>361</v>
      </c>
      <c r="E191" s="2">
        <v>87</v>
      </c>
      <c r="F191" s="3">
        <f>DATE(2024,2,2)</f>
        <v>45324</v>
      </c>
      <c r="G191" s="3">
        <f>DATE(2024,2,2)</f>
        <v>45324</v>
      </c>
      <c r="H191">
        <v>695433871</v>
      </c>
      <c r="I191" t="s">
        <v>51</v>
      </c>
      <c r="K191" t="s">
        <v>21</v>
      </c>
      <c r="L191" t="s">
        <v>22</v>
      </c>
      <c r="M191" t="s">
        <v>23</v>
      </c>
      <c r="N191" t="s">
        <v>23</v>
      </c>
      <c r="O191" t="s">
        <v>24</v>
      </c>
      <c r="P191" s="8" t="s">
        <v>362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</row>
    <row r="192" spans="1:51" x14ac:dyDescent="0.2">
      <c r="A192" s="6" t="s">
        <v>17</v>
      </c>
      <c r="B192" t="s">
        <v>363</v>
      </c>
      <c r="C192" t="s">
        <v>364</v>
      </c>
      <c r="D192" t="s">
        <v>365</v>
      </c>
      <c r="E192" s="2">
        <v>37.200000000000003</v>
      </c>
      <c r="F192" s="3">
        <f>DATE(2024,2,6)</f>
        <v>45328</v>
      </c>
      <c r="G192" s="3">
        <f>DATE(2024,2,6)</f>
        <v>45328</v>
      </c>
      <c r="H192">
        <v>696039747</v>
      </c>
      <c r="I192" t="s">
        <v>73</v>
      </c>
      <c r="K192" t="s">
        <v>21</v>
      </c>
      <c r="L192" t="s">
        <v>22</v>
      </c>
      <c r="M192" t="s">
        <v>23</v>
      </c>
      <c r="N192" t="s">
        <v>23</v>
      </c>
      <c r="O192" t="s">
        <v>24</v>
      </c>
      <c r="P192" s="8" t="s">
        <v>366</v>
      </c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</row>
    <row r="193" spans="1:51" x14ac:dyDescent="0.2">
      <c r="A193" s="6" t="s">
        <v>17</v>
      </c>
      <c r="B193" t="s">
        <v>367</v>
      </c>
      <c r="C193" t="s">
        <v>368</v>
      </c>
      <c r="D193" t="s">
        <v>369</v>
      </c>
      <c r="E193" s="2">
        <v>5.4</v>
      </c>
      <c r="F193" s="3">
        <f>DATE(2024,2,6)</f>
        <v>45328</v>
      </c>
      <c r="G193" s="3">
        <f>DATE(2024,2,6)</f>
        <v>45328</v>
      </c>
      <c r="H193">
        <v>696039748</v>
      </c>
      <c r="I193" t="s">
        <v>73</v>
      </c>
      <c r="K193" t="s">
        <v>21</v>
      </c>
      <c r="L193" t="s">
        <v>22</v>
      </c>
      <c r="M193" t="s">
        <v>23</v>
      </c>
      <c r="N193" t="s">
        <v>23</v>
      </c>
      <c r="O193" t="s">
        <v>24</v>
      </c>
      <c r="P193" s="8" t="s">
        <v>370</v>
      </c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</row>
    <row r="194" spans="1:51" hidden="1" x14ac:dyDescent="0.2">
      <c r="A194" s="6"/>
      <c r="E194" s="2"/>
      <c r="F194" s="3"/>
      <c r="G194" s="3"/>
      <c r="P194" s="8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</row>
    <row r="195" spans="1:51" x14ac:dyDescent="0.2">
      <c r="A195" s="6" t="s">
        <v>17</v>
      </c>
      <c r="B195" t="s">
        <v>18</v>
      </c>
      <c r="C195" t="s">
        <v>18</v>
      </c>
      <c r="D195" t="s">
        <v>371</v>
      </c>
      <c r="E195" s="2">
        <v>2.61</v>
      </c>
      <c r="F195" s="3">
        <f t="shared" ref="F194:G197" si="23">DATE(2024,2,7)</f>
        <v>45329</v>
      </c>
      <c r="G195" s="3">
        <f t="shared" si="23"/>
        <v>45329</v>
      </c>
      <c r="H195">
        <v>697391615</v>
      </c>
      <c r="I195" t="s">
        <v>20</v>
      </c>
      <c r="K195" t="s">
        <v>21</v>
      </c>
      <c r="L195" t="s">
        <v>22</v>
      </c>
      <c r="M195" t="s">
        <v>23</v>
      </c>
      <c r="N195" t="s">
        <v>23</v>
      </c>
      <c r="O195" t="s">
        <v>24</v>
      </c>
      <c r="P195" s="8" t="s">
        <v>372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</row>
    <row r="196" spans="1:51" hidden="1" x14ac:dyDescent="0.2">
      <c r="A196" s="6"/>
      <c r="E196" s="2"/>
      <c r="F196" s="3"/>
      <c r="G196" s="3"/>
      <c r="P196" s="8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</row>
    <row r="197" spans="1:51" hidden="1" x14ac:dyDescent="0.2">
      <c r="A197" s="6"/>
      <c r="E197" s="2"/>
      <c r="F197" s="3"/>
      <c r="G197" s="3"/>
      <c r="P197" s="8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</row>
    <row r="198" spans="1:51" x14ac:dyDescent="0.2">
      <c r="A198" s="6" t="s">
        <v>17</v>
      </c>
      <c r="B198" t="s">
        <v>30</v>
      </c>
      <c r="C198" t="s">
        <v>31</v>
      </c>
      <c r="D198" t="s">
        <v>373</v>
      </c>
      <c r="E198" s="2">
        <v>835.23</v>
      </c>
      <c r="F198" s="3">
        <f t="shared" ref="F198:G200" si="24">DATE(2024,2,9)</f>
        <v>45331</v>
      </c>
      <c r="G198" s="3">
        <f t="shared" si="24"/>
        <v>45331</v>
      </c>
      <c r="H198">
        <v>699488083</v>
      </c>
      <c r="I198" t="s">
        <v>20</v>
      </c>
      <c r="K198" t="s">
        <v>21</v>
      </c>
      <c r="L198" t="s">
        <v>22</v>
      </c>
      <c r="M198" t="s">
        <v>23</v>
      </c>
      <c r="N198" t="s">
        <v>23</v>
      </c>
      <c r="O198" t="s">
        <v>24</v>
      </c>
      <c r="P198" s="8" t="s">
        <v>374</v>
      </c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</row>
    <row r="199" spans="1:51" x14ac:dyDescent="0.2">
      <c r="A199" s="6" t="s">
        <v>17</v>
      </c>
      <c r="B199" t="s">
        <v>30</v>
      </c>
      <c r="C199" t="s">
        <v>31</v>
      </c>
      <c r="D199" t="s">
        <v>375</v>
      </c>
      <c r="E199" s="2">
        <v>1075.73</v>
      </c>
      <c r="F199" s="3">
        <f t="shared" si="24"/>
        <v>45331</v>
      </c>
      <c r="G199" s="3">
        <f t="shared" si="24"/>
        <v>45331</v>
      </c>
      <c r="H199">
        <v>699488084</v>
      </c>
      <c r="I199" t="s">
        <v>20</v>
      </c>
      <c r="K199" t="s">
        <v>21</v>
      </c>
      <c r="L199" t="s">
        <v>22</v>
      </c>
      <c r="M199" t="s">
        <v>23</v>
      </c>
      <c r="N199" t="s">
        <v>23</v>
      </c>
      <c r="O199" t="s">
        <v>24</v>
      </c>
      <c r="P199" s="8" t="s">
        <v>376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</row>
    <row r="200" spans="1:51" hidden="1" x14ac:dyDescent="0.2">
      <c r="A200" s="6"/>
      <c r="E200" s="2"/>
      <c r="F200" s="3"/>
      <c r="G200" s="3"/>
      <c r="P200" s="8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</row>
    <row r="201" spans="1:51" x14ac:dyDescent="0.2">
      <c r="A201" s="6" t="s">
        <v>17</v>
      </c>
      <c r="B201" t="s">
        <v>110</v>
      </c>
      <c r="C201" t="s">
        <v>111</v>
      </c>
      <c r="D201" t="s">
        <v>377</v>
      </c>
      <c r="E201" s="2">
        <v>60</v>
      </c>
      <c r="F201" s="3">
        <f>DATE(2024,2,10)</f>
        <v>45332</v>
      </c>
      <c r="G201" s="3">
        <f>DATE(2024,2,10)</f>
        <v>45332</v>
      </c>
      <c r="H201">
        <v>699933096</v>
      </c>
      <c r="I201" t="s">
        <v>113</v>
      </c>
      <c r="K201" t="s">
        <v>21</v>
      </c>
      <c r="L201" t="s">
        <v>22</v>
      </c>
      <c r="M201" t="s">
        <v>23</v>
      </c>
      <c r="N201" t="s">
        <v>23</v>
      </c>
      <c r="O201" t="s">
        <v>24</v>
      </c>
      <c r="P201" s="8" t="s">
        <v>378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</row>
    <row r="202" spans="1:51" x14ac:dyDescent="0.2">
      <c r="A202" s="6" t="s">
        <v>17</v>
      </c>
      <c r="B202" t="s">
        <v>137</v>
      </c>
      <c r="C202" t="s">
        <v>138</v>
      </c>
      <c r="D202" t="s">
        <v>379</v>
      </c>
      <c r="E202" s="2">
        <v>118.8</v>
      </c>
      <c r="F202" s="3">
        <f t="shared" ref="F202:G207" si="25">DATE(2024,2,9)</f>
        <v>45331</v>
      </c>
      <c r="G202" s="3">
        <f t="shared" si="25"/>
        <v>45331</v>
      </c>
      <c r="H202">
        <v>700536537</v>
      </c>
      <c r="I202" t="s">
        <v>20</v>
      </c>
      <c r="K202" t="s">
        <v>21</v>
      </c>
      <c r="L202" t="s">
        <v>22</v>
      </c>
      <c r="M202" t="s">
        <v>23</v>
      </c>
      <c r="N202" t="s">
        <v>23</v>
      </c>
      <c r="O202" t="s">
        <v>24</v>
      </c>
      <c r="P202" s="8" t="s">
        <v>380</v>
      </c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</row>
    <row r="203" spans="1:51" x14ac:dyDescent="0.2">
      <c r="A203" s="6" t="s">
        <v>17</v>
      </c>
      <c r="B203" t="s">
        <v>191</v>
      </c>
      <c r="C203" t="s">
        <v>192</v>
      </c>
      <c r="D203" t="s">
        <v>381</v>
      </c>
      <c r="E203" s="2">
        <v>3908.12</v>
      </c>
      <c r="F203" s="3">
        <f t="shared" si="25"/>
        <v>45331</v>
      </c>
      <c r="G203" s="3">
        <f t="shared" si="25"/>
        <v>45331</v>
      </c>
      <c r="H203">
        <v>700536538</v>
      </c>
      <c r="I203" t="s">
        <v>20</v>
      </c>
      <c r="K203" t="s">
        <v>21</v>
      </c>
      <c r="L203" t="s">
        <v>22</v>
      </c>
      <c r="M203" t="s">
        <v>23</v>
      </c>
      <c r="N203" t="s">
        <v>23</v>
      </c>
      <c r="O203" t="s">
        <v>24</v>
      </c>
      <c r="P203" s="8" t="s">
        <v>382</v>
      </c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</row>
    <row r="204" spans="1:51" x14ac:dyDescent="0.2">
      <c r="A204" s="6" t="s">
        <v>17</v>
      </c>
      <c r="B204" t="s">
        <v>65</v>
      </c>
      <c r="C204" t="s">
        <v>66</v>
      </c>
      <c r="D204" t="s">
        <v>383</v>
      </c>
      <c r="E204" s="2">
        <v>1083.5999999999999</v>
      </c>
      <c r="F204" s="3">
        <f t="shared" si="25"/>
        <v>45331</v>
      </c>
      <c r="G204" s="3">
        <f t="shared" si="25"/>
        <v>45331</v>
      </c>
      <c r="H204">
        <v>700536539</v>
      </c>
      <c r="I204" t="s">
        <v>20</v>
      </c>
      <c r="K204" t="s">
        <v>21</v>
      </c>
      <c r="L204" t="s">
        <v>22</v>
      </c>
      <c r="M204" t="s">
        <v>23</v>
      </c>
      <c r="N204" t="s">
        <v>23</v>
      </c>
      <c r="O204" t="s">
        <v>24</v>
      </c>
      <c r="P204" s="8" t="s">
        <v>384</v>
      </c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</row>
    <row r="205" spans="1:51" x14ac:dyDescent="0.2">
      <c r="A205" s="6" t="s">
        <v>17</v>
      </c>
      <c r="B205" t="s">
        <v>312</v>
      </c>
      <c r="C205" t="s">
        <v>313</v>
      </c>
      <c r="D205" t="s">
        <v>385</v>
      </c>
      <c r="E205" s="2">
        <v>540</v>
      </c>
      <c r="F205" s="3">
        <f t="shared" si="25"/>
        <v>45331</v>
      </c>
      <c r="G205" s="3">
        <f t="shared" si="25"/>
        <v>45331</v>
      </c>
      <c r="H205">
        <v>700536540</v>
      </c>
      <c r="I205" t="s">
        <v>20</v>
      </c>
      <c r="K205" t="s">
        <v>21</v>
      </c>
      <c r="L205" t="s">
        <v>22</v>
      </c>
      <c r="M205" t="s">
        <v>23</v>
      </c>
      <c r="N205" t="s">
        <v>23</v>
      </c>
      <c r="O205" t="s">
        <v>24</v>
      </c>
      <c r="P205" s="8" t="s">
        <v>386</v>
      </c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</row>
    <row r="206" spans="1:51" hidden="1" x14ac:dyDescent="0.2">
      <c r="A206" s="6"/>
      <c r="E206" s="2"/>
      <c r="F206" s="3"/>
      <c r="G206" s="3"/>
      <c r="P206" s="8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</row>
    <row r="207" spans="1:51" x14ac:dyDescent="0.2">
      <c r="A207" s="6" t="s">
        <v>17</v>
      </c>
      <c r="B207" t="s">
        <v>251</v>
      </c>
      <c r="C207" t="s">
        <v>252</v>
      </c>
      <c r="D207" t="s">
        <v>387</v>
      </c>
      <c r="E207" s="2">
        <v>4253</v>
      </c>
      <c r="F207" s="3">
        <f t="shared" si="25"/>
        <v>45331</v>
      </c>
      <c r="G207" s="3">
        <f t="shared" si="25"/>
        <v>45331</v>
      </c>
      <c r="H207">
        <v>700536542</v>
      </c>
      <c r="I207" t="s">
        <v>20</v>
      </c>
      <c r="K207" t="s">
        <v>21</v>
      </c>
      <c r="L207" t="s">
        <v>22</v>
      </c>
      <c r="M207" t="s">
        <v>23</v>
      </c>
      <c r="N207" t="s">
        <v>23</v>
      </c>
      <c r="O207" t="s">
        <v>24</v>
      </c>
      <c r="P207" s="8" t="s">
        <v>388</v>
      </c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</row>
    <row r="208" spans="1:51" x14ac:dyDescent="0.2">
      <c r="A208" s="6" t="s">
        <v>17</v>
      </c>
      <c r="B208" t="s">
        <v>44</v>
      </c>
      <c r="C208" t="s">
        <v>45</v>
      </c>
      <c r="D208" t="s">
        <v>361</v>
      </c>
      <c r="E208" s="2">
        <v>69.52</v>
      </c>
      <c r="F208" s="3">
        <f>DATE(2024,2,2)</f>
        <v>45324</v>
      </c>
      <c r="G208" s="3">
        <f>DATE(2024,2,2)</f>
        <v>45324</v>
      </c>
      <c r="H208">
        <v>700536543</v>
      </c>
      <c r="I208" t="s">
        <v>51</v>
      </c>
      <c r="K208" t="s">
        <v>21</v>
      </c>
      <c r="L208" t="s">
        <v>22</v>
      </c>
      <c r="M208" t="s">
        <v>23</v>
      </c>
      <c r="N208" t="s">
        <v>23</v>
      </c>
      <c r="O208" t="s">
        <v>24</v>
      </c>
      <c r="P208" s="8" t="s">
        <v>389</v>
      </c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</row>
    <row r="209" spans="1:51" x14ac:dyDescent="0.2">
      <c r="A209" s="6" t="s">
        <v>17</v>
      </c>
      <c r="B209" t="s">
        <v>44</v>
      </c>
      <c r="C209" t="s">
        <v>45</v>
      </c>
      <c r="D209" t="s">
        <v>361</v>
      </c>
      <c r="E209" s="2">
        <v>51.04</v>
      </c>
      <c r="F209" s="3">
        <f>DATE(2024,2,2)</f>
        <v>45324</v>
      </c>
      <c r="G209" s="3">
        <f>DATE(2024,2,2)</f>
        <v>45324</v>
      </c>
      <c r="H209">
        <v>700536544</v>
      </c>
      <c r="I209" t="s">
        <v>51</v>
      </c>
      <c r="K209" t="s">
        <v>21</v>
      </c>
      <c r="L209" t="s">
        <v>22</v>
      </c>
      <c r="M209" t="s">
        <v>23</v>
      </c>
      <c r="N209" t="s">
        <v>23</v>
      </c>
      <c r="O209" t="s">
        <v>24</v>
      </c>
      <c r="P209" s="8" t="s">
        <v>390</v>
      </c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</row>
    <row r="210" spans="1:51" hidden="1" x14ac:dyDescent="0.2">
      <c r="A210" s="6"/>
      <c r="E210" s="2"/>
      <c r="F210" s="3"/>
      <c r="G210" s="3"/>
      <c r="P210" s="8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</row>
    <row r="211" spans="1:51" x14ac:dyDescent="0.2">
      <c r="A211" s="6" t="s">
        <v>17</v>
      </c>
      <c r="B211" t="s">
        <v>44</v>
      </c>
      <c r="C211" t="s">
        <v>45</v>
      </c>
      <c r="D211" t="s">
        <v>391</v>
      </c>
      <c r="E211" s="2">
        <v>2190</v>
      </c>
      <c r="F211" s="3">
        <f>DATE(2024,2,8)</f>
        <v>45330</v>
      </c>
      <c r="G211" s="3">
        <f>DATE(2024,2,8)</f>
        <v>45330</v>
      </c>
      <c r="H211">
        <v>701187298</v>
      </c>
      <c r="I211" t="s">
        <v>51</v>
      </c>
      <c r="K211" t="s">
        <v>21</v>
      </c>
      <c r="L211" t="s">
        <v>22</v>
      </c>
      <c r="M211" t="s">
        <v>23</v>
      </c>
      <c r="N211" t="s">
        <v>23</v>
      </c>
      <c r="O211" t="s">
        <v>24</v>
      </c>
      <c r="P211" s="8" t="s">
        <v>392</v>
      </c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</row>
    <row r="212" spans="1:51" x14ac:dyDescent="0.2">
      <c r="A212" s="6" t="s">
        <v>17</v>
      </c>
      <c r="B212" t="s">
        <v>261</v>
      </c>
      <c r="C212" t="s">
        <v>262</v>
      </c>
      <c r="D212" t="s">
        <v>393</v>
      </c>
      <c r="E212" s="2">
        <v>2906.01</v>
      </c>
      <c r="F212" s="3">
        <f t="shared" ref="F212:G214" si="26">DATE(2024,2,12)</f>
        <v>45334</v>
      </c>
      <c r="G212" s="3">
        <f t="shared" si="26"/>
        <v>45334</v>
      </c>
      <c r="H212">
        <v>702867766</v>
      </c>
      <c r="I212" t="s">
        <v>20</v>
      </c>
      <c r="K212" t="s">
        <v>21</v>
      </c>
      <c r="L212" t="s">
        <v>22</v>
      </c>
      <c r="M212" t="s">
        <v>23</v>
      </c>
      <c r="N212" t="s">
        <v>23</v>
      </c>
      <c r="O212" t="s">
        <v>24</v>
      </c>
      <c r="P212" s="8" t="s">
        <v>394</v>
      </c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</row>
    <row r="213" spans="1:51" hidden="1" x14ac:dyDescent="0.2">
      <c r="A213" s="6"/>
      <c r="E213" s="2"/>
      <c r="F213" s="3"/>
      <c r="G213" s="3"/>
      <c r="P213" s="8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</row>
    <row r="214" spans="1:51" x14ac:dyDescent="0.2">
      <c r="A214" s="6" t="s">
        <v>17</v>
      </c>
      <c r="B214" t="s">
        <v>18</v>
      </c>
      <c r="C214" t="s">
        <v>18</v>
      </c>
      <c r="D214" t="s">
        <v>395</v>
      </c>
      <c r="E214" s="2">
        <v>1.83</v>
      </c>
      <c r="F214" s="3">
        <f t="shared" si="26"/>
        <v>45334</v>
      </c>
      <c r="G214" s="3">
        <f t="shared" si="26"/>
        <v>45334</v>
      </c>
      <c r="H214">
        <v>702867768</v>
      </c>
      <c r="I214" t="s">
        <v>20</v>
      </c>
      <c r="K214" t="s">
        <v>21</v>
      </c>
      <c r="L214" t="s">
        <v>22</v>
      </c>
      <c r="M214" t="s">
        <v>23</v>
      </c>
      <c r="N214" t="s">
        <v>23</v>
      </c>
      <c r="O214" t="s">
        <v>24</v>
      </c>
      <c r="P214" s="8" t="s">
        <v>396</v>
      </c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</row>
    <row r="215" spans="1:51" hidden="1" x14ac:dyDescent="0.2">
      <c r="A215" s="6"/>
      <c r="E215" s="2"/>
      <c r="F215" s="3"/>
      <c r="G215" s="3"/>
      <c r="P215" s="8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</row>
    <row r="216" spans="1:51" hidden="1" x14ac:dyDescent="0.2">
      <c r="A216" s="6"/>
      <c r="E216" s="2"/>
      <c r="F216" s="3"/>
      <c r="G216" s="3"/>
      <c r="P216" s="8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</row>
    <row r="217" spans="1:51" hidden="1" x14ac:dyDescent="0.2">
      <c r="A217" s="6"/>
      <c r="E217" s="2"/>
      <c r="F217" s="3"/>
      <c r="G217" s="3"/>
      <c r="P217" s="8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</row>
    <row r="218" spans="1:51" hidden="1" x14ac:dyDescent="0.2">
      <c r="A218" s="6"/>
      <c r="E218" s="2"/>
      <c r="F218" s="3"/>
      <c r="G218" s="3"/>
      <c r="P218" s="8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 hidden="1" x14ac:dyDescent="0.2">
      <c r="A219" s="6"/>
      <c r="E219" s="2"/>
      <c r="F219" s="3"/>
      <c r="G219" s="3"/>
      <c r="P219" s="8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 hidden="1" x14ac:dyDescent="0.2">
      <c r="A220" s="6"/>
      <c r="E220" s="2"/>
      <c r="F220" s="3"/>
      <c r="G220" s="3"/>
      <c r="P220" s="8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 x14ac:dyDescent="0.2">
      <c r="A221" s="6" t="s">
        <v>17</v>
      </c>
      <c r="B221" t="s">
        <v>26</v>
      </c>
      <c r="C221" t="s">
        <v>27</v>
      </c>
      <c r="D221" t="s">
        <v>397</v>
      </c>
      <c r="E221" s="2">
        <v>30</v>
      </c>
      <c r="F221" s="3">
        <f>DATE(2024,2,13)</f>
        <v>45335</v>
      </c>
      <c r="G221" s="3">
        <f>DATE(2024,2,13)</f>
        <v>45335</v>
      </c>
      <c r="H221">
        <v>704893784</v>
      </c>
      <c r="I221" t="s">
        <v>20</v>
      </c>
      <c r="K221" t="s">
        <v>21</v>
      </c>
      <c r="L221" t="s">
        <v>22</v>
      </c>
      <c r="M221" t="s">
        <v>23</v>
      </c>
      <c r="N221" t="s">
        <v>23</v>
      </c>
      <c r="O221" t="s">
        <v>24</v>
      </c>
      <c r="P221" s="8" t="s">
        <v>398</v>
      </c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 x14ac:dyDescent="0.2">
      <c r="A222" s="6" t="s">
        <v>17</v>
      </c>
      <c r="B222" t="s">
        <v>61</v>
      </c>
      <c r="C222" t="s">
        <v>62</v>
      </c>
      <c r="D222" t="s">
        <v>399</v>
      </c>
      <c r="E222" s="2">
        <v>186.77</v>
      </c>
      <c r="F222" s="3">
        <f>DATE(2024,2,12)</f>
        <v>45334</v>
      </c>
      <c r="G222" s="3">
        <f>DATE(2024,2,12)</f>
        <v>45334</v>
      </c>
      <c r="H222">
        <v>704893785</v>
      </c>
      <c r="I222" t="s">
        <v>51</v>
      </c>
      <c r="K222" t="s">
        <v>21</v>
      </c>
      <c r="L222" t="s">
        <v>22</v>
      </c>
      <c r="M222" t="s">
        <v>23</v>
      </c>
      <c r="N222" t="s">
        <v>23</v>
      </c>
      <c r="O222" t="s">
        <v>24</v>
      </c>
      <c r="P222" s="8" t="s">
        <v>400</v>
      </c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 hidden="1" x14ac:dyDescent="0.2">
      <c r="A223" s="6"/>
      <c r="E223" s="2"/>
      <c r="F223" s="3"/>
      <c r="G223" s="3"/>
      <c r="P223" s="8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 x14ac:dyDescent="0.2">
      <c r="A224" s="6" t="s">
        <v>17</v>
      </c>
      <c r="B224" t="s">
        <v>110</v>
      </c>
      <c r="C224" t="s">
        <v>111</v>
      </c>
      <c r="D224" t="s">
        <v>401</v>
      </c>
      <c r="E224" s="2">
        <v>1.56</v>
      </c>
      <c r="F224" s="3">
        <f>DATE(2024,2,13)</f>
        <v>45335</v>
      </c>
      <c r="G224" s="3">
        <f>DATE(2024,2,13)</f>
        <v>45335</v>
      </c>
      <c r="H224">
        <v>705311550</v>
      </c>
      <c r="I224" t="s">
        <v>73</v>
      </c>
      <c r="K224" t="s">
        <v>21</v>
      </c>
      <c r="L224" t="s">
        <v>22</v>
      </c>
      <c r="M224" t="s">
        <v>23</v>
      </c>
      <c r="N224" t="s">
        <v>23</v>
      </c>
      <c r="O224" t="s">
        <v>24</v>
      </c>
      <c r="P224" s="8" t="s">
        <v>402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 x14ac:dyDescent="0.2">
      <c r="A225" s="6" t="s">
        <v>17</v>
      </c>
      <c r="B225" t="s">
        <v>44</v>
      </c>
      <c r="C225" t="s">
        <v>45</v>
      </c>
      <c r="D225" t="s">
        <v>403</v>
      </c>
      <c r="E225" s="2">
        <v>75.8</v>
      </c>
      <c r="F225" s="3">
        <f t="shared" ref="F225:G230" si="27">DATE(2024,2,14)</f>
        <v>45336</v>
      </c>
      <c r="G225" s="3">
        <f t="shared" si="27"/>
        <v>45336</v>
      </c>
      <c r="H225">
        <v>707353878</v>
      </c>
      <c r="I225" t="s">
        <v>20</v>
      </c>
      <c r="K225" t="s">
        <v>21</v>
      </c>
      <c r="L225" t="s">
        <v>22</v>
      </c>
      <c r="M225" t="s">
        <v>23</v>
      </c>
      <c r="N225" t="s">
        <v>23</v>
      </c>
      <c r="O225" t="s">
        <v>24</v>
      </c>
      <c r="P225" s="8" t="s">
        <v>404</v>
      </c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 hidden="1" x14ac:dyDescent="0.2">
      <c r="A226" s="6"/>
      <c r="E226" s="2"/>
      <c r="F226" s="3"/>
      <c r="G226" s="3"/>
      <c r="P226" s="8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 hidden="1" x14ac:dyDescent="0.2">
      <c r="A227" s="6"/>
      <c r="E227" s="2"/>
      <c r="F227" s="3"/>
      <c r="G227" s="3"/>
      <c r="P227" s="8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 hidden="1" x14ac:dyDescent="0.2">
      <c r="A228" s="6"/>
      <c r="E228" s="2"/>
      <c r="F228" s="3"/>
      <c r="G228" s="3"/>
      <c r="P228" s="8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 hidden="1" x14ac:dyDescent="0.2">
      <c r="A229" s="6"/>
      <c r="E229" s="2"/>
      <c r="F229" s="3"/>
      <c r="G229" s="3"/>
      <c r="P229" s="8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 hidden="1" x14ac:dyDescent="0.2">
      <c r="A230" s="6"/>
      <c r="E230" s="2"/>
      <c r="F230" s="3"/>
      <c r="G230" s="3"/>
      <c r="P230" s="8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 x14ac:dyDescent="0.2">
      <c r="A231" s="6" t="s">
        <v>17</v>
      </c>
      <c r="B231" t="s">
        <v>34</v>
      </c>
      <c r="C231" t="s">
        <v>35</v>
      </c>
      <c r="D231" t="s">
        <v>405</v>
      </c>
      <c r="E231" s="2">
        <v>99</v>
      </c>
      <c r="F231" s="3">
        <f>DATE(2024,2,13)</f>
        <v>45335</v>
      </c>
      <c r="G231" s="3">
        <f>DATE(2024,2,13)</f>
        <v>45335</v>
      </c>
      <c r="H231">
        <v>707354885</v>
      </c>
      <c r="I231" t="s">
        <v>51</v>
      </c>
      <c r="K231" t="s">
        <v>21</v>
      </c>
      <c r="L231" t="s">
        <v>22</v>
      </c>
      <c r="M231" t="s">
        <v>23</v>
      </c>
      <c r="N231" t="s">
        <v>23</v>
      </c>
      <c r="O231" t="s">
        <v>24</v>
      </c>
      <c r="P231" s="8" t="s">
        <v>406</v>
      </c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 x14ac:dyDescent="0.2">
      <c r="A232" s="6" t="s">
        <v>17</v>
      </c>
      <c r="B232" t="s">
        <v>57</v>
      </c>
      <c r="C232" t="s">
        <v>58</v>
      </c>
      <c r="D232" t="s">
        <v>407</v>
      </c>
      <c r="E232" s="2">
        <v>47.98</v>
      </c>
      <c r="F232" s="3">
        <f t="shared" ref="F232:G238" si="28">DATE(2024,2,15)</f>
        <v>45337</v>
      </c>
      <c r="G232" s="3">
        <f t="shared" si="28"/>
        <v>45337</v>
      </c>
      <c r="H232">
        <v>709367410</v>
      </c>
      <c r="I232" t="s">
        <v>20</v>
      </c>
      <c r="K232" t="s">
        <v>21</v>
      </c>
      <c r="L232" t="s">
        <v>22</v>
      </c>
      <c r="M232" t="s">
        <v>23</v>
      </c>
      <c r="N232" t="s">
        <v>23</v>
      </c>
      <c r="O232" t="s">
        <v>24</v>
      </c>
      <c r="P232" s="8" t="s">
        <v>408</v>
      </c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 x14ac:dyDescent="0.2">
      <c r="A233" s="6" t="s">
        <v>17</v>
      </c>
      <c r="B233" t="s">
        <v>61</v>
      </c>
      <c r="C233" t="s">
        <v>62</v>
      </c>
      <c r="D233" t="s">
        <v>409</v>
      </c>
      <c r="E233" s="2">
        <v>378</v>
      </c>
      <c r="F233" s="3">
        <f t="shared" si="28"/>
        <v>45337</v>
      </c>
      <c r="G233" s="3">
        <f t="shared" si="28"/>
        <v>45337</v>
      </c>
      <c r="H233">
        <v>709367411</v>
      </c>
      <c r="I233" t="s">
        <v>20</v>
      </c>
      <c r="K233" t="s">
        <v>21</v>
      </c>
      <c r="L233" t="s">
        <v>22</v>
      </c>
      <c r="M233" t="s">
        <v>23</v>
      </c>
      <c r="N233" t="s">
        <v>23</v>
      </c>
      <c r="O233" t="s">
        <v>24</v>
      </c>
      <c r="P233" s="8" t="s">
        <v>410</v>
      </c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 x14ac:dyDescent="0.2">
      <c r="A234" s="6" t="s">
        <v>17</v>
      </c>
      <c r="B234" t="s">
        <v>137</v>
      </c>
      <c r="C234" t="s">
        <v>138</v>
      </c>
      <c r="D234" t="s">
        <v>411</v>
      </c>
      <c r="E234" s="2">
        <v>180</v>
      </c>
      <c r="F234" s="3">
        <f t="shared" si="28"/>
        <v>45337</v>
      </c>
      <c r="G234" s="3">
        <f t="shared" si="28"/>
        <v>45337</v>
      </c>
      <c r="H234">
        <v>709367412</v>
      </c>
      <c r="I234" t="s">
        <v>20</v>
      </c>
      <c r="K234" t="s">
        <v>21</v>
      </c>
      <c r="L234" t="s">
        <v>22</v>
      </c>
      <c r="M234" t="s">
        <v>23</v>
      </c>
      <c r="N234" t="s">
        <v>23</v>
      </c>
      <c r="O234" t="s">
        <v>24</v>
      </c>
      <c r="P234" s="8" t="s">
        <v>412</v>
      </c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 x14ac:dyDescent="0.2">
      <c r="A235" s="6" t="s">
        <v>17</v>
      </c>
      <c r="B235" t="s">
        <v>251</v>
      </c>
      <c r="C235" t="s">
        <v>252</v>
      </c>
      <c r="D235" t="s">
        <v>413</v>
      </c>
      <c r="E235" s="2">
        <v>1292.4000000000001</v>
      </c>
      <c r="F235" s="3">
        <f t="shared" si="28"/>
        <v>45337</v>
      </c>
      <c r="G235" s="3">
        <f t="shared" si="28"/>
        <v>45337</v>
      </c>
      <c r="H235">
        <v>709367413</v>
      </c>
      <c r="I235" t="s">
        <v>20</v>
      </c>
      <c r="K235" t="s">
        <v>21</v>
      </c>
      <c r="L235" t="s">
        <v>22</v>
      </c>
      <c r="M235" t="s">
        <v>23</v>
      </c>
      <c r="N235" t="s">
        <v>23</v>
      </c>
      <c r="O235" t="s">
        <v>24</v>
      </c>
      <c r="P235" s="8" t="s">
        <v>414</v>
      </c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 hidden="1" x14ac:dyDescent="0.2">
      <c r="A236" s="6"/>
      <c r="E236" s="2"/>
      <c r="F236" s="3"/>
      <c r="G236" s="3"/>
      <c r="P236" s="8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 hidden="1" x14ac:dyDescent="0.2">
      <c r="A237" s="6"/>
      <c r="E237" s="2"/>
      <c r="F237" s="3"/>
      <c r="G237" s="3"/>
      <c r="P237" s="8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 x14ac:dyDescent="0.2">
      <c r="A238" s="6" t="s">
        <v>17</v>
      </c>
      <c r="B238" t="s">
        <v>110</v>
      </c>
      <c r="C238" t="s">
        <v>111</v>
      </c>
      <c r="D238" t="s">
        <v>415</v>
      </c>
      <c r="E238" s="2">
        <v>1.56</v>
      </c>
      <c r="F238" s="3">
        <f t="shared" si="28"/>
        <v>45337</v>
      </c>
      <c r="G238" s="3">
        <f t="shared" si="28"/>
        <v>45337</v>
      </c>
      <c r="H238">
        <v>709542980</v>
      </c>
      <c r="I238" t="s">
        <v>73</v>
      </c>
      <c r="K238" t="s">
        <v>21</v>
      </c>
      <c r="L238" t="s">
        <v>22</v>
      </c>
      <c r="M238" t="s">
        <v>23</v>
      </c>
      <c r="N238" t="s">
        <v>23</v>
      </c>
      <c r="O238" t="s">
        <v>24</v>
      </c>
      <c r="P238" s="8" t="s">
        <v>416</v>
      </c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 x14ac:dyDescent="0.2">
      <c r="A239" s="6" t="s">
        <v>17</v>
      </c>
      <c r="B239" t="s">
        <v>61</v>
      </c>
      <c r="C239" t="s">
        <v>62</v>
      </c>
      <c r="D239" t="s">
        <v>417</v>
      </c>
      <c r="E239" s="2">
        <v>140</v>
      </c>
      <c r="F239" s="3">
        <f t="shared" ref="F239:G242" si="29">DATE(2024,2,16)</f>
        <v>45338</v>
      </c>
      <c r="G239" s="3">
        <f t="shared" si="29"/>
        <v>45338</v>
      </c>
      <c r="H239">
        <v>710242119</v>
      </c>
      <c r="I239" t="s">
        <v>20</v>
      </c>
      <c r="K239" t="s">
        <v>21</v>
      </c>
      <c r="L239" t="s">
        <v>22</v>
      </c>
      <c r="M239" t="s">
        <v>23</v>
      </c>
      <c r="N239" t="s">
        <v>23</v>
      </c>
      <c r="O239" t="s">
        <v>24</v>
      </c>
      <c r="P239" s="8" t="s">
        <v>418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 x14ac:dyDescent="0.2">
      <c r="A240" s="6" t="s">
        <v>17</v>
      </c>
      <c r="B240" t="s">
        <v>183</v>
      </c>
      <c r="C240" t="s">
        <v>184</v>
      </c>
      <c r="D240" t="s">
        <v>419</v>
      </c>
      <c r="E240" s="2">
        <v>8199</v>
      </c>
      <c r="F240" s="3">
        <f t="shared" si="29"/>
        <v>45338</v>
      </c>
      <c r="G240" s="3">
        <f t="shared" si="29"/>
        <v>45338</v>
      </c>
      <c r="H240">
        <v>710242120</v>
      </c>
      <c r="I240" t="s">
        <v>20</v>
      </c>
      <c r="K240" t="s">
        <v>21</v>
      </c>
      <c r="L240" t="s">
        <v>22</v>
      </c>
      <c r="M240" t="s">
        <v>23</v>
      </c>
      <c r="N240" t="s">
        <v>23</v>
      </c>
      <c r="O240" t="s">
        <v>24</v>
      </c>
      <c r="P240" s="8" t="s">
        <v>420</v>
      </c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 hidden="1" x14ac:dyDescent="0.2">
      <c r="A241" s="6"/>
      <c r="E241" s="2"/>
      <c r="F241" s="3"/>
      <c r="G241" s="3"/>
      <c r="P241" s="8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 x14ac:dyDescent="0.2">
      <c r="A242" s="6" t="s">
        <v>17</v>
      </c>
      <c r="B242" t="s">
        <v>18</v>
      </c>
      <c r="C242" t="s">
        <v>18</v>
      </c>
      <c r="D242" t="s">
        <v>421</v>
      </c>
      <c r="E242" s="2">
        <v>2.4500000000000002</v>
      </c>
      <c r="F242" s="3">
        <f t="shared" si="29"/>
        <v>45338</v>
      </c>
      <c r="G242" s="3">
        <f t="shared" si="29"/>
        <v>45338</v>
      </c>
      <c r="H242">
        <v>710242122</v>
      </c>
      <c r="I242" t="s">
        <v>20</v>
      </c>
      <c r="K242" t="s">
        <v>21</v>
      </c>
      <c r="L242" t="s">
        <v>22</v>
      </c>
      <c r="M242" t="s">
        <v>23</v>
      </c>
      <c r="N242" t="s">
        <v>23</v>
      </c>
      <c r="O242" t="s">
        <v>24</v>
      </c>
      <c r="P242" s="8" t="s">
        <v>422</v>
      </c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 x14ac:dyDescent="0.2">
      <c r="A243" s="6" t="s">
        <v>17</v>
      </c>
      <c r="B243" t="s">
        <v>44</v>
      </c>
      <c r="C243" t="s">
        <v>45</v>
      </c>
      <c r="D243" t="s">
        <v>423</v>
      </c>
      <c r="E243" s="2">
        <v>6.99</v>
      </c>
      <c r="F243" s="3">
        <f t="shared" ref="F243:G245" si="30">DATE(2024,2,15)</f>
        <v>45337</v>
      </c>
      <c r="G243" s="3">
        <f t="shared" si="30"/>
        <v>45337</v>
      </c>
      <c r="H243">
        <v>710242130</v>
      </c>
      <c r="I243" t="s">
        <v>51</v>
      </c>
      <c r="K243" t="s">
        <v>21</v>
      </c>
      <c r="L243" t="s">
        <v>22</v>
      </c>
      <c r="M243" t="s">
        <v>23</v>
      </c>
      <c r="N243" t="s">
        <v>23</v>
      </c>
      <c r="O243" t="s">
        <v>24</v>
      </c>
      <c r="P243" s="8" t="s">
        <v>424</v>
      </c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 x14ac:dyDescent="0.2">
      <c r="A244" s="6" t="s">
        <v>17</v>
      </c>
      <c r="B244" t="s">
        <v>367</v>
      </c>
      <c r="C244" t="s">
        <v>368</v>
      </c>
      <c r="D244" t="s">
        <v>425</v>
      </c>
      <c r="E244" s="2">
        <v>1</v>
      </c>
      <c r="F244" s="3">
        <f t="shared" si="30"/>
        <v>45337</v>
      </c>
      <c r="G244" s="3">
        <f t="shared" si="30"/>
        <v>45337</v>
      </c>
      <c r="H244">
        <v>710242131</v>
      </c>
      <c r="I244" t="s">
        <v>51</v>
      </c>
      <c r="K244" t="s">
        <v>21</v>
      </c>
      <c r="L244" t="s">
        <v>22</v>
      </c>
      <c r="M244" t="s">
        <v>23</v>
      </c>
      <c r="N244" t="s">
        <v>23</v>
      </c>
      <c r="O244" t="s">
        <v>24</v>
      </c>
      <c r="P244" s="8" t="s">
        <v>426</v>
      </c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 x14ac:dyDescent="0.2">
      <c r="A245" s="6" t="s">
        <v>17</v>
      </c>
      <c r="B245" t="s">
        <v>367</v>
      </c>
      <c r="C245" t="s">
        <v>368</v>
      </c>
      <c r="D245" t="s">
        <v>425</v>
      </c>
      <c r="E245" s="2">
        <v>1</v>
      </c>
      <c r="F245" s="3">
        <f t="shared" si="30"/>
        <v>45337</v>
      </c>
      <c r="G245" s="3">
        <f t="shared" si="30"/>
        <v>45337</v>
      </c>
      <c r="H245">
        <v>710242132</v>
      </c>
      <c r="I245" t="s">
        <v>51</v>
      </c>
      <c r="K245" t="s">
        <v>21</v>
      </c>
      <c r="L245" t="s">
        <v>22</v>
      </c>
      <c r="M245" t="s">
        <v>23</v>
      </c>
      <c r="N245" t="s">
        <v>23</v>
      </c>
      <c r="O245" t="s">
        <v>24</v>
      </c>
      <c r="P245" s="8" t="s">
        <v>427</v>
      </c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 hidden="1" x14ac:dyDescent="0.2">
      <c r="A246" s="6"/>
      <c r="E246" s="2"/>
      <c r="F246" s="3"/>
      <c r="G246" s="3"/>
      <c r="P246" s="8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 x14ac:dyDescent="0.2">
      <c r="A247" s="6" t="s">
        <v>17</v>
      </c>
      <c r="B247" t="s">
        <v>110</v>
      </c>
      <c r="C247" t="s">
        <v>111</v>
      </c>
      <c r="D247" t="s">
        <v>428</v>
      </c>
      <c r="E247" s="2">
        <v>2.0099999999999998</v>
      </c>
      <c r="F247" s="3">
        <f t="shared" ref="F246:G250" si="31">DATE(2024,2,16)</f>
        <v>45338</v>
      </c>
      <c r="G247" s="3">
        <f t="shared" si="31"/>
        <v>45338</v>
      </c>
      <c r="H247">
        <v>710394000</v>
      </c>
      <c r="I247" t="s">
        <v>73</v>
      </c>
      <c r="K247" t="s">
        <v>21</v>
      </c>
      <c r="L247" t="s">
        <v>22</v>
      </c>
      <c r="M247" t="s">
        <v>23</v>
      </c>
      <c r="N247" t="s">
        <v>23</v>
      </c>
      <c r="O247" t="s">
        <v>24</v>
      </c>
      <c r="P247" s="8" t="s">
        <v>429</v>
      </c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 x14ac:dyDescent="0.2">
      <c r="A248" s="6" t="s">
        <v>17</v>
      </c>
      <c r="B248" t="s">
        <v>18</v>
      </c>
      <c r="C248" t="s">
        <v>18</v>
      </c>
      <c r="D248" t="s">
        <v>189</v>
      </c>
      <c r="E248" s="2">
        <v>55.24</v>
      </c>
      <c r="F248" s="3">
        <f t="shared" si="31"/>
        <v>45338</v>
      </c>
      <c r="G248" s="3">
        <f t="shared" si="31"/>
        <v>45338</v>
      </c>
      <c r="H248">
        <v>710394001</v>
      </c>
      <c r="I248" t="s">
        <v>73</v>
      </c>
      <c r="K248" t="s">
        <v>21</v>
      </c>
      <c r="L248" t="s">
        <v>22</v>
      </c>
      <c r="M248" t="s">
        <v>23</v>
      </c>
      <c r="N248" t="s">
        <v>23</v>
      </c>
      <c r="O248" t="s">
        <v>24</v>
      </c>
      <c r="P248" s="8" t="s">
        <v>430</v>
      </c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 x14ac:dyDescent="0.2">
      <c r="A249" s="6" t="s">
        <v>17</v>
      </c>
      <c r="B249" t="s">
        <v>316</v>
      </c>
      <c r="C249" t="s">
        <v>316</v>
      </c>
      <c r="D249" t="s">
        <v>431</v>
      </c>
      <c r="E249" s="2">
        <v>54.4</v>
      </c>
      <c r="F249" s="3">
        <f t="shared" si="31"/>
        <v>45338</v>
      </c>
      <c r="G249" s="3">
        <f t="shared" si="31"/>
        <v>45338</v>
      </c>
      <c r="H249">
        <v>710894056</v>
      </c>
      <c r="I249" t="s">
        <v>51</v>
      </c>
      <c r="K249" t="s">
        <v>21</v>
      </c>
      <c r="L249" t="s">
        <v>22</v>
      </c>
      <c r="M249" t="s">
        <v>23</v>
      </c>
      <c r="N249" t="s">
        <v>23</v>
      </c>
      <c r="O249" t="s">
        <v>24</v>
      </c>
      <c r="P249" s="8" t="s">
        <v>432</v>
      </c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 x14ac:dyDescent="0.2">
      <c r="A250" s="6" t="s">
        <v>17</v>
      </c>
      <c r="B250" t="s">
        <v>104</v>
      </c>
      <c r="C250" t="s">
        <v>105</v>
      </c>
      <c r="D250" t="s">
        <v>433</v>
      </c>
      <c r="E250" s="2">
        <v>47.66</v>
      </c>
      <c r="F250" s="3">
        <f t="shared" si="31"/>
        <v>45338</v>
      </c>
      <c r="G250" s="3">
        <f t="shared" si="31"/>
        <v>45338</v>
      </c>
      <c r="H250">
        <v>710894057</v>
      </c>
      <c r="I250" t="s">
        <v>51</v>
      </c>
      <c r="K250" t="s">
        <v>21</v>
      </c>
      <c r="L250" t="s">
        <v>22</v>
      </c>
      <c r="M250" t="s">
        <v>23</v>
      </c>
      <c r="N250" t="s">
        <v>23</v>
      </c>
      <c r="O250" t="s">
        <v>24</v>
      </c>
      <c r="P250" s="8" t="s">
        <v>434</v>
      </c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 x14ac:dyDescent="0.2">
      <c r="A251" s="6" t="s">
        <v>17</v>
      </c>
      <c r="B251" t="s">
        <v>61</v>
      </c>
      <c r="C251" t="s">
        <v>62</v>
      </c>
      <c r="D251" t="s">
        <v>435</v>
      </c>
      <c r="E251" s="2">
        <v>0.9</v>
      </c>
      <c r="F251" s="3">
        <f t="shared" ref="F251:G256" si="32">DATE(2024,2,19)</f>
        <v>45341</v>
      </c>
      <c r="G251" s="3">
        <f t="shared" si="32"/>
        <v>45341</v>
      </c>
      <c r="H251">
        <v>712591349</v>
      </c>
      <c r="I251" t="s">
        <v>20</v>
      </c>
      <c r="K251" t="s">
        <v>21</v>
      </c>
      <c r="L251" t="s">
        <v>22</v>
      </c>
      <c r="M251" t="s">
        <v>23</v>
      </c>
      <c r="N251" t="s">
        <v>23</v>
      </c>
      <c r="O251" t="s">
        <v>24</v>
      </c>
      <c r="P251" s="8" t="s">
        <v>436</v>
      </c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 x14ac:dyDescent="0.2">
      <c r="A252" s="6" t="s">
        <v>17</v>
      </c>
      <c r="B252" t="s">
        <v>57</v>
      </c>
      <c r="C252" t="s">
        <v>58</v>
      </c>
      <c r="D252" t="s">
        <v>437</v>
      </c>
      <c r="E252" s="2">
        <v>69.95</v>
      </c>
      <c r="F252" s="3">
        <f t="shared" si="32"/>
        <v>45341</v>
      </c>
      <c r="G252" s="3">
        <f t="shared" si="32"/>
        <v>45341</v>
      </c>
      <c r="H252">
        <v>712591350</v>
      </c>
      <c r="I252" t="s">
        <v>20</v>
      </c>
      <c r="K252" t="s">
        <v>21</v>
      </c>
      <c r="L252" t="s">
        <v>22</v>
      </c>
      <c r="M252" t="s">
        <v>23</v>
      </c>
      <c r="N252" t="s">
        <v>23</v>
      </c>
      <c r="O252" t="s">
        <v>24</v>
      </c>
      <c r="P252" s="8" t="s">
        <v>438</v>
      </c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 x14ac:dyDescent="0.2">
      <c r="A253" s="6" t="s">
        <v>17</v>
      </c>
      <c r="B253" t="s">
        <v>223</v>
      </c>
      <c r="C253" t="s">
        <v>223</v>
      </c>
      <c r="D253" t="s">
        <v>439</v>
      </c>
      <c r="E253" s="2">
        <v>215.13</v>
      </c>
      <c r="F253" s="3">
        <f t="shared" si="32"/>
        <v>45341</v>
      </c>
      <c r="G253" s="3">
        <f t="shared" si="32"/>
        <v>45341</v>
      </c>
      <c r="H253">
        <v>712591351</v>
      </c>
      <c r="I253" t="s">
        <v>20</v>
      </c>
      <c r="K253" t="s">
        <v>21</v>
      </c>
      <c r="L253" t="s">
        <v>22</v>
      </c>
      <c r="M253" t="s">
        <v>23</v>
      </c>
      <c r="N253" t="s">
        <v>23</v>
      </c>
      <c r="O253" t="s">
        <v>24</v>
      </c>
      <c r="P253" s="8" t="s">
        <v>440</v>
      </c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 x14ac:dyDescent="0.2">
      <c r="A254" s="6" t="s">
        <v>17</v>
      </c>
      <c r="B254" t="s">
        <v>26</v>
      </c>
      <c r="C254" t="s">
        <v>27</v>
      </c>
      <c r="D254" t="s">
        <v>441</v>
      </c>
      <c r="E254" s="2">
        <v>600</v>
      </c>
      <c r="F254" s="3">
        <f t="shared" si="32"/>
        <v>45341</v>
      </c>
      <c r="G254" s="3">
        <f t="shared" si="32"/>
        <v>45341</v>
      </c>
      <c r="H254">
        <v>712591352</v>
      </c>
      <c r="I254" t="s">
        <v>20</v>
      </c>
      <c r="K254" t="s">
        <v>21</v>
      </c>
      <c r="L254" t="s">
        <v>22</v>
      </c>
      <c r="M254" t="s">
        <v>23</v>
      </c>
      <c r="N254" t="s">
        <v>23</v>
      </c>
      <c r="O254" t="s">
        <v>24</v>
      </c>
      <c r="P254" s="8" t="s">
        <v>442</v>
      </c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 x14ac:dyDescent="0.2">
      <c r="A255" s="6" t="s">
        <v>17</v>
      </c>
      <c r="B255" t="s">
        <v>191</v>
      </c>
      <c r="C255" t="s">
        <v>192</v>
      </c>
      <c r="D255" t="s">
        <v>443</v>
      </c>
      <c r="E255" s="2">
        <v>840</v>
      </c>
      <c r="F255" s="3">
        <f t="shared" si="32"/>
        <v>45341</v>
      </c>
      <c r="G255" s="3">
        <f t="shared" si="32"/>
        <v>45341</v>
      </c>
      <c r="H255">
        <v>712591353</v>
      </c>
      <c r="I255" t="s">
        <v>20</v>
      </c>
      <c r="K255" t="s">
        <v>21</v>
      </c>
      <c r="L255" t="s">
        <v>22</v>
      </c>
      <c r="M255" t="s">
        <v>23</v>
      </c>
      <c r="N255" t="s">
        <v>23</v>
      </c>
      <c r="O255" t="s">
        <v>24</v>
      </c>
      <c r="P255" s="8" t="s">
        <v>444</v>
      </c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 x14ac:dyDescent="0.2">
      <c r="A256" s="6" t="s">
        <v>17</v>
      </c>
      <c r="B256" t="s">
        <v>191</v>
      </c>
      <c r="C256" t="s">
        <v>192</v>
      </c>
      <c r="D256" t="s">
        <v>445</v>
      </c>
      <c r="E256" s="2">
        <v>1000</v>
      </c>
      <c r="F256" s="3">
        <f t="shared" si="32"/>
        <v>45341</v>
      </c>
      <c r="G256" s="3">
        <f t="shared" si="32"/>
        <v>45341</v>
      </c>
      <c r="H256">
        <v>712591354</v>
      </c>
      <c r="I256" t="s">
        <v>20</v>
      </c>
      <c r="K256" t="s">
        <v>21</v>
      </c>
      <c r="L256" t="s">
        <v>22</v>
      </c>
      <c r="M256" t="s">
        <v>23</v>
      </c>
      <c r="N256" t="s">
        <v>23</v>
      </c>
      <c r="O256" t="s">
        <v>24</v>
      </c>
      <c r="P256" s="8" t="s">
        <v>446</v>
      </c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 hidden="1" x14ac:dyDescent="0.2">
      <c r="A257" s="6"/>
      <c r="E257" s="2"/>
      <c r="F257" s="3"/>
      <c r="G257" s="3"/>
      <c r="P257" s="8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 x14ac:dyDescent="0.2">
      <c r="A258" s="6" t="s">
        <v>17</v>
      </c>
      <c r="B258" t="s">
        <v>44</v>
      </c>
      <c r="C258" t="s">
        <v>45</v>
      </c>
      <c r="D258" t="s">
        <v>447</v>
      </c>
      <c r="E258" s="2">
        <v>288.83</v>
      </c>
      <c r="F258" s="3">
        <f>DATE(2024,2,19)</f>
        <v>45341</v>
      </c>
      <c r="G258" s="3">
        <f>DATE(2024,2,19)</f>
        <v>45341</v>
      </c>
      <c r="H258">
        <v>712591356</v>
      </c>
      <c r="I258" t="s">
        <v>20</v>
      </c>
      <c r="K258" t="s">
        <v>21</v>
      </c>
      <c r="L258" t="s">
        <v>22</v>
      </c>
      <c r="M258" t="s">
        <v>23</v>
      </c>
      <c r="N258" t="s">
        <v>23</v>
      </c>
      <c r="O258" t="s">
        <v>24</v>
      </c>
      <c r="P258" s="8" t="s">
        <v>448</v>
      </c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 x14ac:dyDescent="0.2">
      <c r="A259" s="6" t="s">
        <v>17</v>
      </c>
      <c r="B259" t="s">
        <v>316</v>
      </c>
      <c r="C259" t="s">
        <v>316</v>
      </c>
      <c r="D259" t="s">
        <v>449</v>
      </c>
      <c r="E259" s="2">
        <v>1.8</v>
      </c>
      <c r="F259" s="3">
        <f>DATE(2024,2,16)</f>
        <v>45338</v>
      </c>
      <c r="G259" s="3">
        <f>DATE(2024,2,16)</f>
        <v>45338</v>
      </c>
      <c r="H259">
        <v>712591357</v>
      </c>
      <c r="I259" t="s">
        <v>51</v>
      </c>
      <c r="K259" t="s">
        <v>21</v>
      </c>
      <c r="L259" t="s">
        <v>22</v>
      </c>
      <c r="M259" t="s">
        <v>23</v>
      </c>
      <c r="N259" t="s">
        <v>23</v>
      </c>
      <c r="O259" t="s">
        <v>24</v>
      </c>
      <c r="P259" s="8" t="s">
        <v>450</v>
      </c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 x14ac:dyDescent="0.2">
      <c r="A260" s="6" t="s">
        <v>17</v>
      </c>
      <c r="B260" t="s">
        <v>316</v>
      </c>
      <c r="C260" t="s">
        <v>316</v>
      </c>
      <c r="D260" t="s">
        <v>449</v>
      </c>
      <c r="E260" s="2">
        <v>1.6</v>
      </c>
      <c r="F260" s="3">
        <f>DATE(2024,2,16)</f>
        <v>45338</v>
      </c>
      <c r="G260" s="3">
        <f>DATE(2024,2,16)</f>
        <v>45338</v>
      </c>
      <c r="H260">
        <v>712591358</v>
      </c>
      <c r="I260" t="s">
        <v>51</v>
      </c>
      <c r="K260" t="s">
        <v>21</v>
      </c>
      <c r="L260" t="s">
        <v>22</v>
      </c>
      <c r="M260" t="s">
        <v>23</v>
      </c>
      <c r="N260" t="s">
        <v>23</v>
      </c>
      <c r="O260" t="s">
        <v>24</v>
      </c>
      <c r="P260" s="8" t="s">
        <v>451</v>
      </c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 x14ac:dyDescent="0.2">
      <c r="A261" s="6" t="s">
        <v>17</v>
      </c>
      <c r="B261" t="s">
        <v>144</v>
      </c>
      <c r="C261" t="s">
        <v>145</v>
      </c>
      <c r="D261" t="s">
        <v>452</v>
      </c>
      <c r="E261" s="2">
        <v>90</v>
      </c>
      <c r="F261" s="3">
        <f>DATE(2024,2,17)</f>
        <v>45339</v>
      </c>
      <c r="G261" s="3">
        <f>DATE(2024,2,17)</f>
        <v>45339</v>
      </c>
      <c r="H261">
        <v>712591359</v>
      </c>
      <c r="I261" t="s">
        <v>51</v>
      </c>
      <c r="K261" t="s">
        <v>21</v>
      </c>
      <c r="L261" t="s">
        <v>22</v>
      </c>
      <c r="M261" t="s">
        <v>23</v>
      </c>
      <c r="N261" t="s">
        <v>23</v>
      </c>
      <c r="O261" t="s">
        <v>24</v>
      </c>
      <c r="P261" s="8" t="s">
        <v>453</v>
      </c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 x14ac:dyDescent="0.2">
      <c r="A262" s="6" t="s">
        <v>17</v>
      </c>
      <c r="B262" t="s">
        <v>144</v>
      </c>
      <c r="C262" t="s">
        <v>145</v>
      </c>
      <c r="D262" t="s">
        <v>454</v>
      </c>
      <c r="E262" s="2">
        <v>313</v>
      </c>
      <c r="F262" s="3">
        <f>DATE(2024,2,18)</f>
        <v>45340</v>
      </c>
      <c r="G262" s="3">
        <f>DATE(2024,2,18)</f>
        <v>45340</v>
      </c>
      <c r="H262">
        <v>712591360</v>
      </c>
      <c r="I262" t="s">
        <v>51</v>
      </c>
      <c r="K262" t="s">
        <v>21</v>
      </c>
      <c r="L262" t="s">
        <v>22</v>
      </c>
      <c r="M262" t="s">
        <v>23</v>
      </c>
      <c r="N262" t="s">
        <v>23</v>
      </c>
      <c r="O262" t="s">
        <v>24</v>
      </c>
      <c r="P262" s="8" t="s">
        <v>455</v>
      </c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 x14ac:dyDescent="0.2">
      <c r="A263" s="6" t="s">
        <v>17</v>
      </c>
      <c r="B263" t="s">
        <v>80</v>
      </c>
      <c r="C263" t="s">
        <v>81</v>
      </c>
      <c r="D263" t="s">
        <v>456</v>
      </c>
      <c r="E263" s="2">
        <v>124.39</v>
      </c>
      <c r="F263" s="3">
        <f t="shared" ref="F263:G266" si="33">DATE(2024,2,20)</f>
        <v>45342</v>
      </c>
      <c r="G263" s="3">
        <f t="shared" si="33"/>
        <v>45342</v>
      </c>
      <c r="H263">
        <v>714920623</v>
      </c>
      <c r="I263" t="s">
        <v>20</v>
      </c>
      <c r="K263" t="s">
        <v>21</v>
      </c>
      <c r="L263" t="s">
        <v>22</v>
      </c>
      <c r="M263" t="s">
        <v>23</v>
      </c>
      <c r="N263" t="s">
        <v>23</v>
      </c>
      <c r="O263" t="s">
        <v>24</v>
      </c>
      <c r="P263" s="8" t="s">
        <v>457</v>
      </c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 x14ac:dyDescent="0.2">
      <c r="A264" s="6" t="s">
        <v>17</v>
      </c>
      <c r="B264" t="s">
        <v>26</v>
      </c>
      <c r="C264" t="s">
        <v>27</v>
      </c>
      <c r="D264" t="s">
        <v>458</v>
      </c>
      <c r="E264" s="2">
        <v>6.74</v>
      </c>
      <c r="F264" s="3">
        <f t="shared" si="33"/>
        <v>45342</v>
      </c>
      <c r="G264" s="3">
        <f t="shared" si="33"/>
        <v>45342</v>
      </c>
      <c r="H264">
        <v>714920624</v>
      </c>
      <c r="I264" t="s">
        <v>20</v>
      </c>
      <c r="K264" t="s">
        <v>21</v>
      </c>
      <c r="L264" t="s">
        <v>22</v>
      </c>
      <c r="M264" t="s">
        <v>23</v>
      </c>
      <c r="N264" t="s">
        <v>23</v>
      </c>
      <c r="O264" t="s">
        <v>24</v>
      </c>
      <c r="P264" s="8" t="s">
        <v>459</v>
      </c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 hidden="1" x14ac:dyDescent="0.2">
      <c r="A265" s="6"/>
      <c r="E265" s="2"/>
      <c r="F265" s="3"/>
      <c r="G265" s="3"/>
      <c r="P265" s="8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 x14ac:dyDescent="0.2">
      <c r="A266" s="6" t="s">
        <v>17</v>
      </c>
      <c r="B266" t="s">
        <v>18</v>
      </c>
      <c r="C266" t="s">
        <v>18</v>
      </c>
      <c r="D266" t="s">
        <v>460</v>
      </c>
      <c r="E266" s="2">
        <v>1.83</v>
      </c>
      <c r="F266" s="3">
        <f t="shared" si="33"/>
        <v>45342</v>
      </c>
      <c r="G266" s="3">
        <f t="shared" si="33"/>
        <v>45342</v>
      </c>
      <c r="H266">
        <v>714920626</v>
      </c>
      <c r="I266" t="s">
        <v>20</v>
      </c>
      <c r="K266" t="s">
        <v>21</v>
      </c>
      <c r="L266" t="s">
        <v>22</v>
      </c>
      <c r="M266" t="s">
        <v>23</v>
      </c>
      <c r="N266" t="s">
        <v>23</v>
      </c>
      <c r="O266" t="s">
        <v>24</v>
      </c>
      <c r="P266" s="8" t="s">
        <v>461</v>
      </c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 hidden="1" x14ac:dyDescent="0.2">
      <c r="A267" s="6"/>
      <c r="E267" s="2"/>
      <c r="F267" s="3"/>
      <c r="G267" s="3"/>
      <c r="P267" s="8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 x14ac:dyDescent="0.2">
      <c r="A268" s="6" t="s">
        <v>17</v>
      </c>
      <c r="B268" t="s">
        <v>316</v>
      </c>
      <c r="C268" t="s">
        <v>316</v>
      </c>
      <c r="D268" t="s">
        <v>462</v>
      </c>
      <c r="E268" s="2">
        <v>544.84</v>
      </c>
      <c r="F268" s="3">
        <f t="shared" ref="F268:G270" si="34">DATE(2024,2,18)</f>
        <v>45340</v>
      </c>
      <c r="G268" s="3">
        <f t="shared" si="34"/>
        <v>45340</v>
      </c>
      <c r="H268">
        <v>714920628</v>
      </c>
      <c r="I268" t="s">
        <v>51</v>
      </c>
      <c r="K268" t="s">
        <v>21</v>
      </c>
      <c r="L268" t="s">
        <v>22</v>
      </c>
      <c r="M268" t="s">
        <v>23</v>
      </c>
      <c r="N268" t="s">
        <v>23</v>
      </c>
      <c r="O268" t="s">
        <v>24</v>
      </c>
      <c r="P268" s="8" t="s">
        <v>463</v>
      </c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 x14ac:dyDescent="0.2">
      <c r="A269" s="6" t="s">
        <v>17</v>
      </c>
      <c r="B269" t="s">
        <v>26</v>
      </c>
      <c r="C269" t="s">
        <v>27</v>
      </c>
      <c r="D269" t="s">
        <v>464</v>
      </c>
      <c r="E269" s="2">
        <v>124.79</v>
      </c>
      <c r="F269" s="3">
        <f t="shared" si="34"/>
        <v>45340</v>
      </c>
      <c r="G269" s="3">
        <f t="shared" si="34"/>
        <v>45340</v>
      </c>
      <c r="H269">
        <v>714920629</v>
      </c>
      <c r="I269" t="s">
        <v>51</v>
      </c>
      <c r="K269" t="s">
        <v>21</v>
      </c>
      <c r="L269" t="s">
        <v>22</v>
      </c>
      <c r="M269" t="s">
        <v>23</v>
      </c>
      <c r="N269" t="s">
        <v>23</v>
      </c>
      <c r="O269" t="s">
        <v>24</v>
      </c>
      <c r="P269" s="8" t="s">
        <v>465</v>
      </c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 x14ac:dyDescent="0.2">
      <c r="A270" s="6" t="s">
        <v>17</v>
      </c>
      <c r="B270" t="s">
        <v>26</v>
      </c>
      <c r="C270" t="s">
        <v>27</v>
      </c>
      <c r="D270" t="s">
        <v>464</v>
      </c>
      <c r="E270" s="2">
        <v>5.2</v>
      </c>
      <c r="F270" s="3">
        <f t="shared" si="34"/>
        <v>45340</v>
      </c>
      <c r="G270" s="3">
        <f t="shared" si="34"/>
        <v>45340</v>
      </c>
      <c r="H270">
        <v>714920630</v>
      </c>
      <c r="I270" t="s">
        <v>51</v>
      </c>
      <c r="K270" t="s">
        <v>21</v>
      </c>
      <c r="L270" t="s">
        <v>22</v>
      </c>
      <c r="M270" t="s">
        <v>23</v>
      </c>
      <c r="N270" t="s">
        <v>23</v>
      </c>
      <c r="O270" t="s">
        <v>24</v>
      </c>
      <c r="P270" s="8" t="s">
        <v>466</v>
      </c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 x14ac:dyDescent="0.2">
      <c r="A271" s="6" t="s">
        <v>17</v>
      </c>
      <c r="B271" t="s">
        <v>44</v>
      </c>
      <c r="C271" t="s">
        <v>45</v>
      </c>
      <c r="D271" t="s">
        <v>467</v>
      </c>
      <c r="E271" s="2">
        <v>59.9</v>
      </c>
      <c r="F271" s="3">
        <f t="shared" ref="F271:G273" si="35">DATE(2024,2,19)</f>
        <v>45341</v>
      </c>
      <c r="G271" s="3">
        <f t="shared" si="35"/>
        <v>45341</v>
      </c>
      <c r="H271">
        <v>714920631</v>
      </c>
      <c r="I271" t="s">
        <v>51</v>
      </c>
      <c r="K271" t="s">
        <v>21</v>
      </c>
      <c r="L271" t="s">
        <v>22</v>
      </c>
      <c r="M271" t="s">
        <v>23</v>
      </c>
      <c r="N271" t="s">
        <v>23</v>
      </c>
      <c r="O271" t="s">
        <v>24</v>
      </c>
      <c r="P271" s="8" t="s">
        <v>468</v>
      </c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 x14ac:dyDescent="0.2">
      <c r="A272" s="6" t="s">
        <v>17</v>
      </c>
      <c r="B272" t="s">
        <v>61</v>
      </c>
      <c r="C272" t="s">
        <v>62</v>
      </c>
      <c r="D272" t="s">
        <v>236</v>
      </c>
      <c r="E272" s="2">
        <v>59.99</v>
      </c>
      <c r="F272" s="3">
        <f t="shared" si="35"/>
        <v>45341</v>
      </c>
      <c r="G272" s="3">
        <f t="shared" si="35"/>
        <v>45341</v>
      </c>
      <c r="H272">
        <v>714920632</v>
      </c>
      <c r="I272" t="s">
        <v>51</v>
      </c>
      <c r="K272" t="s">
        <v>21</v>
      </c>
      <c r="L272" t="s">
        <v>22</v>
      </c>
      <c r="M272" t="s">
        <v>23</v>
      </c>
      <c r="N272" t="s">
        <v>23</v>
      </c>
      <c r="O272" t="s">
        <v>24</v>
      </c>
      <c r="P272" s="8" t="s">
        <v>469</v>
      </c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 x14ac:dyDescent="0.2">
      <c r="A273" s="6" t="s">
        <v>17</v>
      </c>
      <c r="B273" t="s">
        <v>61</v>
      </c>
      <c r="C273" t="s">
        <v>62</v>
      </c>
      <c r="D273" t="s">
        <v>236</v>
      </c>
      <c r="E273" s="2">
        <v>30.99</v>
      </c>
      <c r="F273" s="3">
        <f t="shared" si="35"/>
        <v>45341</v>
      </c>
      <c r="G273" s="3">
        <f t="shared" si="35"/>
        <v>45341</v>
      </c>
      <c r="H273">
        <v>714920633</v>
      </c>
      <c r="I273" t="s">
        <v>51</v>
      </c>
      <c r="K273" t="s">
        <v>21</v>
      </c>
      <c r="L273" t="s">
        <v>22</v>
      </c>
      <c r="M273" t="s">
        <v>23</v>
      </c>
      <c r="N273" t="s">
        <v>23</v>
      </c>
      <c r="O273" t="s">
        <v>24</v>
      </c>
      <c r="P273" s="8" t="s">
        <v>470</v>
      </c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 hidden="1" x14ac:dyDescent="0.2">
      <c r="A274" s="6"/>
      <c r="E274" s="2"/>
      <c r="F274" s="3"/>
      <c r="G274" s="3"/>
      <c r="P274" s="8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 x14ac:dyDescent="0.2">
      <c r="A275" s="6" t="s">
        <v>17</v>
      </c>
      <c r="B275" t="s">
        <v>232</v>
      </c>
      <c r="C275" t="s">
        <v>233</v>
      </c>
      <c r="D275" t="s">
        <v>471</v>
      </c>
      <c r="E275" s="2">
        <v>1777</v>
      </c>
      <c r="F275" s="3">
        <f>DATE(2024,2,21)</f>
        <v>45343</v>
      </c>
      <c r="G275" s="3">
        <f>DATE(2024,2,21)</f>
        <v>45343</v>
      </c>
      <c r="H275">
        <v>717197750</v>
      </c>
      <c r="I275" t="s">
        <v>20</v>
      </c>
      <c r="K275" t="s">
        <v>21</v>
      </c>
      <c r="L275" t="s">
        <v>22</v>
      </c>
      <c r="M275" t="s">
        <v>23</v>
      </c>
      <c r="N275" t="s">
        <v>23</v>
      </c>
      <c r="O275" t="s">
        <v>24</v>
      </c>
      <c r="P275" s="8" t="s">
        <v>472</v>
      </c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 x14ac:dyDescent="0.2">
      <c r="A276" s="6" t="s">
        <v>17</v>
      </c>
      <c r="B276" t="s">
        <v>34</v>
      </c>
      <c r="C276" t="s">
        <v>35</v>
      </c>
      <c r="D276" t="s">
        <v>228</v>
      </c>
      <c r="E276" s="2">
        <v>40</v>
      </c>
      <c r="F276" s="3">
        <f>DATE(2024,2,20)</f>
        <v>45342</v>
      </c>
      <c r="G276" s="3">
        <f>DATE(2024,2,20)</f>
        <v>45342</v>
      </c>
      <c r="H276">
        <v>717197752</v>
      </c>
      <c r="I276" t="s">
        <v>51</v>
      </c>
      <c r="K276" t="s">
        <v>21</v>
      </c>
      <c r="L276" t="s">
        <v>22</v>
      </c>
      <c r="M276" t="s">
        <v>23</v>
      </c>
      <c r="N276" t="s">
        <v>23</v>
      </c>
      <c r="O276" t="s">
        <v>24</v>
      </c>
      <c r="P276" s="8" t="s">
        <v>473</v>
      </c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 x14ac:dyDescent="0.2">
      <c r="A277" s="6" t="s">
        <v>17</v>
      </c>
      <c r="B277" t="s">
        <v>26</v>
      </c>
      <c r="C277" t="s">
        <v>27</v>
      </c>
      <c r="D277" t="s">
        <v>230</v>
      </c>
      <c r="E277" s="2">
        <v>5.99</v>
      </c>
      <c r="F277" s="3">
        <f>DATE(2024,2,20)</f>
        <v>45342</v>
      </c>
      <c r="G277" s="3">
        <f>DATE(2024,2,20)</f>
        <v>45342</v>
      </c>
      <c r="H277">
        <v>717197753</v>
      </c>
      <c r="I277" t="s">
        <v>51</v>
      </c>
      <c r="K277" t="s">
        <v>21</v>
      </c>
      <c r="L277" t="s">
        <v>22</v>
      </c>
      <c r="M277" t="s">
        <v>23</v>
      </c>
      <c r="N277" t="s">
        <v>23</v>
      </c>
      <c r="O277" t="s">
        <v>24</v>
      </c>
      <c r="P277" s="8" t="s">
        <v>474</v>
      </c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 hidden="1" x14ac:dyDescent="0.2">
      <c r="A278" s="6"/>
      <c r="E278" s="2"/>
      <c r="F278" s="3"/>
      <c r="G278" s="3"/>
      <c r="P278" s="8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 x14ac:dyDescent="0.2">
      <c r="A279" s="6" t="s">
        <v>17</v>
      </c>
      <c r="B279" t="s">
        <v>110</v>
      </c>
      <c r="C279" t="s">
        <v>111</v>
      </c>
      <c r="D279" t="s">
        <v>475</v>
      </c>
      <c r="E279" s="2">
        <v>1.58</v>
      </c>
      <c r="F279" s="3">
        <f t="shared" ref="F278:G280" si="36">DATE(2024,2,21)</f>
        <v>45343</v>
      </c>
      <c r="G279" s="3">
        <f t="shared" si="36"/>
        <v>45343</v>
      </c>
      <c r="H279">
        <v>717616644</v>
      </c>
      <c r="I279" t="s">
        <v>73</v>
      </c>
      <c r="K279" t="s">
        <v>21</v>
      </c>
      <c r="L279" t="s">
        <v>22</v>
      </c>
      <c r="M279" t="s">
        <v>23</v>
      </c>
      <c r="N279" t="s">
        <v>23</v>
      </c>
      <c r="O279" t="s">
        <v>24</v>
      </c>
      <c r="P279" s="8" t="s">
        <v>476</v>
      </c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 x14ac:dyDescent="0.2">
      <c r="A280" s="6" t="s">
        <v>17</v>
      </c>
      <c r="B280" t="s">
        <v>34</v>
      </c>
      <c r="C280" t="s">
        <v>35</v>
      </c>
      <c r="D280" t="s">
        <v>477</v>
      </c>
      <c r="E280" s="2">
        <v>28.8</v>
      </c>
      <c r="F280" s="3">
        <f t="shared" si="36"/>
        <v>45343</v>
      </c>
      <c r="G280" s="3">
        <f t="shared" si="36"/>
        <v>45343</v>
      </c>
      <c r="H280">
        <v>717616645</v>
      </c>
      <c r="I280" t="s">
        <v>73</v>
      </c>
      <c r="K280" t="s">
        <v>21</v>
      </c>
      <c r="L280" t="s">
        <v>22</v>
      </c>
      <c r="M280" t="s">
        <v>23</v>
      </c>
      <c r="N280" t="s">
        <v>23</v>
      </c>
      <c r="O280" t="s">
        <v>24</v>
      </c>
      <c r="P280" s="8" t="s">
        <v>478</v>
      </c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 x14ac:dyDescent="0.2">
      <c r="A281" s="6" t="s">
        <v>17</v>
      </c>
      <c r="B281" t="s">
        <v>57</v>
      </c>
      <c r="C281" t="s">
        <v>58</v>
      </c>
      <c r="D281" t="s">
        <v>479</v>
      </c>
      <c r="E281" s="2">
        <v>78</v>
      </c>
      <c r="F281" s="3">
        <f t="shared" ref="F281:G285" si="37">DATE(2024,2,22)</f>
        <v>45344</v>
      </c>
      <c r="G281" s="3">
        <f t="shared" si="37"/>
        <v>45344</v>
      </c>
      <c r="H281">
        <v>719401659</v>
      </c>
      <c r="I281" t="s">
        <v>20</v>
      </c>
      <c r="K281" t="s">
        <v>21</v>
      </c>
      <c r="L281" t="s">
        <v>22</v>
      </c>
      <c r="M281" t="s">
        <v>23</v>
      </c>
      <c r="N281" t="s">
        <v>23</v>
      </c>
      <c r="O281" t="s">
        <v>24</v>
      </c>
      <c r="P281" s="8" t="s">
        <v>480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 x14ac:dyDescent="0.2">
      <c r="A282" s="6" t="s">
        <v>17</v>
      </c>
      <c r="B282" t="s">
        <v>57</v>
      </c>
      <c r="C282" t="s">
        <v>58</v>
      </c>
      <c r="D282" t="s">
        <v>481</v>
      </c>
      <c r="E282" s="2">
        <v>113.42</v>
      </c>
      <c r="F282" s="3">
        <f t="shared" si="37"/>
        <v>45344</v>
      </c>
      <c r="G282" s="3">
        <f t="shared" si="37"/>
        <v>45344</v>
      </c>
      <c r="H282">
        <v>719401660</v>
      </c>
      <c r="I282" t="s">
        <v>20</v>
      </c>
      <c r="K282" t="s">
        <v>21</v>
      </c>
      <c r="L282" t="s">
        <v>22</v>
      </c>
      <c r="M282" t="s">
        <v>23</v>
      </c>
      <c r="N282" t="s">
        <v>23</v>
      </c>
      <c r="O282" t="s">
        <v>24</v>
      </c>
      <c r="P282" s="8" t="s">
        <v>482</v>
      </c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 x14ac:dyDescent="0.2">
      <c r="A283" s="6" t="s">
        <v>17</v>
      </c>
      <c r="B283" t="s">
        <v>57</v>
      </c>
      <c r="C283" t="s">
        <v>58</v>
      </c>
      <c r="D283" t="s">
        <v>483</v>
      </c>
      <c r="E283" s="2">
        <v>51.99</v>
      </c>
      <c r="F283" s="3">
        <f t="shared" si="37"/>
        <v>45344</v>
      </c>
      <c r="G283" s="3">
        <f t="shared" si="37"/>
        <v>45344</v>
      </c>
      <c r="H283">
        <v>719401661</v>
      </c>
      <c r="I283" t="s">
        <v>20</v>
      </c>
      <c r="K283" t="s">
        <v>21</v>
      </c>
      <c r="L283" t="s">
        <v>22</v>
      </c>
      <c r="M283" t="s">
        <v>23</v>
      </c>
      <c r="N283" t="s">
        <v>23</v>
      </c>
      <c r="O283" t="s">
        <v>24</v>
      </c>
      <c r="P283" s="8" t="s">
        <v>484</v>
      </c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 hidden="1" x14ac:dyDescent="0.2">
      <c r="A284" s="6"/>
      <c r="E284" s="2"/>
      <c r="F284" s="3"/>
      <c r="G284" s="3"/>
      <c r="P284" s="8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 hidden="1" x14ac:dyDescent="0.2">
      <c r="A285" s="6"/>
      <c r="E285" s="2"/>
      <c r="F285" s="3"/>
      <c r="G285" s="3"/>
      <c r="P285" s="8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 x14ac:dyDescent="0.2">
      <c r="A286" s="6" t="s">
        <v>17</v>
      </c>
      <c r="B286" t="s">
        <v>44</v>
      </c>
      <c r="C286" t="s">
        <v>45</v>
      </c>
      <c r="D286" t="s">
        <v>485</v>
      </c>
      <c r="E286" s="2">
        <v>129.44</v>
      </c>
      <c r="F286" s="3">
        <f>DATE(2024,2,21)</f>
        <v>45343</v>
      </c>
      <c r="G286" s="3">
        <f>DATE(2024,2,21)</f>
        <v>45343</v>
      </c>
      <c r="H286">
        <v>719401668</v>
      </c>
      <c r="I286" t="s">
        <v>51</v>
      </c>
      <c r="K286" t="s">
        <v>21</v>
      </c>
      <c r="L286" t="s">
        <v>22</v>
      </c>
      <c r="M286" t="s">
        <v>23</v>
      </c>
      <c r="N286" t="s">
        <v>23</v>
      </c>
      <c r="O286" t="s">
        <v>24</v>
      </c>
      <c r="P286" s="8" t="s">
        <v>486</v>
      </c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 hidden="1" x14ac:dyDescent="0.2">
      <c r="A287" s="6"/>
      <c r="E287" s="2"/>
      <c r="F287" s="3"/>
      <c r="G287" s="3"/>
      <c r="P287" s="8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 x14ac:dyDescent="0.2">
      <c r="A288" s="6" t="s">
        <v>17</v>
      </c>
      <c r="B288" t="s">
        <v>144</v>
      </c>
      <c r="C288" t="s">
        <v>145</v>
      </c>
      <c r="D288" t="s">
        <v>487</v>
      </c>
      <c r="E288" s="2">
        <v>104.37</v>
      </c>
      <c r="F288" s="3">
        <f t="shared" ref="F288:G290" si="38">DATE(2024,2,22)</f>
        <v>45344</v>
      </c>
      <c r="G288" s="3">
        <f t="shared" si="38"/>
        <v>45344</v>
      </c>
      <c r="H288">
        <v>720322414</v>
      </c>
      <c r="I288" t="s">
        <v>51</v>
      </c>
      <c r="K288" t="s">
        <v>21</v>
      </c>
      <c r="L288" t="s">
        <v>22</v>
      </c>
      <c r="M288" t="s">
        <v>23</v>
      </c>
      <c r="N288" t="s">
        <v>23</v>
      </c>
      <c r="O288" t="s">
        <v>24</v>
      </c>
      <c r="P288" s="8" t="s">
        <v>488</v>
      </c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 x14ac:dyDescent="0.2">
      <c r="A289" s="6" t="s">
        <v>17</v>
      </c>
      <c r="B289" t="s">
        <v>44</v>
      </c>
      <c r="C289" t="s">
        <v>45</v>
      </c>
      <c r="D289" t="s">
        <v>489</v>
      </c>
      <c r="E289" s="2">
        <v>58.64</v>
      </c>
      <c r="F289" s="3">
        <f t="shared" si="38"/>
        <v>45344</v>
      </c>
      <c r="G289" s="3">
        <f t="shared" si="38"/>
        <v>45344</v>
      </c>
      <c r="H289">
        <v>720322415</v>
      </c>
      <c r="I289" t="s">
        <v>51</v>
      </c>
      <c r="K289" t="s">
        <v>21</v>
      </c>
      <c r="L289" t="s">
        <v>22</v>
      </c>
      <c r="M289" t="s">
        <v>23</v>
      </c>
      <c r="N289" t="s">
        <v>23</v>
      </c>
      <c r="O289" t="s">
        <v>24</v>
      </c>
      <c r="P289" s="8" t="s">
        <v>490</v>
      </c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 x14ac:dyDescent="0.2">
      <c r="A290" s="6" t="s">
        <v>17</v>
      </c>
      <c r="B290" t="s">
        <v>44</v>
      </c>
      <c r="C290" t="s">
        <v>45</v>
      </c>
      <c r="D290" t="s">
        <v>491</v>
      </c>
      <c r="E290" s="2">
        <v>56.36</v>
      </c>
      <c r="F290" s="3">
        <f t="shared" si="38"/>
        <v>45344</v>
      </c>
      <c r="G290" s="3">
        <f t="shared" si="38"/>
        <v>45344</v>
      </c>
      <c r="H290">
        <v>720322416</v>
      </c>
      <c r="I290" t="s">
        <v>51</v>
      </c>
      <c r="K290" t="s">
        <v>21</v>
      </c>
      <c r="L290" t="s">
        <v>22</v>
      </c>
      <c r="M290" t="s">
        <v>23</v>
      </c>
      <c r="N290" t="s">
        <v>23</v>
      </c>
      <c r="O290" t="s">
        <v>24</v>
      </c>
      <c r="P290" s="8" t="s">
        <v>492</v>
      </c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 hidden="1" x14ac:dyDescent="0.2">
      <c r="A291" s="6"/>
      <c r="E291" s="2"/>
      <c r="F291" s="3"/>
      <c r="G291" s="3"/>
      <c r="P291" s="8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 x14ac:dyDescent="0.2">
      <c r="A292" s="6" t="s">
        <v>17</v>
      </c>
      <c r="B292" t="s">
        <v>110</v>
      </c>
      <c r="C292" t="s">
        <v>111</v>
      </c>
      <c r="D292" t="s">
        <v>493</v>
      </c>
      <c r="E292" s="2">
        <v>5.37</v>
      </c>
      <c r="F292" s="3">
        <f>DATE(2024,2,23)</f>
        <v>45345</v>
      </c>
      <c r="G292" s="3">
        <f>DATE(2024,2,23)</f>
        <v>45345</v>
      </c>
      <c r="H292">
        <v>720398889</v>
      </c>
      <c r="I292" t="s">
        <v>73</v>
      </c>
      <c r="K292" t="s">
        <v>21</v>
      </c>
      <c r="L292" t="s">
        <v>22</v>
      </c>
      <c r="M292" t="s">
        <v>23</v>
      </c>
      <c r="N292" t="s">
        <v>23</v>
      </c>
      <c r="O292" t="s">
        <v>24</v>
      </c>
      <c r="P292" s="8" t="s">
        <v>494</v>
      </c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 hidden="1" x14ac:dyDescent="0.2">
      <c r="A293" s="6"/>
      <c r="E293" s="2"/>
      <c r="F293" s="3"/>
      <c r="G293" s="3"/>
      <c r="P293" s="8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 x14ac:dyDescent="0.2">
      <c r="A294" s="6" t="s">
        <v>17</v>
      </c>
      <c r="B294" t="s">
        <v>110</v>
      </c>
      <c r="C294" t="s">
        <v>111</v>
      </c>
      <c r="D294" t="s">
        <v>495</v>
      </c>
      <c r="E294" s="2">
        <v>0.01</v>
      </c>
      <c r="F294" s="3">
        <f>DATE(2024,2,24)</f>
        <v>45346</v>
      </c>
      <c r="G294" s="3">
        <f>DATE(2024,2,24)</f>
        <v>45346</v>
      </c>
      <c r="H294">
        <v>721052450</v>
      </c>
      <c r="I294" t="s">
        <v>73</v>
      </c>
      <c r="K294" t="s">
        <v>21</v>
      </c>
      <c r="L294" t="s">
        <v>22</v>
      </c>
      <c r="M294" t="s">
        <v>23</v>
      </c>
      <c r="N294" t="s">
        <v>23</v>
      </c>
      <c r="O294" t="s">
        <v>24</v>
      </c>
      <c r="P294" s="8" t="s">
        <v>496</v>
      </c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 x14ac:dyDescent="0.2">
      <c r="A295" s="6" t="s">
        <v>17</v>
      </c>
      <c r="B295" t="s">
        <v>223</v>
      </c>
      <c r="C295" t="s">
        <v>223</v>
      </c>
      <c r="D295" t="s">
        <v>497</v>
      </c>
      <c r="E295" s="2">
        <v>2733.14</v>
      </c>
      <c r="F295" s="3">
        <f t="shared" ref="F295:G299" si="39">DATE(2024,2,26)</f>
        <v>45348</v>
      </c>
      <c r="G295" s="3">
        <f t="shared" si="39"/>
        <v>45348</v>
      </c>
      <c r="H295">
        <v>722450426</v>
      </c>
      <c r="I295" t="s">
        <v>20</v>
      </c>
      <c r="K295" t="s">
        <v>21</v>
      </c>
      <c r="L295" t="s">
        <v>22</v>
      </c>
      <c r="M295" t="s">
        <v>23</v>
      </c>
      <c r="N295" t="s">
        <v>23</v>
      </c>
      <c r="O295" t="s">
        <v>24</v>
      </c>
      <c r="P295" s="8" t="s">
        <v>498</v>
      </c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 x14ac:dyDescent="0.2">
      <c r="A296" s="6" t="s">
        <v>17</v>
      </c>
      <c r="B296" t="s">
        <v>57</v>
      </c>
      <c r="C296" t="s">
        <v>58</v>
      </c>
      <c r="D296" t="s">
        <v>499</v>
      </c>
      <c r="E296" s="2">
        <v>66.02</v>
      </c>
      <c r="F296" s="3">
        <f t="shared" si="39"/>
        <v>45348</v>
      </c>
      <c r="G296" s="3">
        <f t="shared" si="39"/>
        <v>45348</v>
      </c>
      <c r="H296">
        <v>722450427</v>
      </c>
      <c r="I296" t="s">
        <v>20</v>
      </c>
      <c r="K296" t="s">
        <v>21</v>
      </c>
      <c r="L296" t="s">
        <v>22</v>
      </c>
      <c r="M296" t="s">
        <v>23</v>
      </c>
      <c r="N296" t="s">
        <v>23</v>
      </c>
      <c r="O296" t="s">
        <v>24</v>
      </c>
      <c r="P296" s="8" t="s">
        <v>500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 x14ac:dyDescent="0.2">
      <c r="A297" s="6" t="s">
        <v>17</v>
      </c>
      <c r="B297" t="s">
        <v>261</v>
      </c>
      <c r="C297" t="s">
        <v>262</v>
      </c>
      <c r="D297" t="s">
        <v>501</v>
      </c>
      <c r="E297" s="2">
        <v>2502.63</v>
      </c>
      <c r="F297" s="3">
        <f t="shared" si="39"/>
        <v>45348</v>
      </c>
      <c r="G297" s="3">
        <f t="shared" si="39"/>
        <v>45348</v>
      </c>
      <c r="H297">
        <v>722450428</v>
      </c>
      <c r="I297" t="s">
        <v>20</v>
      </c>
      <c r="K297" t="s">
        <v>21</v>
      </c>
      <c r="L297" t="s">
        <v>22</v>
      </c>
      <c r="M297" t="s">
        <v>23</v>
      </c>
      <c r="N297" t="s">
        <v>23</v>
      </c>
      <c r="O297" t="s">
        <v>24</v>
      </c>
      <c r="P297" s="8" t="s">
        <v>502</v>
      </c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 x14ac:dyDescent="0.2">
      <c r="A298" s="6" t="s">
        <v>17</v>
      </c>
      <c r="B298" t="s">
        <v>18</v>
      </c>
      <c r="C298" t="s">
        <v>18</v>
      </c>
      <c r="D298" t="s">
        <v>503</v>
      </c>
      <c r="E298" s="2">
        <v>2.0499999999999998</v>
      </c>
      <c r="F298" s="3">
        <f t="shared" si="39"/>
        <v>45348</v>
      </c>
      <c r="G298" s="3">
        <f t="shared" si="39"/>
        <v>45348</v>
      </c>
      <c r="H298">
        <v>722450429</v>
      </c>
      <c r="I298" t="s">
        <v>20</v>
      </c>
      <c r="K298" t="s">
        <v>21</v>
      </c>
      <c r="L298" t="s">
        <v>22</v>
      </c>
      <c r="M298" t="s">
        <v>23</v>
      </c>
      <c r="N298" t="s">
        <v>23</v>
      </c>
      <c r="O298" t="s">
        <v>24</v>
      </c>
      <c r="P298" s="8" t="s">
        <v>504</v>
      </c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 hidden="1" x14ac:dyDescent="0.2">
      <c r="A299" s="6"/>
      <c r="E299" s="2"/>
      <c r="F299" s="3"/>
      <c r="G299" s="3"/>
      <c r="P299" s="8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 x14ac:dyDescent="0.2">
      <c r="A300" s="6" t="s">
        <v>17</v>
      </c>
      <c r="B300" t="s">
        <v>44</v>
      </c>
      <c r="C300" t="s">
        <v>45</v>
      </c>
      <c r="D300" t="s">
        <v>505</v>
      </c>
      <c r="E300" s="2">
        <v>136.99</v>
      </c>
      <c r="F300" s="3">
        <f>DATE(2024,2,24)</f>
        <v>45346</v>
      </c>
      <c r="G300" s="3">
        <f>DATE(2024,2,24)</f>
        <v>45346</v>
      </c>
      <c r="H300">
        <v>722450442</v>
      </c>
      <c r="I300" t="s">
        <v>51</v>
      </c>
      <c r="K300" t="s">
        <v>21</v>
      </c>
      <c r="L300" t="s">
        <v>22</v>
      </c>
      <c r="M300" t="s">
        <v>23</v>
      </c>
      <c r="N300" t="s">
        <v>23</v>
      </c>
      <c r="O300" t="s">
        <v>24</v>
      </c>
      <c r="P300" s="8" t="s">
        <v>506</v>
      </c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 x14ac:dyDescent="0.2">
      <c r="A301" s="6" t="s">
        <v>17</v>
      </c>
      <c r="B301" t="s">
        <v>44</v>
      </c>
      <c r="C301" t="s">
        <v>45</v>
      </c>
      <c r="D301" t="s">
        <v>507</v>
      </c>
      <c r="E301" s="2">
        <v>11.99</v>
      </c>
      <c r="F301" s="3">
        <f>DATE(2024,2,25)</f>
        <v>45347</v>
      </c>
      <c r="G301" s="3">
        <f>DATE(2024,2,25)</f>
        <v>45347</v>
      </c>
      <c r="H301">
        <v>722450443</v>
      </c>
      <c r="I301" t="s">
        <v>51</v>
      </c>
      <c r="K301" t="s">
        <v>21</v>
      </c>
      <c r="L301" t="s">
        <v>22</v>
      </c>
      <c r="M301" t="s">
        <v>23</v>
      </c>
      <c r="N301" t="s">
        <v>23</v>
      </c>
      <c r="O301" t="s">
        <v>24</v>
      </c>
      <c r="P301" s="8" t="s">
        <v>508</v>
      </c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 x14ac:dyDescent="0.2">
      <c r="A302" s="6" t="s">
        <v>17</v>
      </c>
      <c r="B302" t="s">
        <v>44</v>
      </c>
      <c r="C302" t="s">
        <v>45</v>
      </c>
      <c r="D302" t="s">
        <v>509</v>
      </c>
      <c r="E302" s="2">
        <v>5.99</v>
      </c>
      <c r="F302" s="3">
        <f>DATE(2024,2,25)</f>
        <v>45347</v>
      </c>
      <c r="G302" s="3">
        <f>DATE(2024,2,25)</f>
        <v>45347</v>
      </c>
      <c r="H302">
        <v>722450444</v>
      </c>
      <c r="I302" t="s">
        <v>51</v>
      </c>
      <c r="K302" t="s">
        <v>21</v>
      </c>
      <c r="L302" t="s">
        <v>22</v>
      </c>
      <c r="M302" t="s">
        <v>23</v>
      </c>
      <c r="N302" t="s">
        <v>23</v>
      </c>
      <c r="O302" t="s">
        <v>24</v>
      </c>
      <c r="P302" s="8" t="s">
        <v>510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 x14ac:dyDescent="0.2">
      <c r="A303" s="6" t="s">
        <v>17</v>
      </c>
      <c r="B303" t="s">
        <v>191</v>
      </c>
      <c r="C303" t="s">
        <v>192</v>
      </c>
      <c r="D303" t="s">
        <v>511</v>
      </c>
      <c r="E303" s="2">
        <v>1000</v>
      </c>
      <c r="F303" s="3">
        <f>DATE(2024,2,27)</f>
        <v>45349</v>
      </c>
      <c r="G303" s="3">
        <f>DATE(2024,2,27)</f>
        <v>45349</v>
      </c>
      <c r="H303">
        <v>725139377</v>
      </c>
      <c r="I303" t="s">
        <v>20</v>
      </c>
      <c r="K303" t="s">
        <v>21</v>
      </c>
      <c r="L303" t="s">
        <v>22</v>
      </c>
      <c r="M303" t="s">
        <v>23</v>
      </c>
      <c r="N303" t="s">
        <v>23</v>
      </c>
      <c r="O303" t="s">
        <v>24</v>
      </c>
      <c r="P303" s="8" t="s">
        <v>512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 x14ac:dyDescent="0.2">
      <c r="A304" s="6" t="s">
        <v>17</v>
      </c>
      <c r="B304" t="s">
        <v>44</v>
      </c>
      <c r="C304" t="s">
        <v>45</v>
      </c>
      <c r="D304" t="s">
        <v>513</v>
      </c>
      <c r="E304" s="2">
        <v>117.88</v>
      </c>
      <c r="F304" s="3">
        <f>DATE(2024,2,26)</f>
        <v>45348</v>
      </c>
      <c r="G304" s="3">
        <f>DATE(2024,2,26)</f>
        <v>45348</v>
      </c>
      <c r="H304">
        <v>725139384</v>
      </c>
      <c r="I304" t="s">
        <v>51</v>
      </c>
      <c r="K304" t="s">
        <v>21</v>
      </c>
      <c r="L304" t="s">
        <v>22</v>
      </c>
      <c r="M304" t="s">
        <v>23</v>
      </c>
      <c r="N304" t="s">
        <v>23</v>
      </c>
      <c r="O304" t="s">
        <v>24</v>
      </c>
      <c r="P304" s="8" t="s">
        <v>514</v>
      </c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 x14ac:dyDescent="0.2">
      <c r="A305" s="6" t="s">
        <v>17</v>
      </c>
      <c r="B305" t="s">
        <v>312</v>
      </c>
      <c r="C305" t="s">
        <v>313</v>
      </c>
      <c r="D305" t="s">
        <v>515</v>
      </c>
      <c r="E305" s="2">
        <v>172.33</v>
      </c>
      <c r="F305" s="3">
        <f t="shared" ref="F305:G307" si="40">DATE(2024,2,28)</f>
        <v>45350</v>
      </c>
      <c r="G305" s="3">
        <f t="shared" si="40"/>
        <v>45350</v>
      </c>
      <c r="H305">
        <v>727620797</v>
      </c>
      <c r="I305" t="s">
        <v>20</v>
      </c>
      <c r="K305" t="s">
        <v>21</v>
      </c>
      <c r="L305" t="s">
        <v>22</v>
      </c>
      <c r="M305" t="s">
        <v>23</v>
      </c>
      <c r="N305" t="s">
        <v>23</v>
      </c>
      <c r="O305" t="s">
        <v>24</v>
      </c>
      <c r="P305" s="8" t="s">
        <v>516</v>
      </c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 hidden="1" x14ac:dyDescent="0.2">
      <c r="A306" s="6"/>
      <c r="E306" s="2"/>
      <c r="F306" s="3"/>
      <c r="G306" s="3"/>
      <c r="P306" s="8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 hidden="1" x14ac:dyDescent="0.2">
      <c r="A307" s="6"/>
      <c r="E307" s="2"/>
      <c r="F307" s="3"/>
      <c r="G307" s="3"/>
      <c r="P307" s="8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 x14ac:dyDescent="0.2">
      <c r="A308" s="6" t="s">
        <v>17</v>
      </c>
      <c r="B308" t="s">
        <v>175</v>
      </c>
      <c r="C308" t="s">
        <v>176</v>
      </c>
      <c r="D308" t="s">
        <v>517</v>
      </c>
      <c r="E308" s="2">
        <v>19.12</v>
      </c>
      <c r="F308" s="3">
        <f t="shared" ref="F308:G313" si="41">DATE(2024,2,29)</f>
        <v>45351</v>
      </c>
      <c r="G308" s="3">
        <f t="shared" si="41"/>
        <v>45351</v>
      </c>
      <c r="H308">
        <v>727620800</v>
      </c>
      <c r="I308" t="s">
        <v>20</v>
      </c>
      <c r="K308" t="s">
        <v>21</v>
      </c>
      <c r="L308" t="s">
        <v>22</v>
      </c>
      <c r="M308" t="s">
        <v>23</v>
      </c>
      <c r="N308" t="s">
        <v>23</v>
      </c>
      <c r="O308" t="s">
        <v>24</v>
      </c>
      <c r="P308" s="8" t="s">
        <v>518</v>
      </c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 x14ac:dyDescent="0.2">
      <c r="A309" s="6" t="s">
        <v>17</v>
      </c>
      <c r="B309" t="s">
        <v>44</v>
      </c>
      <c r="C309" t="s">
        <v>45</v>
      </c>
      <c r="D309" t="s">
        <v>519</v>
      </c>
      <c r="E309" s="2">
        <v>1870.08</v>
      </c>
      <c r="F309" s="3">
        <f t="shared" si="41"/>
        <v>45351</v>
      </c>
      <c r="G309" s="3">
        <f t="shared" si="41"/>
        <v>45351</v>
      </c>
      <c r="H309">
        <v>727620801</v>
      </c>
      <c r="I309" t="s">
        <v>20</v>
      </c>
      <c r="K309" t="s">
        <v>21</v>
      </c>
      <c r="L309" t="s">
        <v>22</v>
      </c>
      <c r="M309" t="s">
        <v>23</v>
      </c>
      <c r="N309" t="s">
        <v>23</v>
      </c>
      <c r="O309" t="s">
        <v>24</v>
      </c>
      <c r="P309" s="8" t="s">
        <v>520</v>
      </c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 x14ac:dyDescent="0.2">
      <c r="A310" s="6" t="s">
        <v>17</v>
      </c>
      <c r="B310" t="s">
        <v>44</v>
      </c>
      <c r="C310" t="s">
        <v>45</v>
      </c>
      <c r="D310" t="s">
        <v>521</v>
      </c>
      <c r="E310" s="2">
        <v>46.48</v>
      </c>
      <c r="F310" s="3">
        <f t="shared" si="41"/>
        <v>45351</v>
      </c>
      <c r="G310" s="3">
        <f t="shared" si="41"/>
        <v>45351</v>
      </c>
      <c r="H310">
        <v>727620802</v>
      </c>
      <c r="I310" t="s">
        <v>20</v>
      </c>
      <c r="K310" t="s">
        <v>21</v>
      </c>
      <c r="L310" t="s">
        <v>22</v>
      </c>
      <c r="M310" t="s">
        <v>23</v>
      </c>
      <c r="N310" t="s">
        <v>23</v>
      </c>
      <c r="O310" t="s">
        <v>24</v>
      </c>
      <c r="P310" s="8" t="s">
        <v>522</v>
      </c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 hidden="1" x14ac:dyDescent="0.2">
      <c r="A311" s="6"/>
      <c r="E311" s="2"/>
      <c r="F311" s="3"/>
      <c r="G311" s="3"/>
      <c r="P311" s="8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 hidden="1" x14ac:dyDescent="0.2">
      <c r="A312" s="6"/>
      <c r="E312" s="2"/>
      <c r="F312" s="3"/>
      <c r="G312" s="3"/>
      <c r="P312" s="8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 hidden="1" x14ac:dyDescent="0.2">
      <c r="A313" s="6"/>
      <c r="E313" s="2"/>
      <c r="F313" s="3"/>
      <c r="G313" s="3"/>
      <c r="P313" s="8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 x14ac:dyDescent="0.2">
      <c r="A314" s="6" t="s">
        <v>17</v>
      </c>
      <c r="B314" t="s">
        <v>44</v>
      </c>
      <c r="C314" t="s">
        <v>45</v>
      </c>
      <c r="D314" t="s">
        <v>523</v>
      </c>
      <c r="E314" s="2">
        <v>92.4</v>
      </c>
      <c r="F314" s="3">
        <f>DATE(2024,2,24)</f>
        <v>45346</v>
      </c>
      <c r="G314" s="3">
        <f>DATE(2024,2,24)</f>
        <v>45346</v>
      </c>
      <c r="H314">
        <v>727620806</v>
      </c>
      <c r="I314" t="s">
        <v>51</v>
      </c>
      <c r="K314" t="s">
        <v>21</v>
      </c>
      <c r="L314" t="s">
        <v>22</v>
      </c>
      <c r="M314" t="s">
        <v>23</v>
      </c>
      <c r="N314" t="s">
        <v>23</v>
      </c>
      <c r="O314" t="s">
        <v>24</v>
      </c>
      <c r="P314" s="8" t="s">
        <v>524</v>
      </c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 x14ac:dyDescent="0.2">
      <c r="A315" s="6" t="s">
        <v>17</v>
      </c>
      <c r="B315" t="s">
        <v>44</v>
      </c>
      <c r="C315" t="s">
        <v>45</v>
      </c>
      <c r="D315" t="s">
        <v>525</v>
      </c>
      <c r="E315" s="2">
        <v>135.61000000000001</v>
      </c>
      <c r="F315" s="3">
        <f t="shared" ref="F315:G324" si="42">DATE(2024,2,29)</f>
        <v>45351</v>
      </c>
      <c r="G315" s="3">
        <f t="shared" si="42"/>
        <v>45351</v>
      </c>
      <c r="H315">
        <v>729913450</v>
      </c>
      <c r="I315" t="s">
        <v>20</v>
      </c>
      <c r="K315" t="s">
        <v>21</v>
      </c>
      <c r="L315" t="s">
        <v>22</v>
      </c>
      <c r="M315" t="s">
        <v>23</v>
      </c>
      <c r="N315" t="s">
        <v>23</v>
      </c>
      <c r="O315" t="s">
        <v>24</v>
      </c>
      <c r="P315" s="8" t="s">
        <v>526</v>
      </c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 x14ac:dyDescent="0.2">
      <c r="A316" s="6" t="s">
        <v>17</v>
      </c>
      <c r="B316" t="s">
        <v>38</v>
      </c>
      <c r="C316" t="s">
        <v>39</v>
      </c>
      <c r="D316" t="s">
        <v>527</v>
      </c>
      <c r="E316" s="2">
        <v>12301.41</v>
      </c>
      <c r="F316" s="3">
        <f t="shared" si="42"/>
        <v>45351</v>
      </c>
      <c r="G316" s="3">
        <f t="shared" si="42"/>
        <v>45351</v>
      </c>
      <c r="H316">
        <v>729913451</v>
      </c>
      <c r="I316" t="s">
        <v>20</v>
      </c>
      <c r="K316" t="s">
        <v>21</v>
      </c>
      <c r="L316" t="s">
        <v>22</v>
      </c>
      <c r="M316" t="s">
        <v>23</v>
      </c>
      <c r="N316" t="s">
        <v>23</v>
      </c>
      <c r="O316" t="s">
        <v>24</v>
      </c>
      <c r="P316" s="8" t="s">
        <v>528</v>
      </c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 x14ac:dyDescent="0.2">
      <c r="A317" s="6" t="s">
        <v>17</v>
      </c>
      <c r="B317" t="s">
        <v>137</v>
      </c>
      <c r="C317" t="s">
        <v>138</v>
      </c>
      <c r="D317" t="s">
        <v>529</v>
      </c>
      <c r="E317" s="2">
        <v>120.46</v>
      </c>
      <c r="F317" s="3">
        <f t="shared" si="42"/>
        <v>45351</v>
      </c>
      <c r="G317" s="3">
        <f t="shared" si="42"/>
        <v>45351</v>
      </c>
      <c r="H317">
        <v>729913452</v>
      </c>
      <c r="I317" t="s">
        <v>20</v>
      </c>
      <c r="K317" t="s">
        <v>21</v>
      </c>
      <c r="L317" t="s">
        <v>22</v>
      </c>
      <c r="M317" t="s">
        <v>23</v>
      </c>
      <c r="N317" t="s">
        <v>23</v>
      </c>
      <c r="O317" t="s">
        <v>24</v>
      </c>
      <c r="P317" s="8" t="s">
        <v>530</v>
      </c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 x14ac:dyDescent="0.2">
      <c r="A318" s="6" t="s">
        <v>17</v>
      </c>
      <c r="B318" t="s">
        <v>312</v>
      </c>
      <c r="C318" t="s">
        <v>313</v>
      </c>
      <c r="D318" t="s">
        <v>531</v>
      </c>
      <c r="E318" s="2">
        <v>1200</v>
      </c>
      <c r="F318" s="3">
        <f t="shared" si="42"/>
        <v>45351</v>
      </c>
      <c r="G318" s="3">
        <f t="shared" si="42"/>
        <v>45351</v>
      </c>
      <c r="H318">
        <v>729913453</v>
      </c>
      <c r="I318" t="s">
        <v>20</v>
      </c>
      <c r="K318" t="s">
        <v>21</v>
      </c>
      <c r="L318" t="s">
        <v>22</v>
      </c>
      <c r="M318" t="s">
        <v>23</v>
      </c>
      <c r="N318" t="s">
        <v>23</v>
      </c>
      <c r="O318" t="s">
        <v>24</v>
      </c>
      <c r="P318" s="8" t="s">
        <v>532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 x14ac:dyDescent="0.2">
      <c r="A319" s="6" t="s">
        <v>17</v>
      </c>
      <c r="B319" t="s">
        <v>251</v>
      </c>
      <c r="C319" t="s">
        <v>252</v>
      </c>
      <c r="D319" t="s">
        <v>533</v>
      </c>
      <c r="E319" s="2">
        <v>436.8</v>
      </c>
      <c r="F319" s="3">
        <f t="shared" si="42"/>
        <v>45351</v>
      </c>
      <c r="G319" s="3">
        <f t="shared" si="42"/>
        <v>45351</v>
      </c>
      <c r="H319">
        <v>729913454</v>
      </c>
      <c r="I319" t="s">
        <v>20</v>
      </c>
      <c r="K319" t="s">
        <v>21</v>
      </c>
      <c r="L319" t="s">
        <v>22</v>
      </c>
      <c r="M319" t="s">
        <v>23</v>
      </c>
      <c r="N319" t="s">
        <v>23</v>
      </c>
      <c r="O319" t="s">
        <v>24</v>
      </c>
      <c r="P319" s="8" t="s">
        <v>534</v>
      </c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 x14ac:dyDescent="0.2">
      <c r="A320" s="6" t="s">
        <v>17</v>
      </c>
      <c r="B320" t="s">
        <v>61</v>
      </c>
      <c r="C320" t="s">
        <v>62</v>
      </c>
      <c r="D320" t="s">
        <v>535</v>
      </c>
      <c r="E320" s="2">
        <v>108</v>
      </c>
      <c r="F320" s="3">
        <f t="shared" si="42"/>
        <v>45351</v>
      </c>
      <c r="G320" s="3">
        <f t="shared" si="42"/>
        <v>45351</v>
      </c>
      <c r="H320">
        <v>729913455</v>
      </c>
      <c r="I320" t="s">
        <v>20</v>
      </c>
      <c r="K320" t="s">
        <v>21</v>
      </c>
      <c r="L320" t="s">
        <v>22</v>
      </c>
      <c r="M320" t="s">
        <v>23</v>
      </c>
      <c r="N320" t="s">
        <v>23</v>
      </c>
      <c r="O320" t="s">
        <v>24</v>
      </c>
      <c r="P320" s="8" t="s">
        <v>536</v>
      </c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 x14ac:dyDescent="0.2">
      <c r="A321" s="6" t="s">
        <v>17</v>
      </c>
      <c r="B321" t="s">
        <v>65</v>
      </c>
      <c r="C321" t="s">
        <v>66</v>
      </c>
      <c r="D321" t="s">
        <v>537</v>
      </c>
      <c r="E321" s="2">
        <v>1049.2</v>
      </c>
      <c r="F321" s="3">
        <f t="shared" si="42"/>
        <v>45351</v>
      </c>
      <c r="G321" s="3">
        <f t="shared" si="42"/>
        <v>45351</v>
      </c>
      <c r="H321">
        <v>729913456</v>
      </c>
      <c r="I321" t="s">
        <v>20</v>
      </c>
      <c r="K321" t="s">
        <v>21</v>
      </c>
      <c r="L321" t="s">
        <v>22</v>
      </c>
      <c r="M321" t="s">
        <v>23</v>
      </c>
      <c r="N321" t="s">
        <v>23</v>
      </c>
      <c r="O321" t="s">
        <v>24</v>
      </c>
      <c r="P321" s="8" t="s">
        <v>538</v>
      </c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 x14ac:dyDescent="0.2">
      <c r="A322" s="6" t="s">
        <v>17</v>
      </c>
      <c r="B322" t="s">
        <v>65</v>
      </c>
      <c r="C322" t="s">
        <v>66</v>
      </c>
      <c r="D322" t="s">
        <v>539</v>
      </c>
      <c r="E322" s="2">
        <v>35790.300000000003</v>
      </c>
      <c r="F322" s="3">
        <f t="shared" si="42"/>
        <v>45351</v>
      </c>
      <c r="G322" s="3">
        <f t="shared" si="42"/>
        <v>45351</v>
      </c>
      <c r="H322">
        <v>729913457</v>
      </c>
      <c r="I322" t="s">
        <v>20</v>
      </c>
      <c r="K322" t="s">
        <v>21</v>
      </c>
      <c r="L322" t="s">
        <v>22</v>
      </c>
      <c r="M322" t="s">
        <v>23</v>
      </c>
      <c r="N322" t="s">
        <v>23</v>
      </c>
      <c r="O322" t="s">
        <v>24</v>
      </c>
      <c r="P322" s="8" t="s">
        <v>540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 x14ac:dyDescent="0.2">
      <c r="A323" s="6" t="s">
        <v>17</v>
      </c>
      <c r="B323" t="s">
        <v>175</v>
      </c>
      <c r="C323" t="s">
        <v>176</v>
      </c>
      <c r="D323" t="s">
        <v>541</v>
      </c>
      <c r="E323" s="2">
        <v>3360</v>
      </c>
      <c r="F323" s="3">
        <f t="shared" si="42"/>
        <v>45351</v>
      </c>
      <c r="G323" s="3">
        <f t="shared" si="42"/>
        <v>45351</v>
      </c>
      <c r="H323">
        <v>729913458</v>
      </c>
      <c r="I323" t="s">
        <v>20</v>
      </c>
      <c r="K323" t="s">
        <v>21</v>
      </c>
      <c r="L323" t="s">
        <v>22</v>
      </c>
      <c r="M323" t="s">
        <v>23</v>
      </c>
      <c r="N323" t="s">
        <v>23</v>
      </c>
      <c r="O323" t="s">
        <v>24</v>
      </c>
      <c r="P323" s="8" t="s">
        <v>542</v>
      </c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 hidden="1" x14ac:dyDescent="0.2">
      <c r="A324" s="6"/>
      <c r="E324" s="2"/>
      <c r="F324" s="3"/>
      <c r="G324" s="3"/>
      <c r="P324" s="8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 hidden="1" x14ac:dyDescent="0.2">
      <c r="A325" s="6"/>
      <c r="E325" s="2"/>
      <c r="F325" s="3"/>
      <c r="G325" s="3"/>
      <c r="P325" s="8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 x14ac:dyDescent="0.2">
      <c r="A326" s="6" t="s">
        <v>17</v>
      </c>
      <c r="B326" t="s">
        <v>30</v>
      </c>
      <c r="C326" t="s">
        <v>31</v>
      </c>
      <c r="D326" t="s">
        <v>543</v>
      </c>
      <c r="E326" s="2">
        <v>1313.46</v>
      </c>
      <c r="F326" s="3">
        <f>DATE(2024,3,1)</f>
        <v>45352</v>
      </c>
      <c r="G326" s="3">
        <f>DATE(2024,3,1)</f>
        <v>45352</v>
      </c>
      <c r="H326">
        <v>729913461</v>
      </c>
      <c r="I326" t="s">
        <v>20</v>
      </c>
      <c r="K326" t="s">
        <v>21</v>
      </c>
      <c r="L326" t="s">
        <v>22</v>
      </c>
      <c r="M326" t="s">
        <v>23</v>
      </c>
      <c r="N326" t="s">
        <v>23</v>
      </c>
      <c r="O326" t="s">
        <v>24</v>
      </c>
      <c r="P326" s="8" t="s">
        <v>544</v>
      </c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 hidden="1" x14ac:dyDescent="0.2">
      <c r="A327" s="6"/>
      <c r="E327" s="2"/>
      <c r="F327" s="3"/>
      <c r="G327" s="3"/>
      <c r="P327" s="8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 x14ac:dyDescent="0.2">
      <c r="A328" s="6" t="s">
        <v>17</v>
      </c>
      <c r="B328" t="s">
        <v>18</v>
      </c>
      <c r="C328" t="s">
        <v>18</v>
      </c>
      <c r="D328" t="s">
        <v>545</v>
      </c>
      <c r="E328" s="2">
        <v>12.92</v>
      </c>
      <c r="F328" s="3">
        <f t="shared" ref="F328:G333" si="43">DATE(2024,3,1)</f>
        <v>45352</v>
      </c>
      <c r="G328" s="3">
        <f t="shared" si="43"/>
        <v>45352</v>
      </c>
      <c r="H328">
        <v>731176483</v>
      </c>
      <c r="I328" t="s">
        <v>20</v>
      </c>
      <c r="K328" t="s">
        <v>21</v>
      </c>
      <c r="L328" t="s">
        <v>22</v>
      </c>
      <c r="M328" t="s">
        <v>23</v>
      </c>
      <c r="N328" t="s">
        <v>23</v>
      </c>
      <c r="O328" t="s">
        <v>24</v>
      </c>
      <c r="P328" s="8" t="s">
        <v>546</v>
      </c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 x14ac:dyDescent="0.2">
      <c r="A329" s="6" t="s">
        <v>17</v>
      </c>
      <c r="B329" t="s">
        <v>34</v>
      </c>
      <c r="C329" t="s">
        <v>35</v>
      </c>
      <c r="D329" t="s">
        <v>547</v>
      </c>
      <c r="E329" s="2">
        <v>102.16</v>
      </c>
      <c r="F329" s="3">
        <f t="shared" si="43"/>
        <v>45352</v>
      </c>
      <c r="G329" s="3">
        <f t="shared" si="43"/>
        <v>45352</v>
      </c>
      <c r="H329">
        <v>731176484</v>
      </c>
      <c r="I329" t="s">
        <v>20</v>
      </c>
      <c r="K329" t="s">
        <v>21</v>
      </c>
      <c r="L329" t="s">
        <v>22</v>
      </c>
      <c r="M329" t="s">
        <v>23</v>
      </c>
      <c r="N329" t="s">
        <v>23</v>
      </c>
      <c r="O329" t="s">
        <v>24</v>
      </c>
      <c r="P329" s="8" t="s">
        <v>548</v>
      </c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 hidden="1" x14ac:dyDescent="0.2">
      <c r="A330" s="6"/>
      <c r="E330" s="2"/>
      <c r="F330" s="3"/>
      <c r="G330" s="3"/>
      <c r="P330" s="8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 hidden="1" x14ac:dyDescent="0.2">
      <c r="A331" s="6"/>
      <c r="E331" s="2"/>
      <c r="F331" s="3"/>
      <c r="G331" s="3"/>
      <c r="P331" s="8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 hidden="1" x14ac:dyDescent="0.2">
      <c r="A332" s="6"/>
      <c r="E332" s="2"/>
      <c r="F332" s="3"/>
      <c r="G332" s="3"/>
      <c r="P332" s="8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 x14ac:dyDescent="0.2">
      <c r="A333" s="6" t="s">
        <v>17</v>
      </c>
      <c r="B333" t="s">
        <v>26</v>
      </c>
      <c r="C333" t="s">
        <v>27</v>
      </c>
      <c r="D333" t="s">
        <v>50</v>
      </c>
      <c r="E333" s="2">
        <v>235.99</v>
      </c>
      <c r="F333" s="3">
        <f t="shared" si="43"/>
        <v>45352</v>
      </c>
      <c r="G333" s="3">
        <f t="shared" si="43"/>
        <v>45352</v>
      </c>
      <c r="H333">
        <v>732353378</v>
      </c>
      <c r="I333" t="s">
        <v>51</v>
      </c>
      <c r="K333" t="s">
        <v>21</v>
      </c>
      <c r="L333" t="s">
        <v>22</v>
      </c>
      <c r="M333" t="s">
        <v>23</v>
      </c>
      <c r="N333" t="s">
        <v>23</v>
      </c>
      <c r="O333" t="s">
        <v>24</v>
      </c>
      <c r="P333" s="8" t="s">
        <v>549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 x14ac:dyDescent="0.2">
      <c r="A334" s="6" t="s">
        <v>17</v>
      </c>
      <c r="B334" t="s">
        <v>57</v>
      </c>
      <c r="C334" t="s">
        <v>58</v>
      </c>
      <c r="D334" t="s">
        <v>550</v>
      </c>
      <c r="E334" s="2">
        <v>265.57</v>
      </c>
      <c r="F334" s="3">
        <f t="shared" ref="F334:G338" si="44">DATE(2024,3,4)</f>
        <v>45355</v>
      </c>
      <c r="G334" s="3">
        <f t="shared" si="44"/>
        <v>45355</v>
      </c>
      <c r="H334">
        <v>734331951</v>
      </c>
      <c r="I334" t="s">
        <v>20</v>
      </c>
      <c r="K334" t="s">
        <v>21</v>
      </c>
      <c r="L334" t="s">
        <v>22</v>
      </c>
      <c r="M334" t="s">
        <v>23</v>
      </c>
      <c r="N334" t="s">
        <v>23</v>
      </c>
      <c r="O334" t="s">
        <v>24</v>
      </c>
      <c r="P334" s="8" t="s">
        <v>551</v>
      </c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 x14ac:dyDescent="0.2">
      <c r="A335" s="6" t="s">
        <v>17</v>
      </c>
      <c r="B335" t="s">
        <v>191</v>
      </c>
      <c r="C335" t="s">
        <v>192</v>
      </c>
      <c r="D335" t="s">
        <v>552</v>
      </c>
      <c r="E335" s="2">
        <v>6586.77</v>
      </c>
      <c r="F335" s="3">
        <f t="shared" si="44"/>
        <v>45355</v>
      </c>
      <c r="G335" s="3">
        <f t="shared" si="44"/>
        <v>45355</v>
      </c>
      <c r="H335">
        <v>734331952</v>
      </c>
      <c r="I335" t="s">
        <v>20</v>
      </c>
      <c r="K335" t="s">
        <v>21</v>
      </c>
      <c r="L335" t="s">
        <v>22</v>
      </c>
      <c r="M335" t="s">
        <v>23</v>
      </c>
      <c r="N335" t="s">
        <v>23</v>
      </c>
      <c r="O335" t="s">
        <v>24</v>
      </c>
      <c r="P335" s="8" t="s">
        <v>553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 x14ac:dyDescent="0.2">
      <c r="A336" s="6" t="s">
        <v>17</v>
      </c>
      <c r="B336" t="s">
        <v>191</v>
      </c>
      <c r="C336" t="s">
        <v>192</v>
      </c>
      <c r="D336" t="s">
        <v>554</v>
      </c>
      <c r="E336" s="2">
        <v>5090.84</v>
      </c>
      <c r="F336" s="3">
        <f t="shared" si="44"/>
        <v>45355</v>
      </c>
      <c r="G336" s="3">
        <f t="shared" si="44"/>
        <v>45355</v>
      </c>
      <c r="H336">
        <v>734331953</v>
      </c>
      <c r="I336" t="s">
        <v>20</v>
      </c>
      <c r="K336" t="s">
        <v>21</v>
      </c>
      <c r="L336" t="s">
        <v>22</v>
      </c>
      <c r="M336" t="s">
        <v>23</v>
      </c>
      <c r="N336" t="s">
        <v>23</v>
      </c>
      <c r="O336" t="s">
        <v>24</v>
      </c>
      <c r="P336" s="8" t="s">
        <v>555</v>
      </c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 x14ac:dyDescent="0.2">
      <c r="A337" s="6" t="s">
        <v>17</v>
      </c>
      <c r="B337" t="s">
        <v>191</v>
      </c>
      <c r="C337" t="s">
        <v>192</v>
      </c>
      <c r="D337" t="s">
        <v>556</v>
      </c>
      <c r="E337" s="2">
        <v>2559.2399999999998</v>
      </c>
      <c r="F337" s="3">
        <f t="shared" si="44"/>
        <v>45355</v>
      </c>
      <c r="G337" s="3">
        <f t="shared" si="44"/>
        <v>45355</v>
      </c>
      <c r="H337">
        <v>734331954</v>
      </c>
      <c r="I337" t="s">
        <v>20</v>
      </c>
      <c r="K337" t="s">
        <v>21</v>
      </c>
      <c r="L337" t="s">
        <v>22</v>
      </c>
      <c r="M337" t="s">
        <v>23</v>
      </c>
      <c r="N337" t="s">
        <v>23</v>
      </c>
      <c r="O337" t="s">
        <v>24</v>
      </c>
      <c r="P337" s="8" t="s">
        <v>557</v>
      </c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 hidden="1" x14ac:dyDescent="0.2">
      <c r="A338" s="6"/>
      <c r="E338" s="2"/>
      <c r="F338" s="3"/>
      <c r="G338" s="3"/>
      <c r="P338" s="8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 x14ac:dyDescent="0.2">
      <c r="A339" s="6" t="s">
        <v>17</v>
      </c>
      <c r="B339" t="s">
        <v>30</v>
      </c>
      <c r="C339" t="s">
        <v>31</v>
      </c>
      <c r="D339" t="s">
        <v>558</v>
      </c>
      <c r="E339" s="2">
        <v>3829.63</v>
      </c>
      <c r="F339" s="3">
        <f>DATE(2024,3,5)</f>
        <v>45356</v>
      </c>
      <c r="G339" s="3">
        <f>DATE(2024,3,5)</f>
        <v>45356</v>
      </c>
      <c r="H339">
        <v>734331956</v>
      </c>
      <c r="I339" t="s">
        <v>20</v>
      </c>
      <c r="K339" t="s">
        <v>21</v>
      </c>
      <c r="L339" t="s">
        <v>22</v>
      </c>
      <c r="M339" t="s">
        <v>23</v>
      </c>
      <c r="N339" t="s">
        <v>23</v>
      </c>
      <c r="O339" t="s">
        <v>24</v>
      </c>
      <c r="P339" s="8" t="s">
        <v>559</v>
      </c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 hidden="1" x14ac:dyDescent="0.2">
      <c r="A340" s="6"/>
      <c r="E340" s="2"/>
      <c r="F340" s="3"/>
      <c r="G340" s="3"/>
      <c r="P340" s="8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 hidden="1" x14ac:dyDescent="0.2">
      <c r="A341" s="6"/>
      <c r="E341" s="2"/>
      <c r="F341" s="3"/>
      <c r="G341" s="3"/>
      <c r="P341" s="8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 x14ac:dyDescent="0.2">
      <c r="A342" s="6" t="s">
        <v>17</v>
      </c>
      <c r="B342" t="s">
        <v>74</v>
      </c>
      <c r="C342" t="s">
        <v>75</v>
      </c>
      <c r="D342" t="s">
        <v>560</v>
      </c>
      <c r="E342" s="2">
        <v>279.85000000000002</v>
      </c>
      <c r="F342" s="3">
        <f>DATE(2024,3,5)</f>
        <v>45356</v>
      </c>
      <c r="G342" s="3">
        <f>DATE(2024,3,5)</f>
        <v>45356</v>
      </c>
      <c r="H342">
        <v>734880695</v>
      </c>
      <c r="I342" t="s">
        <v>73</v>
      </c>
      <c r="K342" t="s">
        <v>21</v>
      </c>
      <c r="L342" t="s">
        <v>22</v>
      </c>
      <c r="M342" t="s">
        <v>23</v>
      </c>
      <c r="N342" t="s">
        <v>23</v>
      </c>
      <c r="O342" t="s">
        <v>24</v>
      </c>
      <c r="P342" s="8" t="s">
        <v>561</v>
      </c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 x14ac:dyDescent="0.2">
      <c r="A343" s="6" t="s">
        <v>17</v>
      </c>
      <c r="B343" t="s">
        <v>74</v>
      </c>
      <c r="C343" t="s">
        <v>75</v>
      </c>
      <c r="D343" t="s">
        <v>562</v>
      </c>
      <c r="E343" s="2">
        <v>3573.01</v>
      </c>
      <c r="F343" s="3">
        <f>DATE(2024,3,5)</f>
        <v>45356</v>
      </c>
      <c r="G343" s="3">
        <f>DATE(2024,3,5)</f>
        <v>45356</v>
      </c>
      <c r="H343">
        <v>734880696</v>
      </c>
      <c r="I343" t="s">
        <v>73</v>
      </c>
      <c r="K343" t="s">
        <v>21</v>
      </c>
      <c r="L343" t="s">
        <v>22</v>
      </c>
      <c r="M343" t="s">
        <v>23</v>
      </c>
      <c r="N343" t="s">
        <v>23</v>
      </c>
      <c r="O343" t="s">
        <v>24</v>
      </c>
      <c r="P343" s="8" t="s">
        <v>563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 hidden="1" x14ac:dyDescent="0.2">
      <c r="A344" s="6"/>
      <c r="E344" s="2"/>
      <c r="F344" s="3"/>
      <c r="G344" s="3"/>
      <c r="P344" s="8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 x14ac:dyDescent="0.2">
      <c r="A345" s="6" t="s">
        <v>17</v>
      </c>
      <c r="B345" t="s">
        <v>80</v>
      </c>
      <c r="C345" t="s">
        <v>81</v>
      </c>
      <c r="D345" t="s">
        <v>564</v>
      </c>
      <c r="E345" s="2">
        <v>298.37</v>
      </c>
      <c r="F345" s="3">
        <f t="shared" ref="F345:G347" si="45">DATE(2024,3,5)</f>
        <v>45356</v>
      </c>
      <c r="G345" s="3">
        <f t="shared" si="45"/>
        <v>45356</v>
      </c>
      <c r="H345">
        <v>736821344</v>
      </c>
      <c r="I345" t="s">
        <v>20</v>
      </c>
      <c r="K345" t="s">
        <v>21</v>
      </c>
      <c r="L345" t="s">
        <v>22</v>
      </c>
      <c r="M345" t="s">
        <v>23</v>
      </c>
      <c r="N345" t="s">
        <v>23</v>
      </c>
      <c r="O345" t="s">
        <v>24</v>
      </c>
      <c r="P345" s="8" t="s">
        <v>565</v>
      </c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 x14ac:dyDescent="0.2">
      <c r="A346" s="6" t="s">
        <v>17</v>
      </c>
      <c r="B346" t="s">
        <v>80</v>
      </c>
      <c r="C346" t="s">
        <v>81</v>
      </c>
      <c r="D346" t="s">
        <v>566</v>
      </c>
      <c r="E346" s="2">
        <v>308.18</v>
      </c>
      <c r="F346" s="3">
        <f t="shared" si="45"/>
        <v>45356</v>
      </c>
      <c r="G346" s="3">
        <f t="shared" si="45"/>
        <v>45356</v>
      </c>
      <c r="H346">
        <v>736821345</v>
      </c>
      <c r="I346" t="s">
        <v>20</v>
      </c>
      <c r="K346" t="s">
        <v>21</v>
      </c>
      <c r="L346" t="s">
        <v>22</v>
      </c>
      <c r="M346" t="s">
        <v>23</v>
      </c>
      <c r="N346" t="s">
        <v>23</v>
      </c>
      <c r="O346" t="s">
        <v>24</v>
      </c>
      <c r="P346" s="8" t="s">
        <v>567</v>
      </c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 x14ac:dyDescent="0.2">
      <c r="A347" s="6" t="s">
        <v>17</v>
      </c>
      <c r="B347" t="s">
        <v>312</v>
      </c>
      <c r="C347" t="s">
        <v>313</v>
      </c>
      <c r="D347" t="s">
        <v>568</v>
      </c>
      <c r="E347" s="2">
        <v>189</v>
      </c>
      <c r="F347" s="3">
        <f t="shared" si="45"/>
        <v>45356</v>
      </c>
      <c r="G347" s="3">
        <f t="shared" si="45"/>
        <v>45356</v>
      </c>
      <c r="H347">
        <v>736821346</v>
      </c>
      <c r="I347" t="s">
        <v>20</v>
      </c>
      <c r="K347" t="s">
        <v>21</v>
      </c>
      <c r="L347" t="s">
        <v>22</v>
      </c>
      <c r="M347" t="s">
        <v>23</v>
      </c>
      <c r="N347" t="s">
        <v>23</v>
      </c>
      <c r="O347" t="s">
        <v>24</v>
      </c>
      <c r="P347" s="8" t="s">
        <v>569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 x14ac:dyDescent="0.2">
      <c r="A348" s="6" t="s">
        <v>17</v>
      </c>
      <c r="B348" t="s">
        <v>44</v>
      </c>
      <c r="C348" t="s">
        <v>45</v>
      </c>
      <c r="D348" t="s">
        <v>570</v>
      </c>
      <c r="E348" s="2">
        <v>25.98</v>
      </c>
      <c r="F348" s="3">
        <f>DATE(2024,3,4)</f>
        <v>45355</v>
      </c>
      <c r="G348" s="3">
        <f>DATE(2024,3,4)</f>
        <v>45355</v>
      </c>
      <c r="H348">
        <v>736821351</v>
      </c>
      <c r="I348" t="s">
        <v>51</v>
      </c>
      <c r="K348" t="s">
        <v>21</v>
      </c>
      <c r="L348" t="s">
        <v>22</v>
      </c>
      <c r="M348" t="s">
        <v>23</v>
      </c>
      <c r="N348" t="s">
        <v>23</v>
      </c>
      <c r="O348" t="s">
        <v>24</v>
      </c>
      <c r="P348" s="8" t="s">
        <v>571</v>
      </c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 x14ac:dyDescent="0.2">
      <c r="A349" s="6" t="s">
        <v>17</v>
      </c>
      <c r="B349" t="s">
        <v>367</v>
      </c>
      <c r="C349" t="s">
        <v>368</v>
      </c>
      <c r="D349" t="s">
        <v>369</v>
      </c>
      <c r="E349" s="2">
        <v>5.2</v>
      </c>
      <c r="F349" s="3">
        <f>DATE(2024,3,5)</f>
        <v>45356</v>
      </c>
      <c r="G349" s="3">
        <f>DATE(2024,3,5)</f>
        <v>45356</v>
      </c>
      <c r="H349">
        <v>737176295</v>
      </c>
      <c r="I349" t="s">
        <v>73</v>
      </c>
      <c r="K349" t="s">
        <v>21</v>
      </c>
      <c r="L349" t="s">
        <v>22</v>
      </c>
      <c r="M349" t="s">
        <v>23</v>
      </c>
      <c r="N349" t="s">
        <v>23</v>
      </c>
      <c r="O349" t="s">
        <v>24</v>
      </c>
      <c r="P349" s="8" t="s">
        <v>572</v>
      </c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 x14ac:dyDescent="0.2">
      <c r="A350" s="6" t="s">
        <v>17</v>
      </c>
      <c r="B350" t="s">
        <v>18</v>
      </c>
      <c r="C350" t="s">
        <v>18</v>
      </c>
      <c r="D350" t="s">
        <v>86</v>
      </c>
      <c r="E350" s="2">
        <v>12</v>
      </c>
      <c r="F350" s="3">
        <f>DATE(2024,3,5)</f>
        <v>45356</v>
      </c>
      <c r="G350" s="3">
        <f>DATE(2024,3,5)</f>
        <v>45356</v>
      </c>
      <c r="H350">
        <v>737176296</v>
      </c>
      <c r="I350" t="s">
        <v>73</v>
      </c>
      <c r="K350" t="s">
        <v>21</v>
      </c>
      <c r="L350" t="s">
        <v>22</v>
      </c>
      <c r="M350" t="s">
        <v>23</v>
      </c>
      <c r="N350" t="s">
        <v>23</v>
      </c>
      <c r="O350" t="s">
        <v>24</v>
      </c>
      <c r="P350" s="8" t="s">
        <v>573</v>
      </c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 x14ac:dyDescent="0.2">
      <c r="A351" s="6" t="s">
        <v>17</v>
      </c>
      <c r="B351" t="s">
        <v>65</v>
      </c>
      <c r="C351" t="s">
        <v>66</v>
      </c>
      <c r="D351" t="s">
        <v>574</v>
      </c>
      <c r="E351" s="2">
        <v>809.2</v>
      </c>
      <c r="F351" s="3">
        <f t="shared" ref="F351:G353" si="46">DATE(2024,3,6)</f>
        <v>45357</v>
      </c>
      <c r="G351" s="3">
        <f t="shared" si="46"/>
        <v>45357</v>
      </c>
      <c r="H351">
        <v>739334615</v>
      </c>
      <c r="I351" t="s">
        <v>20</v>
      </c>
      <c r="K351" t="s">
        <v>21</v>
      </c>
      <c r="L351" t="s">
        <v>22</v>
      </c>
      <c r="M351" t="s">
        <v>23</v>
      </c>
      <c r="N351" t="s">
        <v>23</v>
      </c>
      <c r="O351" t="s">
        <v>24</v>
      </c>
      <c r="P351" s="8" t="s">
        <v>575</v>
      </c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 x14ac:dyDescent="0.2">
      <c r="A352" s="6" t="s">
        <v>17</v>
      </c>
      <c r="B352" t="s">
        <v>65</v>
      </c>
      <c r="C352" t="s">
        <v>66</v>
      </c>
      <c r="D352" t="s">
        <v>576</v>
      </c>
      <c r="E352" s="2">
        <v>119</v>
      </c>
      <c r="F352" s="3">
        <f t="shared" si="46"/>
        <v>45357</v>
      </c>
      <c r="G352" s="3">
        <f t="shared" si="46"/>
        <v>45357</v>
      </c>
      <c r="H352">
        <v>739334616</v>
      </c>
      <c r="I352" t="s">
        <v>20</v>
      </c>
      <c r="K352" t="s">
        <v>21</v>
      </c>
      <c r="L352" t="s">
        <v>22</v>
      </c>
      <c r="M352" t="s">
        <v>23</v>
      </c>
      <c r="N352" t="s">
        <v>23</v>
      </c>
      <c r="O352" t="s">
        <v>24</v>
      </c>
      <c r="P352" s="8" t="s">
        <v>577</v>
      </c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 x14ac:dyDescent="0.2">
      <c r="A353" s="6" t="s">
        <v>17</v>
      </c>
      <c r="B353" t="s">
        <v>65</v>
      </c>
      <c r="C353" t="s">
        <v>66</v>
      </c>
      <c r="D353" t="s">
        <v>578</v>
      </c>
      <c r="E353" s="2">
        <v>577.34</v>
      </c>
      <c r="F353" s="3">
        <f t="shared" si="46"/>
        <v>45357</v>
      </c>
      <c r="G353" s="3">
        <f t="shared" si="46"/>
        <v>45357</v>
      </c>
      <c r="H353">
        <v>739334617</v>
      </c>
      <c r="I353" t="s">
        <v>20</v>
      </c>
      <c r="K353" t="s">
        <v>21</v>
      </c>
      <c r="L353" t="s">
        <v>22</v>
      </c>
      <c r="M353" t="s">
        <v>23</v>
      </c>
      <c r="N353" t="s">
        <v>23</v>
      </c>
      <c r="O353" t="s">
        <v>24</v>
      </c>
      <c r="P353" s="8" t="s">
        <v>579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 x14ac:dyDescent="0.2">
      <c r="A354" s="6" t="s">
        <v>17</v>
      </c>
      <c r="B354" t="s">
        <v>34</v>
      </c>
      <c r="C354" t="s">
        <v>35</v>
      </c>
      <c r="D354" t="s">
        <v>98</v>
      </c>
      <c r="E354" s="2">
        <v>500</v>
      </c>
      <c r="F354" s="3">
        <f>DATE(2024,3,7)</f>
        <v>45358</v>
      </c>
      <c r="G354" s="3">
        <f>DATE(2024,3,7)</f>
        <v>45358</v>
      </c>
      <c r="H354">
        <v>739334618</v>
      </c>
      <c r="I354" t="s">
        <v>20</v>
      </c>
      <c r="K354" t="s">
        <v>21</v>
      </c>
      <c r="L354" t="s">
        <v>22</v>
      </c>
      <c r="M354" t="s">
        <v>23</v>
      </c>
      <c r="N354" t="s">
        <v>23</v>
      </c>
      <c r="O354" t="s">
        <v>24</v>
      </c>
      <c r="P354" s="8" t="s">
        <v>580</v>
      </c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 x14ac:dyDescent="0.2">
      <c r="A355" s="6" t="s">
        <v>17</v>
      </c>
      <c r="B355" t="s">
        <v>363</v>
      </c>
      <c r="C355" t="s">
        <v>364</v>
      </c>
      <c r="D355" t="s">
        <v>581</v>
      </c>
      <c r="E355" s="2">
        <v>18.600000000000001</v>
      </c>
      <c r="F355" s="3">
        <f>DATE(2024,3,6)</f>
        <v>45357</v>
      </c>
      <c r="G355" s="3">
        <f>DATE(2024,3,6)</f>
        <v>45357</v>
      </c>
      <c r="H355">
        <v>739775575</v>
      </c>
      <c r="I355" t="s">
        <v>73</v>
      </c>
      <c r="K355" t="s">
        <v>21</v>
      </c>
      <c r="L355" t="s">
        <v>22</v>
      </c>
      <c r="M355" t="s">
        <v>23</v>
      </c>
      <c r="N355" t="s">
        <v>23</v>
      </c>
      <c r="O355" t="s">
        <v>24</v>
      </c>
      <c r="P355" s="8" t="s">
        <v>582</v>
      </c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 x14ac:dyDescent="0.2">
      <c r="A356" s="6" t="s">
        <v>17</v>
      </c>
      <c r="B356" t="s">
        <v>110</v>
      </c>
      <c r="C356" t="s">
        <v>111</v>
      </c>
      <c r="D356" t="s">
        <v>583</v>
      </c>
      <c r="E356" s="2">
        <v>139.44</v>
      </c>
      <c r="F356" s="3">
        <f t="shared" ref="F356:G359" si="47">DATE(2024,3,7)</f>
        <v>45358</v>
      </c>
      <c r="G356" s="3">
        <f t="shared" si="47"/>
        <v>45358</v>
      </c>
      <c r="H356">
        <v>741590942</v>
      </c>
      <c r="I356" t="s">
        <v>20</v>
      </c>
      <c r="K356" t="s">
        <v>21</v>
      </c>
      <c r="L356" t="s">
        <v>22</v>
      </c>
      <c r="M356" t="s">
        <v>23</v>
      </c>
      <c r="N356" t="s">
        <v>23</v>
      </c>
      <c r="O356" t="s">
        <v>24</v>
      </c>
      <c r="P356" s="8" t="s">
        <v>584</v>
      </c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 x14ac:dyDescent="0.2">
      <c r="A357" s="6" t="s">
        <v>17</v>
      </c>
      <c r="B357" t="s">
        <v>104</v>
      </c>
      <c r="C357" t="s">
        <v>105</v>
      </c>
      <c r="D357" t="s">
        <v>585</v>
      </c>
      <c r="E357" s="2">
        <v>585.1</v>
      </c>
      <c r="F357" s="3">
        <f t="shared" si="47"/>
        <v>45358</v>
      </c>
      <c r="G357" s="3">
        <f t="shared" si="47"/>
        <v>45358</v>
      </c>
      <c r="H357">
        <v>741590943</v>
      </c>
      <c r="I357" t="s">
        <v>20</v>
      </c>
      <c r="K357" t="s">
        <v>21</v>
      </c>
      <c r="L357" t="s">
        <v>22</v>
      </c>
      <c r="M357" t="s">
        <v>23</v>
      </c>
      <c r="N357" t="s">
        <v>23</v>
      </c>
      <c r="O357" t="s">
        <v>24</v>
      </c>
      <c r="P357" s="8" t="s">
        <v>586</v>
      </c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 x14ac:dyDescent="0.2">
      <c r="A358" s="6" t="s">
        <v>17</v>
      </c>
      <c r="B358" t="s">
        <v>137</v>
      </c>
      <c r="C358" t="s">
        <v>138</v>
      </c>
      <c r="D358" t="s">
        <v>587</v>
      </c>
      <c r="E358" s="2">
        <v>180</v>
      </c>
      <c r="F358" s="3">
        <f t="shared" si="47"/>
        <v>45358</v>
      </c>
      <c r="G358" s="3">
        <f t="shared" si="47"/>
        <v>45358</v>
      </c>
      <c r="H358">
        <v>741590944</v>
      </c>
      <c r="I358" t="s">
        <v>20</v>
      </c>
      <c r="K358" t="s">
        <v>21</v>
      </c>
      <c r="L358" t="s">
        <v>22</v>
      </c>
      <c r="M358" t="s">
        <v>23</v>
      </c>
      <c r="N358" t="s">
        <v>23</v>
      </c>
      <c r="O358" t="s">
        <v>24</v>
      </c>
      <c r="P358" s="8" t="s">
        <v>588</v>
      </c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 hidden="1" x14ac:dyDescent="0.2">
      <c r="A359" s="6"/>
      <c r="E359" s="2"/>
      <c r="F359" s="3"/>
      <c r="G359" s="3"/>
      <c r="P359" s="8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 x14ac:dyDescent="0.2">
      <c r="A360" s="6" t="s">
        <v>17</v>
      </c>
      <c r="B360" t="s">
        <v>316</v>
      </c>
      <c r="C360" t="s">
        <v>316</v>
      </c>
      <c r="D360" t="s">
        <v>589</v>
      </c>
      <c r="E360" s="2">
        <v>440</v>
      </c>
      <c r="F360" s="3">
        <f>DATE(2024,3,6)</f>
        <v>45357</v>
      </c>
      <c r="G360" s="3">
        <f>DATE(2024,3,6)</f>
        <v>45357</v>
      </c>
      <c r="H360">
        <v>741590946</v>
      </c>
      <c r="I360" t="s">
        <v>51</v>
      </c>
      <c r="K360" t="s">
        <v>21</v>
      </c>
      <c r="L360" t="s">
        <v>22</v>
      </c>
      <c r="M360" t="s">
        <v>23</v>
      </c>
      <c r="N360" t="s">
        <v>23</v>
      </c>
      <c r="O360" t="s">
        <v>24</v>
      </c>
      <c r="P360" s="8" t="s">
        <v>590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 x14ac:dyDescent="0.2">
      <c r="A361" s="6" t="s">
        <v>17</v>
      </c>
      <c r="B361" t="s">
        <v>44</v>
      </c>
      <c r="C361" t="s">
        <v>45</v>
      </c>
      <c r="D361" t="s">
        <v>591</v>
      </c>
      <c r="E361" s="2">
        <v>22.67</v>
      </c>
      <c r="F361" s="3">
        <f>DATE(2024,3,6)</f>
        <v>45357</v>
      </c>
      <c r="G361" s="3">
        <f>DATE(2024,3,6)</f>
        <v>45357</v>
      </c>
      <c r="H361">
        <v>741590947</v>
      </c>
      <c r="I361" t="s">
        <v>51</v>
      </c>
      <c r="K361" t="s">
        <v>21</v>
      </c>
      <c r="L361" t="s">
        <v>22</v>
      </c>
      <c r="M361" t="s">
        <v>23</v>
      </c>
      <c r="N361" t="s">
        <v>23</v>
      </c>
      <c r="O361" t="s">
        <v>24</v>
      </c>
      <c r="P361" s="8" t="s">
        <v>592</v>
      </c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 x14ac:dyDescent="0.2">
      <c r="A362" s="6" t="s">
        <v>17</v>
      </c>
      <c r="B362" t="s">
        <v>57</v>
      </c>
      <c r="C362" t="s">
        <v>58</v>
      </c>
      <c r="D362" t="s">
        <v>593</v>
      </c>
      <c r="E362" s="2">
        <v>50.1</v>
      </c>
      <c r="F362" s="3">
        <f t="shared" ref="F362:G365" si="48">DATE(2024,3,8)</f>
        <v>45359</v>
      </c>
      <c r="G362" s="3">
        <f t="shared" si="48"/>
        <v>45359</v>
      </c>
      <c r="H362">
        <v>743026320</v>
      </c>
      <c r="I362" t="s">
        <v>20</v>
      </c>
      <c r="K362" t="s">
        <v>21</v>
      </c>
      <c r="L362" t="s">
        <v>22</v>
      </c>
      <c r="M362" t="s">
        <v>23</v>
      </c>
      <c r="N362" t="s">
        <v>23</v>
      </c>
      <c r="O362" t="s">
        <v>24</v>
      </c>
      <c r="P362" s="8" t="s">
        <v>594</v>
      </c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 x14ac:dyDescent="0.2">
      <c r="A363" s="6" t="s">
        <v>17</v>
      </c>
      <c r="B363" t="s">
        <v>44</v>
      </c>
      <c r="C363" t="s">
        <v>45</v>
      </c>
      <c r="D363" t="s">
        <v>595</v>
      </c>
      <c r="E363" s="2">
        <v>75.8</v>
      </c>
      <c r="F363" s="3">
        <f t="shared" si="48"/>
        <v>45359</v>
      </c>
      <c r="G363" s="3">
        <f t="shared" si="48"/>
        <v>45359</v>
      </c>
      <c r="H363">
        <v>743026321</v>
      </c>
      <c r="I363" t="s">
        <v>20</v>
      </c>
      <c r="K363" t="s">
        <v>21</v>
      </c>
      <c r="L363" t="s">
        <v>22</v>
      </c>
      <c r="M363" t="s">
        <v>23</v>
      </c>
      <c r="N363" t="s">
        <v>23</v>
      </c>
      <c r="O363" t="s">
        <v>24</v>
      </c>
      <c r="P363" s="8" t="s">
        <v>596</v>
      </c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 x14ac:dyDescent="0.2">
      <c r="A364" s="6" t="s">
        <v>17</v>
      </c>
      <c r="B364" t="s">
        <v>26</v>
      </c>
      <c r="C364" t="s">
        <v>27</v>
      </c>
      <c r="D364" t="s">
        <v>597</v>
      </c>
      <c r="E364" s="2">
        <v>800</v>
      </c>
      <c r="F364" s="3">
        <f t="shared" si="48"/>
        <v>45359</v>
      </c>
      <c r="G364" s="3">
        <f t="shared" si="48"/>
        <v>45359</v>
      </c>
      <c r="H364">
        <v>743026322</v>
      </c>
      <c r="I364" t="s">
        <v>20</v>
      </c>
      <c r="K364" t="s">
        <v>21</v>
      </c>
      <c r="L364" t="s">
        <v>22</v>
      </c>
      <c r="M364" t="s">
        <v>23</v>
      </c>
      <c r="N364" t="s">
        <v>23</v>
      </c>
      <c r="O364" t="s">
        <v>24</v>
      </c>
      <c r="P364" s="8" t="s">
        <v>598</v>
      </c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 hidden="1" x14ac:dyDescent="0.2">
      <c r="A365" s="6"/>
      <c r="E365" s="2"/>
      <c r="F365" s="3"/>
      <c r="G365" s="3"/>
      <c r="P365" s="8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 x14ac:dyDescent="0.2">
      <c r="A366" s="6" t="s">
        <v>17</v>
      </c>
      <c r="B366" t="s">
        <v>30</v>
      </c>
      <c r="C366" t="s">
        <v>31</v>
      </c>
      <c r="D366" t="s">
        <v>599</v>
      </c>
      <c r="E366" s="2">
        <v>856.39</v>
      </c>
      <c r="F366" s="3">
        <f>DATE(2024,3,9)</f>
        <v>45360</v>
      </c>
      <c r="G366" s="3">
        <f>DATE(2024,3,9)</f>
        <v>45360</v>
      </c>
      <c r="H366">
        <v>743026324</v>
      </c>
      <c r="I366" t="s">
        <v>20</v>
      </c>
      <c r="K366" t="s">
        <v>21</v>
      </c>
      <c r="L366" t="s">
        <v>22</v>
      </c>
      <c r="M366" t="s">
        <v>23</v>
      </c>
      <c r="N366" t="s">
        <v>23</v>
      </c>
      <c r="O366" t="s">
        <v>24</v>
      </c>
      <c r="P366" s="8" t="s">
        <v>600</v>
      </c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 x14ac:dyDescent="0.2">
      <c r="A367" s="6" t="s">
        <v>17</v>
      </c>
      <c r="B367" t="s">
        <v>30</v>
      </c>
      <c r="C367" t="s">
        <v>31</v>
      </c>
      <c r="D367" t="s">
        <v>601</v>
      </c>
      <c r="E367" s="2">
        <v>1106.54</v>
      </c>
      <c r="F367" s="3">
        <f>DATE(2024,3,9)</f>
        <v>45360</v>
      </c>
      <c r="G367" s="3">
        <f>DATE(2024,3,9)</f>
        <v>45360</v>
      </c>
      <c r="H367">
        <v>743026325</v>
      </c>
      <c r="I367" t="s">
        <v>20</v>
      </c>
      <c r="K367" t="s">
        <v>21</v>
      </c>
      <c r="L367" t="s">
        <v>22</v>
      </c>
      <c r="M367" t="s">
        <v>23</v>
      </c>
      <c r="N367" t="s">
        <v>23</v>
      </c>
      <c r="O367" t="s">
        <v>24</v>
      </c>
      <c r="P367" s="8" t="s">
        <v>602</v>
      </c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 x14ac:dyDescent="0.2">
      <c r="A368" s="6" t="s">
        <v>17</v>
      </c>
      <c r="B368" t="s">
        <v>44</v>
      </c>
      <c r="C368" t="s">
        <v>45</v>
      </c>
      <c r="D368" t="s">
        <v>603</v>
      </c>
      <c r="E368" s="2">
        <v>7.95</v>
      </c>
      <c r="F368" s="3">
        <f>DATE(2024,3,6)</f>
        <v>45357</v>
      </c>
      <c r="G368" s="3">
        <f>DATE(2024,3,6)</f>
        <v>45357</v>
      </c>
      <c r="H368">
        <v>743026326</v>
      </c>
      <c r="I368" t="s">
        <v>51</v>
      </c>
      <c r="K368" t="s">
        <v>21</v>
      </c>
      <c r="L368" t="s">
        <v>22</v>
      </c>
      <c r="M368" t="s">
        <v>23</v>
      </c>
      <c r="N368" t="s">
        <v>23</v>
      </c>
      <c r="O368" t="s">
        <v>24</v>
      </c>
      <c r="P368" s="8" t="s">
        <v>604</v>
      </c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 x14ac:dyDescent="0.2">
      <c r="A369" s="6" t="s">
        <v>17</v>
      </c>
      <c r="B369" t="s">
        <v>44</v>
      </c>
      <c r="C369" t="s">
        <v>45</v>
      </c>
      <c r="D369" t="s">
        <v>605</v>
      </c>
      <c r="E369" s="2">
        <v>102.24</v>
      </c>
      <c r="F369" s="3">
        <f>DATE(2024,3,8)</f>
        <v>45359</v>
      </c>
      <c r="G369" s="3">
        <f>DATE(2024,3,8)</f>
        <v>45359</v>
      </c>
      <c r="H369">
        <v>743026327</v>
      </c>
      <c r="I369" t="s">
        <v>51</v>
      </c>
      <c r="K369" t="s">
        <v>21</v>
      </c>
      <c r="L369" t="s">
        <v>22</v>
      </c>
      <c r="M369" t="s">
        <v>23</v>
      </c>
      <c r="N369" t="s">
        <v>23</v>
      </c>
      <c r="O369" t="s">
        <v>24</v>
      </c>
      <c r="P369" s="8" t="s">
        <v>606</v>
      </c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 x14ac:dyDescent="0.2">
      <c r="A370" s="6" t="s">
        <v>17</v>
      </c>
      <c r="B370" t="s">
        <v>110</v>
      </c>
      <c r="C370" t="s">
        <v>111</v>
      </c>
      <c r="D370" t="s">
        <v>607</v>
      </c>
      <c r="E370" s="2">
        <v>60</v>
      </c>
      <c r="F370" s="3">
        <f>DATE(2024,3,10)</f>
        <v>45361</v>
      </c>
      <c r="G370" s="3">
        <f>DATE(2024,3,10)</f>
        <v>45361</v>
      </c>
      <c r="H370">
        <v>743077020</v>
      </c>
      <c r="I370" t="s">
        <v>113</v>
      </c>
      <c r="K370" t="s">
        <v>21</v>
      </c>
      <c r="L370" t="s">
        <v>22</v>
      </c>
      <c r="M370" t="s">
        <v>23</v>
      </c>
      <c r="N370" t="s">
        <v>23</v>
      </c>
      <c r="O370" t="s">
        <v>24</v>
      </c>
      <c r="P370" s="8" t="s">
        <v>608</v>
      </c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 hidden="1" x14ac:dyDescent="0.2">
      <c r="A371" s="6"/>
      <c r="E371" s="2"/>
      <c r="F371" s="3"/>
      <c r="G371" s="3"/>
      <c r="P371" s="8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 x14ac:dyDescent="0.2">
      <c r="A372" s="6" t="s">
        <v>17</v>
      </c>
      <c r="B372" t="s">
        <v>137</v>
      </c>
      <c r="C372" t="s">
        <v>138</v>
      </c>
      <c r="D372" t="s">
        <v>609</v>
      </c>
      <c r="E372" s="2">
        <v>118.8</v>
      </c>
      <c r="F372" s="3">
        <f t="shared" ref="F371:G374" si="49">DATE(2024,3,11)</f>
        <v>45362</v>
      </c>
      <c r="G372" s="3">
        <f t="shared" si="49"/>
        <v>45362</v>
      </c>
      <c r="H372">
        <v>746115602</v>
      </c>
      <c r="I372" t="s">
        <v>20</v>
      </c>
      <c r="K372" t="s">
        <v>21</v>
      </c>
      <c r="L372" t="s">
        <v>22</v>
      </c>
      <c r="M372" t="s">
        <v>23</v>
      </c>
      <c r="N372" t="s">
        <v>23</v>
      </c>
      <c r="O372" t="s">
        <v>24</v>
      </c>
      <c r="P372" s="8" t="s">
        <v>610</v>
      </c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 hidden="1" x14ac:dyDescent="0.2">
      <c r="A373" s="6"/>
      <c r="E373" s="2"/>
      <c r="F373" s="3"/>
      <c r="G373" s="3"/>
      <c r="P373" s="8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 x14ac:dyDescent="0.2">
      <c r="A374" s="6" t="s">
        <v>17</v>
      </c>
      <c r="B374" t="s">
        <v>611</v>
      </c>
      <c r="C374" t="s">
        <v>612</v>
      </c>
      <c r="D374" t="s">
        <v>613</v>
      </c>
      <c r="E374" s="2">
        <v>2467.5</v>
      </c>
      <c r="F374" s="3">
        <f t="shared" si="49"/>
        <v>45362</v>
      </c>
      <c r="G374" s="3">
        <f t="shared" si="49"/>
        <v>45362</v>
      </c>
      <c r="H374">
        <v>746115612</v>
      </c>
      <c r="I374" t="s">
        <v>20</v>
      </c>
      <c r="K374" t="s">
        <v>21</v>
      </c>
      <c r="L374" t="s">
        <v>22</v>
      </c>
      <c r="M374" t="s">
        <v>23</v>
      </c>
      <c r="N374" t="s">
        <v>23</v>
      </c>
      <c r="O374" t="s">
        <v>24</v>
      </c>
      <c r="P374" s="8" t="s">
        <v>614</v>
      </c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 x14ac:dyDescent="0.2">
      <c r="A375" s="6" t="s">
        <v>17</v>
      </c>
      <c r="B375" t="s">
        <v>144</v>
      </c>
      <c r="C375" t="s">
        <v>145</v>
      </c>
      <c r="D375" t="s">
        <v>615</v>
      </c>
      <c r="E375" s="2">
        <v>262.5</v>
      </c>
      <c r="F375" s="3">
        <f>DATE(2024,3,7)</f>
        <v>45358</v>
      </c>
      <c r="G375" s="3">
        <f>DATE(2024,3,7)</f>
        <v>45358</v>
      </c>
      <c r="H375">
        <v>746115641</v>
      </c>
      <c r="I375" t="s">
        <v>51</v>
      </c>
      <c r="K375" t="s">
        <v>21</v>
      </c>
      <c r="L375" t="s">
        <v>22</v>
      </c>
      <c r="M375" t="s">
        <v>23</v>
      </c>
      <c r="N375" t="s">
        <v>23</v>
      </c>
      <c r="O375" t="s">
        <v>24</v>
      </c>
      <c r="P375" s="8" t="s">
        <v>616</v>
      </c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 x14ac:dyDescent="0.2">
      <c r="A376" s="6" t="s">
        <v>17</v>
      </c>
      <c r="B376" t="s">
        <v>44</v>
      </c>
      <c r="C376" t="s">
        <v>45</v>
      </c>
      <c r="D376" t="s">
        <v>617</v>
      </c>
      <c r="E376" s="2">
        <v>42.32</v>
      </c>
      <c r="F376" s="3">
        <f>DATE(2024,3,8)</f>
        <v>45359</v>
      </c>
      <c r="G376" s="3">
        <f>DATE(2024,3,8)</f>
        <v>45359</v>
      </c>
      <c r="H376">
        <v>746115642</v>
      </c>
      <c r="I376" t="s">
        <v>51</v>
      </c>
      <c r="K376" t="s">
        <v>21</v>
      </c>
      <c r="L376" t="s">
        <v>22</v>
      </c>
      <c r="M376" t="s">
        <v>23</v>
      </c>
      <c r="N376" t="s">
        <v>23</v>
      </c>
      <c r="O376" t="s">
        <v>24</v>
      </c>
      <c r="P376" s="8" t="s">
        <v>618</v>
      </c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 hidden="1" x14ac:dyDescent="0.2">
      <c r="A377" s="6"/>
      <c r="E377" s="2"/>
      <c r="F377" s="3"/>
      <c r="G377" s="3"/>
      <c r="P377" s="8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 hidden="1" x14ac:dyDescent="0.2">
      <c r="A378" s="6"/>
      <c r="E378" s="2"/>
      <c r="F378" s="3"/>
      <c r="G378" s="3"/>
      <c r="P378" s="8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 hidden="1" x14ac:dyDescent="0.2">
      <c r="A379" s="6"/>
      <c r="E379" s="2"/>
      <c r="F379" s="3"/>
      <c r="G379" s="3"/>
      <c r="P379" s="8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 x14ac:dyDescent="0.2">
      <c r="A380" s="6" t="s">
        <v>17</v>
      </c>
      <c r="B380" t="s">
        <v>80</v>
      </c>
      <c r="C380" t="s">
        <v>81</v>
      </c>
      <c r="D380" t="s">
        <v>619</v>
      </c>
      <c r="E380" s="2">
        <v>42</v>
      </c>
      <c r="F380" s="3">
        <f t="shared" ref="F380:G382" si="50">DATE(2024,3,12)</f>
        <v>45363</v>
      </c>
      <c r="G380" s="3">
        <f t="shared" si="50"/>
        <v>45363</v>
      </c>
      <c r="H380">
        <v>748841945</v>
      </c>
      <c r="I380" t="s">
        <v>20</v>
      </c>
      <c r="K380" t="s">
        <v>21</v>
      </c>
      <c r="L380" t="s">
        <v>22</v>
      </c>
      <c r="M380" t="s">
        <v>23</v>
      </c>
      <c r="N380" t="s">
        <v>23</v>
      </c>
      <c r="O380" t="s">
        <v>24</v>
      </c>
      <c r="P380" s="8" t="s">
        <v>620</v>
      </c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 x14ac:dyDescent="0.2">
      <c r="A381" s="6" t="s">
        <v>17</v>
      </c>
      <c r="B381" t="s">
        <v>26</v>
      </c>
      <c r="C381" t="s">
        <v>27</v>
      </c>
      <c r="D381" t="s">
        <v>621</v>
      </c>
      <c r="E381" s="2">
        <v>2000</v>
      </c>
      <c r="F381" s="3">
        <f t="shared" si="50"/>
        <v>45363</v>
      </c>
      <c r="G381" s="3">
        <f t="shared" si="50"/>
        <v>45363</v>
      </c>
      <c r="H381">
        <v>748841946</v>
      </c>
      <c r="I381" t="s">
        <v>20</v>
      </c>
      <c r="K381" t="s">
        <v>21</v>
      </c>
      <c r="L381" t="s">
        <v>22</v>
      </c>
      <c r="M381" t="s">
        <v>23</v>
      </c>
      <c r="N381" t="s">
        <v>23</v>
      </c>
      <c r="O381" t="s">
        <v>24</v>
      </c>
      <c r="P381" s="8" t="s">
        <v>622</v>
      </c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 hidden="1" x14ac:dyDescent="0.2">
      <c r="A382" s="6"/>
      <c r="E382" s="2"/>
      <c r="F382" s="3"/>
      <c r="G382" s="3"/>
      <c r="P382" s="8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 x14ac:dyDescent="0.2">
      <c r="A383" s="6" t="s">
        <v>17</v>
      </c>
      <c r="B383" t="s">
        <v>65</v>
      </c>
      <c r="C383" t="s">
        <v>66</v>
      </c>
      <c r="D383" t="s">
        <v>623</v>
      </c>
      <c r="E383" s="2">
        <v>362.5</v>
      </c>
      <c r="F383" s="3">
        <f t="shared" ref="F383:G385" si="51">DATE(2024,3,11)</f>
        <v>45362</v>
      </c>
      <c r="G383" s="3">
        <f t="shared" si="51"/>
        <v>45362</v>
      </c>
      <c r="H383">
        <v>748841948</v>
      </c>
      <c r="I383" t="s">
        <v>20</v>
      </c>
      <c r="K383" t="s">
        <v>21</v>
      </c>
      <c r="L383" t="s">
        <v>22</v>
      </c>
      <c r="M383" t="s">
        <v>23</v>
      </c>
      <c r="N383" t="s">
        <v>23</v>
      </c>
      <c r="O383" t="s">
        <v>24</v>
      </c>
      <c r="P383" s="8" t="s">
        <v>624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 x14ac:dyDescent="0.2">
      <c r="A384" s="6" t="s">
        <v>17</v>
      </c>
      <c r="B384" t="s">
        <v>191</v>
      </c>
      <c r="C384" t="s">
        <v>192</v>
      </c>
      <c r="D384" t="s">
        <v>625</v>
      </c>
      <c r="E384" s="2">
        <v>860</v>
      </c>
      <c r="F384" s="3">
        <f t="shared" si="51"/>
        <v>45362</v>
      </c>
      <c r="G384" s="3">
        <f t="shared" si="51"/>
        <v>45362</v>
      </c>
      <c r="H384">
        <v>748841949</v>
      </c>
      <c r="I384" t="s">
        <v>20</v>
      </c>
      <c r="K384" t="s">
        <v>21</v>
      </c>
      <c r="L384" t="s">
        <v>22</v>
      </c>
      <c r="M384" t="s">
        <v>23</v>
      </c>
      <c r="N384" t="s">
        <v>23</v>
      </c>
      <c r="O384" t="s">
        <v>24</v>
      </c>
      <c r="P384" s="8" t="s">
        <v>626</v>
      </c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 x14ac:dyDescent="0.2">
      <c r="A385" s="6" t="s">
        <v>17</v>
      </c>
      <c r="B385" t="s">
        <v>191</v>
      </c>
      <c r="C385" t="s">
        <v>192</v>
      </c>
      <c r="D385" t="s">
        <v>627</v>
      </c>
      <c r="E385" s="2">
        <v>980</v>
      </c>
      <c r="F385" s="3">
        <f t="shared" si="51"/>
        <v>45362</v>
      </c>
      <c r="G385" s="3">
        <f t="shared" si="51"/>
        <v>45362</v>
      </c>
      <c r="H385">
        <v>748841950</v>
      </c>
      <c r="I385" t="s">
        <v>20</v>
      </c>
      <c r="K385" t="s">
        <v>21</v>
      </c>
      <c r="L385" t="s">
        <v>22</v>
      </c>
      <c r="M385" t="s">
        <v>23</v>
      </c>
      <c r="N385" t="s">
        <v>23</v>
      </c>
      <c r="O385" t="s">
        <v>24</v>
      </c>
      <c r="P385" s="8" t="s">
        <v>628</v>
      </c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 x14ac:dyDescent="0.2">
      <c r="A386" s="6" t="s">
        <v>17</v>
      </c>
      <c r="B386" t="s">
        <v>26</v>
      </c>
      <c r="C386" t="s">
        <v>27</v>
      </c>
      <c r="D386" t="s">
        <v>629</v>
      </c>
      <c r="E386" s="2">
        <v>30</v>
      </c>
      <c r="F386" s="3">
        <f>DATE(2024,3,12)</f>
        <v>45363</v>
      </c>
      <c r="G386" s="3">
        <f>DATE(2024,3,12)</f>
        <v>45363</v>
      </c>
      <c r="H386">
        <v>748841951</v>
      </c>
      <c r="I386" t="s">
        <v>20</v>
      </c>
      <c r="K386" t="s">
        <v>21</v>
      </c>
      <c r="L386" t="s">
        <v>22</v>
      </c>
      <c r="M386" t="s">
        <v>23</v>
      </c>
      <c r="N386" t="s">
        <v>23</v>
      </c>
      <c r="O386" t="s">
        <v>24</v>
      </c>
      <c r="P386" s="8" t="s">
        <v>630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 hidden="1" x14ac:dyDescent="0.2">
      <c r="A387" s="6"/>
      <c r="E387" s="2"/>
      <c r="F387" s="3"/>
      <c r="G387" s="3"/>
      <c r="P387" s="8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 x14ac:dyDescent="0.2">
      <c r="A388" s="6" t="s">
        <v>17</v>
      </c>
      <c r="B388" t="s">
        <v>26</v>
      </c>
      <c r="C388" t="s">
        <v>27</v>
      </c>
      <c r="D388" t="s">
        <v>631</v>
      </c>
      <c r="E388" s="2">
        <v>95.6</v>
      </c>
      <c r="F388" s="3">
        <f>DATE(2024,3,9)</f>
        <v>45360</v>
      </c>
      <c r="G388" s="3">
        <f>DATE(2024,3,9)</f>
        <v>45360</v>
      </c>
      <c r="H388">
        <v>748841966</v>
      </c>
      <c r="I388" t="s">
        <v>51</v>
      </c>
      <c r="K388" t="s">
        <v>21</v>
      </c>
      <c r="L388" t="s">
        <v>22</v>
      </c>
      <c r="M388" t="s">
        <v>23</v>
      </c>
      <c r="N388" t="s">
        <v>23</v>
      </c>
      <c r="O388" t="s">
        <v>24</v>
      </c>
      <c r="P388" s="8" t="s">
        <v>632</v>
      </c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 hidden="1" x14ac:dyDescent="0.2">
      <c r="A389" s="6"/>
      <c r="E389" s="2"/>
      <c r="F389" s="3"/>
      <c r="G389" s="3"/>
      <c r="P389" s="8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 x14ac:dyDescent="0.2">
      <c r="A390" s="6" t="s">
        <v>17</v>
      </c>
      <c r="B390" t="s">
        <v>110</v>
      </c>
      <c r="C390" t="s">
        <v>111</v>
      </c>
      <c r="D390" t="s">
        <v>633</v>
      </c>
      <c r="E390" s="2">
        <v>1.5</v>
      </c>
      <c r="F390" s="3">
        <f>DATE(2024,3,12)</f>
        <v>45363</v>
      </c>
      <c r="G390" s="3">
        <f>DATE(2024,3,12)</f>
        <v>45363</v>
      </c>
      <c r="H390">
        <v>750109477</v>
      </c>
      <c r="I390" t="s">
        <v>73</v>
      </c>
      <c r="K390" t="s">
        <v>21</v>
      </c>
      <c r="L390" t="s">
        <v>22</v>
      </c>
      <c r="M390" t="s">
        <v>23</v>
      </c>
      <c r="N390" t="s">
        <v>23</v>
      </c>
      <c r="O390" t="s">
        <v>24</v>
      </c>
      <c r="P390" s="8" t="s">
        <v>634</v>
      </c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 x14ac:dyDescent="0.2">
      <c r="A391" s="6" t="s">
        <v>17</v>
      </c>
      <c r="B391" t="s">
        <v>61</v>
      </c>
      <c r="C391" t="s">
        <v>62</v>
      </c>
      <c r="D391" t="s">
        <v>635</v>
      </c>
      <c r="E391" s="2">
        <v>720</v>
      </c>
      <c r="F391" s="3">
        <f t="shared" ref="F391:G393" si="52">DATE(2024,3,13)</f>
        <v>45364</v>
      </c>
      <c r="G391" s="3">
        <f t="shared" si="52"/>
        <v>45364</v>
      </c>
      <c r="H391">
        <v>751766498</v>
      </c>
      <c r="I391" t="s">
        <v>20</v>
      </c>
      <c r="K391" t="s">
        <v>21</v>
      </c>
      <c r="L391" t="s">
        <v>22</v>
      </c>
      <c r="M391" t="s">
        <v>23</v>
      </c>
      <c r="N391" t="s">
        <v>23</v>
      </c>
      <c r="O391" t="s">
        <v>24</v>
      </c>
      <c r="P391" s="8" t="s">
        <v>636</v>
      </c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 hidden="1" x14ac:dyDescent="0.2">
      <c r="A392" s="6"/>
      <c r="E392" s="2"/>
      <c r="F392" s="3"/>
      <c r="G392" s="3"/>
      <c r="P392" s="8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 hidden="1" x14ac:dyDescent="0.2">
      <c r="A393" s="6"/>
      <c r="E393" s="2"/>
      <c r="F393" s="3"/>
      <c r="G393" s="3"/>
      <c r="P393" s="8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 x14ac:dyDescent="0.2">
      <c r="A394" s="6" t="s">
        <v>17</v>
      </c>
      <c r="B394" t="s">
        <v>44</v>
      </c>
      <c r="C394" t="s">
        <v>45</v>
      </c>
      <c r="D394" t="s">
        <v>603</v>
      </c>
      <c r="E394" s="2">
        <v>19.899999999999999</v>
      </c>
      <c r="F394" s="3">
        <f>DATE(2024,3,11)</f>
        <v>45362</v>
      </c>
      <c r="G394" s="3">
        <f>DATE(2024,3,11)</f>
        <v>45362</v>
      </c>
      <c r="H394">
        <v>751766501</v>
      </c>
      <c r="I394" t="s">
        <v>51</v>
      </c>
      <c r="K394" t="s">
        <v>21</v>
      </c>
      <c r="L394" t="s">
        <v>22</v>
      </c>
      <c r="M394" t="s">
        <v>23</v>
      </c>
      <c r="N394" t="s">
        <v>23</v>
      </c>
      <c r="O394" t="s">
        <v>24</v>
      </c>
      <c r="P394" s="8" t="s">
        <v>637</v>
      </c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 x14ac:dyDescent="0.2">
      <c r="A395" s="6" t="s">
        <v>17</v>
      </c>
      <c r="B395" t="s">
        <v>144</v>
      </c>
      <c r="C395" t="s">
        <v>145</v>
      </c>
      <c r="D395" t="s">
        <v>638</v>
      </c>
      <c r="E395" s="2">
        <v>372.59</v>
      </c>
      <c r="F395" s="3">
        <f>DATE(2024,3,12)</f>
        <v>45363</v>
      </c>
      <c r="G395" s="3">
        <f>DATE(2024,3,12)</f>
        <v>45363</v>
      </c>
      <c r="H395">
        <v>751766502</v>
      </c>
      <c r="I395" t="s">
        <v>51</v>
      </c>
      <c r="K395" t="s">
        <v>21</v>
      </c>
      <c r="L395" t="s">
        <v>22</v>
      </c>
      <c r="M395" t="s">
        <v>23</v>
      </c>
      <c r="N395" t="s">
        <v>23</v>
      </c>
      <c r="O395" t="s">
        <v>24</v>
      </c>
      <c r="P395" s="8" t="s">
        <v>639</v>
      </c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 x14ac:dyDescent="0.2">
      <c r="A396" s="6" t="s">
        <v>17</v>
      </c>
      <c r="B396" t="s">
        <v>61</v>
      </c>
      <c r="C396" t="s">
        <v>62</v>
      </c>
      <c r="D396" t="s">
        <v>399</v>
      </c>
      <c r="E396" s="2">
        <v>147.30000000000001</v>
      </c>
      <c r="F396" s="3">
        <f>DATE(2024,3,12)</f>
        <v>45363</v>
      </c>
      <c r="G396" s="3">
        <f>DATE(2024,3,12)</f>
        <v>45363</v>
      </c>
      <c r="H396">
        <v>751766503</v>
      </c>
      <c r="I396" t="s">
        <v>51</v>
      </c>
      <c r="K396" t="s">
        <v>21</v>
      </c>
      <c r="L396" t="s">
        <v>22</v>
      </c>
      <c r="M396" t="s">
        <v>23</v>
      </c>
      <c r="N396" t="s">
        <v>23</v>
      </c>
      <c r="O396" t="s">
        <v>24</v>
      </c>
      <c r="P396" s="8" t="s">
        <v>640</v>
      </c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 x14ac:dyDescent="0.2">
      <c r="A397" s="6" t="s">
        <v>17</v>
      </c>
      <c r="B397" t="s">
        <v>65</v>
      </c>
      <c r="C397" t="s">
        <v>66</v>
      </c>
      <c r="D397" t="s">
        <v>641</v>
      </c>
      <c r="E397" s="2">
        <v>280</v>
      </c>
      <c r="F397" s="3">
        <f t="shared" ref="F397:G403" si="53">DATE(2024,3,14)</f>
        <v>45365</v>
      </c>
      <c r="G397" s="3">
        <f t="shared" si="53"/>
        <v>45365</v>
      </c>
      <c r="H397">
        <v>754180114</v>
      </c>
      <c r="I397" t="s">
        <v>20</v>
      </c>
      <c r="K397" t="s">
        <v>21</v>
      </c>
      <c r="L397" t="s">
        <v>22</v>
      </c>
      <c r="M397" t="s">
        <v>23</v>
      </c>
      <c r="N397" t="s">
        <v>23</v>
      </c>
      <c r="O397" t="s">
        <v>24</v>
      </c>
      <c r="P397" s="8" t="s">
        <v>642</v>
      </c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 x14ac:dyDescent="0.2">
      <c r="A398" s="6" t="s">
        <v>17</v>
      </c>
      <c r="B398" t="s">
        <v>312</v>
      </c>
      <c r="C398" t="s">
        <v>313</v>
      </c>
      <c r="D398" t="s">
        <v>643</v>
      </c>
      <c r="E398" s="2">
        <v>624.12</v>
      </c>
      <c r="F398" s="3">
        <f t="shared" si="53"/>
        <v>45365</v>
      </c>
      <c r="G398" s="3">
        <f t="shared" si="53"/>
        <v>45365</v>
      </c>
      <c r="H398">
        <v>754180115</v>
      </c>
      <c r="I398" t="s">
        <v>20</v>
      </c>
      <c r="K398" t="s">
        <v>21</v>
      </c>
      <c r="L398" t="s">
        <v>22</v>
      </c>
      <c r="M398" t="s">
        <v>23</v>
      </c>
      <c r="N398" t="s">
        <v>23</v>
      </c>
      <c r="O398" t="s">
        <v>24</v>
      </c>
      <c r="P398" s="8" t="s">
        <v>644</v>
      </c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 x14ac:dyDescent="0.2">
      <c r="A399" s="6" t="s">
        <v>17</v>
      </c>
      <c r="B399" t="s">
        <v>312</v>
      </c>
      <c r="C399" t="s">
        <v>313</v>
      </c>
      <c r="D399" t="s">
        <v>645</v>
      </c>
      <c r="E399" s="2">
        <v>2456.84</v>
      </c>
      <c r="F399" s="3">
        <f t="shared" si="53"/>
        <v>45365</v>
      </c>
      <c r="G399" s="3">
        <f t="shared" si="53"/>
        <v>45365</v>
      </c>
      <c r="H399">
        <v>754180116</v>
      </c>
      <c r="I399" t="s">
        <v>20</v>
      </c>
      <c r="K399" t="s">
        <v>21</v>
      </c>
      <c r="L399" t="s">
        <v>22</v>
      </c>
      <c r="M399" t="s">
        <v>23</v>
      </c>
      <c r="N399" t="s">
        <v>23</v>
      </c>
      <c r="O399" t="s">
        <v>24</v>
      </c>
      <c r="P399" s="8" t="s">
        <v>646</v>
      </c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 x14ac:dyDescent="0.2">
      <c r="A400" s="6" t="s">
        <v>17</v>
      </c>
      <c r="B400" t="s">
        <v>312</v>
      </c>
      <c r="C400" t="s">
        <v>313</v>
      </c>
      <c r="D400" t="s">
        <v>647</v>
      </c>
      <c r="E400" s="2">
        <v>394.74</v>
      </c>
      <c r="F400" s="3">
        <f t="shared" si="53"/>
        <v>45365</v>
      </c>
      <c r="G400" s="3">
        <f t="shared" si="53"/>
        <v>45365</v>
      </c>
      <c r="H400">
        <v>754180117</v>
      </c>
      <c r="I400" t="s">
        <v>20</v>
      </c>
      <c r="K400" t="s">
        <v>21</v>
      </c>
      <c r="L400" t="s">
        <v>22</v>
      </c>
      <c r="M400" t="s">
        <v>23</v>
      </c>
      <c r="N400" t="s">
        <v>23</v>
      </c>
      <c r="O400" t="s">
        <v>24</v>
      </c>
      <c r="P400" s="8" t="s">
        <v>648</v>
      </c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 x14ac:dyDescent="0.2">
      <c r="A401" s="6" t="s">
        <v>17</v>
      </c>
      <c r="B401" t="s">
        <v>312</v>
      </c>
      <c r="C401" t="s">
        <v>313</v>
      </c>
      <c r="D401" t="s">
        <v>649</v>
      </c>
      <c r="E401" s="2">
        <v>189</v>
      </c>
      <c r="F401" s="3">
        <f t="shared" si="53"/>
        <v>45365</v>
      </c>
      <c r="G401" s="3">
        <f t="shared" si="53"/>
        <v>45365</v>
      </c>
      <c r="H401">
        <v>754180118</v>
      </c>
      <c r="I401" t="s">
        <v>20</v>
      </c>
      <c r="K401" t="s">
        <v>21</v>
      </c>
      <c r="L401" t="s">
        <v>22</v>
      </c>
      <c r="M401" t="s">
        <v>23</v>
      </c>
      <c r="N401" t="s">
        <v>23</v>
      </c>
      <c r="O401" t="s">
        <v>24</v>
      </c>
      <c r="P401" s="8" t="s">
        <v>650</v>
      </c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 x14ac:dyDescent="0.2">
      <c r="A402" s="6" t="s">
        <v>17</v>
      </c>
      <c r="B402" t="s">
        <v>65</v>
      </c>
      <c r="C402" t="s">
        <v>66</v>
      </c>
      <c r="D402" t="s">
        <v>651</v>
      </c>
      <c r="E402" s="2">
        <v>660</v>
      </c>
      <c r="F402" s="3">
        <f t="shared" si="53"/>
        <v>45365</v>
      </c>
      <c r="G402" s="3">
        <f t="shared" si="53"/>
        <v>45365</v>
      </c>
      <c r="H402">
        <v>754180119</v>
      </c>
      <c r="I402" t="s">
        <v>20</v>
      </c>
      <c r="K402" t="s">
        <v>21</v>
      </c>
      <c r="L402" t="s">
        <v>22</v>
      </c>
      <c r="M402" t="s">
        <v>23</v>
      </c>
      <c r="N402" t="s">
        <v>23</v>
      </c>
      <c r="O402" t="s">
        <v>24</v>
      </c>
      <c r="P402" s="8" t="s">
        <v>652</v>
      </c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 x14ac:dyDescent="0.2">
      <c r="A403" s="6" t="s">
        <v>17</v>
      </c>
      <c r="B403" t="s">
        <v>312</v>
      </c>
      <c r="C403" t="s">
        <v>313</v>
      </c>
      <c r="D403" t="s">
        <v>653</v>
      </c>
      <c r="E403" s="2">
        <v>1215.3499999999999</v>
      </c>
      <c r="F403" s="3">
        <f t="shared" si="53"/>
        <v>45365</v>
      </c>
      <c r="G403" s="3">
        <f t="shared" si="53"/>
        <v>45365</v>
      </c>
      <c r="H403">
        <v>754180120</v>
      </c>
      <c r="I403" t="s">
        <v>20</v>
      </c>
      <c r="K403" t="s">
        <v>21</v>
      </c>
      <c r="L403" t="s">
        <v>22</v>
      </c>
      <c r="M403" t="s">
        <v>23</v>
      </c>
      <c r="N403" t="s">
        <v>23</v>
      </c>
      <c r="O403" t="s">
        <v>24</v>
      </c>
      <c r="P403" s="8" t="s">
        <v>654</v>
      </c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 hidden="1" x14ac:dyDescent="0.2">
      <c r="A404" s="6"/>
      <c r="E404" s="2"/>
      <c r="F404" s="3"/>
      <c r="G404" s="3"/>
      <c r="P404" s="8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 x14ac:dyDescent="0.2">
      <c r="A405" s="6" t="s">
        <v>17</v>
      </c>
      <c r="B405" t="s">
        <v>655</v>
      </c>
      <c r="C405" t="s">
        <v>656</v>
      </c>
      <c r="D405" t="s">
        <v>657</v>
      </c>
      <c r="E405" s="2">
        <v>75.58</v>
      </c>
      <c r="F405" s="3">
        <f t="shared" ref="F405:G408" si="54">DATE(2024,3,13)</f>
        <v>45364</v>
      </c>
      <c r="G405" s="3">
        <f t="shared" si="54"/>
        <v>45364</v>
      </c>
      <c r="H405">
        <v>754180128</v>
      </c>
      <c r="I405" t="s">
        <v>51</v>
      </c>
      <c r="K405" t="s">
        <v>21</v>
      </c>
      <c r="L405" t="s">
        <v>22</v>
      </c>
      <c r="M405" t="s">
        <v>23</v>
      </c>
      <c r="N405" t="s">
        <v>23</v>
      </c>
      <c r="O405" t="s">
        <v>24</v>
      </c>
      <c r="P405" s="8" t="s">
        <v>658</v>
      </c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 x14ac:dyDescent="0.2">
      <c r="A406" s="6" t="s">
        <v>17</v>
      </c>
      <c r="B406" t="s">
        <v>61</v>
      </c>
      <c r="C406" t="s">
        <v>62</v>
      </c>
      <c r="D406" t="s">
        <v>659</v>
      </c>
      <c r="E406" s="2">
        <v>66.900000000000006</v>
      </c>
      <c r="F406" s="3">
        <f t="shared" si="54"/>
        <v>45364</v>
      </c>
      <c r="G406" s="3">
        <f t="shared" si="54"/>
        <v>45364</v>
      </c>
      <c r="H406">
        <v>754180129</v>
      </c>
      <c r="I406" t="s">
        <v>51</v>
      </c>
      <c r="K406" t="s">
        <v>21</v>
      </c>
      <c r="L406" t="s">
        <v>22</v>
      </c>
      <c r="M406" t="s">
        <v>23</v>
      </c>
      <c r="N406" t="s">
        <v>23</v>
      </c>
      <c r="O406" t="s">
        <v>24</v>
      </c>
      <c r="P406" s="8" t="s">
        <v>660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 x14ac:dyDescent="0.2">
      <c r="A407" s="6" t="s">
        <v>17</v>
      </c>
      <c r="B407" t="s">
        <v>61</v>
      </c>
      <c r="C407" t="s">
        <v>62</v>
      </c>
      <c r="D407" t="s">
        <v>661</v>
      </c>
      <c r="E407" s="2">
        <v>58</v>
      </c>
      <c r="F407" s="3">
        <f t="shared" si="54"/>
        <v>45364</v>
      </c>
      <c r="G407" s="3">
        <f t="shared" si="54"/>
        <v>45364</v>
      </c>
      <c r="H407">
        <v>754180130</v>
      </c>
      <c r="I407" t="s">
        <v>51</v>
      </c>
      <c r="K407" t="s">
        <v>21</v>
      </c>
      <c r="L407" t="s">
        <v>22</v>
      </c>
      <c r="M407" t="s">
        <v>23</v>
      </c>
      <c r="N407" t="s">
        <v>23</v>
      </c>
      <c r="O407" t="s">
        <v>24</v>
      </c>
      <c r="P407" s="8" t="s">
        <v>662</v>
      </c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 x14ac:dyDescent="0.2">
      <c r="A408" s="6" t="s">
        <v>17</v>
      </c>
      <c r="B408" t="s">
        <v>104</v>
      </c>
      <c r="C408" t="s">
        <v>105</v>
      </c>
      <c r="D408" t="s">
        <v>106</v>
      </c>
      <c r="E408" s="2">
        <v>20.89</v>
      </c>
      <c r="F408" s="3">
        <f t="shared" si="54"/>
        <v>45364</v>
      </c>
      <c r="G408" s="3">
        <f t="shared" si="54"/>
        <v>45364</v>
      </c>
      <c r="H408">
        <v>754180131</v>
      </c>
      <c r="I408" t="s">
        <v>51</v>
      </c>
      <c r="K408" t="s">
        <v>21</v>
      </c>
      <c r="L408" t="s">
        <v>22</v>
      </c>
      <c r="M408" t="s">
        <v>23</v>
      </c>
      <c r="N408" t="s">
        <v>23</v>
      </c>
      <c r="O408" t="s">
        <v>24</v>
      </c>
      <c r="P408" s="8" t="s">
        <v>663</v>
      </c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 x14ac:dyDescent="0.2">
      <c r="A409" s="6" t="s">
        <v>17</v>
      </c>
      <c r="B409" t="s">
        <v>65</v>
      </c>
      <c r="C409" t="s">
        <v>66</v>
      </c>
      <c r="D409" t="s">
        <v>664</v>
      </c>
      <c r="E409" s="2">
        <v>89</v>
      </c>
      <c r="F409" s="3">
        <f t="shared" ref="F409:G412" si="55">DATE(2024,3,15)</f>
        <v>45366</v>
      </c>
      <c r="G409" s="3">
        <f t="shared" si="55"/>
        <v>45366</v>
      </c>
      <c r="H409">
        <v>755246029</v>
      </c>
      <c r="I409" t="s">
        <v>20</v>
      </c>
      <c r="K409" t="s">
        <v>21</v>
      </c>
      <c r="L409" t="s">
        <v>22</v>
      </c>
      <c r="M409" t="s">
        <v>23</v>
      </c>
      <c r="N409" t="s">
        <v>23</v>
      </c>
      <c r="O409" t="s">
        <v>24</v>
      </c>
      <c r="P409" s="8" t="s">
        <v>665</v>
      </c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 x14ac:dyDescent="0.2">
      <c r="A410" s="6" t="s">
        <v>17</v>
      </c>
      <c r="B410" t="s">
        <v>61</v>
      </c>
      <c r="C410" t="s">
        <v>62</v>
      </c>
      <c r="D410" t="s">
        <v>666</v>
      </c>
      <c r="E410" s="2">
        <v>378</v>
      </c>
      <c r="F410" s="3">
        <f t="shared" si="55"/>
        <v>45366</v>
      </c>
      <c r="G410" s="3">
        <f t="shared" si="55"/>
        <v>45366</v>
      </c>
      <c r="H410">
        <v>755246030</v>
      </c>
      <c r="I410" t="s">
        <v>20</v>
      </c>
      <c r="K410" t="s">
        <v>21</v>
      </c>
      <c r="L410" t="s">
        <v>22</v>
      </c>
      <c r="M410" t="s">
        <v>23</v>
      </c>
      <c r="N410" t="s">
        <v>23</v>
      </c>
      <c r="O410" t="s">
        <v>24</v>
      </c>
      <c r="P410" s="8" t="s">
        <v>667</v>
      </c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 x14ac:dyDescent="0.2">
      <c r="A411" s="6" t="s">
        <v>17</v>
      </c>
      <c r="B411" t="s">
        <v>57</v>
      </c>
      <c r="C411" t="s">
        <v>58</v>
      </c>
      <c r="D411" t="s">
        <v>668</v>
      </c>
      <c r="E411" s="2">
        <v>47.98</v>
      </c>
      <c r="F411" s="3">
        <f t="shared" si="55"/>
        <v>45366</v>
      </c>
      <c r="G411" s="3">
        <f t="shared" si="55"/>
        <v>45366</v>
      </c>
      <c r="H411">
        <v>755246031</v>
      </c>
      <c r="I411" t="s">
        <v>20</v>
      </c>
      <c r="K411" t="s">
        <v>21</v>
      </c>
      <c r="L411" t="s">
        <v>22</v>
      </c>
      <c r="M411" t="s">
        <v>23</v>
      </c>
      <c r="N411" t="s">
        <v>23</v>
      </c>
      <c r="O411" t="s">
        <v>24</v>
      </c>
      <c r="P411" s="8" t="s">
        <v>669</v>
      </c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 x14ac:dyDescent="0.2">
      <c r="A412" s="6" t="s">
        <v>17</v>
      </c>
      <c r="B412" t="s">
        <v>670</v>
      </c>
      <c r="C412" t="s">
        <v>671</v>
      </c>
      <c r="D412" t="s">
        <v>672</v>
      </c>
      <c r="E412" s="2">
        <v>520.26</v>
      </c>
      <c r="F412" s="3">
        <f t="shared" si="55"/>
        <v>45366</v>
      </c>
      <c r="G412" s="3">
        <f t="shared" si="55"/>
        <v>45366</v>
      </c>
      <c r="H412">
        <v>755246032</v>
      </c>
      <c r="I412" t="s">
        <v>20</v>
      </c>
      <c r="K412" t="s">
        <v>21</v>
      </c>
      <c r="L412" t="s">
        <v>22</v>
      </c>
      <c r="M412" t="s">
        <v>23</v>
      </c>
      <c r="N412" t="s">
        <v>23</v>
      </c>
      <c r="O412" t="s">
        <v>24</v>
      </c>
      <c r="P412" s="8" t="s">
        <v>673</v>
      </c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 x14ac:dyDescent="0.2">
      <c r="A413" s="6" t="s">
        <v>17</v>
      </c>
      <c r="B413" t="s">
        <v>674</v>
      </c>
      <c r="C413" t="s">
        <v>675</v>
      </c>
      <c r="D413" t="s">
        <v>676</v>
      </c>
      <c r="E413" s="2">
        <v>58.93</v>
      </c>
      <c r="F413" s="3">
        <f>DATE(2024,3,13)</f>
        <v>45364</v>
      </c>
      <c r="G413" s="3">
        <f>DATE(2024,3,13)</f>
        <v>45364</v>
      </c>
      <c r="H413">
        <v>755246036</v>
      </c>
      <c r="I413" t="s">
        <v>51</v>
      </c>
      <c r="K413" t="s">
        <v>21</v>
      </c>
      <c r="L413" t="s">
        <v>22</v>
      </c>
      <c r="M413" t="s">
        <v>23</v>
      </c>
      <c r="N413" t="s">
        <v>23</v>
      </c>
      <c r="O413" t="s">
        <v>24</v>
      </c>
      <c r="P413" s="8" t="s">
        <v>677</v>
      </c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 x14ac:dyDescent="0.2">
      <c r="A414" s="6" t="s">
        <v>17</v>
      </c>
      <c r="B414" t="s">
        <v>44</v>
      </c>
      <c r="C414" t="s">
        <v>45</v>
      </c>
      <c r="D414" t="s">
        <v>678</v>
      </c>
      <c r="E414" s="2">
        <v>6.99</v>
      </c>
      <c r="F414" s="3">
        <f>DATE(2024,3,15)</f>
        <v>45366</v>
      </c>
      <c r="G414" s="3">
        <f>DATE(2024,3,15)</f>
        <v>45366</v>
      </c>
      <c r="H414">
        <v>755840115</v>
      </c>
      <c r="I414" t="s">
        <v>51</v>
      </c>
      <c r="K414" t="s">
        <v>21</v>
      </c>
      <c r="L414" t="s">
        <v>22</v>
      </c>
      <c r="M414" t="s">
        <v>23</v>
      </c>
      <c r="N414" t="s">
        <v>23</v>
      </c>
      <c r="O414" t="s">
        <v>24</v>
      </c>
      <c r="P414" s="8" t="s">
        <v>679</v>
      </c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 hidden="1" x14ac:dyDescent="0.2">
      <c r="A415" s="6"/>
      <c r="E415" s="2"/>
      <c r="F415" s="3"/>
      <c r="G415" s="3"/>
      <c r="P415" s="8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 x14ac:dyDescent="0.2">
      <c r="A416" s="6" t="s">
        <v>17</v>
      </c>
      <c r="B416" t="s">
        <v>110</v>
      </c>
      <c r="C416" t="s">
        <v>111</v>
      </c>
      <c r="D416" t="s">
        <v>680</v>
      </c>
      <c r="E416" s="2">
        <v>3.51</v>
      </c>
      <c r="F416" s="3">
        <f>DATE(2024,3,16)</f>
        <v>45367</v>
      </c>
      <c r="G416" s="3">
        <f>DATE(2024,3,16)</f>
        <v>45367</v>
      </c>
      <c r="H416">
        <v>756040699</v>
      </c>
      <c r="I416" t="s">
        <v>73</v>
      </c>
      <c r="K416" t="s">
        <v>21</v>
      </c>
      <c r="L416" t="s">
        <v>22</v>
      </c>
      <c r="M416" t="s">
        <v>23</v>
      </c>
      <c r="N416" t="s">
        <v>23</v>
      </c>
      <c r="O416" t="s">
        <v>24</v>
      </c>
      <c r="P416" s="8" t="s">
        <v>681</v>
      </c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 x14ac:dyDescent="0.2">
      <c r="A417" s="6" t="s">
        <v>17</v>
      </c>
      <c r="B417" t="s">
        <v>61</v>
      </c>
      <c r="C417" t="s">
        <v>62</v>
      </c>
      <c r="D417" t="s">
        <v>682</v>
      </c>
      <c r="E417" s="2">
        <v>140</v>
      </c>
      <c r="F417" s="3">
        <f t="shared" ref="F417:G421" si="56">DATE(2024,3,18)</f>
        <v>45369</v>
      </c>
      <c r="G417" s="3">
        <f t="shared" si="56"/>
        <v>45369</v>
      </c>
      <c r="H417">
        <v>757927585</v>
      </c>
      <c r="I417" t="s">
        <v>20</v>
      </c>
      <c r="K417" t="s">
        <v>21</v>
      </c>
      <c r="L417" t="s">
        <v>22</v>
      </c>
      <c r="M417" t="s">
        <v>23</v>
      </c>
      <c r="N417" t="s">
        <v>23</v>
      </c>
      <c r="O417" t="s">
        <v>24</v>
      </c>
      <c r="P417" s="8" t="s">
        <v>683</v>
      </c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 x14ac:dyDescent="0.2">
      <c r="A418" s="6" t="s">
        <v>17</v>
      </c>
      <c r="B418" t="s">
        <v>183</v>
      </c>
      <c r="C418" t="s">
        <v>184</v>
      </c>
      <c r="D418" t="s">
        <v>684</v>
      </c>
      <c r="E418" s="2">
        <v>8193</v>
      </c>
      <c r="F418" s="3">
        <f t="shared" si="56"/>
        <v>45369</v>
      </c>
      <c r="G418" s="3">
        <f t="shared" si="56"/>
        <v>45369</v>
      </c>
      <c r="H418">
        <v>757927586</v>
      </c>
      <c r="I418" t="s">
        <v>20</v>
      </c>
      <c r="K418" t="s">
        <v>21</v>
      </c>
      <c r="L418" t="s">
        <v>22</v>
      </c>
      <c r="M418" t="s">
        <v>23</v>
      </c>
      <c r="N418" t="s">
        <v>23</v>
      </c>
      <c r="O418" t="s">
        <v>24</v>
      </c>
      <c r="P418" s="8" t="s">
        <v>685</v>
      </c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 x14ac:dyDescent="0.2">
      <c r="A419" s="6" t="s">
        <v>17</v>
      </c>
      <c r="B419" t="s">
        <v>223</v>
      </c>
      <c r="C419" t="s">
        <v>223</v>
      </c>
      <c r="D419" t="s">
        <v>686</v>
      </c>
      <c r="E419" s="2">
        <v>215.82</v>
      </c>
      <c r="F419" s="3">
        <f t="shared" si="56"/>
        <v>45369</v>
      </c>
      <c r="G419" s="3">
        <f t="shared" si="56"/>
        <v>45369</v>
      </c>
      <c r="H419">
        <v>757927587</v>
      </c>
      <c r="I419" t="s">
        <v>20</v>
      </c>
      <c r="K419" t="s">
        <v>21</v>
      </c>
      <c r="L419" t="s">
        <v>22</v>
      </c>
      <c r="M419" t="s">
        <v>23</v>
      </c>
      <c r="N419" t="s">
        <v>23</v>
      </c>
      <c r="O419" t="s">
        <v>24</v>
      </c>
      <c r="P419" s="8" t="s">
        <v>687</v>
      </c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 hidden="1" x14ac:dyDescent="0.2">
      <c r="A420" s="6"/>
      <c r="E420" s="2"/>
      <c r="F420" s="3"/>
      <c r="G420" s="3"/>
      <c r="P420" s="8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 x14ac:dyDescent="0.2">
      <c r="A421" s="6" t="s">
        <v>17</v>
      </c>
      <c r="B421" t="s">
        <v>44</v>
      </c>
      <c r="C421" t="s">
        <v>45</v>
      </c>
      <c r="D421" t="s">
        <v>688</v>
      </c>
      <c r="E421" s="2">
        <v>423.36</v>
      </c>
      <c r="F421" s="3">
        <f t="shared" si="56"/>
        <v>45369</v>
      </c>
      <c r="G421" s="3">
        <f t="shared" si="56"/>
        <v>45369</v>
      </c>
      <c r="H421">
        <v>757927589</v>
      </c>
      <c r="I421" t="s">
        <v>20</v>
      </c>
      <c r="K421" t="s">
        <v>21</v>
      </c>
      <c r="L421" t="s">
        <v>22</v>
      </c>
      <c r="M421" t="s">
        <v>23</v>
      </c>
      <c r="N421" t="s">
        <v>23</v>
      </c>
      <c r="O421" t="s">
        <v>24</v>
      </c>
      <c r="P421" s="8" t="s">
        <v>689</v>
      </c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 x14ac:dyDescent="0.2">
      <c r="A422" s="6" t="s">
        <v>17</v>
      </c>
      <c r="B422" t="s">
        <v>44</v>
      </c>
      <c r="C422" t="s">
        <v>45</v>
      </c>
      <c r="D422" t="s">
        <v>690</v>
      </c>
      <c r="E422" s="2">
        <v>19.239999999999998</v>
      </c>
      <c r="F422" s="3">
        <f>DATE(2024,3,15)</f>
        <v>45366</v>
      </c>
      <c r="G422" s="3">
        <f>DATE(2024,3,15)</f>
        <v>45366</v>
      </c>
      <c r="H422">
        <v>757927593</v>
      </c>
      <c r="I422" t="s">
        <v>51</v>
      </c>
      <c r="K422" t="s">
        <v>21</v>
      </c>
      <c r="L422" t="s">
        <v>22</v>
      </c>
      <c r="M422" t="s">
        <v>23</v>
      </c>
      <c r="N422" t="s">
        <v>23</v>
      </c>
      <c r="O422" t="s">
        <v>24</v>
      </c>
      <c r="P422" s="8" t="s">
        <v>691</v>
      </c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 x14ac:dyDescent="0.2">
      <c r="A423" s="6" t="s">
        <v>17</v>
      </c>
      <c r="B423" t="s">
        <v>144</v>
      </c>
      <c r="C423" t="s">
        <v>145</v>
      </c>
      <c r="D423" t="s">
        <v>692</v>
      </c>
      <c r="E423" s="2">
        <v>266</v>
      </c>
      <c r="F423" s="3">
        <f>DATE(2024,3,16)</f>
        <v>45367</v>
      </c>
      <c r="G423" s="3">
        <f>DATE(2024,3,16)</f>
        <v>45367</v>
      </c>
      <c r="H423">
        <v>757927594</v>
      </c>
      <c r="I423" t="s">
        <v>51</v>
      </c>
      <c r="K423" t="s">
        <v>21</v>
      </c>
      <c r="L423" t="s">
        <v>22</v>
      </c>
      <c r="M423" t="s">
        <v>23</v>
      </c>
      <c r="N423" t="s">
        <v>23</v>
      </c>
      <c r="O423" t="s">
        <v>24</v>
      </c>
      <c r="P423" s="8" t="s">
        <v>693</v>
      </c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 x14ac:dyDescent="0.2">
      <c r="A424" s="6" t="s">
        <v>17</v>
      </c>
      <c r="B424" t="s">
        <v>18</v>
      </c>
      <c r="C424" t="s">
        <v>18</v>
      </c>
      <c r="D424" t="s">
        <v>189</v>
      </c>
      <c r="E424" s="2">
        <v>55.24</v>
      </c>
      <c r="F424" s="3">
        <f>DATE(2024,3,18)</f>
        <v>45369</v>
      </c>
      <c r="G424" s="3">
        <f>DATE(2024,3,18)</f>
        <v>45369</v>
      </c>
      <c r="H424">
        <v>758542642</v>
      </c>
      <c r="I424" t="s">
        <v>73</v>
      </c>
      <c r="K424" t="s">
        <v>21</v>
      </c>
      <c r="L424" t="s">
        <v>22</v>
      </c>
      <c r="M424" t="s">
        <v>23</v>
      </c>
      <c r="N424" t="s">
        <v>23</v>
      </c>
      <c r="O424" t="s">
        <v>24</v>
      </c>
      <c r="P424" s="8" t="s">
        <v>694</v>
      </c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 x14ac:dyDescent="0.2">
      <c r="A425" s="6" t="s">
        <v>17</v>
      </c>
      <c r="B425" t="s">
        <v>57</v>
      </c>
      <c r="C425" t="s">
        <v>58</v>
      </c>
      <c r="D425" t="s">
        <v>695</v>
      </c>
      <c r="E425" s="2">
        <v>71.94</v>
      </c>
      <c r="F425" s="3">
        <f t="shared" ref="F425:G427" si="57">DATE(2024,3,19)</f>
        <v>45370</v>
      </c>
      <c r="G425" s="3">
        <f t="shared" si="57"/>
        <v>45370</v>
      </c>
      <c r="H425">
        <v>760074109</v>
      </c>
      <c r="I425" t="s">
        <v>20</v>
      </c>
      <c r="K425" t="s">
        <v>21</v>
      </c>
      <c r="L425" t="s">
        <v>22</v>
      </c>
      <c r="M425" t="s">
        <v>23</v>
      </c>
      <c r="N425" t="s">
        <v>23</v>
      </c>
      <c r="O425" t="s">
        <v>24</v>
      </c>
      <c r="P425" s="8" t="s">
        <v>696</v>
      </c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 x14ac:dyDescent="0.2">
      <c r="A426" s="6" t="s">
        <v>17</v>
      </c>
      <c r="B426" t="s">
        <v>104</v>
      </c>
      <c r="C426" t="s">
        <v>105</v>
      </c>
      <c r="D426" t="s">
        <v>697</v>
      </c>
      <c r="E426" s="2">
        <v>392.96</v>
      </c>
      <c r="F426" s="3">
        <f t="shared" si="57"/>
        <v>45370</v>
      </c>
      <c r="G426" s="3">
        <f t="shared" si="57"/>
        <v>45370</v>
      </c>
      <c r="H426">
        <v>760074110</v>
      </c>
      <c r="I426" t="s">
        <v>20</v>
      </c>
      <c r="K426" t="s">
        <v>21</v>
      </c>
      <c r="L426" t="s">
        <v>22</v>
      </c>
      <c r="M426" t="s">
        <v>23</v>
      </c>
      <c r="N426" t="s">
        <v>23</v>
      </c>
      <c r="O426" t="s">
        <v>24</v>
      </c>
      <c r="P426" s="8" t="s">
        <v>698</v>
      </c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 x14ac:dyDescent="0.2">
      <c r="A427" s="6" t="s">
        <v>17</v>
      </c>
      <c r="B427" t="s">
        <v>61</v>
      </c>
      <c r="C427" t="s">
        <v>62</v>
      </c>
      <c r="D427" t="s">
        <v>699</v>
      </c>
      <c r="E427" s="2">
        <v>0.9</v>
      </c>
      <c r="F427" s="3">
        <f t="shared" si="57"/>
        <v>45370</v>
      </c>
      <c r="G427" s="3">
        <f t="shared" si="57"/>
        <v>45370</v>
      </c>
      <c r="H427">
        <v>760074111</v>
      </c>
      <c r="I427" t="s">
        <v>20</v>
      </c>
      <c r="K427" t="s">
        <v>21</v>
      </c>
      <c r="L427" t="s">
        <v>22</v>
      </c>
      <c r="M427" t="s">
        <v>23</v>
      </c>
      <c r="N427" t="s">
        <v>23</v>
      </c>
      <c r="O427" t="s">
        <v>24</v>
      </c>
      <c r="P427" s="8" t="s">
        <v>700</v>
      </c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 hidden="1" x14ac:dyDescent="0.2">
      <c r="A428" s="6"/>
      <c r="E428" s="2"/>
      <c r="F428" s="3"/>
      <c r="G428" s="3"/>
      <c r="P428" s="8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 hidden="1" x14ac:dyDescent="0.2">
      <c r="A429" s="6"/>
      <c r="E429" s="2"/>
      <c r="F429" s="3"/>
      <c r="G429" s="3"/>
      <c r="P429" s="8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 hidden="1" x14ac:dyDescent="0.2">
      <c r="A430" s="6"/>
      <c r="E430" s="2"/>
      <c r="F430" s="3"/>
      <c r="G430" s="3"/>
      <c r="P430" s="8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 x14ac:dyDescent="0.2">
      <c r="A431" s="6" t="s">
        <v>17</v>
      </c>
      <c r="B431" t="s">
        <v>110</v>
      </c>
      <c r="C431" t="s">
        <v>111</v>
      </c>
      <c r="D431" t="s">
        <v>701</v>
      </c>
      <c r="E431" s="2">
        <v>4.6100000000000003</v>
      </c>
      <c r="F431" s="3">
        <f>DATE(2024,3,19)</f>
        <v>45370</v>
      </c>
      <c r="G431" s="3">
        <f>DATE(2024,3,19)</f>
        <v>45370</v>
      </c>
      <c r="H431">
        <v>760787827</v>
      </c>
      <c r="I431" t="s">
        <v>73</v>
      </c>
      <c r="K431" t="s">
        <v>21</v>
      </c>
      <c r="L431" t="s">
        <v>22</v>
      </c>
      <c r="M431" t="s">
        <v>23</v>
      </c>
      <c r="N431" t="s">
        <v>23</v>
      </c>
      <c r="O431" t="s">
        <v>24</v>
      </c>
      <c r="P431" s="8" t="s">
        <v>702</v>
      </c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 x14ac:dyDescent="0.2">
      <c r="A432" s="6" t="s">
        <v>17</v>
      </c>
      <c r="B432" t="s">
        <v>26</v>
      </c>
      <c r="C432" t="s">
        <v>27</v>
      </c>
      <c r="D432" t="s">
        <v>703</v>
      </c>
      <c r="E432" s="2">
        <v>119.14</v>
      </c>
      <c r="F432" s="3">
        <f t="shared" ref="F432:G434" si="58">DATE(2024,3,20)</f>
        <v>45371</v>
      </c>
      <c r="G432" s="3">
        <f t="shared" si="58"/>
        <v>45371</v>
      </c>
      <c r="H432">
        <v>762134850</v>
      </c>
      <c r="I432" t="s">
        <v>20</v>
      </c>
      <c r="K432" t="s">
        <v>21</v>
      </c>
      <c r="L432" t="s">
        <v>22</v>
      </c>
      <c r="M432" t="s">
        <v>23</v>
      </c>
      <c r="N432" t="s">
        <v>23</v>
      </c>
      <c r="O432" t="s">
        <v>24</v>
      </c>
      <c r="P432" s="8" t="s">
        <v>704</v>
      </c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 hidden="1" x14ac:dyDescent="0.2">
      <c r="A433" s="6"/>
      <c r="E433" s="2"/>
      <c r="F433" s="3"/>
      <c r="G433" s="3"/>
      <c r="P433" s="8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 x14ac:dyDescent="0.2">
      <c r="A434" s="6" t="s">
        <v>17</v>
      </c>
      <c r="B434" t="s">
        <v>110</v>
      </c>
      <c r="C434" t="s">
        <v>111</v>
      </c>
      <c r="D434" t="s">
        <v>705</v>
      </c>
      <c r="E434" s="2">
        <v>1.98</v>
      </c>
      <c r="F434" s="3">
        <f t="shared" si="58"/>
        <v>45371</v>
      </c>
      <c r="G434" s="3">
        <f t="shared" si="58"/>
        <v>45371</v>
      </c>
      <c r="H434">
        <v>762756126</v>
      </c>
      <c r="I434" t="s">
        <v>73</v>
      </c>
      <c r="K434" t="s">
        <v>21</v>
      </c>
      <c r="L434" t="s">
        <v>22</v>
      </c>
      <c r="M434" t="s">
        <v>23</v>
      </c>
      <c r="N434" t="s">
        <v>23</v>
      </c>
      <c r="O434" t="s">
        <v>24</v>
      </c>
      <c r="P434" s="8" t="s">
        <v>706</v>
      </c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 hidden="1" x14ac:dyDescent="0.2">
      <c r="A435" s="6"/>
      <c r="E435" s="2"/>
      <c r="F435" s="3"/>
      <c r="G435" s="3"/>
      <c r="P435" s="8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 x14ac:dyDescent="0.2">
      <c r="A436" s="6" t="s">
        <v>17</v>
      </c>
      <c r="B436" t="s">
        <v>232</v>
      </c>
      <c r="C436" t="s">
        <v>233</v>
      </c>
      <c r="D436" t="s">
        <v>707</v>
      </c>
      <c r="E436" s="2">
        <v>1777</v>
      </c>
      <c r="F436" s="3">
        <f>DATE(2024,3,21)</f>
        <v>45372</v>
      </c>
      <c r="G436" s="3">
        <f>DATE(2024,3,21)</f>
        <v>45372</v>
      </c>
      <c r="H436">
        <v>764144190</v>
      </c>
      <c r="I436" t="s">
        <v>20</v>
      </c>
      <c r="K436" t="s">
        <v>21</v>
      </c>
      <c r="L436" t="s">
        <v>22</v>
      </c>
      <c r="M436" t="s">
        <v>23</v>
      </c>
      <c r="N436" t="s">
        <v>23</v>
      </c>
      <c r="O436" t="s">
        <v>24</v>
      </c>
      <c r="P436" s="8" t="s">
        <v>708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 x14ac:dyDescent="0.2">
      <c r="A437" s="6" t="s">
        <v>17</v>
      </c>
      <c r="B437" t="s">
        <v>34</v>
      </c>
      <c r="C437" t="s">
        <v>35</v>
      </c>
      <c r="D437" t="s">
        <v>228</v>
      </c>
      <c r="E437" s="2">
        <v>40</v>
      </c>
      <c r="F437" s="3">
        <f>DATE(2024,3,20)</f>
        <v>45371</v>
      </c>
      <c r="G437" s="3">
        <f>DATE(2024,3,20)</f>
        <v>45371</v>
      </c>
      <c r="H437">
        <v>764144191</v>
      </c>
      <c r="I437" t="s">
        <v>51</v>
      </c>
      <c r="K437" t="s">
        <v>21</v>
      </c>
      <c r="L437" t="s">
        <v>22</v>
      </c>
      <c r="M437" t="s">
        <v>23</v>
      </c>
      <c r="N437" t="s">
        <v>23</v>
      </c>
      <c r="O437" t="s">
        <v>24</v>
      </c>
      <c r="P437" s="8" t="s">
        <v>709</v>
      </c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 x14ac:dyDescent="0.2">
      <c r="A438" s="6" t="s">
        <v>17</v>
      </c>
      <c r="B438" t="s">
        <v>26</v>
      </c>
      <c r="C438" t="s">
        <v>27</v>
      </c>
      <c r="D438" t="s">
        <v>230</v>
      </c>
      <c r="E438" s="2">
        <v>5.99</v>
      </c>
      <c r="F438" s="3">
        <f>DATE(2024,3,20)</f>
        <v>45371</v>
      </c>
      <c r="G438" s="3">
        <f>DATE(2024,3,20)</f>
        <v>45371</v>
      </c>
      <c r="H438">
        <v>764144192</v>
      </c>
      <c r="I438" t="s">
        <v>51</v>
      </c>
      <c r="K438" t="s">
        <v>21</v>
      </c>
      <c r="L438" t="s">
        <v>22</v>
      </c>
      <c r="M438" t="s">
        <v>23</v>
      </c>
      <c r="N438" t="s">
        <v>23</v>
      </c>
      <c r="O438" t="s">
        <v>24</v>
      </c>
      <c r="P438" s="8" t="s">
        <v>710</v>
      </c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 x14ac:dyDescent="0.2">
      <c r="A439" s="6" t="s">
        <v>17</v>
      </c>
      <c r="B439" t="s">
        <v>57</v>
      </c>
      <c r="C439" t="s">
        <v>58</v>
      </c>
      <c r="D439" t="s">
        <v>711</v>
      </c>
      <c r="E439" s="2">
        <v>110.27</v>
      </c>
      <c r="F439" s="3">
        <f t="shared" ref="F439:G444" si="59">DATE(2024,3,22)</f>
        <v>45373</v>
      </c>
      <c r="G439" s="3">
        <f t="shared" si="59"/>
        <v>45373</v>
      </c>
      <c r="H439">
        <v>765460316</v>
      </c>
      <c r="I439" t="s">
        <v>20</v>
      </c>
      <c r="K439" t="s">
        <v>21</v>
      </c>
      <c r="L439" t="s">
        <v>22</v>
      </c>
      <c r="M439" t="s">
        <v>23</v>
      </c>
      <c r="N439" t="s">
        <v>23</v>
      </c>
      <c r="O439" t="s">
        <v>24</v>
      </c>
      <c r="P439" s="8" t="s">
        <v>712</v>
      </c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 x14ac:dyDescent="0.2">
      <c r="A440" s="6" t="s">
        <v>17</v>
      </c>
      <c r="B440" t="s">
        <v>57</v>
      </c>
      <c r="C440" t="s">
        <v>58</v>
      </c>
      <c r="D440" t="s">
        <v>713</v>
      </c>
      <c r="E440" s="2">
        <v>51.99</v>
      </c>
      <c r="F440" s="3">
        <f t="shared" si="59"/>
        <v>45373</v>
      </c>
      <c r="G440" s="3">
        <f t="shared" si="59"/>
        <v>45373</v>
      </c>
      <c r="H440">
        <v>765460317</v>
      </c>
      <c r="I440" t="s">
        <v>20</v>
      </c>
      <c r="K440" t="s">
        <v>21</v>
      </c>
      <c r="L440" t="s">
        <v>22</v>
      </c>
      <c r="M440" t="s">
        <v>23</v>
      </c>
      <c r="N440" t="s">
        <v>23</v>
      </c>
      <c r="O440" t="s">
        <v>24</v>
      </c>
      <c r="P440" s="8" t="s">
        <v>714</v>
      </c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 x14ac:dyDescent="0.2">
      <c r="A441" s="6" t="s">
        <v>17</v>
      </c>
      <c r="B441" t="s">
        <v>57</v>
      </c>
      <c r="C441" t="s">
        <v>58</v>
      </c>
      <c r="D441" t="s">
        <v>715</v>
      </c>
      <c r="E441" s="2">
        <v>78</v>
      </c>
      <c r="F441" s="3">
        <f t="shared" si="59"/>
        <v>45373</v>
      </c>
      <c r="G441" s="3">
        <f t="shared" si="59"/>
        <v>45373</v>
      </c>
      <c r="H441">
        <v>765460318</v>
      </c>
      <c r="I441" t="s">
        <v>20</v>
      </c>
      <c r="K441" t="s">
        <v>21</v>
      </c>
      <c r="L441" t="s">
        <v>22</v>
      </c>
      <c r="M441" t="s">
        <v>23</v>
      </c>
      <c r="N441" t="s">
        <v>23</v>
      </c>
      <c r="O441" t="s">
        <v>24</v>
      </c>
      <c r="P441" s="8" t="s">
        <v>716</v>
      </c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 hidden="1" x14ac:dyDescent="0.2">
      <c r="A442" s="6"/>
      <c r="E442" s="2"/>
      <c r="F442" s="3"/>
      <c r="G442" s="3"/>
      <c r="P442" s="8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 x14ac:dyDescent="0.2">
      <c r="A443" s="6" t="s">
        <v>17</v>
      </c>
      <c r="B443" t="s">
        <v>110</v>
      </c>
      <c r="C443" t="s">
        <v>111</v>
      </c>
      <c r="D443" t="s">
        <v>717</v>
      </c>
      <c r="E443" s="2">
        <v>0.56999999999999995</v>
      </c>
      <c r="F443" s="3">
        <f t="shared" si="59"/>
        <v>45373</v>
      </c>
      <c r="G443" s="3">
        <f t="shared" si="59"/>
        <v>45373</v>
      </c>
      <c r="H443">
        <v>765703934</v>
      </c>
      <c r="I443" t="s">
        <v>73</v>
      </c>
      <c r="K443" t="s">
        <v>21</v>
      </c>
      <c r="L443" t="s">
        <v>22</v>
      </c>
      <c r="M443" t="s">
        <v>23</v>
      </c>
      <c r="N443" t="s">
        <v>23</v>
      </c>
      <c r="O443" t="s">
        <v>24</v>
      </c>
      <c r="P443" s="8" t="s">
        <v>718</v>
      </c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 x14ac:dyDescent="0.2">
      <c r="A444" s="6" t="s">
        <v>17</v>
      </c>
      <c r="B444" t="s">
        <v>44</v>
      </c>
      <c r="C444" t="s">
        <v>45</v>
      </c>
      <c r="D444" t="s">
        <v>719</v>
      </c>
      <c r="E444" s="2">
        <v>60</v>
      </c>
      <c r="F444" s="3">
        <f t="shared" si="59"/>
        <v>45373</v>
      </c>
      <c r="G444" s="3">
        <f t="shared" si="59"/>
        <v>45373</v>
      </c>
      <c r="H444">
        <v>766402082</v>
      </c>
      <c r="I444" t="s">
        <v>51</v>
      </c>
      <c r="K444" t="s">
        <v>21</v>
      </c>
      <c r="L444" t="s">
        <v>22</v>
      </c>
      <c r="M444" t="s">
        <v>23</v>
      </c>
      <c r="N444" t="s">
        <v>23</v>
      </c>
      <c r="O444" t="s">
        <v>24</v>
      </c>
      <c r="P444" s="8" t="s">
        <v>720</v>
      </c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 x14ac:dyDescent="0.2">
      <c r="A445" s="6" t="s">
        <v>17</v>
      </c>
      <c r="B445" t="s">
        <v>44</v>
      </c>
      <c r="C445" t="s">
        <v>45</v>
      </c>
      <c r="D445" t="s">
        <v>509</v>
      </c>
      <c r="E445" s="2">
        <v>19.239999999999998</v>
      </c>
      <c r="F445" s="3">
        <f>DATE(2024,3,23)</f>
        <v>45374</v>
      </c>
      <c r="G445" s="3">
        <f>DATE(2024,3,23)</f>
        <v>45374</v>
      </c>
      <c r="H445">
        <v>766402083</v>
      </c>
      <c r="I445" t="s">
        <v>51</v>
      </c>
      <c r="K445" t="s">
        <v>21</v>
      </c>
      <c r="L445" t="s">
        <v>22</v>
      </c>
      <c r="M445" t="s">
        <v>23</v>
      </c>
      <c r="N445" t="s">
        <v>23</v>
      </c>
      <c r="O445" t="s">
        <v>24</v>
      </c>
      <c r="P445" s="8" t="s">
        <v>721</v>
      </c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 x14ac:dyDescent="0.2">
      <c r="A446" s="6" t="s">
        <v>17</v>
      </c>
      <c r="B446" t="s">
        <v>223</v>
      </c>
      <c r="C446" t="s">
        <v>223</v>
      </c>
      <c r="D446" t="s">
        <v>722</v>
      </c>
      <c r="E446" s="2">
        <v>2512.2199999999998</v>
      </c>
      <c r="F446" s="3">
        <f t="shared" ref="F446:G452" si="60">DATE(2024,3,25)</f>
        <v>45376</v>
      </c>
      <c r="G446" s="3">
        <f t="shared" si="60"/>
        <v>45376</v>
      </c>
      <c r="H446">
        <v>768357159</v>
      </c>
      <c r="I446" t="s">
        <v>20</v>
      </c>
      <c r="K446" t="s">
        <v>21</v>
      </c>
      <c r="L446" t="s">
        <v>22</v>
      </c>
      <c r="M446" t="s">
        <v>23</v>
      </c>
      <c r="N446" t="s">
        <v>23</v>
      </c>
      <c r="O446" t="s">
        <v>24</v>
      </c>
      <c r="P446" s="8" t="s">
        <v>723</v>
      </c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 x14ac:dyDescent="0.2">
      <c r="A447" s="6" t="s">
        <v>17</v>
      </c>
      <c r="B447" t="s">
        <v>261</v>
      </c>
      <c r="C447" t="s">
        <v>262</v>
      </c>
      <c r="D447" t="s">
        <v>724</v>
      </c>
      <c r="E447" s="2">
        <v>2502.65</v>
      </c>
      <c r="F447" s="3">
        <f t="shared" si="60"/>
        <v>45376</v>
      </c>
      <c r="G447" s="3">
        <f t="shared" si="60"/>
        <v>45376</v>
      </c>
      <c r="H447">
        <v>768357160</v>
      </c>
      <c r="I447" t="s">
        <v>20</v>
      </c>
      <c r="K447" t="s">
        <v>21</v>
      </c>
      <c r="L447" t="s">
        <v>22</v>
      </c>
      <c r="M447" t="s">
        <v>23</v>
      </c>
      <c r="N447" t="s">
        <v>23</v>
      </c>
      <c r="O447" t="s">
        <v>24</v>
      </c>
      <c r="P447" s="8" t="s">
        <v>725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 x14ac:dyDescent="0.2">
      <c r="A448" s="6" t="s">
        <v>17</v>
      </c>
      <c r="B448" t="s">
        <v>57</v>
      </c>
      <c r="C448" t="s">
        <v>58</v>
      </c>
      <c r="D448" t="s">
        <v>726</v>
      </c>
      <c r="E448" s="2">
        <v>64.98</v>
      </c>
      <c r="F448" s="3">
        <f t="shared" si="60"/>
        <v>45376</v>
      </c>
      <c r="G448" s="3">
        <f t="shared" si="60"/>
        <v>45376</v>
      </c>
      <c r="H448">
        <v>768357161</v>
      </c>
      <c r="I448" t="s">
        <v>20</v>
      </c>
      <c r="K448" t="s">
        <v>21</v>
      </c>
      <c r="L448" t="s">
        <v>22</v>
      </c>
      <c r="M448" t="s">
        <v>23</v>
      </c>
      <c r="N448" t="s">
        <v>23</v>
      </c>
      <c r="O448" t="s">
        <v>24</v>
      </c>
      <c r="P448" s="8" t="s">
        <v>727</v>
      </c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 hidden="1" x14ac:dyDescent="0.2">
      <c r="A449" s="6"/>
      <c r="E449" s="2"/>
      <c r="F449" s="3"/>
      <c r="G449" s="3"/>
      <c r="P449" s="8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 hidden="1" x14ac:dyDescent="0.2">
      <c r="A450" s="6"/>
      <c r="E450" s="2"/>
      <c r="F450" s="3"/>
      <c r="G450" s="3"/>
      <c r="P450" s="8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 x14ac:dyDescent="0.2">
      <c r="A451" s="6" t="s">
        <v>17</v>
      </c>
      <c r="B451" t="s">
        <v>44</v>
      </c>
      <c r="C451" t="s">
        <v>45</v>
      </c>
      <c r="D451" t="s">
        <v>728</v>
      </c>
      <c r="E451" s="2">
        <v>113.55</v>
      </c>
      <c r="F451" s="3">
        <f t="shared" si="60"/>
        <v>45376</v>
      </c>
      <c r="G451" s="3">
        <f t="shared" si="60"/>
        <v>45376</v>
      </c>
      <c r="H451">
        <v>768357164</v>
      </c>
      <c r="I451" t="s">
        <v>20</v>
      </c>
      <c r="K451" t="s">
        <v>21</v>
      </c>
      <c r="L451" t="s">
        <v>22</v>
      </c>
      <c r="M451" t="s">
        <v>23</v>
      </c>
      <c r="N451" t="s">
        <v>23</v>
      </c>
      <c r="O451" t="s">
        <v>24</v>
      </c>
      <c r="P451" s="8" t="s">
        <v>729</v>
      </c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 hidden="1" x14ac:dyDescent="0.2">
      <c r="A452" s="6"/>
      <c r="E452" s="2"/>
      <c r="F452" s="3"/>
      <c r="G452" s="3"/>
      <c r="P452" s="8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 x14ac:dyDescent="0.2">
      <c r="A453" s="6" t="s">
        <v>17</v>
      </c>
      <c r="B453" t="s">
        <v>26</v>
      </c>
      <c r="C453" t="s">
        <v>27</v>
      </c>
      <c r="D453" t="s">
        <v>730</v>
      </c>
      <c r="E453" s="2">
        <v>83.72</v>
      </c>
      <c r="F453" s="3">
        <f>DATE(2024,3,24)</f>
        <v>45375</v>
      </c>
      <c r="G453" s="3">
        <f>DATE(2024,3,24)</f>
        <v>45375</v>
      </c>
      <c r="H453">
        <v>770928020</v>
      </c>
      <c r="I453" t="s">
        <v>51</v>
      </c>
      <c r="K453" t="s">
        <v>21</v>
      </c>
      <c r="L453" t="s">
        <v>22</v>
      </c>
      <c r="M453" t="s">
        <v>23</v>
      </c>
      <c r="N453" t="s">
        <v>23</v>
      </c>
      <c r="O453" t="s">
        <v>24</v>
      </c>
      <c r="P453" s="8" t="s">
        <v>731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 x14ac:dyDescent="0.2">
      <c r="A454" s="6" t="s">
        <v>17</v>
      </c>
      <c r="B454" t="s">
        <v>44</v>
      </c>
      <c r="C454" t="s">
        <v>45</v>
      </c>
      <c r="D454" t="s">
        <v>732</v>
      </c>
      <c r="E454" s="2">
        <v>28</v>
      </c>
      <c r="F454" s="3">
        <f>DATE(2024,3,28)</f>
        <v>45379</v>
      </c>
      <c r="G454" s="3">
        <f>DATE(2024,3,28)</f>
        <v>45379</v>
      </c>
      <c r="H454">
        <v>773200640</v>
      </c>
      <c r="I454" t="s">
        <v>20</v>
      </c>
      <c r="K454" t="s">
        <v>21</v>
      </c>
      <c r="L454" t="s">
        <v>22</v>
      </c>
      <c r="M454" t="s">
        <v>23</v>
      </c>
      <c r="N454" t="s">
        <v>23</v>
      </c>
      <c r="O454" t="s">
        <v>24</v>
      </c>
      <c r="P454" s="8" t="s">
        <v>733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 hidden="1" x14ac:dyDescent="0.2">
      <c r="A455" s="6"/>
      <c r="E455" s="2"/>
      <c r="F455" s="3"/>
      <c r="G455" s="3"/>
      <c r="P455" s="8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 x14ac:dyDescent="0.2">
      <c r="A456" s="6" t="s">
        <v>17</v>
      </c>
      <c r="B456" t="s">
        <v>44</v>
      </c>
      <c r="C456" t="s">
        <v>45</v>
      </c>
      <c r="D456" t="s">
        <v>734</v>
      </c>
      <c r="E456" s="2">
        <v>35.07</v>
      </c>
      <c r="F456" s="3">
        <f t="shared" ref="F456:G458" si="61">DATE(2024,3,27)</f>
        <v>45378</v>
      </c>
      <c r="G456" s="3">
        <f t="shared" si="61"/>
        <v>45378</v>
      </c>
      <c r="H456">
        <v>773200642</v>
      </c>
      <c r="I456" t="s">
        <v>20</v>
      </c>
      <c r="K456" t="s">
        <v>21</v>
      </c>
      <c r="L456" t="s">
        <v>22</v>
      </c>
      <c r="M456" t="s">
        <v>23</v>
      </c>
      <c r="N456" t="s">
        <v>23</v>
      </c>
      <c r="O456" t="s">
        <v>24</v>
      </c>
      <c r="P456" s="8" t="s">
        <v>735</v>
      </c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 hidden="1" x14ac:dyDescent="0.2">
      <c r="A457" s="6"/>
      <c r="E457" s="2"/>
      <c r="F457" s="3"/>
      <c r="G457" s="3"/>
      <c r="P457" s="8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 x14ac:dyDescent="0.2">
      <c r="A458" s="6" t="s">
        <v>17</v>
      </c>
      <c r="B458" t="s">
        <v>61</v>
      </c>
      <c r="C458" t="s">
        <v>62</v>
      </c>
      <c r="D458" t="s">
        <v>736</v>
      </c>
      <c r="E458" s="2">
        <v>420</v>
      </c>
      <c r="F458" s="3">
        <f t="shared" si="61"/>
        <v>45378</v>
      </c>
      <c r="G458" s="3">
        <f t="shared" si="61"/>
        <v>45378</v>
      </c>
      <c r="H458">
        <v>773200644</v>
      </c>
      <c r="I458" t="s">
        <v>20</v>
      </c>
      <c r="K458" t="s">
        <v>21</v>
      </c>
      <c r="L458" t="s">
        <v>22</v>
      </c>
      <c r="M458" t="s">
        <v>23</v>
      </c>
      <c r="N458" t="s">
        <v>23</v>
      </c>
      <c r="O458" t="s">
        <v>24</v>
      </c>
      <c r="P458" s="8" t="s">
        <v>737</v>
      </c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 x14ac:dyDescent="0.2">
      <c r="A459" s="6" t="s">
        <v>17</v>
      </c>
      <c r="B459" t="s">
        <v>44</v>
      </c>
      <c r="C459" t="s">
        <v>45</v>
      </c>
      <c r="D459" t="s">
        <v>738</v>
      </c>
      <c r="E459" s="2">
        <v>82.6</v>
      </c>
      <c r="F459" s="3">
        <f>DATE(2024,3,26)</f>
        <v>45377</v>
      </c>
      <c r="G459" s="3">
        <f>DATE(2024,3,26)</f>
        <v>45377</v>
      </c>
      <c r="H459">
        <v>773200648</v>
      </c>
      <c r="I459" t="s">
        <v>51</v>
      </c>
      <c r="K459" t="s">
        <v>21</v>
      </c>
      <c r="L459" t="s">
        <v>22</v>
      </c>
      <c r="M459" t="s">
        <v>23</v>
      </c>
      <c r="N459" t="s">
        <v>23</v>
      </c>
      <c r="O459" t="s">
        <v>24</v>
      </c>
      <c r="P459" s="8" t="s">
        <v>739</v>
      </c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 hidden="1" x14ac:dyDescent="0.2">
      <c r="A460" s="6"/>
      <c r="E460" s="2"/>
      <c r="F460" s="3"/>
      <c r="G460" s="3"/>
      <c r="P460" s="8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 hidden="1" x14ac:dyDescent="0.2">
      <c r="A461" s="6"/>
      <c r="E461" s="2"/>
      <c r="F461" s="3"/>
      <c r="G461" s="3"/>
      <c r="P461" s="8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 x14ac:dyDescent="0.2">
      <c r="A462" s="6" t="s">
        <v>17</v>
      </c>
      <c r="B462" t="s">
        <v>110</v>
      </c>
      <c r="C462" t="s">
        <v>111</v>
      </c>
      <c r="D462" t="s">
        <v>740</v>
      </c>
      <c r="E462" s="2">
        <v>1.3</v>
      </c>
      <c r="F462" s="3">
        <f t="shared" ref="F460:G464" si="62">DATE(2024,3,27)</f>
        <v>45378</v>
      </c>
      <c r="G462" s="3">
        <f t="shared" si="62"/>
        <v>45378</v>
      </c>
      <c r="H462">
        <v>773855383</v>
      </c>
      <c r="I462" t="s">
        <v>73</v>
      </c>
      <c r="K462" t="s">
        <v>21</v>
      </c>
      <c r="L462" t="s">
        <v>22</v>
      </c>
      <c r="M462" t="s">
        <v>23</v>
      </c>
      <c r="N462" t="s">
        <v>23</v>
      </c>
      <c r="O462" t="s">
        <v>24</v>
      </c>
      <c r="P462" s="8" t="s">
        <v>741</v>
      </c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 hidden="1" x14ac:dyDescent="0.2">
      <c r="A463" s="6"/>
      <c r="E463" s="2"/>
      <c r="F463" s="3"/>
      <c r="G463" s="3"/>
      <c r="P463" s="8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 hidden="1" x14ac:dyDescent="0.2">
      <c r="A464" s="6"/>
      <c r="E464" s="2"/>
      <c r="F464" s="3"/>
      <c r="G464" s="3"/>
      <c r="P464" s="8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 hidden="1" x14ac:dyDescent="0.2">
      <c r="A465" s="6"/>
      <c r="E465" s="2"/>
      <c r="F465" s="3"/>
      <c r="G465" s="3"/>
      <c r="P465" s="8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 x14ac:dyDescent="0.2">
      <c r="A466" s="6" t="s">
        <v>17</v>
      </c>
      <c r="B466" t="s">
        <v>30</v>
      </c>
      <c r="C466" t="s">
        <v>31</v>
      </c>
      <c r="D466" t="s">
        <v>742</v>
      </c>
      <c r="E466" s="2">
        <v>1313.46</v>
      </c>
      <c r="F466" s="3">
        <f>DATE(2024,3,30)</f>
        <v>45381</v>
      </c>
      <c r="G466" s="3">
        <f>DATE(2024,3,30)</f>
        <v>45381</v>
      </c>
      <c r="H466">
        <v>776868058</v>
      </c>
      <c r="I466" t="s">
        <v>20</v>
      </c>
      <c r="K466" t="s">
        <v>21</v>
      </c>
      <c r="L466" t="s">
        <v>22</v>
      </c>
      <c r="M466" t="s">
        <v>23</v>
      </c>
      <c r="N466" t="s">
        <v>23</v>
      </c>
      <c r="O466" t="s">
        <v>24</v>
      </c>
      <c r="P466" s="8" t="s">
        <v>743</v>
      </c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 x14ac:dyDescent="0.2">
      <c r="A467" s="6" t="s">
        <v>17</v>
      </c>
      <c r="B467" t="s">
        <v>367</v>
      </c>
      <c r="C467" t="s">
        <v>368</v>
      </c>
      <c r="D467" t="s">
        <v>744</v>
      </c>
      <c r="E467" s="2">
        <v>250</v>
      </c>
      <c r="F467" s="3">
        <f>DATE(2024,3,29)</f>
        <v>45380</v>
      </c>
      <c r="G467" s="3">
        <f>DATE(2024,3,29)</f>
        <v>45380</v>
      </c>
      <c r="H467">
        <v>776868059</v>
      </c>
      <c r="I467" t="s">
        <v>20</v>
      </c>
      <c r="K467" t="s">
        <v>21</v>
      </c>
      <c r="L467" t="s">
        <v>22</v>
      </c>
      <c r="M467" t="s">
        <v>23</v>
      </c>
      <c r="N467" t="s">
        <v>23</v>
      </c>
      <c r="O467" t="s">
        <v>24</v>
      </c>
      <c r="P467" s="8" t="s">
        <v>745</v>
      </c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 x14ac:dyDescent="0.2">
      <c r="A468" s="6" t="s">
        <v>17</v>
      </c>
      <c r="B468" t="s">
        <v>18</v>
      </c>
      <c r="C468" t="s">
        <v>18</v>
      </c>
      <c r="D468" t="s">
        <v>746</v>
      </c>
      <c r="E468" s="2">
        <v>73.89</v>
      </c>
      <c r="F468" s="3">
        <f>DATE(2024,3,29)</f>
        <v>45380</v>
      </c>
      <c r="G468" s="3">
        <f>DATE(2024,3,29)</f>
        <v>45380</v>
      </c>
      <c r="H468">
        <v>776868060</v>
      </c>
      <c r="I468" t="s">
        <v>20</v>
      </c>
      <c r="K468" t="s">
        <v>21</v>
      </c>
      <c r="L468" t="s">
        <v>22</v>
      </c>
      <c r="M468" t="s">
        <v>23</v>
      </c>
      <c r="N468" t="s">
        <v>23</v>
      </c>
      <c r="O468" t="s">
        <v>24</v>
      </c>
      <c r="P468" s="8" t="s">
        <v>747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 x14ac:dyDescent="0.2">
      <c r="A469" s="6" t="s">
        <v>17</v>
      </c>
      <c r="B469" t="s">
        <v>144</v>
      </c>
      <c r="C469" t="s">
        <v>145</v>
      </c>
      <c r="D469" t="s">
        <v>748</v>
      </c>
      <c r="E469" s="2">
        <v>112.8</v>
      </c>
      <c r="F469" s="3">
        <f>DATE(2024,3,28)</f>
        <v>45379</v>
      </c>
      <c r="G469" s="3">
        <f>DATE(2024,3,28)</f>
        <v>45379</v>
      </c>
      <c r="H469">
        <v>776868071</v>
      </c>
      <c r="I469" t="s">
        <v>51</v>
      </c>
      <c r="K469" t="s">
        <v>21</v>
      </c>
      <c r="L469" t="s">
        <v>22</v>
      </c>
      <c r="M469" t="s">
        <v>23</v>
      </c>
      <c r="N469" t="s">
        <v>23</v>
      </c>
      <c r="O469" t="s">
        <v>24</v>
      </c>
      <c r="P469" s="8" t="s">
        <v>749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 x14ac:dyDescent="0.2">
      <c r="A470" s="6" t="s">
        <v>17</v>
      </c>
      <c r="B470" t="s">
        <v>144</v>
      </c>
      <c r="C470" t="s">
        <v>145</v>
      </c>
      <c r="D470" t="s">
        <v>750</v>
      </c>
      <c r="E470" s="2">
        <v>157</v>
      </c>
      <c r="F470" s="3">
        <f>DATE(2024,3,28)</f>
        <v>45379</v>
      </c>
      <c r="G470" s="3">
        <f>DATE(2024,3,28)</f>
        <v>45379</v>
      </c>
      <c r="H470">
        <v>776868072</v>
      </c>
      <c r="I470" t="s">
        <v>51</v>
      </c>
      <c r="K470" t="s">
        <v>21</v>
      </c>
      <c r="L470" t="s">
        <v>22</v>
      </c>
      <c r="M470" t="s">
        <v>23</v>
      </c>
      <c r="N470" t="s">
        <v>23</v>
      </c>
      <c r="O470" t="s">
        <v>24</v>
      </c>
      <c r="P470" s="8" t="s">
        <v>751</v>
      </c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 x14ac:dyDescent="0.2">
      <c r="A471" s="6" t="s">
        <v>17</v>
      </c>
      <c r="B471" t="s">
        <v>110</v>
      </c>
      <c r="C471" t="s">
        <v>111</v>
      </c>
      <c r="D471" t="s">
        <v>752</v>
      </c>
      <c r="E471" s="2">
        <v>2.11</v>
      </c>
      <c r="F471" s="3">
        <f>DATE(2024,3,29)</f>
        <v>45380</v>
      </c>
      <c r="G471" s="3">
        <f>DATE(2024,3,29)</f>
        <v>45380</v>
      </c>
      <c r="H471">
        <v>777000581</v>
      </c>
      <c r="I471" t="s">
        <v>73</v>
      </c>
      <c r="K471" t="s">
        <v>21</v>
      </c>
      <c r="L471" t="s">
        <v>22</v>
      </c>
      <c r="M471" t="s">
        <v>23</v>
      </c>
      <c r="N471" t="s">
        <v>23</v>
      </c>
      <c r="O471" t="s">
        <v>24</v>
      </c>
      <c r="P471" s="8" t="s">
        <v>753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 hidden="1" x14ac:dyDescent="0.2">
      <c r="A472" s="6"/>
      <c r="E472" s="2"/>
      <c r="F472" s="3"/>
      <c r="G472" s="3"/>
      <c r="P472" s="8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 x14ac:dyDescent="0.2">
      <c r="A473" s="6" t="s">
        <v>17</v>
      </c>
      <c r="B473" t="s">
        <v>110</v>
      </c>
      <c r="C473" t="s">
        <v>111</v>
      </c>
      <c r="D473" t="s">
        <v>754</v>
      </c>
      <c r="E473" s="2">
        <v>1.03</v>
      </c>
      <c r="F473" s="3">
        <f>DATE(2024,3,30)</f>
        <v>45381</v>
      </c>
      <c r="G473" s="3">
        <f>DATE(2024,3,30)</f>
        <v>45381</v>
      </c>
      <c r="H473">
        <v>777558990</v>
      </c>
      <c r="I473" t="s">
        <v>73</v>
      </c>
      <c r="K473" t="s">
        <v>21</v>
      </c>
      <c r="L473" t="s">
        <v>22</v>
      </c>
      <c r="M473" t="s">
        <v>23</v>
      </c>
      <c r="N473" t="s">
        <v>23</v>
      </c>
      <c r="O473" t="s">
        <v>24</v>
      </c>
      <c r="P473" s="8" t="s">
        <v>755</v>
      </c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 hidden="1" x14ac:dyDescent="0.2">
      <c r="A474" s="6"/>
      <c r="E474" s="2"/>
      <c r="F474" s="3"/>
      <c r="G474" s="3"/>
      <c r="P474" s="8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 x14ac:dyDescent="0.2">
      <c r="A475" s="6" t="s">
        <v>17</v>
      </c>
      <c r="B475" t="s">
        <v>110</v>
      </c>
      <c r="C475" t="s">
        <v>111</v>
      </c>
      <c r="D475" t="s">
        <v>756</v>
      </c>
      <c r="E475" s="2">
        <v>1.03</v>
      </c>
      <c r="F475" s="3">
        <f>DATE(2024,3,31)</f>
        <v>45382</v>
      </c>
      <c r="G475" s="3">
        <f>DATE(2024,3,31)</f>
        <v>45382</v>
      </c>
      <c r="H475">
        <v>777558992</v>
      </c>
      <c r="I475" t="s">
        <v>73</v>
      </c>
      <c r="K475" t="s">
        <v>21</v>
      </c>
      <c r="L475" t="s">
        <v>22</v>
      </c>
      <c r="M475" t="s">
        <v>23</v>
      </c>
      <c r="N475" t="s">
        <v>23</v>
      </c>
      <c r="O475" t="s">
        <v>24</v>
      </c>
      <c r="P475" s="8" t="s">
        <v>757</v>
      </c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 hidden="1" x14ac:dyDescent="0.2">
      <c r="A476" s="6"/>
      <c r="E476" s="2"/>
      <c r="F476" s="3"/>
      <c r="G476" s="3"/>
      <c r="P476" s="8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 hidden="1" x14ac:dyDescent="0.2">
      <c r="A477" s="6"/>
      <c r="E477" s="2"/>
      <c r="F477" s="3"/>
      <c r="G477" s="3"/>
      <c r="P477" s="8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 x14ac:dyDescent="0.2">
      <c r="A478" s="6" t="s">
        <v>17</v>
      </c>
      <c r="B478" t="s">
        <v>44</v>
      </c>
      <c r="C478" t="s">
        <v>45</v>
      </c>
      <c r="D478" t="s">
        <v>758</v>
      </c>
      <c r="E478" s="2">
        <v>71.099999999999994</v>
      </c>
      <c r="F478" s="3">
        <f t="shared" ref="F477:G494" si="63">DATE(2024,4,2)</f>
        <v>45384</v>
      </c>
      <c r="G478" s="3">
        <f t="shared" si="63"/>
        <v>45384</v>
      </c>
      <c r="H478">
        <v>778080998</v>
      </c>
      <c r="I478" t="s">
        <v>20</v>
      </c>
      <c r="K478" t="s">
        <v>21</v>
      </c>
      <c r="L478" t="s">
        <v>22</v>
      </c>
      <c r="M478" t="s">
        <v>23</v>
      </c>
      <c r="N478" t="s">
        <v>23</v>
      </c>
      <c r="O478" t="s">
        <v>24</v>
      </c>
      <c r="P478" s="8" t="s">
        <v>759</v>
      </c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 x14ac:dyDescent="0.2">
      <c r="A479" s="6" t="s">
        <v>17</v>
      </c>
      <c r="B479" t="s">
        <v>44</v>
      </c>
      <c r="C479" t="s">
        <v>45</v>
      </c>
      <c r="D479" t="s">
        <v>760</v>
      </c>
      <c r="E479" s="2">
        <v>882.06</v>
      </c>
      <c r="F479" s="3">
        <f t="shared" si="63"/>
        <v>45384</v>
      </c>
      <c r="G479" s="3">
        <f t="shared" si="63"/>
        <v>45384</v>
      </c>
      <c r="H479">
        <v>778080999</v>
      </c>
      <c r="I479" t="s">
        <v>20</v>
      </c>
      <c r="K479" t="s">
        <v>21</v>
      </c>
      <c r="L479" t="s">
        <v>22</v>
      </c>
      <c r="M479" t="s">
        <v>23</v>
      </c>
      <c r="N479" t="s">
        <v>23</v>
      </c>
      <c r="O479" t="s">
        <v>24</v>
      </c>
      <c r="P479" s="8" t="s">
        <v>761</v>
      </c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 x14ac:dyDescent="0.2">
      <c r="A480" s="6" t="s">
        <v>17</v>
      </c>
      <c r="B480" t="s">
        <v>44</v>
      </c>
      <c r="C480" t="s">
        <v>45</v>
      </c>
      <c r="D480" t="s">
        <v>762</v>
      </c>
      <c r="E480" s="2">
        <v>381.19</v>
      </c>
      <c r="F480" s="3">
        <f t="shared" si="63"/>
        <v>45384</v>
      </c>
      <c r="G480" s="3">
        <f t="shared" si="63"/>
        <v>45384</v>
      </c>
      <c r="H480">
        <v>778081000</v>
      </c>
      <c r="I480" t="s">
        <v>20</v>
      </c>
      <c r="K480" t="s">
        <v>21</v>
      </c>
      <c r="L480" t="s">
        <v>22</v>
      </c>
      <c r="M480" t="s">
        <v>23</v>
      </c>
      <c r="N480" t="s">
        <v>23</v>
      </c>
      <c r="O480" t="s">
        <v>24</v>
      </c>
      <c r="P480" s="8" t="s">
        <v>763</v>
      </c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 x14ac:dyDescent="0.2">
      <c r="A481" s="6" t="s">
        <v>17</v>
      </c>
      <c r="B481" t="s">
        <v>44</v>
      </c>
      <c r="C481" t="s">
        <v>45</v>
      </c>
      <c r="D481" t="s">
        <v>764</v>
      </c>
      <c r="E481" s="2">
        <v>54.82</v>
      </c>
      <c r="F481" s="3">
        <f t="shared" si="63"/>
        <v>45384</v>
      </c>
      <c r="G481" s="3">
        <f t="shared" si="63"/>
        <v>45384</v>
      </c>
      <c r="H481">
        <v>778081001</v>
      </c>
      <c r="I481" t="s">
        <v>20</v>
      </c>
      <c r="K481" t="s">
        <v>21</v>
      </c>
      <c r="L481" t="s">
        <v>22</v>
      </c>
      <c r="M481" t="s">
        <v>23</v>
      </c>
      <c r="N481" t="s">
        <v>23</v>
      </c>
      <c r="O481" t="s">
        <v>24</v>
      </c>
      <c r="P481" s="8" t="s">
        <v>765</v>
      </c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 hidden="1" x14ac:dyDescent="0.2">
      <c r="A482" s="6"/>
      <c r="E482" s="2"/>
      <c r="F482" s="3"/>
      <c r="G482" s="3"/>
      <c r="P482" s="8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 hidden="1" x14ac:dyDescent="0.2">
      <c r="A483" s="6"/>
      <c r="E483" s="2"/>
      <c r="F483" s="3"/>
      <c r="G483" s="3"/>
      <c r="P483" s="8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 x14ac:dyDescent="0.2">
      <c r="A484" s="6" t="s">
        <v>17</v>
      </c>
      <c r="B484" t="s">
        <v>34</v>
      </c>
      <c r="C484" t="s">
        <v>35</v>
      </c>
      <c r="D484" t="s">
        <v>766</v>
      </c>
      <c r="E484" s="2">
        <v>102.16</v>
      </c>
      <c r="F484" s="3">
        <f t="shared" si="63"/>
        <v>45384</v>
      </c>
      <c r="G484" s="3">
        <f t="shared" si="63"/>
        <v>45384</v>
      </c>
      <c r="H484">
        <v>781383248</v>
      </c>
      <c r="I484" t="s">
        <v>20</v>
      </c>
      <c r="K484" t="s">
        <v>21</v>
      </c>
      <c r="L484" t="s">
        <v>22</v>
      </c>
      <c r="M484" t="s">
        <v>23</v>
      </c>
      <c r="N484" t="s">
        <v>23</v>
      </c>
      <c r="O484" t="s">
        <v>24</v>
      </c>
      <c r="P484" s="8" t="s">
        <v>767</v>
      </c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 x14ac:dyDescent="0.2">
      <c r="A485" s="6" t="s">
        <v>17</v>
      </c>
      <c r="B485" t="s">
        <v>44</v>
      </c>
      <c r="C485" t="s">
        <v>45</v>
      </c>
      <c r="D485" t="s">
        <v>768</v>
      </c>
      <c r="E485" s="2">
        <v>118.62</v>
      </c>
      <c r="F485" s="3">
        <f t="shared" si="63"/>
        <v>45384</v>
      </c>
      <c r="G485" s="3">
        <f t="shared" si="63"/>
        <v>45384</v>
      </c>
      <c r="H485">
        <v>781383249</v>
      </c>
      <c r="I485" t="s">
        <v>20</v>
      </c>
      <c r="K485" t="s">
        <v>21</v>
      </c>
      <c r="L485" t="s">
        <v>22</v>
      </c>
      <c r="M485" t="s">
        <v>23</v>
      </c>
      <c r="N485" t="s">
        <v>23</v>
      </c>
      <c r="O485" t="s">
        <v>24</v>
      </c>
      <c r="P485" s="8" t="s">
        <v>769</v>
      </c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 x14ac:dyDescent="0.2">
      <c r="A486" s="6" t="s">
        <v>17</v>
      </c>
      <c r="B486" t="s">
        <v>57</v>
      </c>
      <c r="C486" t="s">
        <v>58</v>
      </c>
      <c r="D486" t="s">
        <v>770</v>
      </c>
      <c r="E486" s="2">
        <v>253.3</v>
      </c>
      <c r="F486" s="3">
        <f t="shared" si="63"/>
        <v>45384</v>
      </c>
      <c r="G486" s="3">
        <f t="shared" si="63"/>
        <v>45384</v>
      </c>
      <c r="H486">
        <v>781383250</v>
      </c>
      <c r="I486" t="s">
        <v>20</v>
      </c>
      <c r="K486" t="s">
        <v>21</v>
      </c>
      <c r="L486" t="s">
        <v>22</v>
      </c>
      <c r="M486" t="s">
        <v>23</v>
      </c>
      <c r="N486" t="s">
        <v>23</v>
      </c>
      <c r="O486" t="s">
        <v>24</v>
      </c>
      <c r="P486" s="8" t="s">
        <v>771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 hidden="1" x14ac:dyDescent="0.2">
      <c r="A487" s="6"/>
      <c r="E487" s="2"/>
      <c r="F487" s="3"/>
      <c r="G487" s="3"/>
      <c r="P487" s="8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 x14ac:dyDescent="0.2">
      <c r="A488" s="6" t="s">
        <v>17</v>
      </c>
      <c r="B488" t="s">
        <v>80</v>
      </c>
      <c r="C488" t="s">
        <v>81</v>
      </c>
      <c r="D488" t="s">
        <v>772</v>
      </c>
      <c r="E488" s="2">
        <v>2532.14</v>
      </c>
      <c r="F488" s="3">
        <f t="shared" si="63"/>
        <v>45384</v>
      </c>
      <c r="G488" s="3">
        <f t="shared" si="63"/>
        <v>45384</v>
      </c>
      <c r="H488">
        <v>781383252</v>
      </c>
      <c r="I488" t="s">
        <v>20</v>
      </c>
      <c r="K488" t="s">
        <v>21</v>
      </c>
      <c r="L488" t="s">
        <v>22</v>
      </c>
      <c r="M488" t="s">
        <v>23</v>
      </c>
      <c r="N488" t="s">
        <v>23</v>
      </c>
      <c r="O488" t="s">
        <v>24</v>
      </c>
      <c r="P488" s="8" t="s">
        <v>773</v>
      </c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 x14ac:dyDescent="0.2">
      <c r="A489" s="6" t="s">
        <v>17</v>
      </c>
      <c r="B489" t="s">
        <v>18</v>
      </c>
      <c r="C489" t="s">
        <v>18</v>
      </c>
      <c r="D489" t="s">
        <v>19</v>
      </c>
      <c r="E489" s="2">
        <v>81.61</v>
      </c>
      <c r="F489" s="3">
        <f t="shared" si="63"/>
        <v>45384</v>
      </c>
      <c r="G489" s="3">
        <f t="shared" si="63"/>
        <v>45384</v>
      </c>
      <c r="H489">
        <v>781383253</v>
      </c>
      <c r="I489" t="s">
        <v>20</v>
      </c>
      <c r="K489" t="s">
        <v>21</v>
      </c>
      <c r="L489" t="s">
        <v>22</v>
      </c>
      <c r="M489" t="s">
        <v>23</v>
      </c>
      <c r="N489" t="s">
        <v>23</v>
      </c>
      <c r="O489" t="s">
        <v>24</v>
      </c>
      <c r="P489" s="8" t="s">
        <v>774</v>
      </c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 hidden="1" x14ac:dyDescent="0.2">
      <c r="A490" s="6"/>
      <c r="E490" s="2"/>
      <c r="F490" s="3"/>
      <c r="G490" s="3"/>
      <c r="P490" s="8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 x14ac:dyDescent="0.2">
      <c r="A491" s="6" t="s">
        <v>17</v>
      </c>
      <c r="B491" t="s">
        <v>115</v>
      </c>
      <c r="C491" t="s">
        <v>116</v>
      </c>
      <c r="D491" t="s">
        <v>775</v>
      </c>
      <c r="E491" s="2">
        <v>604.41</v>
      </c>
      <c r="F491" s="3">
        <f t="shared" si="63"/>
        <v>45384</v>
      </c>
      <c r="G491" s="3">
        <f t="shared" si="63"/>
        <v>45384</v>
      </c>
      <c r="H491">
        <v>781383255</v>
      </c>
      <c r="I491" t="s">
        <v>20</v>
      </c>
      <c r="K491" t="s">
        <v>21</v>
      </c>
      <c r="L491" t="s">
        <v>22</v>
      </c>
      <c r="M491" t="s">
        <v>23</v>
      </c>
      <c r="N491" t="s">
        <v>23</v>
      </c>
      <c r="O491" t="s">
        <v>24</v>
      </c>
      <c r="P491" s="8" t="s">
        <v>776</v>
      </c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 hidden="1" x14ac:dyDescent="0.2">
      <c r="A492" s="6"/>
      <c r="E492" s="2"/>
      <c r="F492" s="3"/>
      <c r="G492" s="3"/>
      <c r="P492" s="8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 hidden="1" x14ac:dyDescent="0.2">
      <c r="A493" s="6"/>
      <c r="E493" s="2"/>
      <c r="F493" s="3"/>
      <c r="G493" s="3"/>
      <c r="P493" s="8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 x14ac:dyDescent="0.2">
      <c r="A494" s="6" t="s">
        <v>17</v>
      </c>
      <c r="B494" t="s">
        <v>44</v>
      </c>
      <c r="C494" t="s">
        <v>45</v>
      </c>
      <c r="D494" t="s">
        <v>777</v>
      </c>
      <c r="E494" s="2">
        <v>30</v>
      </c>
      <c r="F494" s="3">
        <f t="shared" si="63"/>
        <v>45384</v>
      </c>
      <c r="G494" s="3">
        <f t="shared" si="63"/>
        <v>45384</v>
      </c>
      <c r="H494">
        <v>781383258</v>
      </c>
      <c r="I494" t="s">
        <v>20</v>
      </c>
      <c r="K494" t="s">
        <v>21</v>
      </c>
      <c r="L494" t="s">
        <v>22</v>
      </c>
      <c r="M494" t="s">
        <v>23</v>
      </c>
      <c r="N494" t="s">
        <v>23</v>
      </c>
      <c r="O494" t="s">
        <v>24</v>
      </c>
      <c r="P494" s="8" t="s">
        <v>778</v>
      </c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 x14ac:dyDescent="0.2">
      <c r="A495" s="6" t="s">
        <v>17</v>
      </c>
      <c r="B495" t="s">
        <v>30</v>
      </c>
      <c r="C495" t="s">
        <v>31</v>
      </c>
      <c r="D495" t="s">
        <v>779</v>
      </c>
      <c r="E495" s="2">
        <v>3829.92</v>
      </c>
      <c r="F495" s="3">
        <f>DATE(2024,4,3)</f>
        <v>45385</v>
      </c>
      <c r="G495" s="3">
        <f>DATE(2024,4,3)</f>
        <v>45385</v>
      </c>
      <c r="H495">
        <v>781383259</v>
      </c>
      <c r="I495" t="s">
        <v>20</v>
      </c>
      <c r="K495" t="s">
        <v>21</v>
      </c>
      <c r="L495" t="s">
        <v>22</v>
      </c>
      <c r="M495" t="s">
        <v>23</v>
      </c>
      <c r="N495" t="s">
        <v>23</v>
      </c>
      <c r="O495" t="s">
        <v>24</v>
      </c>
      <c r="P495" s="8" t="s">
        <v>780</v>
      </c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 x14ac:dyDescent="0.2">
      <c r="A496" s="6" t="s">
        <v>17</v>
      </c>
      <c r="B496" t="s">
        <v>80</v>
      </c>
      <c r="C496" t="s">
        <v>81</v>
      </c>
      <c r="D496" t="s">
        <v>781</v>
      </c>
      <c r="E496" s="2">
        <v>2343.02</v>
      </c>
      <c r="F496" s="3">
        <f t="shared" ref="F496:G498" si="64">DATE(2024,4,2)</f>
        <v>45384</v>
      </c>
      <c r="G496" s="3">
        <f t="shared" si="64"/>
        <v>45384</v>
      </c>
      <c r="H496">
        <v>781383260</v>
      </c>
      <c r="I496" t="s">
        <v>20</v>
      </c>
      <c r="K496" t="s">
        <v>21</v>
      </c>
      <c r="L496" t="s">
        <v>22</v>
      </c>
      <c r="M496" t="s">
        <v>23</v>
      </c>
      <c r="N496" t="s">
        <v>23</v>
      </c>
      <c r="O496" t="s">
        <v>24</v>
      </c>
      <c r="P496" s="8" t="s">
        <v>782</v>
      </c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 x14ac:dyDescent="0.2">
      <c r="A497" s="6" t="s">
        <v>17</v>
      </c>
      <c r="B497" t="s">
        <v>34</v>
      </c>
      <c r="C497" t="s">
        <v>35</v>
      </c>
      <c r="D497" t="s">
        <v>783</v>
      </c>
      <c r="E497" s="2">
        <v>190.08</v>
      </c>
      <c r="F497" s="3">
        <f t="shared" si="64"/>
        <v>45384</v>
      </c>
      <c r="G497" s="3">
        <f t="shared" si="64"/>
        <v>45384</v>
      </c>
      <c r="H497">
        <v>781383261</v>
      </c>
      <c r="I497" t="s">
        <v>20</v>
      </c>
      <c r="K497" t="s">
        <v>21</v>
      </c>
      <c r="L497" t="s">
        <v>22</v>
      </c>
      <c r="M497" t="s">
        <v>23</v>
      </c>
      <c r="N497" t="s">
        <v>23</v>
      </c>
      <c r="O497" t="s">
        <v>24</v>
      </c>
      <c r="P497" s="8" t="s">
        <v>784</v>
      </c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 hidden="1" x14ac:dyDescent="0.2">
      <c r="A498" s="6"/>
      <c r="E498" s="2"/>
      <c r="F498" s="3"/>
      <c r="G498" s="3"/>
      <c r="P498" s="8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 x14ac:dyDescent="0.2">
      <c r="A499" s="6" t="s">
        <v>17</v>
      </c>
      <c r="B499" t="s">
        <v>44</v>
      </c>
      <c r="C499" t="s">
        <v>45</v>
      </c>
      <c r="D499" t="s">
        <v>785</v>
      </c>
      <c r="E499" s="2">
        <v>240.67</v>
      </c>
      <c r="F499" s="3">
        <f>DATE(2024,3,29)</f>
        <v>45380</v>
      </c>
      <c r="G499" s="3">
        <f>DATE(2024,3,29)</f>
        <v>45380</v>
      </c>
      <c r="H499">
        <v>781383518</v>
      </c>
      <c r="I499" t="s">
        <v>51</v>
      </c>
      <c r="K499" t="s">
        <v>21</v>
      </c>
      <c r="L499" t="s">
        <v>22</v>
      </c>
      <c r="M499" t="s">
        <v>23</v>
      </c>
      <c r="N499" t="s">
        <v>23</v>
      </c>
      <c r="O499" t="s">
        <v>24</v>
      </c>
      <c r="P499" s="8" t="s">
        <v>786</v>
      </c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 x14ac:dyDescent="0.2">
      <c r="A500" s="6" t="s">
        <v>17</v>
      </c>
      <c r="B500" t="s">
        <v>44</v>
      </c>
      <c r="C500" t="s">
        <v>45</v>
      </c>
      <c r="D500" t="s">
        <v>787</v>
      </c>
      <c r="E500" s="2">
        <v>418</v>
      </c>
      <c r="F500" s="3">
        <f>DATE(2024,3,30)</f>
        <v>45381</v>
      </c>
      <c r="G500" s="3">
        <f>DATE(2024,3,30)</f>
        <v>45381</v>
      </c>
      <c r="H500">
        <v>781383519</v>
      </c>
      <c r="I500" t="s">
        <v>51</v>
      </c>
      <c r="K500" t="s">
        <v>21</v>
      </c>
      <c r="L500" t="s">
        <v>22</v>
      </c>
      <c r="M500" t="s">
        <v>23</v>
      </c>
      <c r="N500" t="s">
        <v>23</v>
      </c>
      <c r="O500" t="s">
        <v>24</v>
      </c>
      <c r="P500" s="8" t="s">
        <v>788</v>
      </c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 x14ac:dyDescent="0.2">
      <c r="A501" s="6" t="s">
        <v>17</v>
      </c>
      <c r="B501" t="s">
        <v>26</v>
      </c>
      <c r="C501" t="s">
        <v>27</v>
      </c>
      <c r="D501" t="s">
        <v>50</v>
      </c>
      <c r="E501" s="2">
        <v>155.04</v>
      </c>
      <c r="F501" s="3">
        <f>DATE(2024,4,1)</f>
        <v>45383</v>
      </c>
      <c r="G501" s="3">
        <f>DATE(2024,4,1)</f>
        <v>45383</v>
      </c>
      <c r="H501">
        <v>781383520</v>
      </c>
      <c r="I501" t="s">
        <v>51</v>
      </c>
      <c r="K501" t="s">
        <v>21</v>
      </c>
      <c r="L501" t="s">
        <v>22</v>
      </c>
      <c r="M501" t="s">
        <v>23</v>
      </c>
      <c r="N501" t="s">
        <v>23</v>
      </c>
      <c r="O501" t="s">
        <v>24</v>
      </c>
      <c r="P501" s="8" t="s">
        <v>789</v>
      </c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 hidden="1" x14ac:dyDescent="0.2">
      <c r="A502" s="6"/>
      <c r="E502" s="2"/>
      <c r="F502" s="3"/>
      <c r="G502" s="3"/>
      <c r="P502" s="8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 x14ac:dyDescent="0.2">
      <c r="A503" s="6" t="s">
        <v>17</v>
      </c>
      <c r="B503" t="s">
        <v>18</v>
      </c>
      <c r="C503" t="s">
        <v>18</v>
      </c>
      <c r="D503" t="s">
        <v>86</v>
      </c>
      <c r="E503" s="2">
        <v>12</v>
      </c>
      <c r="F503" s="3">
        <f t="shared" ref="F502:G508" si="65">DATE(2024,4,2)</f>
        <v>45384</v>
      </c>
      <c r="G503" s="3">
        <f t="shared" si="65"/>
        <v>45384</v>
      </c>
      <c r="H503">
        <v>782062013</v>
      </c>
      <c r="I503" t="s">
        <v>73</v>
      </c>
      <c r="K503" t="s">
        <v>21</v>
      </c>
      <c r="L503" t="s">
        <v>22</v>
      </c>
      <c r="M503" t="s">
        <v>23</v>
      </c>
      <c r="N503" t="s">
        <v>23</v>
      </c>
      <c r="O503" t="s">
        <v>24</v>
      </c>
      <c r="P503" s="8" t="s">
        <v>790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 x14ac:dyDescent="0.2">
      <c r="A504" s="6" t="s">
        <v>17</v>
      </c>
      <c r="B504" t="s">
        <v>175</v>
      </c>
      <c r="C504" t="s">
        <v>176</v>
      </c>
      <c r="D504" t="s">
        <v>791</v>
      </c>
      <c r="E504" s="2">
        <v>20440</v>
      </c>
      <c r="F504" s="3">
        <f t="shared" si="65"/>
        <v>45384</v>
      </c>
      <c r="G504" s="3">
        <f t="shared" si="65"/>
        <v>45384</v>
      </c>
      <c r="H504">
        <v>782062014</v>
      </c>
      <c r="I504" t="s">
        <v>73</v>
      </c>
      <c r="K504" t="s">
        <v>21</v>
      </c>
      <c r="L504" t="s">
        <v>22</v>
      </c>
      <c r="M504" t="s">
        <v>23</v>
      </c>
      <c r="N504" t="s">
        <v>23</v>
      </c>
      <c r="O504" t="s">
        <v>24</v>
      </c>
      <c r="P504" s="8" t="s">
        <v>792</v>
      </c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 x14ac:dyDescent="0.2">
      <c r="A505" s="6" t="s">
        <v>17</v>
      </c>
      <c r="B505" t="s">
        <v>175</v>
      </c>
      <c r="C505" t="s">
        <v>176</v>
      </c>
      <c r="D505" t="s">
        <v>793</v>
      </c>
      <c r="E505" s="2">
        <v>5070</v>
      </c>
      <c r="F505" s="3">
        <f t="shared" si="65"/>
        <v>45384</v>
      </c>
      <c r="G505" s="3">
        <f t="shared" si="65"/>
        <v>45384</v>
      </c>
      <c r="H505">
        <v>782062015</v>
      </c>
      <c r="I505" t="s">
        <v>73</v>
      </c>
      <c r="K505" t="s">
        <v>21</v>
      </c>
      <c r="L505" t="s">
        <v>22</v>
      </c>
      <c r="M505" t="s">
        <v>23</v>
      </c>
      <c r="N505" t="s">
        <v>23</v>
      </c>
      <c r="O505" t="s">
        <v>24</v>
      </c>
      <c r="P505" s="8" t="s">
        <v>794</v>
      </c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 hidden="1" x14ac:dyDescent="0.2">
      <c r="A506" s="6"/>
      <c r="E506" s="2"/>
      <c r="F506" s="3"/>
      <c r="G506" s="3"/>
      <c r="P506" s="8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 hidden="1" x14ac:dyDescent="0.2">
      <c r="A507" s="6"/>
      <c r="E507" s="2"/>
      <c r="F507" s="3"/>
      <c r="G507" s="3"/>
      <c r="P507" s="8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 hidden="1" x14ac:dyDescent="0.2">
      <c r="A508" s="6"/>
      <c r="E508" s="2"/>
      <c r="F508" s="3"/>
      <c r="G508" s="3"/>
      <c r="P508" s="8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 x14ac:dyDescent="0.2">
      <c r="A509" s="6" t="s">
        <v>17</v>
      </c>
      <c r="B509" t="s">
        <v>104</v>
      </c>
      <c r="C509" t="s">
        <v>105</v>
      </c>
      <c r="D509" t="s">
        <v>795</v>
      </c>
      <c r="E509" s="2">
        <v>89.12</v>
      </c>
      <c r="F509" s="3">
        <f t="shared" ref="F509:G520" si="66">DATE(2024,4,3)</f>
        <v>45385</v>
      </c>
      <c r="G509" s="3">
        <f t="shared" si="66"/>
        <v>45385</v>
      </c>
      <c r="H509">
        <v>784422888</v>
      </c>
      <c r="I509" t="s">
        <v>20</v>
      </c>
      <c r="K509" t="s">
        <v>21</v>
      </c>
      <c r="L509" t="s">
        <v>22</v>
      </c>
      <c r="M509" t="s">
        <v>23</v>
      </c>
      <c r="N509" t="s">
        <v>23</v>
      </c>
      <c r="O509" t="s">
        <v>24</v>
      </c>
      <c r="P509" s="8" t="s">
        <v>796</v>
      </c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 hidden="1" x14ac:dyDescent="0.2">
      <c r="A510" s="6"/>
      <c r="E510" s="2"/>
      <c r="F510" s="3"/>
      <c r="G510" s="3"/>
      <c r="P510" s="8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 x14ac:dyDescent="0.2">
      <c r="A511" s="6" t="s">
        <v>17</v>
      </c>
      <c r="B511" t="s">
        <v>44</v>
      </c>
      <c r="C511" t="s">
        <v>45</v>
      </c>
      <c r="D511" t="s">
        <v>797</v>
      </c>
      <c r="E511" s="2">
        <v>37.08</v>
      </c>
      <c r="F511" s="3">
        <f t="shared" si="66"/>
        <v>45385</v>
      </c>
      <c r="G511" s="3">
        <f t="shared" si="66"/>
        <v>45385</v>
      </c>
      <c r="H511">
        <v>784422890</v>
      </c>
      <c r="I511" t="s">
        <v>20</v>
      </c>
      <c r="K511" t="s">
        <v>21</v>
      </c>
      <c r="L511" t="s">
        <v>22</v>
      </c>
      <c r="M511" t="s">
        <v>23</v>
      </c>
      <c r="N511" t="s">
        <v>23</v>
      </c>
      <c r="O511" t="s">
        <v>24</v>
      </c>
      <c r="P511" s="8" t="s">
        <v>798</v>
      </c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 hidden="1" x14ac:dyDescent="0.2">
      <c r="A512" s="6"/>
      <c r="E512" s="2"/>
      <c r="F512" s="3"/>
      <c r="G512" s="3"/>
      <c r="P512" s="8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 x14ac:dyDescent="0.2">
      <c r="A513" s="6" t="s">
        <v>17</v>
      </c>
      <c r="B513" t="s">
        <v>18</v>
      </c>
      <c r="C513" t="s">
        <v>18</v>
      </c>
      <c r="D513" t="s">
        <v>799</v>
      </c>
      <c r="E513" s="2">
        <v>0.71</v>
      </c>
      <c r="F513" s="3">
        <f t="shared" si="66"/>
        <v>45385</v>
      </c>
      <c r="G513" s="3">
        <f t="shared" si="66"/>
        <v>45385</v>
      </c>
      <c r="H513">
        <v>784422892</v>
      </c>
      <c r="I513" t="s">
        <v>20</v>
      </c>
      <c r="K513" t="s">
        <v>21</v>
      </c>
      <c r="L513" t="s">
        <v>22</v>
      </c>
      <c r="M513" t="s">
        <v>23</v>
      </c>
      <c r="N513" t="s">
        <v>23</v>
      </c>
      <c r="O513" t="s">
        <v>24</v>
      </c>
      <c r="P513" s="8" t="s">
        <v>800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 hidden="1" x14ac:dyDescent="0.2">
      <c r="A514" s="6"/>
      <c r="E514" s="2"/>
      <c r="F514" s="3"/>
      <c r="G514" s="3"/>
      <c r="P514" s="8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 x14ac:dyDescent="0.2">
      <c r="A515" s="6" t="s">
        <v>17</v>
      </c>
      <c r="B515" t="s">
        <v>18</v>
      </c>
      <c r="C515" t="s">
        <v>18</v>
      </c>
      <c r="D515" t="s">
        <v>801</v>
      </c>
      <c r="E515" s="2">
        <v>12.92</v>
      </c>
      <c r="F515" s="3">
        <f t="shared" si="66"/>
        <v>45385</v>
      </c>
      <c r="G515" s="3">
        <f t="shared" si="66"/>
        <v>45385</v>
      </c>
      <c r="H515">
        <v>784422894</v>
      </c>
      <c r="I515" t="s">
        <v>20</v>
      </c>
      <c r="K515" t="s">
        <v>21</v>
      </c>
      <c r="L515" t="s">
        <v>22</v>
      </c>
      <c r="M515" t="s">
        <v>23</v>
      </c>
      <c r="N515" t="s">
        <v>23</v>
      </c>
      <c r="O515" t="s">
        <v>24</v>
      </c>
      <c r="P515" s="8" t="s">
        <v>802</v>
      </c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 hidden="1" x14ac:dyDescent="0.2">
      <c r="A516" s="6"/>
      <c r="E516" s="2"/>
      <c r="F516" s="3"/>
      <c r="G516" s="3"/>
      <c r="P516" s="8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 hidden="1" x14ac:dyDescent="0.2">
      <c r="A517" s="6"/>
      <c r="E517" s="2"/>
      <c r="F517" s="3"/>
      <c r="G517" s="3"/>
      <c r="P517" s="8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 hidden="1" x14ac:dyDescent="0.2">
      <c r="A518" s="6"/>
      <c r="E518" s="2"/>
      <c r="F518" s="3"/>
      <c r="G518" s="3"/>
      <c r="P518" s="8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 x14ac:dyDescent="0.2">
      <c r="A519" s="6" t="s">
        <v>17</v>
      </c>
      <c r="B519" t="s">
        <v>110</v>
      </c>
      <c r="C519" t="s">
        <v>111</v>
      </c>
      <c r="D519" t="s">
        <v>803</v>
      </c>
      <c r="E519" s="2">
        <v>2.25</v>
      </c>
      <c r="F519" s="3">
        <f t="shared" si="66"/>
        <v>45385</v>
      </c>
      <c r="G519" s="3">
        <f t="shared" si="66"/>
        <v>45385</v>
      </c>
      <c r="H519">
        <v>784943019</v>
      </c>
      <c r="I519" t="s">
        <v>73</v>
      </c>
      <c r="K519" t="s">
        <v>21</v>
      </c>
      <c r="L519" t="s">
        <v>22</v>
      </c>
      <c r="M519" t="s">
        <v>23</v>
      </c>
      <c r="N519" t="s">
        <v>23</v>
      </c>
      <c r="O519" t="s">
        <v>24</v>
      </c>
      <c r="P519" s="8" t="s">
        <v>804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 hidden="1" x14ac:dyDescent="0.2">
      <c r="A520" s="6"/>
      <c r="E520" s="2"/>
      <c r="F520" s="3"/>
      <c r="G520" s="3"/>
      <c r="P520" s="8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 x14ac:dyDescent="0.2">
      <c r="A521" s="6" t="s">
        <v>17</v>
      </c>
      <c r="B521" t="s">
        <v>110</v>
      </c>
      <c r="C521" t="s">
        <v>111</v>
      </c>
      <c r="D521" t="s">
        <v>805</v>
      </c>
      <c r="E521" s="2">
        <v>38.01</v>
      </c>
      <c r="F521" s="3">
        <f>DATE(2024,4,4)</f>
        <v>45386</v>
      </c>
      <c r="G521" s="3">
        <f>DATE(2024,4,4)</f>
        <v>45386</v>
      </c>
      <c r="H521">
        <v>787003553</v>
      </c>
      <c r="I521" t="s">
        <v>20</v>
      </c>
      <c r="K521" t="s">
        <v>21</v>
      </c>
      <c r="L521" t="s">
        <v>22</v>
      </c>
      <c r="M521" t="s">
        <v>23</v>
      </c>
      <c r="N521" t="s">
        <v>23</v>
      </c>
      <c r="O521" t="s">
        <v>24</v>
      </c>
      <c r="P521" s="8" t="s">
        <v>806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 x14ac:dyDescent="0.2">
      <c r="A522" s="6" t="s">
        <v>17</v>
      </c>
      <c r="B522" t="s">
        <v>191</v>
      </c>
      <c r="C522" t="s">
        <v>192</v>
      </c>
      <c r="D522" t="s">
        <v>807</v>
      </c>
      <c r="E522" s="2">
        <v>1608.43</v>
      </c>
      <c r="F522" s="3">
        <f>DATE(2024,4,4)</f>
        <v>45386</v>
      </c>
      <c r="G522" s="3">
        <f>DATE(2024,4,4)</f>
        <v>45386</v>
      </c>
      <c r="H522">
        <v>787003554</v>
      </c>
      <c r="I522" t="s">
        <v>20</v>
      </c>
      <c r="K522" t="s">
        <v>21</v>
      </c>
      <c r="L522" t="s">
        <v>22</v>
      </c>
      <c r="M522" t="s">
        <v>23</v>
      </c>
      <c r="N522" t="s">
        <v>23</v>
      </c>
      <c r="O522" t="s">
        <v>24</v>
      </c>
      <c r="P522" s="8" t="s">
        <v>808</v>
      </c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 hidden="1" x14ac:dyDescent="0.2">
      <c r="A523" s="6"/>
      <c r="E523" s="2"/>
      <c r="F523" s="3"/>
      <c r="G523" s="3"/>
      <c r="P523" s="8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 x14ac:dyDescent="0.2">
      <c r="A524" s="6" t="s">
        <v>17</v>
      </c>
      <c r="B524" t="s">
        <v>191</v>
      </c>
      <c r="C524" t="s">
        <v>192</v>
      </c>
      <c r="D524" t="s">
        <v>809</v>
      </c>
      <c r="E524" s="2">
        <v>1585.17</v>
      </c>
      <c r="F524" s="3">
        <f>DATE(2024,4,4)</f>
        <v>45386</v>
      </c>
      <c r="G524" s="3">
        <f>DATE(2024,4,4)</f>
        <v>45386</v>
      </c>
      <c r="H524">
        <v>787003556</v>
      </c>
      <c r="I524" t="s">
        <v>20</v>
      </c>
      <c r="K524" t="s">
        <v>21</v>
      </c>
      <c r="L524" t="s">
        <v>22</v>
      </c>
      <c r="M524" t="s">
        <v>23</v>
      </c>
      <c r="N524" t="s">
        <v>23</v>
      </c>
      <c r="O524" t="s">
        <v>24</v>
      </c>
      <c r="P524" s="8" t="s">
        <v>810</v>
      </c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 hidden="1" x14ac:dyDescent="0.2">
      <c r="A525" s="6"/>
      <c r="E525" s="2"/>
      <c r="F525" s="3"/>
      <c r="G525" s="3"/>
      <c r="P525" s="8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 x14ac:dyDescent="0.2">
      <c r="A526" s="6" t="s">
        <v>17</v>
      </c>
      <c r="B526" t="s">
        <v>191</v>
      </c>
      <c r="C526" t="s">
        <v>192</v>
      </c>
      <c r="D526" t="s">
        <v>811</v>
      </c>
      <c r="E526" s="2">
        <v>5090.84</v>
      </c>
      <c r="F526" s="3">
        <f t="shared" ref="F526:G536" si="67">DATE(2024,4,4)</f>
        <v>45386</v>
      </c>
      <c r="G526" s="3">
        <f t="shared" si="67"/>
        <v>45386</v>
      </c>
      <c r="H526">
        <v>787003558</v>
      </c>
      <c r="I526" t="s">
        <v>20</v>
      </c>
      <c r="K526" t="s">
        <v>21</v>
      </c>
      <c r="L526" t="s">
        <v>22</v>
      </c>
      <c r="M526" t="s">
        <v>23</v>
      </c>
      <c r="N526" t="s">
        <v>23</v>
      </c>
      <c r="O526" t="s">
        <v>24</v>
      </c>
      <c r="P526" s="8" t="s">
        <v>812</v>
      </c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 x14ac:dyDescent="0.2">
      <c r="A527" s="6" t="s">
        <v>17</v>
      </c>
      <c r="B527" t="s">
        <v>363</v>
      </c>
      <c r="C527" t="s">
        <v>364</v>
      </c>
      <c r="D527" t="s">
        <v>813</v>
      </c>
      <c r="E527" s="2">
        <v>240</v>
      </c>
      <c r="F527" s="3">
        <f t="shared" si="67"/>
        <v>45386</v>
      </c>
      <c r="G527" s="3">
        <f t="shared" si="67"/>
        <v>45386</v>
      </c>
      <c r="H527">
        <v>787003559</v>
      </c>
      <c r="I527" t="s">
        <v>20</v>
      </c>
      <c r="K527" t="s">
        <v>21</v>
      </c>
      <c r="L527" t="s">
        <v>22</v>
      </c>
      <c r="M527" t="s">
        <v>23</v>
      </c>
      <c r="N527" t="s">
        <v>23</v>
      </c>
      <c r="O527" t="s">
        <v>24</v>
      </c>
      <c r="P527" s="8" t="s">
        <v>814</v>
      </c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 x14ac:dyDescent="0.2">
      <c r="A528" s="6" t="s">
        <v>17</v>
      </c>
      <c r="B528" t="s">
        <v>191</v>
      </c>
      <c r="C528" t="s">
        <v>192</v>
      </c>
      <c r="D528" t="s">
        <v>815</v>
      </c>
      <c r="E528" s="2">
        <v>7366.77</v>
      </c>
      <c r="F528" s="3">
        <f t="shared" si="67"/>
        <v>45386</v>
      </c>
      <c r="G528" s="3">
        <f t="shared" si="67"/>
        <v>45386</v>
      </c>
      <c r="H528">
        <v>787003560</v>
      </c>
      <c r="I528" t="s">
        <v>20</v>
      </c>
      <c r="K528" t="s">
        <v>21</v>
      </c>
      <c r="L528" t="s">
        <v>22</v>
      </c>
      <c r="M528" t="s">
        <v>23</v>
      </c>
      <c r="N528" t="s">
        <v>23</v>
      </c>
      <c r="O528" t="s">
        <v>24</v>
      </c>
      <c r="P528" s="8" t="s">
        <v>816</v>
      </c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 x14ac:dyDescent="0.2">
      <c r="A529" s="6" t="s">
        <v>17</v>
      </c>
      <c r="B529" t="s">
        <v>363</v>
      </c>
      <c r="C529" t="s">
        <v>364</v>
      </c>
      <c r="D529" t="s">
        <v>817</v>
      </c>
      <c r="E529" s="2">
        <v>175</v>
      </c>
      <c r="F529" s="3">
        <f t="shared" si="67"/>
        <v>45386</v>
      </c>
      <c r="G529" s="3">
        <f t="shared" si="67"/>
        <v>45386</v>
      </c>
      <c r="H529">
        <v>787003561</v>
      </c>
      <c r="I529" t="s">
        <v>20</v>
      </c>
      <c r="K529" t="s">
        <v>21</v>
      </c>
      <c r="L529" t="s">
        <v>22</v>
      </c>
      <c r="M529" t="s">
        <v>23</v>
      </c>
      <c r="N529" t="s">
        <v>23</v>
      </c>
      <c r="O529" t="s">
        <v>24</v>
      </c>
      <c r="P529" s="8" t="s">
        <v>818</v>
      </c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 hidden="1" x14ac:dyDescent="0.2">
      <c r="A530" s="6"/>
      <c r="E530" s="2"/>
      <c r="F530" s="3"/>
      <c r="G530" s="3"/>
      <c r="P530" s="8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 x14ac:dyDescent="0.2">
      <c r="A531" s="6" t="s">
        <v>17</v>
      </c>
      <c r="B531" t="s">
        <v>144</v>
      </c>
      <c r="C531" t="s">
        <v>145</v>
      </c>
      <c r="D531" t="s">
        <v>819</v>
      </c>
      <c r="E531" s="2">
        <v>327.93</v>
      </c>
      <c r="F531" s="3">
        <f t="shared" si="67"/>
        <v>45386</v>
      </c>
      <c r="G531" s="3">
        <f t="shared" si="67"/>
        <v>45386</v>
      </c>
      <c r="H531">
        <v>787003563</v>
      </c>
      <c r="I531" t="s">
        <v>20</v>
      </c>
      <c r="K531" t="s">
        <v>21</v>
      </c>
      <c r="L531" t="s">
        <v>22</v>
      </c>
      <c r="M531" t="s">
        <v>23</v>
      </c>
      <c r="N531" t="s">
        <v>23</v>
      </c>
      <c r="O531" t="s">
        <v>24</v>
      </c>
      <c r="P531" s="8" t="s">
        <v>820</v>
      </c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 x14ac:dyDescent="0.2">
      <c r="A532" s="6" t="s">
        <v>17</v>
      </c>
      <c r="B532" t="s">
        <v>191</v>
      </c>
      <c r="C532" t="s">
        <v>192</v>
      </c>
      <c r="D532" t="s">
        <v>821</v>
      </c>
      <c r="E532" s="2">
        <v>1901.07</v>
      </c>
      <c r="F532" s="3">
        <f t="shared" si="67"/>
        <v>45386</v>
      </c>
      <c r="G532" s="3">
        <f t="shared" si="67"/>
        <v>45386</v>
      </c>
      <c r="H532">
        <v>787003564</v>
      </c>
      <c r="I532" t="s">
        <v>20</v>
      </c>
      <c r="K532" t="s">
        <v>21</v>
      </c>
      <c r="L532" t="s">
        <v>22</v>
      </c>
      <c r="M532" t="s">
        <v>23</v>
      </c>
      <c r="N532" t="s">
        <v>23</v>
      </c>
      <c r="O532" t="s">
        <v>24</v>
      </c>
      <c r="P532" s="8" t="s">
        <v>822</v>
      </c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 x14ac:dyDescent="0.2">
      <c r="A533" s="6" t="s">
        <v>17</v>
      </c>
      <c r="B533" t="s">
        <v>110</v>
      </c>
      <c r="C533" t="s">
        <v>111</v>
      </c>
      <c r="D533" t="s">
        <v>823</v>
      </c>
      <c r="E533" s="2">
        <v>11.91</v>
      </c>
      <c r="F533" s="3">
        <f t="shared" si="67"/>
        <v>45386</v>
      </c>
      <c r="G533" s="3">
        <f t="shared" si="67"/>
        <v>45386</v>
      </c>
      <c r="H533">
        <v>787003565</v>
      </c>
      <c r="I533" t="s">
        <v>20</v>
      </c>
      <c r="K533" t="s">
        <v>21</v>
      </c>
      <c r="L533" t="s">
        <v>22</v>
      </c>
      <c r="M533" t="s">
        <v>23</v>
      </c>
      <c r="N533" t="s">
        <v>23</v>
      </c>
      <c r="O533" t="s">
        <v>24</v>
      </c>
      <c r="P533" s="8" t="s">
        <v>824</v>
      </c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 x14ac:dyDescent="0.2">
      <c r="A534" s="6" t="s">
        <v>17</v>
      </c>
      <c r="B534" t="s">
        <v>363</v>
      </c>
      <c r="C534" t="s">
        <v>364</v>
      </c>
      <c r="D534" t="s">
        <v>825</v>
      </c>
      <c r="E534" s="2">
        <v>65</v>
      </c>
      <c r="F534" s="3">
        <f t="shared" si="67"/>
        <v>45386</v>
      </c>
      <c r="G534" s="3">
        <f t="shared" si="67"/>
        <v>45386</v>
      </c>
      <c r="H534">
        <v>787003566</v>
      </c>
      <c r="I534" t="s">
        <v>20</v>
      </c>
      <c r="K534" t="s">
        <v>21</v>
      </c>
      <c r="L534" t="s">
        <v>22</v>
      </c>
      <c r="M534" t="s">
        <v>23</v>
      </c>
      <c r="N534" t="s">
        <v>23</v>
      </c>
      <c r="O534" t="s">
        <v>24</v>
      </c>
      <c r="P534" s="8" t="s">
        <v>826</v>
      </c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 x14ac:dyDescent="0.2">
      <c r="A535" s="6" t="s">
        <v>17</v>
      </c>
      <c r="B535" t="s">
        <v>611</v>
      </c>
      <c r="C535" t="s">
        <v>612</v>
      </c>
      <c r="D535" t="s">
        <v>827</v>
      </c>
      <c r="E535" s="2">
        <v>893.8</v>
      </c>
      <c r="F535" s="3">
        <f t="shared" si="67"/>
        <v>45386</v>
      </c>
      <c r="G535" s="3">
        <f t="shared" si="67"/>
        <v>45386</v>
      </c>
      <c r="H535">
        <v>787003567</v>
      </c>
      <c r="I535" t="s">
        <v>20</v>
      </c>
      <c r="K535" t="s">
        <v>21</v>
      </c>
      <c r="L535" t="s">
        <v>22</v>
      </c>
      <c r="M535" t="s">
        <v>23</v>
      </c>
      <c r="N535" t="s">
        <v>23</v>
      </c>
      <c r="O535" t="s">
        <v>24</v>
      </c>
      <c r="P535" s="8" t="s">
        <v>828</v>
      </c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 x14ac:dyDescent="0.2">
      <c r="A536" s="6" t="s">
        <v>17</v>
      </c>
      <c r="B536" t="s">
        <v>363</v>
      </c>
      <c r="C536" t="s">
        <v>364</v>
      </c>
      <c r="D536" t="s">
        <v>829</v>
      </c>
      <c r="E536" s="2">
        <v>563.74</v>
      </c>
      <c r="F536" s="3">
        <f t="shared" si="67"/>
        <v>45386</v>
      </c>
      <c r="G536" s="3">
        <f t="shared" si="67"/>
        <v>45386</v>
      </c>
      <c r="H536">
        <v>787003568</v>
      </c>
      <c r="I536" t="s">
        <v>20</v>
      </c>
      <c r="K536" t="s">
        <v>21</v>
      </c>
      <c r="L536" t="s">
        <v>22</v>
      </c>
      <c r="M536" t="s">
        <v>23</v>
      </c>
      <c r="N536" t="s">
        <v>23</v>
      </c>
      <c r="O536" t="s">
        <v>24</v>
      </c>
      <c r="P536" s="8" t="s">
        <v>830</v>
      </c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 x14ac:dyDescent="0.2">
      <c r="A537" s="6" t="s">
        <v>17</v>
      </c>
      <c r="B537" t="s">
        <v>44</v>
      </c>
      <c r="C537" t="s">
        <v>45</v>
      </c>
      <c r="D537" t="s">
        <v>831</v>
      </c>
      <c r="E537" s="2">
        <v>3.99</v>
      </c>
      <c r="F537" s="3">
        <f>DATE(2024,4,3)</f>
        <v>45385</v>
      </c>
      <c r="G537" s="3">
        <f>DATE(2024,4,3)</f>
        <v>45385</v>
      </c>
      <c r="H537">
        <v>787003601</v>
      </c>
      <c r="I537" t="s">
        <v>51</v>
      </c>
      <c r="K537" t="s">
        <v>21</v>
      </c>
      <c r="L537" t="s">
        <v>22</v>
      </c>
      <c r="M537" t="s">
        <v>23</v>
      </c>
      <c r="N537" t="s">
        <v>23</v>
      </c>
      <c r="O537" t="s">
        <v>24</v>
      </c>
      <c r="P537" s="8" t="s">
        <v>832</v>
      </c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 x14ac:dyDescent="0.2">
      <c r="A538" s="6" t="s">
        <v>17</v>
      </c>
      <c r="B538" t="s">
        <v>44</v>
      </c>
      <c r="C538" t="s">
        <v>45</v>
      </c>
      <c r="D538" t="s">
        <v>831</v>
      </c>
      <c r="E538" s="2">
        <v>10.85</v>
      </c>
      <c r="F538" s="3">
        <f>DATE(2024,4,2)</f>
        <v>45384</v>
      </c>
      <c r="G538" s="3">
        <f>DATE(2024,4,2)</f>
        <v>45384</v>
      </c>
      <c r="H538">
        <v>787003602</v>
      </c>
      <c r="I538" t="s">
        <v>51</v>
      </c>
      <c r="K538" t="s">
        <v>21</v>
      </c>
      <c r="L538" t="s">
        <v>22</v>
      </c>
      <c r="M538" t="s">
        <v>23</v>
      </c>
      <c r="N538" t="s">
        <v>23</v>
      </c>
      <c r="O538" t="s">
        <v>24</v>
      </c>
      <c r="P538" s="8" t="s">
        <v>833</v>
      </c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 x14ac:dyDescent="0.2">
      <c r="A539" s="6" t="s">
        <v>17</v>
      </c>
      <c r="B539" t="s">
        <v>44</v>
      </c>
      <c r="C539" t="s">
        <v>45</v>
      </c>
      <c r="D539" t="s">
        <v>831</v>
      </c>
      <c r="E539" s="2">
        <v>29.99</v>
      </c>
      <c r="F539" s="3">
        <f>DATE(2024,4,2)</f>
        <v>45384</v>
      </c>
      <c r="G539" s="3">
        <f>DATE(2024,4,2)</f>
        <v>45384</v>
      </c>
      <c r="H539">
        <v>787003603</v>
      </c>
      <c r="I539" t="s">
        <v>51</v>
      </c>
      <c r="K539" t="s">
        <v>21</v>
      </c>
      <c r="L539" t="s">
        <v>22</v>
      </c>
      <c r="M539" t="s">
        <v>23</v>
      </c>
      <c r="N539" t="s">
        <v>23</v>
      </c>
      <c r="O539" t="s">
        <v>24</v>
      </c>
      <c r="P539" s="8" t="s">
        <v>834</v>
      </c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 x14ac:dyDescent="0.2">
      <c r="A540" s="6" t="s">
        <v>17</v>
      </c>
      <c r="B540" t="s">
        <v>104</v>
      </c>
      <c r="C540" t="s">
        <v>105</v>
      </c>
      <c r="D540" t="s">
        <v>835</v>
      </c>
      <c r="E540" s="2">
        <v>57.94</v>
      </c>
      <c r="F540" s="3">
        <f>DATE(2024,4,3)</f>
        <v>45385</v>
      </c>
      <c r="G540" s="3">
        <f>DATE(2024,4,3)</f>
        <v>45385</v>
      </c>
      <c r="H540">
        <v>787003604</v>
      </c>
      <c r="I540" t="s">
        <v>51</v>
      </c>
      <c r="K540" t="s">
        <v>21</v>
      </c>
      <c r="L540" t="s">
        <v>22</v>
      </c>
      <c r="M540" t="s">
        <v>23</v>
      </c>
      <c r="N540" t="s">
        <v>23</v>
      </c>
      <c r="O540" t="s">
        <v>24</v>
      </c>
      <c r="P540" s="8" t="s">
        <v>836</v>
      </c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 x14ac:dyDescent="0.2">
      <c r="A541" s="6" t="s">
        <v>17</v>
      </c>
      <c r="B541" t="s">
        <v>110</v>
      </c>
      <c r="C541" t="s">
        <v>111</v>
      </c>
      <c r="D541" t="s">
        <v>837</v>
      </c>
      <c r="E541" s="2">
        <v>7.25</v>
      </c>
      <c r="F541" s="3">
        <f>DATE(2024,4,4)</f>
        <v>45386</v>
      </c>
      <c r="G541" s="3">
        <f>DATE(2024,4,4)</f>
        <v>45386</v>
      </c>
      <c r="H541">
        <v>787692339</v>
      </c>
      <c r="I541" t="s">
        <v>73</v>
      </c>
      <c r="K541" t="s">
        <v>21</v>
      </c>
      <c r="L541" t="s">
        <v>22</v>
      </c>
      <c r="M541" t="s">
        <v>23</v>
      </c>
      <c r="N541" t="s">
        <v>23</v>
      </c>
      <c r="O541" t="s">
        <v>24</v>
      </c>
      <c r="P541" s="8" t="s">
        <v>838</v>
      </c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 hidden="1" x14ac:dyDescent="0.2">
      <c r="A542" s="6"/>
      <c r="E542" s="2"/>
      <c r="F542" s="3"/>
      <c r="G542" s="3"/>
      <c r="P542" s="8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 x14ac:dyDescent="0.2">
      <c r="A543" s="6" t="s">
        <v>17</v>
      </c>
      <c r="B543" t="s">
        <v>74</v>
      </c>
      <c r="C543" t="s">
        <v>75</v>
      </c>
      <c r="D543" t="s">
        <v>839</v>
      </c>
      <c r="E543" s="2">
        <v>3576.43</v>
      </c>
      <c r="F543" s="3">
        <f t="shared" ref="F543:G546" si="68">DATE(2024,4,5)</f>
        <v>45387</v>
      </c>
      <c r="G543" s="3">
        <f t="shared" si="68"/>
        <v>45387</v>
      </c>
      <c r="H543">
        <v>787692341</v>
      </c>
      <c r="I543" t="s">
        <v>73</v>
      </c>
      <c r="K543" t="s">
        <v>21</v>
      </c>
      <c r="L543" t="s">
        <v>22</v>
      </c>
      <c r="M543" t="s">
        <v>23</v>
      </c>
      <c r="N543" t="s">
        <v>23</v>
      </c>
      <c r="O543" t="s">
        <v>24</v>
      </c>
      <c r="P543" s="8" t="s">
        <v>840</v>
      </c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 x14ac:dyDescent="0.2">
      <c r="A544" s="6" t="s">
        <v>17</v>
      </c>
      <c r="B544" t="s">
        <v>74</v>
      </c>
      <c r="C544" t="s">
        <v>75</v>
      </c>
      <c r="D544" t="s">
        <v>841</v>
      </c>
      <c r="E544" s="2">
        <v>276.43</v>
      </c>
      <c r="F544" s="3">
        <f t="shared" si="68"/>
        <v>45387</v>
      </c>
      <c r="G544" s="3">
        <f t="shared" si="68"/>
        <v>45387</v>
      </c>
      <c r="H544">
        <v>787692342</v>
      </c>
      <c r="I544" t="s">
        <v>73</v>
      </c>
      <c r="K544" t="s">
        <v>21</v>
      </c>
      <c r="L544" t="s">
        <v>22</v>
      </c>
      <c r="M544" t="s">
        <v>23</v>
      </c>
      <c r="N544" t="s">
        <v>23</v>
      </c>
      <c r="O544" t="s">
        <v>24</v>
      </c>
      <c r="P544" s="8" t="s">
        <v>842</v>
      </c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 x14ac:dyDescent="0.2">
      <c r="A545" s="6" t="s">
        <v>17</v>
      </c>
      <c r="B545" t="s">
        <v>80</v>
      </c>
      <c r="C545" t="s">
        <v>81</v>
      </c>
      <c r="D545" t="s">
        <v>843</v>
      </c>
      <c r="E545" s="2">
        <v>203.96</v>
      </c>
      <c r="F545" s="3">
        <f t="shared" si="68"/>
        <v>45387</v>
      </c>
      <c r="G545" s="3">
        <f t="shared" si="68"/>
        <v>45387</v>
      </c>
      <c r="H545">
        <v>788660102</v>
      </c>
      <c r="I545" t="s">
        <v>20</v>
      </c>
      <c r="K545" t="s">
        <v>21</v>
      </c>
      <c r="L545" t="s">
        <v>22</v>
      </c>
      <c r="M545" t="s">
        <v>23</v>
      </c>
      <c r="N545" t="s">
        <v>23</v>
      </c>
      <c r="O545" t="s">
        <v>24</v>
      </c>
      <c r="P545" s="8" t="s">
        <v>844</v>
      </c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 x14ac:dyDescent="0.2">
      <c r="A546" s="6" t="s">
        <v>17</v>
      </c>
      <c r="B546" t="s">
        <v>80</v>
      </c>
      <c r="C546" t="s">
        <v>81</v>
      </c>
      <c r="D546" t="s">
        <v>845</v>
      </c>
      <c r="E546" s="2">
        <v>279.41000000000003</v>
      </c>
      <c r="F546" s="3">
        <f t="shared" si="68"/>
        <v>45387</v>
      </c>
      <c r="G546" s="3">
        <f t="shared" si="68"/>
        <v>45387</v>
      </c>
      <c r="H546">
        <v>788660103</v>
      </c>
      <c r="I546" t="s">
        <v>20</v>
      </c>
      <c r="K546" t="s">
        <v>21</v>
      </c>
      <c r="L546" t="s">
        <v>22</v>
      </c>
      <c r="M546" t="s">
        <v>23</v>
      </c>
      <c r="N546" t="s">
        <v>23</v>
      </c>
      <c r="O546" t="s">
        <v>24</v>
      </c>
      <c r="P546" s="8" t="s">
        <v>846</v>
      </c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 x14ac:dyDescent="0.2">
      <c r="A547" s="6" t="s">
        <v>17</v>
      </c>
      <c r="B547" t="s">
        <v>44</v>
      </c>
      <c r="C547" t="s">
        <v>45</v>
      </c>
      <c r="D547" t="s">
        <v>831</v>
      </c>
      <c r="E547" s="2">
        <v>37.08</v>
      </c>
      <c r="F547" s="3">
        <f t="shared" ref="F547:G550" si="69">DATE(2024,4,3)</f>
        <v>45385</v>
      </c>
      <c r="G547" s="3">
        <f t="shared" si="69"/>
        <v>45385</v>
      </c>
      <c r="H547">
        <v>788660104</v>
      </c>
      <c r="I547" t="s">
        <v>51</v>
      </c>
      <c r="K547" t="s">
        <v>21</v>
      </c>
      <c r="L547" t="s">
        <v>22</v>
      </c>
      <c r="M547" t="s">
        <v>23</v>
      </c>
      <c r="N547" t="s">
        <v>23</v>
      </c>
      <c r="O547" t="s">
        <v>24</v>
      </c>
      <c r="P547" s="8" t="s">
        <v>847</v>
      </c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 x14ac:dyDescent="0.2">
      <c r="A548" s="6" t="s">
        <v>17</v>
      </c>
      <c r="B548" t="s">
        <v>44</v>
      </c>
      <c r="C548" t="s">
        <v>45</v>
      </c>
      <c r="D548" t="s">
        <v>831</v>
      </c>
      <c r="E548" s="2">
        <v>14.25</v>
      </c>
      <c r="F548" s="3">
        <f t="shared" si="69"/>
        <v>45385</v>
      </c>
      <c r="G548" s="3">
        <f t="shared" si="69"/>
        <v>45385</v>
      </c>
      <c r="H548">
        <v>788660105</v>
      </c>
      <c r="I548" t="s">
        <v>51</v>
      </c>
      <c r="K548" t="s">
        <v>21</v>
      </c>
      <c r="L548" t="s">
        <v>22</v>
      </c>
      <c r="M548" t="s">
        <v>23</v>
      </c>
      <c r="N548" t="s">
        <v>23</v>
      </c>
      <c r="O548" t="s">
        <v>24</v>
      </c>
      <c r="P548" s="8" t="s">
        <v>848</v>
      </c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 x14ac:dyDescent="0.2">
      <c r="A549" s="6" t="s">
        <v>17</v>
      </c>
      <c r="B549" t="s">
        <v>44</v>
      </c>
      <c r="C549" t="s">
        <v>45</v>
      </c>
      <c r="D549" t="s">
        <v>831</v>
      </c>
      <c r="E549" s="2">
        <v>30.4</v>
      </c>
      <c r="F549" s="3">
        <f t="shared" si="69"/>
        <v>45385</v>
      </c>
      <c r="G549" s="3">
        <f t="shared" si="69"/>
        <v>45385</v>
      </c>
      <c r="H549">
        <v>788660106</v>
      </c>
      <c r="I549" t="s">
        <v>51</v>
      </c>
      <c r="K549" t="s">
        <v>21</v>
      </c>
      <c r="L549" t="s">
        <v>22</v>
      </c>
      <c r="M549" t="s">
        <v>23</v>
      </c>
      <c r="N549" t="s">
        <v>23</v>
      </c>
      <c r="O549" t="s">
        <v>24</v>
      </c>
      <c r="P549" s="8" t="s">
        <v>849</v>
      </c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 x14ac:dyDescent="0.2">
      <c r="A550" s="6" t="s">
        <v>17</v>
      </c>
      <c r="B550" t="s">
        <v>44</v>
      </c>
      <c r="C550" t="s">
        <v>45</v>
      </c>
      <c r="D550" t="s">
        <v>831</v>
      </c>
      <c r="E550" s="2">
        <v>25.79</v>
      </c>
      <c r="F550" s="3">
        <f t="shared" si="69"/>
        <v>45385</v>
      </c>
      <c r="G550" s="3">
        <f t="shared" si="69"/>
        <v>45385</v>
      </c>
      <c r="H550">
        <v>788660107</v>
      </c>
      <c r="I550" t="s">
        <v>51</v>
      </c>
      <c r="K550" t="s">
        <v>21</v>
      </c>
      <c r="L550" t="s">
        <v>22</v>
      </c>
      <c r="M550" t="s">
        <v>23</v>
      </c>
      <c r="N550" t="s">
        <v>23</v>
      </c>
      <c r="O550" t="s">
        <v>24</v>
      </c>
      <c r="P550" s="8" t="s">
        <v>850</v>
      </c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 hidden="1" x14ac:dyDescent="0.2">
      <c r="A551" s="6"/>
      <c r="E551" s="2"/>
      <c r="F551" s="3"/>
      <c r="G551" s="3"/>
      <c r="P551" s="8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 x14ac:dyDescent="0.2">
      <c r="A552" s="6" t="s">
        <v>17</v>
      </c>
      <c r="B552" t="s">
        <v>18</v>
      </c>
      <c r="C552" t="s">
        <v>18</v>
      </c>
      <c r="D552" t="s">
        <v>161</v>
      </c>
      <c r="E552" s="2">
        <v>6</v>
      </c>
      <c r="F552" s="3">
        <f>DATE(2024,4,1)</f>
        <v>45383</v>
      </c>
      <c r="G552" s="3">
        <f>DATE(2024,4,1)</f>
        <v>45383</v>
      </c>
      <c r="H552">
        <v>802113829</v>
      </c>
      <c r="I552" t="s">
        <v>113</v>
      </c>
      <c r="K552" t="s">
        <v>21</v>
      </c>
      <c r="L552" t="s">
        <v>22</v>
      </c>
      <c r="M552" t="s">
        <v>23</v>
      </c>
      <c r="N552" t="s">
        <v>23</v>
      </c>
      <c r="O552" t="s">
        <v>24</v>
      </c>
      <c r="P552" s="8" t="s">
        <v>851</v>
      </c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 hidden="1" x14ac:dyDescent="0.2">
      <c r="A553" s="6"/>
      <c r="E553" s="2"/>
      <c r="F553" s="3"/>
      <c r="G553" s="3"/>
      <c r="P553" s="8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 hidden="1" x14ac:dyDescent="0.2">
      <c r="A554" s="6"/>
      <c r="E554" s="2"/>
      <c r="F554" s="3"/>
      <c r="G554" s="3"/>
      <c r="P554" s="8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 hidden="1" x14ac:dyDescent="0.2">
      <c r="A555" s="6"/>
      <c r="E555" s="2"/>
      <c r="F555" s="3"/>
      <c r="G555" s="3"/>
      <c r="P555" s="8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 hidden="1" x14ac:dyDescent="0.2">
      <c r="A556" s="6"/>
      <c r="E556" s="2"/>
      <c r="F556" s="3"/>
      <c r="G556" s="3"/>
      <c r="P556" s="8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 hidden="1" x14ac:dyDescent="0.2">
      <c r="A557" s="6"/>
      <c r="E557" s="2"/>
      <c r="F557" s="3"/>
      <c r="G557" s="3"/>
      <c r="P557" s="8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 x14ac:dyDescent="0.2">
      <c r="A558" s="6" t="s">
        <v>17</v>
      </c>
      <c r="B558" t="s">
        <v>670</v>
      </c>
      <c r="C558" t="s">
        <v>671</v>
      </c>
      <c r="D558" t="s">
        <v>852</v>
      </c>
      <c r="E558" s="2">
        <v>925.7</v>
      </c>
      <c r="F558" s="3">
        <f>DATE(2024,5,21)</f>
        <v>45433</v>
      </c>
      <c r="G558" s="3">
        <f>DATE(2024,5,21)</f>
        <v>45433</v>
      </c>
      <c r="H558">
        <v>874802765</v>
      </c>
      <c r="I558" t="s">
        <v>113</v>
      </c>
      <c r="K558" t="s">
        <v>21</v>
      </c>
      <c r="L558" t="s">
        <v>22</v>
      </c>
      <c r="M558" t="s">
        <v>23</v>
      </c>
      <c r="N558" t="s">
        <v>23</v>
      </c>
      <c r="O558" t="s">
        <v>24</v>
      </c>
      <c r="P558" s="8" t="s">
        <v>853</v>
      </c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 x14ac:dyDescent="0.2">
      <c r="A559" s="6" t="s">
        <v>17</v>
      </c>
      <c r="B559" t="s">
        <v>670</v>
      </c>
      <c r="C559" t="s">
        <v>671</v>
      </c>
      <c r="D559" t="s">
        <v>854</v>
      </c>
      <c r="E559" s="2">
        <v>2829</v>
      </c>
      <c r="F559" s="3">
        <f>DATE(2024,6,5)</f>
        <v>45448</v>
      </c>
      <c r="G559" s="3">
        <f>DATE(2024,6,5)</f>
        <v>45448</v>
      </c>
      <c r="H559">
        <v>907123955</v>
      </c>
      <c r="I559" t="s">
        <v>113</v>
      </c>
      <c r="K559" t="s">
        <v>21</v>
      </c>
      <c r="L559" t="s">
        <v>22</v>
      </c>
      <c r="M559" t="s">
        <v>23</v>
      </c>
      <c r="N559" t="s">
        <v>23</v>
      </c>
      <c r="O559" t="s">
        <v>24</v>
      </c>
      <c r="P559" s="8" t="s">
        <v>855</v>
      </c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 x14ac:dyDescent="0.2">
      <c r="A560" s="6" t="s">
        <v>17</v>
      </c>
      <c r="B560" t="s">
        <v>110</v>
      </c>
      <c r="C560" t="s">
        <v>111</v>
      </c>
      <c r="D560" t="s">
        <v>856</v>
      </c>
      <c r="E560" s="2">
        <v>60</v>
      </c>
      <c r="F560" s="3">
        <f>DATE(2024,6,10)</f>
        <v>45453</v>
      </c>
      <c r="G560" s="3">
        <f>DATE(2024,6,10)</f>
        <v>45453</v>
      </c>
      <c r="H560">
        <v>912151785</v>
      </c>
      <c r="I560" t="s">
        <v>113</v>
      </c>
      <c r="K560" t="s">
        <v>21</v>
      </c>
      <c r="L560" t="s">
        <v>22</v>
      </c>
      <c r="M560" t="s">
        <v>23</v>
      </c>
      <c r="N560" t="s">
        <v>23</v>
      </c>
      <c r="O560" t="s">
        <v>24</v>
      </c>
      <c r="P560" s="8" t="s">
        <v>857</v>
      </c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 hidden="1" x14ac:dyDescent="0.2">
      <c r="A561" s="6"/>
      <c r="E561" s="2"/>
      <c r="F561" s="3"/>
      <c r="G561" s="3"/>
      <c r="P561" s="8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 x14ac:dyDescent="0.2">
      <c r="A562" s="6" t="s">
        <v>17</v>
      </c>
      <c r="B562" t="s">
        <v>670</v>
      </c>
      <c r="C562" t="s">
        <v>671</v>
      </c>
      <c r="D562" t="s">
        <v>858</v>
      </c>
      <c r="E562" s="2">
        <v>1734</v>
      </c>
      <c r="F562" s="3">
        <f t="shared" ref="F562:G564" si="70">DATE(2024,6,13)</f>
        <v>45456</v>
      </c>
      <c r="G562" s="3">
        <f t="shared" si="70"/>
        <v>45456</v>
      </c>
      <c r="H562">
        <v>923850796</v>
      </c>
      <c r="I562" t="s">
        <v>113</v>
      </c>
      <c r="K562" t="s">
        <v>21</v>
      </c>
      <c r="L562" t="s">
        <v>22</v>
      </c>
      <c r="M562" t="s">
        <v>23</v>
      </c>
      <c r="N562" t="s">
        <v>23</v>
      </c>
      <c r="O562" t="s">
        <v>24</v>
      </c>
      <c r="P562" s="8" t="s">
        <v>859</v>
      </c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 x14ac:dyDescent="0.2">
      <c r="A563" s="6" t="s">
        <v>17</v>
      </c>
      <c r="B563" t="s">
        <v>670</v>
      </c>
      <c r="C563" t="s">
        <v>671</v>
      </c>
      <c r="D563" t="s">
        <v>860</v>
      </c>
      <c r="E563" s="2">
        <v>1365.6</v>
      </c>
      <c r="F563" s="3">
        <f t="shared" si="70"/>
        <v>45456</v>
      </c>
      <c r="G563" s="3">
        <f t="shared" si="70"/>
        <v>45456</v>
      </c>
      <c r="H563">
        <v>923850797</v>
      </c>
      <c r="I563" t="s">
        <v>113</v>
      </c>
      <c r="K563" t="s">
        <v>21</v>
      </c>
      <c r="L563" t="s">
        <v>22</v>
      </c>
      <c r="M563" t="s">
        <v>23</v>
      </c>
      <c r="N563" t="s">
        <v>23</v>
      </c>
      <c r="O563" t="s">
        <v>24</v>
      </c>
      <c r="P563" s="8" t="s">
        <v>861</v>
      </c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 hidden="1" x14ac:dyDescent="0.2">
      <c r="A564" s="6"/>
      <c r="E564" s="2"/>
      <c r="F564" s="3"/>
      <c r="G564" s="3"/>
      <c r="P564" s="8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 x14ac:dyDescent="0.2">
      <c r="A565" s="6" t="s">
        <v>17</v>
      </c>
      <c r="B565" t="s">
        <v>363</v>
      </c>
      <c r="C565" t="s">
        <v>364</v>
      </c>
      <c r="D565" t="s">
        <v>862</v>
      </c>
      <c r="E565" s="2">
        <v>115.5</v>
      </c>
      <c r="F565" s="3">
        <f>DATE(2024,6,19)</f>
        <v>45462</v>
      </c>
      <c r="G565" s="3">
        <f>DATE(2024,6,19)</f>
        <v>45462</v>
      </c>
      <c r="H565">
        <v>936666753</v>
      </c>
      <c r="I565" t="s">
        <v>113</v>
      </c>
      <c r="K565" t="s">
        <v>21</v>
      </c>
      <c r="L565" t="s">
        <v>22</v>
      </c>
      <c r="M565" t="s">
        <v>23</v>
      </c>
      <c r="N565" t="s">
        <v>23</v>
      </c>
      <c r="O565" t="s">
        <v>24</v>
      </c>
      <c r="P565" s="8" t="s">
        <v>863</v>
      </c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 hidden="1" x14ac:dyDescent="0.2">
      <c r="A566" s="6"/>
      <c r="E566" s="2"/>
      <c r="F566" s="3"/>
      <c r="G566" s="3"/>
      <c r="P566" s="8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 hidden="1" x14ac:dyDescent="0.2">
      <c r="A567" s="6"/>
      <c r="E567" s="2"/>
      <c r="F567" s="3"/>
      <c r="G567" s="3"/>
      <c r="P567" s="8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 x14ac:dyDescent="0.2">
      <c r="A568" s="6" t="s">
        <v>17</v>
      </c>
      <c r="B568" t="s">
        <v>61</v>
      </c>
      <c r="C568" t="s">
        <v>62</v>
      </c>
      <c r="D568" t="s">
        <v>864</v>
      </c>
      <c r="E568" s="2">
        <v>378</v>
      </c>
      <c r="F568" s="3">
        <f>DATE(2024,5,15)</f>
        <v>45427</v>
      </c>
      <c r="G568" s="3">
        <f>DATE(2024,5,15)</f>
        <v>45427</v>
      </c>
      <c r="H568">
        <v>967897444</v>
      </c>
      <c r="I568" t="s">
        <v>20</v>
      </c>
      <c r="K568" t="s">
        <v>21</v>
      </c>
      <c r="L568" t="s">
        <v>22</v>
      </c>
      <c r="M568" t="s">
        <v>23</v>
      </c>
      <c r="N568" t="s">
        <v>23</v>
      </c>
      <c r="O568" t="s">
        <v>24</v>
      </c>
      <c r="P568" s="8" t="s">
        <v>865</v>
      </c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 x14ac:dyDescent="0.2">
      <c r="A569" s="6" t="s">
        <v>17</v>
      </c>
      <c r="B569" t="s">
        <v>34</v>
      </c>
      <c r="C569" t="s">
        <v>35</v>
      </c>
      <c r="D569" t="s">
        <v>98</v>
      </c>
      <c r="E569" s="2">
        <v>500</v>
      </c>
      <c r="F569" s="3">
        <f>DATE(2024,4,8)</f>
        <v>45390</v>
      </c>
      <c r="G569" s="3">
        <f>DATE(2024,4,8)</f>
        <v>45390</v>
      </c>
      <c r="H569">
        <v>967897445</v>
      </c>
      <c r="I569" t="s">
        <v>20</v>
      </c>
      <c r="K569" t="s">
        <v>21</v>
      </c>
      <c r="L569" t="s">
        <v>22</v>
      </c>
      <c r="M569" t="s">
        <v>23</v>
      </c>
      <c r="N569" t="s">
        <v>23</v>
      </c>
      <c r="O569" t="s">
        <v>24</v>
      </c>
      <c r="P569" s="8" t="s">
        <v>866</v>
      </c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 hidden="1" x14ac:dyDescent="0.2">
      <c r="A570" s="6"/>
      <c r="E570" s="2"/>
      <c r="F570" s="3"/>
      <c r="G570" s="3"/>
      <c r="P570" s="8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 hidden="1" x14ac:dyDescent="0.2">
      <c r="A571" s="6"/>
      <c r="E571" s="2"/>
      <c r="F571" s="3"/>
      <c r="G571" s="3"/>
      <c r="P571" s="8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 x14ac:dyDescent="0.2">
      <c r="A572" s="6" t="s">
        <v>17</v>
      </c>
      <c r="B572" t="s">
        <v>104</v>
      </c>
      <c r="C572" t="s">
        <v>105</v>
      </c>
      <c r="D572" t="s">
        <v>867</v>
      </c>
      <c r="E572" s="2">
        <v>34.520000000000003</v>
      </c>
      <c r="F572" s="3">
        <f>DATE(2024,7,1)</f>
        <v>45474</v>
      </c>
      <c r="G572" s="3">
        <f>DATE(2024,7,1)</f>
        <v>45474</v>
      </c>
      <c r="H572">
        <v>967897448</v>
      </c>
      <c r="I572" t="s">
        <v>20</v>
      </c>
      <c r="K572" t="s">
        <v>21</v>
      </c>
      <c r="L572" t="s">
        <v>22</v>
      </c>
      <c r="M572" t="s">
        <v>23</v>
      </c>
      <c r="N572" t="s">
        <v>23</v>
      </c>
      <c r="O572" t="s">
        <v>24</v>
      </c>
      <c r="P572" s="8" t="s">
        <v>868</v>
      </c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 hidden="1" x14ac:dyDescent="0.2">
      <c r="A573" s="6"/>
      <c r="E573" s="2"/>
      <c r="F573" s="3"/>
      <c r="G573" s="3"/>
      <c r="P573" s="8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 x14ac:dyDescent="0.2">
      <c r="A574" s="6" t="s">
        <v>17</v>
      </c>
      <c r="B574" t="s">
        <v>110</v>
      </c>
      <c r="C574" t="s">
        <v>111</v>
      </c>
      <c r="D574" t="s">
        <v>869</v>
      </c>
      <c r="E574" s="2">
        <v>381.6</v>
      </c>
      <c r="F574" s="3">
        <f>DATE(2024,7,1)</f>
        <v>45474</v>
      </c>
      <c r="G574" s="3">
        <f>DATE(2024,7,1)</f>
        <v>45474</v>
      </c>
      <c r="H574">
        <v>967897450</v>
      </c>
      <c r="I574" t="s">
        <v>20</v>
      </c>
      <c r="K574" t="s">
        <v>21</v>
      </c>
      <c r="L574" t="s">
        <v>22</v>
      </c>
      <c r="M574" t="s">
        <v>23</v>
      </c>
      <c r="N574" t="s">
        <v>23</v>
      </c>
      <c r="O574" t="s">
        <v>24</v>
      </c>
      <c r="P574" s="8" t="s">
        <v>870</v>
      </c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 hidden="1" x14ac:dyDescent="0.2">
      <c r="A575" s="6"/>
      <c r="E575" s="2"/>
      <c r="F575" s="3"/>
      <c r="G575" s="3"/>
      <c r="P575" s="8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 x14ac:dyDescent="0.2">
      <c r="A576" s="6" t="s">
        <v>17</v>
      </c>
      <c r="B576" t="s">
        <v>104</v>
      </c>
      <c r="C576" t="s">
        <v>105</v>
      </c>
      <c r="D576" t="s">
        <v>871</v>
      </c>
      <c r="E576" s="2">
        <v>629.23</v>
      </c>
      <c r="F576" s="3">
        <f>DATE(2024,5,28)</f>
        <v>45440</v>
      </c>
      <c r="G576" s="3">
        <f>DATE(2024,5,28)</f>
        <v>45440</v>
      </c>
      <c r="H576">
        <v>967897452</v>
      </c>
      <c r="I576" t="s">
        <v>20</v>
      </c>
      <c r="K576" t="s">
        <v>21</v>
      </c>
      <c r="L576" t="s">
        <v>22</v>
      </c>
      <c r="M576" t="s">
        <v>23</v>
      </c>
      <c r="N576" t="s">
        <v>23</v>
      </c>
      <c r="O576" t="s">
        <v>24</v>
      </c>
      <c r="P576" s="8" t="s">
        <v>872</v>
      </c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 x14ac:dyDescent="0.2">
      <c r="A577" s="6" t="s">
        <v>17</v>
      </c>
      <c r="B577" t="s">
        <v>674</v>
      </c>
      <c r="C577" t="s">
        <v>675</v>
      </c>
      <c r="D577" t="s">
        <v>873</v>
      </c>
      <c r="E577" s="2">
        <v>2977.75</v>
      </c>
      <c r="F577" s="3">
        <f>DATE(2024,6,10)</f>
        <v>45453</v>
      </c>
      <c r="G577" s="3">
        <f>DATE(2024,6,10)</f>
        <v>45453</v>
      </c>
      <c r="H577">
        <v>967897453</v>
      </c>
      <c r="I577" t="s">
        <v>20</v>
      </c>
      <c r="K577" t="s">
        <v>21</v>
      </c>
      <c r="L577" t="s">
        <v>22</v>
      </c>
      <c r="M577" t="s">
        <v>23</v>
      </c>
      <c r="N577" t="s">
        <v>23</v>
      </c>
      <c r="O577" t="s">
        <v>24</v>
      </c>
      <c r="P577" s="8" t="s">
        <v>874</v>
      </c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 hidden="1" x14ac:dyDescent="0.2">
      <c r="A578" s="6"/>
      <c r="E578" s="2"/>
      <c r="F578" s="3"/>
      <c r="G578" s="3"/>
      <c r="P578" s="8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 x14ac:dyDescent="0.2">
      <c r="A579" s="6" t="s">
        <v>17</v>
      </c>
      <c r="B579" t="s">
        <v>363</v>
      </c>
      <c r="C579" t="s">
        <v>364</v>
      </c>
      <c r="D579" t="s">
        <v>875</v>
      </c>
      <c r="E579" s="2">
        <v>505</v>
      </c>
      <c r="F579" s="3">
        <f>DATE(2024,7,1)</f>
        <v>45474</v>
      </c>
      <c r="G579" s="3">
        <f>DATE(2024,7,1)</f>
        <v>45474</v>
      </c>
      <c r="H579">
        <v>967897455</v>
      </c>
      <c r="I579" t="s">
        <v>20</v>
      </c>
      <c r="K579" t="s">
        <v>21</v>
      </c>
      <c r="L579" t="s">
        <v>22</v>
      </c>
      <c r="M579" t="s">
        <v>23</v>
      </c>
      <c r="N579" t="s">
        <v>23</v>
      </c>
      <c r="O579" t="s">
        <v>24</v>
      </c>
      <c r="P579" s="8" t="s">
        <v>876</v>
      </c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 hidden="1" x14ac:dyDescent="0.2">
      <c r="A580" s="6"/>
      <c r="E580" s="2"/>
      <c r="F580" s="3"/>
      <c r="G580" s="3"/>
      <c r="P580" s="8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 x14ac:dyDescent="0.2">
      <c r="A581" s="6" t="s">
        <v>17</v>
      </c>
      <c r="B581" t="s">
        <v>363</v>
      </c>
      <c r="C581" t="s">
        <v>364</v>
      </c>
      <c r="D581" t="s">
        <v>877</v>
      </c>
      <c r="E581" s="2">
        <v>505</v>
      </c>
      <c r="F581" s="3">
        <f>DATE(2024,4,22)</f>
        <v>45404</v>
      </c>
      <c r="G581" s="3">
        <f>DATE(2024,4,22)</f>
        <v>45404</v>
      </c>
      <c r="H581">
        <v>967897457</v>
      </c>
      <c r="I581" t="s">
        <v>20</v>
      </c>
      <c r="K581" t="s">
        <v>21</v>
      </c>
      <c r="L581" t="s">
        <v>22</v>
      </c>
      <c r="M581" t="s">
        <v>23</v>
      </c>
      <c r="N581" t="s">
        <v>23</v>
      </c>
      <c r="O581" t="s">
        <v>24</v>
      </c>
      <c r="P581" s="8" t="s">
        <v>878</v>
      </c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 x14ac:dyDescent="0.2">
      <c r="A582" s="6" t="s">
        <v>17</v>
      </c>
      <c r="B582" t="s">
        <v>363</v>
      </c>
      <c r="C582" t="s">
        <v>364</v>
      </c>
      <c r="D582" t="s">
        <v>879</v>
      </c>
      <c r="E582" s="2">
        <v>145</v>
      </c>
      <c r="F582" s="3">
        <f>DATE(2024,5,31)</f>
        <v>45443</v>
      </c>
      <c r="G582" s="3">
        <f>DATE(2024,5,31)</f>
        <v>45443</v>
      </c>
      <c r="H582">
        <v>967897458</v>
      </c>
      <c r="I582" t="s">
        <v>20</v>
      </c>
      <c r="K582" t="s">
        <v>21</v>
      </c>
      <c r="L582" t="s">
        <v>22</v>
      </c>
      <c r="M582" t="s">
        <v>23</v>
      </c>
      <c r="N582" t="s">
        <v>23</v>
      </c>
      <c r="O582" t="s">
        <v>24</v>
      </c>
      <c r="P582" s="8" t="s">
        <v>880</v>
      </c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 x14ac:dyDescent="0.2">
      <c r="A583" s="6" t="s">
        <v>17</v>
      </c>
      <c r="B583" t="s">
        <v>316</v>
      </c>
      <c r="C583" t="s">
        <v>316</v>
      </c>
      <c r="D583" t="s">
        <v>881</v>
      </c>
      <c r="E583" s="2">
        <v>12</v>
      </c>
      <c r="F583" s="3">
        <f>DATE(2024,4,9)</f>
        <v>45391</v>
      </c>
      <c r="G583" s="3">
        <f>DATE(2024,4,9)</f>
        <v>45391</v>
      </c>
      <c r="H583">
        <v>967897459</v>
      </c>
      <c r="I583" t="s">
        <v>20</v>
      </c>
      <c r="K583" t="s">
        <v>21</v>
      </c>
      <c r="L583" t="s">
        <v>22</v>
      </c>
      <c r="M583" t="s">
        <v>23</v>
      </c>
      <c r="N583" t="s">
        <v>23</v>
      </c>
      <c r="O583" t="s">
        <v>24</v>
      </c>
      <c r="P583" s="8" t="s">
        <v>882</v>
      </c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 x14ac:dyDescent="0.2">
      <c r="A584" s="6" t="s">
        <v>17</v>
      </c>
      <c r="B584" t="s">
        <v>611</v>
      </c>
      <c r="C584" t="s">
        <v>612</v>
      </c>
      <c r="D584" t="s">
        <v>883</v>
      </c>
      <c r="E584" s="2">
        <v>4370.3999999999996</v>
      </c>
      <c r="F584" s="3">
        <f>DATE(2024,7,1)</f>
        <v>45474</v>
      </c>
      <c r="G584" s="3">
        <f>DATE(2024,7,1)</f>
        <v>45474</v>
      </c>
      <c r="H584">
        <v>967897460</v>
      </c>
      <c r="I584" t="s">
        <v>20</v>
      </c>
      <c r="K584" t="s">
        <v>21</v>
      </c>
      <c r="L584" t="s">
        <v>22</v>
      </c>
      <c r="M584" t="s">
        <v>23</v>
      </c>
      <c r="N584" t="s">
        <v>23</v>
      </c>
      <c r="O584" t="s">
        <v>24</v>
      </c>
      <c r="P584" s="8" t="s">
        <v>884</v>
      </c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 x14ac:dyDescent="0.2">
      <c r="A585" s="6" t="s">
        <v>17</v>
      </c>
      <c r="B585" t="s">
        <v>34</v>
      </c>
      <c r="C585" t="s">
        <v>35</v>
      </c>
      <c r="D585" t="s">
        <v>885</v>
      </c>
      <c r="E585" s="2">
        <v>89</v>
      </c>
      <c r="F585" s="3">
        <f>DATE(2024,6,3)</f>
        <v>45446</v>
      </c>
      <c r="G585" s="3">
        <f>DATE(2024,6,3)</f>
        <v>45446</v>
      </c>
      <c r="H585">
        <v>967897461</v>
      </c>
      <c r="I585" t="s">
        <v>20</v>
      </c>
      <c r="K585" t="s">
        <v>21</v>
      </c>
      <c r="L585" t="s">
        <v>22</v>
      </c>
      <c r="M585" t="s">
        <v>23</v>
      </c>
      <c r="N585" t="s">
        <v>23</v>
      </c>
      <c r="O585" t="s">
        <v>24</v>
      </c>
      <c r="P585" s="8" t="s">
        <v>886</v>
      </c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 x14ac:dyDescent="0.2">
      <c r="A586" s="6" t="s">
        <v>17</v>
      </c>
      <c r="B586" t="s">
        <v>887</v>
      </c>
      <c r="C586" t="s">
        <v>888</v>
      </c>
      <c r="D586" t="s">
        <v>889</v>
      </c>
      <c r="E586" s="2">
        <v>1795.1</v>
      </c>
      <c r="F586" s="3">
        <f>DATE(2024,5,31)</f>
        <v>45443</v>
      </c>
      <c r="G586" s="3">
        <f>DATE(2024,5,31)</f>
        <v>45443</v>
      </c>
      <c r="H586">
        <v>967897462</v>
      </c>
      <c r="I586" t="s">
        <v>20</v>
      </c>
      <c r="K586" t="s">
        <v>21</v>
      </c>
      <c r="L586" t="s">
        <v>22</v>
      </c>
      <c r="M586" t="s">
        <v>23</v>
      </c>
      <c r="N586" t="s">
        <v>23</v>
      </c>
      <c r="O586" t="s">
        <v>24</v>
      </c>
      <c r="P586" s="8" t="s">
        <v>890</v>
      </c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 x14ac:dyDescent="0.2">
      <c r="A587" s="6" t="s">
        <v>17</v>
      </c>
      <c r="B587" t="s">
        <v>18</v>
      </c>
      <c r="C587" t="s">
        <v>18</v>
      </c>
      <c r="D587" t="s">
        <v>891</v>
      </c>
      <c r="E587" s="2">
        <v>12.92</v>
      </c>
      <c r="F587" s="3">
        <f>DATE(2024,6,1)</f>
        <v>45444</v>
      </c>
      <c r="G587" s="3">
        <f>DATE(2024,6,1)</f>
        <v>45444</v>
      </c>
      <c r="H587">
        <v>967897463</v>
      </c>
      <c r="I587" t="s">
        <v>20</v>
      </c>
      <c r="K587" t="s">
        <v>21</v>
      </c>
      <c r="L587" t="s">
        <v>22</v>
      </c>
      <c r="M587" t="s">
        <v>23</v>
      </c>
      <c r="N587" t="s">
        <v>23</v>
      </c>
      <c r="O587" t="s">
        <v>24</v>
      </c>
      <c r="P587" s="8" t="s">
        <v>892</v>
      </c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 x14ac:dyDescent="0.2">
      <c r="A588" s="6" t="s">
        <v>17</v>
      </c>
      <c r="B588" t="s">
        <v>175</v>
      </c>
      <c r="C588" t="s">
        <v>176</v>
      </c>
      <c r="D588" t="s">
        <v>893</v>
      </c>
      <c r="E588" s="2">
        <v>9209.7000000000007</v>
      </c>
      <c r="F588" s="3">
        <f>DATE(2024,6,21)</f>
        <v>45464</v>
      </c>
      <c r="G588" s="3">
        <f>DATE(2024,6,21)</f>
        <v>45464</v>
      </c>
      <c r="H588">
        <v>967897464</v>
      </c>
      <c r="I588" t="s">
        <v>20</v>
      </c>
      <c r="K588" t="s">
        <v>21</v>
      </c>
      <c r="L588" t="s">
        <v>22</v>
      </c>
      <c r="M588" t="s">
        <v>23</v>
      </c>
      <c r="N588" t="s">
        <v>23</v>
      </c>
      <c r="O588" t="s">
        <v>24</v>
      </c>
      <c r="P588" s="8" t="s">
        <v>894</v>
      </c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 x14ac:dyDescent="0.2">
      <c r="A589" s="6" t="s">
        <v>17</v>
      </c>
      <c r="B589" t="s">
        <v>44</v>
      </c>
      <c r="C589" t="s">
        <v>45</v>
      </c>
      <c r="D589" t="s">
        <v>895</v>
      </c>
      <c r="E589" s="2">
        <v>67.790000000000006</v>
      </c>
      <c r="F589" s="3">
        <f>DATE(2024,5,2)</f>
        <v>45414</v>
      </c>
      <c r="G589" s="3">
        <f>DATE(2024,5,2)</f>
        <v>45414</v>
      </c>
      <c r="H589">
        <v>967897465</v>
      </c>
      <c r="I589" t="s">
        <v>20</v>
      </c>
      <c r="K589" t="s">
        <v>21</v>
      </c>
      <c r="L589" t="s">
        <v>22</v>
      </c>
      <c r="M589" t="s">
        <v>23</v>
      </c>
      <c r="N589" t="s">
        <v>23</v>
      </c>
      <c r="O589" t="s">
        <v>24</v>
      </c>
      <c r="P589" s="8" t="s">
        <v>896</v>
      </c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 hidden="1" x14ac:dyDescent="0.2">
      <c r="A590" s="6"/>
      <c r="E590" s="2"/>
      <c r="F590" s="3"/>
      <c r="G590" s="3"/>
      <c r="P590" s="8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 x14ac:dyDescent="0.2">
      <c r="A591" s="6" t="s">
        <v>17</v>
      </c>
      <c r="B591" t="s">
        <v>887</v>
      </c>
      <c r="C591" t="s">
        <v>888</v>
      </c>
      <c r="D591" t="s">
        <v>897</v>
      </c>
      <c r="E591" s="2">
        <v>491.13</v>
      </c>
      <c r="F591" s="3">
        <f>DATE(2024,4,30)</f>
        <v>45412</v>
      </c>
      <c r="G591" s="3">
        <f>DATE(2024,4,30)</f>
        <v>45412</v>
      </c>
      <c r="H591">
        <v>967897467</v>
      </c>
      <c r="I591" t="s">
        <v>20</v>
      </c>
      <c r="K591" t="s">
        <v>21</v>
      </c>
      <c r="L591" t="s">
        <v>22</v>
      </c>
      <c r="M591" t="s">
        <v>23</v>
      </c>
      <c r="N591" t="s">
        <v>23</v>
      </c>
      <c r="O591" t="s">
        <v>24</v>
      </c>
      <c r="P591" s="8" t="s">
        <v>898</v>
      </c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 hidden="1" x14ac:dyDescent="0.2">
      <c r="A592" s="6"/>
      <c r="E592" s="2"/>
      <c r="F592" s="3"/>
      <c r="G592" s="3"/>
      <c r="P592" s="8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 x14ac:dyDescent="0.2">
      <c r="A593" s="6" t="s">
        <v>17</v>
      </c>
      <c r="B593" t="s">
        <v>175</v>
      </c>
      <c r="C593" t="s">
        <v>176</v>
      </c>
      <c r="D593" t="s">
        <v>899</v>
      </c>
      <c r="E593" s="2">
        <v>212</v>
      </c>
      <c r="F593" s="3">
        <f>DATE(2024,6,11)</f>
        <v>45454</v>
      </c>
      <c r="G593" s="3">
        <f>DATE(2024,6,11)</f>
        <v>45454</v>
      </c>
      <c r="H593">
        <v>967897469</v>
      </c>
      <c r="I593" t="s">
        <v>20</v>
      </c>
      <c r="K593" t="s">
        <v>21</v>
      </c>
      <c r="L593" t="s">
        <v>22</v>
      </c>
      <c r="M593" t="s">
        <v>23</v>
      </c>
      <c r="N593" t="s">
        <v>23</v>
      </c>
      <c r="O593" t="s">
        <v>24</v>
      </c>
      <c r="P593" s="8" t="s">
        <v>900</v>
      </c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 x14ac:dyDescent="0.2">
      <c r="A594" s="6" t="s">
        <v>17</v>
      </c>
      <c r="B594" t="s">
        <v>57</v>
      </c>
      <c r="C594" t="s">
        <v>58</v>
      </c>
      <c r="D594" t="s">
        <v>901</v>
      </c>
      <c r="E594" s="2">
        <v>78</v>
      </c>
      <c r="F594" s="3">
        <f>DATE(2024,4,22)</f>
        <v>45404</v>
      </c>
      <c r="G594" s="3">
        <f>DATE(2024,4,22)</f>
        <v>45404</v>
      </c>
      <c r="H594">
        <v>967897470</v>
      </c>
      <c r="I594" t="s">
        <v>20</v>
      </c>
      <c r="K594" t="s">
        <v>21</v>
      </c>
      <c r="L594" t="s">
        <v>22</v>
      </c>
      <c r="M594" t="s">
        <v>23</v>
      </c>
      <c r="N594" t="s">
        <v>23</v>
      </c>
      <c r="O594" t="s">
        <v>24</v>
      </c>
      <c r="P594" s="8" t="s">
        <v>902</v>
      </c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 x14ac:dyDescent="0.2">
      <c r="A595" s="6" t="s">
        <v>17</v>
      </c>
      <c r="B595" t="s">
        <v>57</v>
      </c>
      <c r="C595" t="s">
        <v>58</v>
      </c>
      <c r="D595" t="s">
        <v>903</v>
      </c>
      <c r="E595" s="2">
        <v>50.1</v>
      </c>
      <c r="F595" s="3">
        <f>DATE(2024,6,6)</f>
        <v>45449</v>
      </c>
      <c r="G595" s="3">
        <f>DATE(2024,6,6)</f>
        <v>45449</v>
      </c>
      <c r="H595">
        <v>967897471</v>
      </c>
      <c r="I595" t="s">
        <v>20</v>
      </c>
      <c r="K595" t="s">
        <v>21</v>
      </c>
      <c r="L595" t="s">
        <v>22</v>
      </c>
      <c r="M595" t="s">
        <v>23</v>
      </c>
      <c r="N595" t="s">
        <v>23</v>
      </c>
      <c r="O595" t="s">
        <v>24</v>
      </c>
      <c r="P595" s="8" t="s">
        <v>904</v>
      </c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 x14ac:dyDescent="0.2">
      <c r="A596" s="6" t="s">
        <v>17</v>
      </c>
      <c r="B596" t="s">
        <v>179</v>
      </c>
      <c r="C596" t="s">
        <v>180</v>
      </c>
      <c r="D596" t="s">
        <v>905</v>
      </c>
      <c r="E596" s="2">
        <v>1604.49</v>
      </c>
      <c r="F596" s="3">
        <f>DATE(2024,4,29)</f>
        <v>45411</v>
      </c>
      <c r="G596" s="3">
        <f>DATE(2024,4,29)</f>
        <v>45411</v>
      </c>
      <c r="H596">
        <v>967897472</v>
      </c>
      <c r="I596" t="s">
        <v>20</v>
      </c>
      <c r="K596" t="s">
        <v>21</v>
      </c>
      <c r="L596" t="s">
        <v>22</v>
      </c>
      <c r="M596" t="s">
        <v>23</v>
      </c>
      <c r="N596" t="s">
        <v>23</v>
      </c>
      <c r="O596" t="s">
        <v>24</v>
      </c>
      <c r="P596" s="8" t="s">
        <v>906</v>
      </c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 hidden="1" x14ac:dyDescent="0.2">
      <c r="A597" s="6"/>
      <c r="E597" s="2"/>
      <c r="F597" s="3"/>
      <c r="G597" s="3"/>
      <c r="P597" s="8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 hidden="1" x14ac:dyDescent="0.2">
      <c r="A598" s="6"/>
      <c r="E598" s="2"/>
      <c r="F598" s="3"/>
      <c r="G598" s="3"/>
      <c r="P598" s="8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 x14ac:dyDescent="0.2">
      <c r="A599" s="6" t="s">
        <v>17</v>
      </c>
      <c r="B599" t="s">
        <v>34</v>
      </c>
      <c r="C599" t="s">
        <v>35</v>
      </c>
      <c r="D599" t="s">
        <v>907</v>
      </c>
      <c r="E599" s="2">
        <v>74.5</v>
      </c>
      <c r="F599" s="3">
        <f>DATE(2024,7,1)</f>
        <v>45474</v>
      </c>
      <c r="G599" s="3">
        <f>DATE(2024,7,1)</f>
        <v>45474</v>
      </c>
      <c r="H599">
        <v>967897475</v>
      </c>
      <c r="I599" t="s">
        <v>20</v>
      </c>
      <c r="K599" t="s">
        <v>21</v>
      </c>
      <c r="L599" t="s">
        <v>22</v>
      </c>
      <c r="M599" t="s">
        <v>23</v>
      </c>
      <c r="N599" t="s">
        <v>23</v>
      </c>
      <c r="O599" t="s">
        <v>24</v>
      </c>
      <c r="P599" s="8" t="s">
        <v>908</v>
      </c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 x14ac:dyDescent="0.2">
      <c r="A600" s="6" t="s">
        <v>17</v>
      </c>
      <c r="B600" t="s">
        <v>44</v>
      </c>
      <c r="C600" t="s">
        <v>45</v>
      </c>
      <c r="D600" t="s">
        <v>909</v>
      </c>
      <c r="E600" s="2">
        <v>75.8</v>
      </c>
      <c r="F600" s="3">
        <f>DATE(2024,4,8)</f>
        <v>45390</v>
      </c>
      <c r="G600" s="3">
        <f>DATE(2024,4,8)</f>
        <v>45390</v>
      </c>
      <c r="H600">
        <v>967897476</v>
      </c>
      <c r="I600" t="s">
        <v>20</v>
      </c>
      <c r="K600" t="s">
        <v>21</v>
      </c>
      <c r="L600" t="s">
        <v>22</v>
      </c>
      <c r="M600" t="s">
        <v>23</v>
      </c>
      <c r="N600" t="s">
        <v>23</v>
      </c>
      <c r="O600" t="s">
        <v>24</v>
      </c>
      <c r="P600" s="8" t="s">
        <v>910</v>
      </c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 x14ac:dyDescent="0.2">
      <c r="A601" s="6" t="s">
        <v>17</v>
      </c>
      <c r="B601" t="s">
        <v>34</v>
      </c>
      <c r="C601" t="s">
        <v>35</v>
      </c>
      <c r="D601" t="s">
        <v>911</v>
      </c>
      <c r="E601" s="2">
        <v>1162.3699999999999</v>
      </c>
      <c r="F601" s="3">
        <f>DATE(2024,6,13)</f>
        <v>45456</v>
      </c>
      <c r="G601" s="3">
        <f>DATE(2024,6,13)</f>
        <v>45456</v>
      </c>
      <c r="H601">
        <v>967897477</v>
      </c>
      <c r="I601" t="s">
        <v>20</v>
      </c>
      <c r="K601" t="s">
        <v>21</v>
      </c>
      <c r="L601" t="s">
        <v>22</v>
      </c>
      <c r="M601" t="s">
        <v>23</v>
      </c>
      <c r="N601" t="s">
        <v>23</v>
      </c>
      <c r="O601" t="s">
        <v>24</v>
      </c>
      <c r="P601" s="8" t="s">
        <v>912</v>
      </c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 x14ac:dyDescent="0.2">
      <c r="A602" s="6" t="s">
        <v>17</v>
      </c>
      <c r="B602" t="s">
        <v>104</v>
      </c>
      <c r="C602" t="s">
        <v>105</v>
      </c>
      <c r="D602" t="s">
        <v>913</v>
      </c>
      <c r="E602" s="2">
        <v>1626.05</v>
      </c>
      <c r="F602" s="3">
        <f>DATE(2024,6,13)</f>
        <v>45456</v>
      </c>
      <c r="G602" s="3">
        <f>DATE(2024,6,13)</f>
        <v>45456</v>
      </c>
      <c r="H602">
        <v>967897478</v>
      </c>
      <c r="I602" t="s">
        <v>20</v>
      </c>
      <c r="K602" t="s">
        <v>21</v>
      </c>
      <c r="L602" t="s">
        <v>22</v>
      </c>
      <c r="M602" t="s">
        <v>23</v>
      </c>
      <c r="N602" t="s">
        <v>23</v>
      </c>
      <c r="O602" t="s">
        <v>24</v>
      </c>
      <c r="P602" s="8" t="s">
        <v>914</v>
      </c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 x14ac:dyDescent="0.2">
      <c r="A603" s="6" t="s">
        <v>17</v>
      </c>
      <c r="B603" t="s">
        <v>232</v>
      </c>
      <c r="C603" t="s">
        <v>233</v>
      </c>
      <c r="D603" t="s">
        <v>915</v>
      </c>
      <c r="E603" s="2">
        <v>2246</v>
      </c>
      <c r="F603" s="3">
        <f>DATE(2024,4,23)</f>
        <v>45405</v>
      </c>
      <c r="G603" s="3">
        <f>DATE(2024,4,23)</f>
        <v>45405</v>
      </c>
      <c r="H603">
        <v>967897479</v>
      </c>
      <c r="I603" t="s">
        <v>20</v>
      </c>
      <c r="K603" t="s">
        <v>21</v>
      </c>
      <c r="L603" t="s">
        <v>22</v>
      </c>
      <c r="M603" t="s">
        <v>23</v>
      </c>
      <c r="N603" t="s">
        <v>23</v>
      </c>
      <c r="O603" t="s">
        <v>24</v>
      </c>
      <c r="P603" s="8" t="s">
        <v>916</v>
      </c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 x14ac:dyDescent="0.2">
      <c r="A604" s="6" t="s">
        <v>17</v>
      </c>
      <c r="B604" t="s">
        <v>137</v>
      </c>
      <c r="C604" t="s">
        <v>138</v>
      </c>
      <c r="D604" t="s">
        <v>917</v>
      </c>
      <c r="E604" s="2">
        <v>100</v>
      </c>
      <c r="F604" s="3">
        <f>DATE(2024,6,13)</f>
        <v>45456</v>
      </c>
      <c r="G604" s="3">
        <f>DATE(2024,6,13)</f>
        <v>45456</v>
      </c>
      <c r="H604">
        <v>967897480</v>
      </c>
      <c r="I604" t="s">
        <v>20</v>
      </c>
      <c r="K604" t="s">
        <v>21</v>
      </c>
      <c r="L604" t="s">
        <v>22</v>
      </c>
      <c r="M604" t="s">
        <v>23</v>
      </c>
      <c r="N604" t="s">
        <v>23</v>
      </c>
      <c r="O604" t="s">
        <v>24</v>
      </c>
      <c r="P604" s="8" t="s">
        <v>918</v>
      </c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 x14ac:dyDescent="0.2">
      <c r="A605" s="6" t="s">
        <v>17</v>
      </c>
      <c r="B605" t="s">
        <v>80</v>
      </c>
      <c r="C605" t="s">
        <v>81</v>
      </c>
      <c r="D605" t="s">
        <v>919</v>
      </c>
      <c r="E605" s="2">
        <v>42</v>
      </c>
      <c r="F605" s="3">
        <f>DATE(2024,6,14)</f>
        <v>45457</v>
      </c>
      <c r="G605" s="3">
        <f>DATE(2024,6,14)</f>
        <v>45457</v>
      </c>
      <c r="H605">
        <v>967897481</v>
      </c>
      <c r="I605" t="s">
        <v>20</v>
      </c>
      <c r="K605" t="s">
        <v>21</v>
      </c>
      <c r="L605" t="s">
        <v>22</v>
      </c>
      <c r="M605" t="s">
        <v>23</v>
      </c>
      <c r="N605" t="s">
        <v>23</v>
      </c>
      <c r="O605" t="s">
        <v>24</v>
      </c>
      <c r="P605" s="8" t="s">
        <v>920</v>
      </c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 x14ac:dyDescent="0.2">
      <c r="A606" s="6" t="s">
        <v>17</v>
      </c>
      <c r="B606" t="s">
        <v>887</v>
      </c>
      <c r="C606" t="s">
        <v>888</v>
      </c>
      <c r="D606" t="s">
        <v>921</v>
      </c>
      <c r="E606" s="2">
        <v>851.4</v>
      </c>
      <c r="F606" s="3">
        <f>DATE(2024,4,15)</f>
        <v>45397</v>
      </c>
      <c r="G606" s="3">
        <f>DATE(2024,4,15)</f>
        <v>45397</v>
      </c>
      <c r="H606">
        <v>967897482</v>
      </c>
      <c r="I606" t="s">
        <v>20</v>
      </c>
      <c r="K606" t="s">
        <v>21</v>
      </c>
      <c r="L606" t="s">
        <v>22</v>
      </c>
      <c r="M606" t="s">
        <v>23</v>
      </c>
      <c r="N606" t="s">
        <v>23</v>
      </c>
      <c r="O606" t="s">
        <v>24</v>
      </c>
      <c r="P606" s="8" t="s">
        <v>922</v>
      </c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 x14ac:dyDescent="0.2">
      <c r="A607" s="6" t="s">
        <v>17</v>
      </c>
      <c r="B607" t="s">
        <v>26</v>
      </c>
      <c r="C607" t="s">
        <v>27</v>
      </c>
      <c r="D607" t="s">
        <v>923</v>
      </c>
      <c r="E607" s="2">
        <v>30</v>
      </c>
      <c r="F607" s="3">
        <f>DATE(2024,5,11)</f>
        <v>45423</v>
      </c>
      <c r="G607" s="3">
        <f>DATE(2024,5,11)</f>
        <v>45423</v>
      </c>
      <c r="H607">
        <v>967897483</v>
      </c>
      <c r="I607" t="s">
        <v>20</v>
      </c>
      <c r="K607" t="s">
        <v>21</v>
      </c>
      <c r="L607" t="s">
        <v>22</v>
      </c>
      <c r="M607" t="s">
        <v>23</v>
      </c>
      <c r="N607" t="s">
        <v>23</v>
      </c>
      <c r="O607" t="s">
        <v>24</v>
      </c>
      <c r="P607" s="8" t="s">
        <v>924</v>
      </c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 x14ac:dyDescent="0.2">
      <c r="A608" s="6" t="s">
        <v>17</v>
      </c>
      <c r="B608" t="s">
        <v>183</v>
      </c>
      <c r="C608" t="s">
        <v>184</v>
      </c>
      <c r="D608" t="s">
        <v>925</v>
      </c>
      <c r="E608" s="2">
        <v>11478</v>
      </c>
      <c r="F608" s="3">
        <f>DATE(2024,4,16)</f>
        <v>45398</v>
      </c>
      <c r="G608" s="3">
        <f>DATE(2024,4,16)</f>
        <v>45398</v>
      </c>
      <c r="H608">
        <v>967897484</v>
      </c>
      <c r="I608" t="s">
        <v>20</v>
      </c>
      <c r="K608" t="s">
        <v>21</v>
      </c>
      <c r="L608" t="s">
        <v>22</v>
      </c>
      <c r="M608" t="s">
        <v>23</v>
      </c>
      <c r="N608" t="s">
        <v>23</v>
      </c>
      <c r="O608" t="s">
        <v>24</v>
      </c>
      <c r="P608" s="8" t="s">
        <v>926</v>
      </c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 x14ac:dyDescent="0.2">
      <c r="A609" s="6" t="s">
        <v>17</v>
      </c>
      <c r="B609" t="s">
        <v>191</v>
      </c>
      <c r="C609" t="s">
        <v>192</v>
      </c>
      <c r="D609" t="s">
        <v>927</v>
      </c>
      <c r="E609" s="2">
        <v>18712.73</v>
      </c>
      <c r="F609" s="3">
        <f>DATE(2024,7,4)</f>
        <v>45477</v>
      </c>
      <c r="G609" s="3">
        <f>DATE(2024,7,4)</f>
        <v>45477</v>
      </c>
      <c r="H609">
        <v>967897485</v>
      </c>
      <c r="I609" t="s">
        <v>20</v>
      </c>
      <c r="K609" t="s">
        <v>21</v>
      </c>
      <c r="L609" t="s">
        <v>22</v>
      </c>
      <c r="M609" t="s">
        <v>23</v>
      </c>
      <c r="N609" t="s">
        <v>23</v>
      </c>
      <c r="O609" t="s">
        <v>24</v>
      </c>
      <c r="P609" s="8" t="s">
        <v>928</v>
      </c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 hidden="1" x14ac:dyDescent="0.2">
      <c r="A610" s="6"/>
      <c r="E610" s="2"/>
      <c r="F610" s="3"/>
      <c r="G610" s="3"/>
      <c r="P610" s="8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 x14ac:dyDescent="0.2">
      <c r="A611" s="6" t="s">
        <v>17</v>
      </c>
      <c r="B611" t="s">
        <v>611</v>
      </c>
      <c r="C611" t="s">
        <v>612</v>
      </c>
      <c r="D611" t="s">
        <v>929</v>
      </c>
      <c r="E611" s="2">
        <v>1474.82</v>
      </c>
      <c r="F611" s="3">
        <f>DATE(2024,6,13)</f>
        <v>45456</v>
      </c>
      <c r="G611" s="3">
        <f>DATE(2024,6,13)</f>
        <v>45456</v>
      </c>
      <c r="H611">
        <v>967897487</v>
      </c>
      <c r="I611" t="s">
        <v>20</v>
      </c>
      <c r="K611" t="s">
        <v>21</v>
      </c>
      <c r="L611" t="s">
        <v>22</v>
      </c>
      <c r="M611" t="s">
        <v>23</v>
      </c>
      <c r="N611" t="s">
        <v>23</v>
      </c>
      <c r="O611" t="s">
        <v>24</v>
      </c>
      <c r="P611" s="8" t="s">
        <v>930</v>
      </c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 hidden="1" x14ac:dyDescent="0.2">
      <c r="A612" s="6"/>
      <c r="E612" s="2"/>
      <c r="F612" s="3"/>
      <c r="G612" s="3"/>
      <c r="P612" s="8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 hidden="1" x14ac:dyDescent="0.2">
      <c r="A613" s="6"/>
      <c r="E613" s="2"/>
      <c r="F613" s="3"/>
      <c r="G613" s="3"/>
      <c r="P613" s="8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 x14ac:dyDescent="0.2">
      <c r="A614" s="6" t="s">
        <v>17</v>
      </c>
      <c r="B614" t="s">
        <v>110</v>
      </c>
      <c r="C614" t="s">
        <v>111</v>
      </c>
      <c r="D614" t="s">
        <v>931</v>
      </c>
      <c r="E614" s="2">
        <v>168.48</v>
      </c>
      <c r="F614" s="3">
        <f>DATE(2024,5,16)</f>
        <v>45428</v>
      </c>
      <c r="G614" s="3">
        <f>DATE(2024,5,16)</f>
        <v>45428</v>
      </c>
      <c r="H614">
        <v>967897490</v>
      </c>
      <c r="I614" t="s">
        <v>20</v>
      </c>
      <c r="K614" t="s">
        <v>21</v>
      </c>
      <c r="L614" t="s">
        <v>22</v>
      </c>
      <c r="M614" t="s">
        <v>23</v>
      </c>
      <c r="N614" t="s">
        <v>23</v>
      </c>
      <c r="O614" t="s">
        <v>24</v>
      </c>
      <c r="P614" s="8" t="s">
        <v>932</v>
      </c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 x14ac:dyDescent="0.2">
      <c r="A615" s="6" t="s">
        <v>17</v>
      </c>
      <c r="B615" t="s">
        <v>44</v>
      </c>
      <c r="C615" t="s">
        <v>45</v>
      </c>
      <c r="D615" t="s">
        <v>933</v>
      </c>
      <c r="E615" s="2">
        <v>530</v>
      </c>
      <c r="F615" s="3">
        <f>DATE(2024,7,1)</f>
        <v>45474</v>
      </c>
      <c r="G615" s="3">
        <f>DATE(2024,7,1)</f>
        <v>45474</v>
      </c>
      <c r="H615">
        <v>967897491</v>
      </c>
      <c r="I615" t="s">
        <v>20</v>
      </c>
      <c r="K615" t="s">
        <v>21</v>
      </c>
      <c r="L615" t="s">
        <v>22</v>
      </c>
      <c r="M615" t="s">
        <v>23</v>
      </c>
      <c r="N615" t="s">
        <v>23</v>
      </c>
      <c r="O615" t="s">
        <v>24</v>
      </c>
      <c r="P615" s="8" t="s">
        <v>934</v>
      </c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 x14ac:dyDescent="0.2">
      <c r="A616" s="6" t="s">
        <v>17</v>
      </c>
      <c r="B616" t="s">
        <v>57</v>
      </c>
      <c r="C616" t="s">
        <v>58</v>
      </c>
      <c r="D616" t="s">
        <v>935</v>
      </c>
      <c r="E616" s="2">
        <v>224.71</v>
      </c>
      <c r="F616" s="3">
        <f>DATE(2024,5,16)</f>
        <v>45428</v>
      </c>
      <c r="G616" s="3">
        <f>DATE(2024,5,16)</f>
        <v>45428</v>
      </c>
      <c r="H616">
        <v>967897492</v>
      </c>
      <c r="I616" t="s">
        <v>20</v>
      </c>
      <c r="K616" t="s">
        <v>21</v>
      </c>
      <c r="L616" t="s">
        <v>22</v>
      </c>
      <c r="M616" t="s">
        <v>23</v>
      </c>
      <c r="N616" t="s">
        <v>23</v>
      </c>
      <c r="O616" t="s">
        <v>24</v>
      </c>
      <c r="P616" s="8" t="s">
        <v>936</v>
      </c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 x14ac:dyDescent="0.2">
      <c r="A617" s="6" t="s">
        <v>17</v>
      </c>
      <c r="B617" t="s">
        <v>191</v>
      </c>
      <c r="C617" t="s">
        <v>192</v>
      </c>
      <c r="D617" t="s">
        <v>937</v>
      </c>
      <c r="E617" s="2">
        <v>1000</v>
      </c>
      <c r="F617" s="3">
        <f>DATE(2024,6,13)</f>
        <v>45456</v>
      </c>
      <c r="G617" s="3">
        <f>DATE(2024,6,13)</f>
        <v>45456</v>
      </c>
      <c r="H617">
        <v>967897493</v>
      </c>
      <c r="I617" t="s">
        <v>20</v>
      </c>
      <c r="K617" t="s">
        <v>21</v>
      </c>
      <c r="L617" t="s">
        <v>22</v>
      </c>
      <c r="M617" t="s">
        <v>23</v>
      </c>
      <c r="N617" t="s">
        <v>23</v>
      </c>
      <c r="O617" t="s">
        <v>24</v>
      </c>
      <c r="P617" s="8" t="s">
        <v>938</v>
      </c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 x14ac:dyDescent="0.2">
      <c r="A618" s="6" t="s">
        <v>17</v>
      </c>
      <c r="B618" t="s">
        <v>44</v>
      </c>
      <c r="C618" t="s">
        <v>45</v>
      </c>
      <c r="D618" t="s">
        <v>939</v>
      </c>
      <c r="E618" s="2">
        <v>73.12</v>
      </c>
      <c r="F618" s="3">
        <f>DATE(2024,7,1)</f>
        <v>45474</v>
      </c>
      <c r="G618" s="3">
        <f>DATE(2024,7,1)</f>
        <v>45474</v>
      </c>
      <c r="H618">
        <v>967897494</v>
      </c>
      <c r="I618" t="s">
        <v>20</v>
      </c>
      <c r="K618" t="s">
        <v>21</v>
      </c>
      <c r="L618" t="s">
        <v>22</v>
      </c>
      <c r="M618" t="s">
        <v>23</v>
      </c>
      <c r="N618" t="s">
        <v>23</v>
      </c>
      <c r="O618" t="s">
        <v>24</v>
      </c>
      <c r="P618" s="8" t="s">
        <v>940</v>
      </c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 x14ac:dyDescent="0.2">
      <c r="A619" s="6" t="s">
        <v>17</v>
      </c>
      <c r="B619" t="s">
        <v>363</v>
      </c>
      <c r="C619" t="s">
        <v>364</v>
      </c>
      <c r="D619" t="s">
        <v>941</v>
      </c>
      <c r="E619" s="2">
        <v>360</v>
      </c>
      <c r="F619" s="3">
        <f>DATE(2024,5,31)</f>
        <v>45443</v>
      </c>
      <c r="G619" s="3">
        <f>DATE(2024,5,31)</f>
        <v>45443</v>
      </c>
      <c r="H619">
        <v>967897495</v>
      </c>
      <c r="I619" t="s">
        <v>20</v>
      </c>
      <c r="K619" t="s">
        <v>21</v>
      </c>
      <c r="L619" t="s">
        <v>22</v>
      </c>
      <c r="M619" t="s">
        <v>23</v>
      </c>
      <c r="N619" t="s">
        <v>23</v>
      </c>
      <c r="O619" t="s">
        <v>24</v>
      </c>
      <c r="P619" s="8" t="s">
        <v>942</v>
      </c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 hidden="1" x14ac:dyDescent="0.2">
      <c r="A620" s="6"/>
      <c r="E620" s="2"/>
      <c r="F620" s="3"/>
      <c r="G620" s="3"/>
      <c r="P620" s="8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 hidden="1" x14ac:dyDescent="0.2">
      <c r="A621" s="6"/>
      <c r="E621" s="2"/>
      <c r="F621" s="3"/>
      <c r="G621" s="3"/>
      <c r="P621" s="8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 x14ac:dyDescent="0.2">
      <c r="A622" s="6" t="s">
        <v>17</v>
      </c>
      <c r="B622" t="s">
        <v>110</v>
      </c>
      <c r="C622" t="s">
        <v>111</v>
      </c>
      <c r="D622" t="s">
        <v>943</v>
      </c>
      <c r="E622" s="2">
        <v>287.27999999999997</v>
      </c>
      <c r="F622" s="3">
        <f>DATE(2024,4,18)</f>
        <v>45400</v>
      </c>
      <c r="G622" s="3">
        <f>DATE(2024,4,18)</f>
        <v>45400</v>
      </c>
      <c r="H622">
        <v>967897498</v>
      </c>
      <c r="I622" t="s">
        <v>20</v>
      </c>
      <c r="K622" t="s">
        <v>21</v>
      </c>
      <c r="L622" t="s">
        <v>22</v>
      </c>
      <c r="M622" t="s">
        <v>23</v>
      </c>
      <c r="N622" t="s">
        <v>23</v>
      </c>
      <c r="O622" t="s">
        <v>24</v>
      </c>
      <c r="P622" s="8" t="s">
        <v>944</v>
      </c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 x14ac:dyDescent="0.2">
      <c r="A623" s="6" t="s">
        <v>17</v>
      </c>
      <c r="B623" t="s">
        <v>611</v>
      </c>
      <c r="C623" t="s">
        <v>612</v>
      </c>
      <c r="D623" t="s">
        <v>945</v>
      </c>
      <c r="E623" s="2">
        <v>240</v>
      </c>
      <c r="F623" s="3">
        <f>DATE(2024,5,6)</f>
        <v>45418</v>
      </c>
      <c r="G623" s="3">
        <f>DATE(2024,5,6)</f>
        <v>45418</v>
      </c>
      <c r="H623">
        <v>967897499</v>
      </c>
      <c r="I623" t="s">
        <v>20</v>
      </c>
      <c r="K623" t="s">
        <v>21</v>
      </c>
      <c r="L623" t="s">
        <v>22</v>
      </c>
      <c r="M623" t="s">
        <v>23</v>
      </c>
      <c r="N623" t="s">
        <v>23</v>
      </c>
      <c r="O623" t="s">
        <v>24</v>
      </c>
      <c r="P623" s="8" t="s">
        <v>946</v>
      </c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 hidden="1" x14ac:dyDescent="0.2">
      <c r="A624" s="6"/>
      <c r="E624" s="2"/>
      <c r="F624" s="3"/>
      <c r="G624" s="3"/>
      <c r="P624" s="8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 hidden="1" x14ac:dyDescent="0.2">
      <c r="A625" s="6"/>
      <c r="E625" s="2"/>
      <c r="F625" s="3"/>
      <c r="G625" s="3"/>
      <c r="P625" s="8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 x14ac:dyDescent="0.2">
      <c r="A626" s="6" t="s">
        <v>17</v>
      </c>
      <c r="B626" t="s">
        <v>34</v>
      </c>
      <c r="C626" t="s">
        <v>35</v>
      </c>
      <c r="D626" t="s">
        <v>947</v>
      </c>
      <c r="E626" s="2">
        <v>3225.71</v>
      </c>
      <c r="F626" s="3">
        <f>DATE(2024,5,31)</f>
        <v>45443</v>
      </c>
      <c r="G626" s="3">
        <f>DATE(2024,5,31)</f>
        <v>45443</v>
      </c>
      <c r="H626">
        <v>967897502</v>
      </c>
      <c r="I626" t="s">
        <v>20</v>
      </c>
      <c r="K626" t="s">
        <v>21</v>
      </c>
      <c r="L626" t="s">
        <v>22</v>
      </c>
      <c r="M626" t="s">
        <v>23</v>
      </c>
      <c r="N626" t="s">
        <v>23</v>
      </c>
      <c r="O626" t="s">
        <v>24</v>
      </c>
      <c r="P626" s="8" t="s">
        <v>948</v>
      </c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 x14ac:dyDescent="0.2">
      <c r="A627" s="6" t="s">
        <v>17</v>
      </c>
      <c r="B627" t="s">
        <v>312</v>
      </c>
      <c r="C627" t="s">
        <v>313</v>
      </c>
      <c r="D627" t="s">
        <v>949</v>
      </c>
      <c r="E627" s="2">
        <v>2340</v>
      </c>
      <c r="F627" s="3">
        <f>DATE(2024,4,22)</f>
        <v>45404</v>
      </c>
      <c r="G627" s="3">
        <f>DATE(2024,4,22)</f>
        <v>45404</v>
      </c>
      <c r="H627">
        <v>967897503</v>
      </c>
      <c r="I627" t="s">
        <v>20</v>
      </c>
      <c r="K627" t="s">
        <v>21</v>
      </c>
      <c r="L627" t="s">
        <v>22</v>
      </c>
      <c r="M627" t="s">
        <v>23</v>
      </c>
      <c r="N627" t="s">
        <v>23</v>
      </c>
      <c r="O627" t="s">
        <v>24</v>
      </c>
      <c r="P627" s="8" t="s">
        <v>950</v>
      </c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 x14ac:dyDescent="0.2">
      <c r="A628" s="6" t="s">
        <v>17</v>
      </c>
      <c r="B628" t="s">
        <v>137</v>
      </c>
      <c r="C628" t="s">
        <v>138</v>
      </c>
      <c r="D628" t="s">
        <v>951</v>
      </c>
      <c r="E628" s="2">
        <v>437.2</v>
      </c>
      <c r="F628" s="3">
        <f>DATE(2024,5,27)</f>
        <v>45439</v>
      </c>
      <c r="G628" s="3">
        <f>DATE(2024,5,27)</f>
        <v>45439</v>
      </c>
      <c r="H628">
        <v>967897504</v>
      </c>
      <c r="I628" t="s">
        <v>20</v>
      </c>
      <c r="K628" t="s">
        <v>21</v>
      </c>
      <c r="L628" t="s">
        <v>22</v>
      </c>
      <c r="M628" t="s">
        <v>23</v>
      </c>
      <c r="N628" t="s">
        <v>23</v>
      </c>
      <c r="O628" t="s">
        <v>24</v>
      </c>
      <c r="P628" s="8" t="s">
        <v>952</v>
      </c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 x14ac:dyDescent="0.2">
      <c r="A629" s="6" t="s">
        <v>17</v>
      </c>
      <c r="B629" t="s">
        <v>674</v>
      </c>
      <c r="C629" t="s">
        <v>675</v>
      </c>
      <c r="D629" t="s">
        <v>953</v>
      </c>
      <c r="E629" s="2">
        <v>2442.75</v>
      </c>
      <c r="F629" s="3">
        <f>DATE(2024,6,20)</f>
        <v>45463</v>
      </c>
      <c r="G629" s="3">
        <f>DATE(2024,6,20)</f>
        <v>45463</v>
      </c>
      <c r="H629">
        <v>967897505</v>
      </c>
      <c r="I629" t="s">
        <v>20</v>
      </c>
      <c r="K629" t="s">
        <v>21</v>
      </c>
      <c r="L629" t="s">
        <v>22</v>
      </c>
      <c r="M629" t="s">
        <v>23</v>
      </c>
      <c r="N629" t="s">
        <v>23</v>
      </c>
      <c r="O629" t="s">
        <v>24</v>
      </c>
      <c r="P629" s="8" t="s">
        <v>954</v>
      </c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 x14ac:dyDescent="0.2">
      <c r="A630" s="6" t="s">
        <v>17</v>
      </c>
      <c r="B630" t="s">
        <v>363</v>
      </c>
      <c r="C630" t="s">
        <v>364</v>
      </c>
      <c r="D630" t="s">
        <v>955</v>
      </c>
      <c r="E630" s="2">
        <v>55</v>
      </c>
      <c r="F630" s="3">
        <f>DATE(2024,7,1)</f>
        <v>45474</v>
      </c>
      <c r="G630" s="3">
        <f>DATE(2024,7,1)</f>
        <v>45474</v>
      </c>
      <c r="H630">
        <v>967897506</v>
      </c>
      <c r="I630" t="s">
        <v>20</v>
      </c>
      <c r="K630" t="s">
        <v>21</v>
      </c>
      <c r="L630" t="s">
        <v>22</v>
      </c>
      <c r="M630" t="s">
        <v>23</v>
      </c>
      <c r="N630" t="s">
        <v>23</v>
      </c>
      <c r="O630" t="s">
        <v>24</v>
      </c>
      <c r="P630" s="8" t="s">
        <v>956</v>
      </c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 hidden="1" x14ac:dyDescent="0.2">
      <c r="A631" s="6"/>
      <c r="E631" s="2"/>
      <c r="F631" s="3"/>
      <c r="G631" s="3"/>
      <c r="P631" s="8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 x14ac:dyDescent="0.2">
      <c r="A632" s="6" t="s">
        <v>17</v>
      </c>
      <c r="B632" t="s">
        <v>115</v>
      </c>
      <c r="C632" t="s">
        <v>116</v>
      </c>
      <c r="D632" t="s">
        <v>957</v>
      </c>
      <c r="E632" s="2">
        <v>1113.6099999999999</v>
      </c>
      <c r="F632" s="3">
        <f>DATE(2024,6,10)</f>
        <v>45453</v>
      </c>
      <c r="G632" s="3">
        <f>DATE(2024,6,10)</f>
        <v>45453</v>
      </c>
      <c r="H632">
        <v>967897508</v>
      </c>
      <c r="I632" t="s">
        <v>20</v>
      </c>
      <c r="K632" t="s">
        <v>21</v>
      </c>
      <c r="L632" t="s">
        <v>22</v>
      </c>
      <c r="M632" t="s">
        <v>23</v>
      </c>
      <c r="N632" t="s">
        <v>23</v>
      </c>
      <c r="O632" t="s">
        <v>24</v>
      </c>
      <c r="P632" s="8" t="s">
        <v>958</v>
      </c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 x14ac:dyDescent="0.2">
      <c r="A633" s="6" t="s">
        <v>17</v>
      </c>
      <c r="B633" t="s">
        <v>223</v>
      </c>
      <c r="C633" t="s">
        <v>223</v>
      </c>
      <c r="D633" t="s">
        <v>959</v>
      </c>
      <c r="E633" s="2">
        <v>5340.32</v>
      </c>
      <c r="F633" s="3">
        <f>DATE(2024,5,29)</f>
        <v>45441</v>
      </c>
      <c r="G633" s="3">
        <f>DATE(2024,5,29)</f>
        <v>45441</v>
      </c>
      <c r="H633">
        <v>967897509</v>
      </c>
      <c r="I633" t="s">
        <v>20</v>
      </c>
      <c r="K633" t="s">
        <v>21</v>
      </c>
      <c r="L633" t="s">
        <v>22</v>
      </c>
      <c r="M633" t="s">
        <v>23</v>
      </c>
      <c r="N633" t="s">
        <v>23</v>
      </c>
      <c r="O633" t="s">
        <v>24</v>
      </c>
      <c r="P633" s="8" t="s">
        <v>960</v>
      </c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 x14ac:dyDescent="0.2">
      <c r="A634" s="6" t="s">
        <v>17</v>
      </c>
      <c r="B634" t="s">
        <v>179</v>
      </c>
      <c r="C634" t="s">
        <v>180</v>
      </c>
      <c r="D634" t="s">
        <v>961</v>
      </c>
      <c r="E634" s="2">
        <v>443.3</v>
      </c>
      <c r="F634" s="3">
        <f>DATE(2024,4,15)</f>
        <v>45397</v>
      </c>
      <c r="G634" s="3">
        <f>DATE(2024,4,15)</f>
        <v>45397</v>
      </c>
      <c r="H634">
        <v>967897510</v>
      </c>
      <c r="I634" t="s">
        <v>20</v>
      </c>
      <c r="K634" t="s">
        <v>21</v>
      </c>
      <c r="L634" t="s">
        <v>22</v>
      </c>
      <c r="M634" t="s">
        <v>23</v>
      </c>
      <c r="N634" t="s">
        <v>23</v>
      </c>
      <c r="O634" t="s">
        <v>24</v>
      </c>
      <c r="P634" s="8" t="s">
        <v>962</v>
      </c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 x14ac:dyDescent="0.2">
      <c r="A635" s="6" t="s">
        <v>17</v>
      </c>
      <c r="B635" t="s">
        <v>110</v>
      </c>
      <c r="C635" t="s">
        <v>111</v>
      </c>
      <c r="D635" t="s">
        <v>963</v>
      </c>
      <c r="E635" s="2">
        <v>173.88</v>
      </c>
      <c r="F635" s="3">
        <f>DATE(2024,4,15)</f>
        <v>45397</v>
      </c>
      <c r="G635" s="3">
        <f>DATE(2024,4,15)</f>
        <v>45397</v>
      </c>
      <c r="H635">
        <v>967897511</v>
      </c>
      <c r="I635" t="s">
        <v>20</v>
      </c>
      <c r="K635" t="s">
        <v>21</v>
      </c>
      <c r="L635" t="s">
        <v>22</v>
      </c>
      <c r="M635" t="s">
        <v>23</v>
      </c>
      <c r="N635" t="s">
        <v>23</v>
      </c>
      <c r="O635" t="s">
        <v>24</v>
      </c>
      <c r="P635" s="8" t="s">
        <v>964</v>
      </c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 x14ac:dyDescent="0.2">
      <c r="A636" s="6" t="s">
        <v>17</v>
      </c>
      <c r="B636" t="s">
        <v>44</v>
      </c>
      <c r="C636" t="s">
        <v>45</v>
      </c>
      <c r="D636" t="s">
        <v>965</v>
      </c>
      <c r="E636" s="2">
        <v>5040</v>
      </c>
      <c r="F636" s="3">
        <f>DATE(2024,5,21)</f>
        <v>45433</v>
      </c>
      <c r="G636" s="3">
        <f>DATE(2024,5,21)</f>
        <v>45433</v>
      </c>
      <c r="H636">
        <v>967897512</v>
      </c>
      <c r="I636" t="s">
        <v>20</v>
      </c>
      <c r="K636" t="s">
        <v>21</v>
      </c>
      <c r="L636" t="s">
        <v>22</v>
      </c>
      <c r="M636" t="s">
        <v>23</v>
      </c>
      <c r="N636" t="s">
        <v>23</v>
      </c>
      <c r="O636" t="s">
        <v>24</v>
      </c>
      <c r="P636" s="8" t="s">
        <v>966</v>
      </c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 spans="1:51" x14ac:dyDescent="0.2">
      <c r="A637" s="6" t="s">
        <v>17</v>
      </c>
      <c r="B637" t="s">
        <v>18</v>
      </c>
      <c r="C637" t="s">
        <v>18</v>
      </c>
      <c r="D637" t="s">
        <v>967</v>
      </c>
      <c r="E637" s="2">
        <v>225.48</v>
      </c>
      <c r="F637" s="3">
        <f>DATE(2024,4,8)</f>
        <v>45390</v>
      </c>
      <c r="G637" s="3">
        <f>DATE(2024,4,8)</f>
        <v>45390</v>
      </c>
      <c r="H637">
        <v>967897513</v>
      </c>
      <c r="I637" t="s">
        <v>20</v>
      </c>
      <c r="K637" t="s">
        <v>21</v>
      </c>
      <c r="L637" t="s">
        <v>22</v>
      </c>
      <c r="M637" t="s">
        <v>23</v>
      </c>
      <c r="N637" t="s">
        <v>23</v>
      </c>
      <c r="O637" t="s">
        <v>24</v>
      </c>
      <c r="P637" s="8" t="s">
        <v>968</v>
      </c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 spans="1:51" x14ac:dyDescent="0.2">
      <c r="A638" s="6" t="s">
        <v>17</v>
      </c>
      <c r="B638" t="s">
        <v>104</v>
      </c>
      <c r="C638" t="s">
        <v>105</v>
      </c>
      <c r="D638" t="s">
        <v>969</v>
      </c>
      <c r="E638" s="2">
        <v>417.74</v>
      </c>
      <c r="F638" s="3">
        <f>DATE(2024,6,5)</f>
        <v>45448</v>
      </c>
      <c r="G638" s="3">
        <f>DATE(2024,6,5)</f>
        <v>45448</v>
      </c>
      <c r="H638">
        <v>967897514</v>
      </c>
      <c r="I638" t="s">
        <v>20</v>
      </c>
      <c r="K638" t="s">
        <v>21</v>
      </c>
      <c r="L638" t="s">
        <v>22</v>
      </c>
      <c r="M638" t="s">
        <v>23</v>
      </c>
      <c r="N638" t="s">
        <v>23</v>
      </c>
      <c r="O638" t="s">
        <v>24</v>
      </c>
      <c r="P638" s="8" t="s">
        <v>970</v>
      </c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 spans="1:51" x14ac:dyDescent="0.2">
      <c r="A639" s="6" t="s">
        <v>17</v>
      </c>
      <c r="B639" t="s">
        <v>191</v>
      </c>
      <c r="C639" t="s">
        <v>192</v>
      </c>
      <c r="D639" t="s">
        <v>971</v>
      </c>
      <c r="E639" s="2">
        <v>5441.23</v>
      </c>
      <c r="F639" s="3">
        <f>DATE(2024,6,4)</f>
        <v>45447</v>
      </c>
      <c r="G639" s="3">
        <f>DATE(2024,6,4)</f>
        <v>45447</v>
      </c>
      <c r="H639">
        <v>967897515</v>
      </c>
      <c r="I639" t="s">
        <v>20</v>
      </c>
      <c r="K639" t="s">
        <v>21</v>
      </c>
      <c r="L639" t="s">
        <v>22</v>
      </c>
      <c r="M639" t="s">
        <v>23</v>
      </c>
      <c r="N639" t="s">
        <v>23</v>
      </c>
      <c r="O639" t="s">
        <v>24</v>
      </c>
      <c r="P639" s="8" t="s">
        <v>972</v>
      </c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 spans="1:51" x14ac:dyDescent="0.2">
      <c r="A640" s="6" t="s">
        <v>17</v>
      </c>
      <c r="B640" t="s">
        <v>973</v>
      </c>
      <c r="C640" t="s">
        <v>974</v>
      </c>
      <c r="D640" t="s">
        <v>975</v>
      </c>
      <c r="E640" s="2">
        <v>428.98</v>
      </c>
      <c r="F640" s="3">
        <f>DATE(2024,5,21)</f>
        <v>45433</v>
      </c>
      <c r="G640" s="3">
        <f>DATE(2024,5,21)</f>
        <v>45433</v>
      </c>
      <c r="H640">
        <v>967897516</v>
      </c>
      <c r="I640" t="s">
        <v>20</v>
      </c>
      <c r="K640" t="s">
        <v>21</v>
      </c>
      <c r="L640" t="s">
        <v>22</v>
      </c>
      <c r="M640" t="s">
        <v>23</v>
      </c>
      <c r="N640" t="s">
        <v>23</v>
      </c>
      <c r="O640" t="s">
        <v>24</v>
      </c>
      <c r="P640" s="8" t="s">
        <v>976</v>
      </c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 spans="1:51" x14ac:dyDescent="0.2">
      <c r="A641" s="6" t="s">
        <v>17</v>
      </c>
      <c r="B641" t="s">
        <v>26</v>
      </c>
      <c r="C641" t="s">
        <v>27</v>
      </c>
      <c r="D641" t="s">
        <v>977</v>
      </c>
      <c r="E641" s="2">
        <v>64.94</v>
      </c>
      <c r="F641" s="3">
        <f>DATE(2024,5,21)</f>
        <v>45433</v>
      </c>
      <c r="G641" s="3">
        <f>DATE(2024,5,21)</f>
        <v>45433</v>
      </c>
      <c r="H641">
        <v>967897517</v>
      </c>
      <c r="I641" t="s">
        <v>20</v>
      </c>
      <c r="K641" t="s">
        <v>21</v>
      </c>
      <c r="L641" t="s">
        <v>22</v>
      </c>
      <c r="M641" t="s">
        <v>23</v>
      </c>
      <c r="N641" t="s">
        <v>23</v>
      </c>
      <c r="O641" t="s">
        <v>24</v>
      </c>
      <c r="P641" s="8" t="s">
        <v>978</v>
      </c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 spans="1:51" x14ac:dyDescent="0.2">
      <c r="A642" s="6" t="s">
        <v>17</v>
      </c>
      <c r="B642" t="s">
        <v>80</v>
      </c>
      <c r="C642" t="s">
        <v>81</v>
      </c>
      <c r="D642" t="s">
        <v>979</v>
      </c>
      <c r="E642" s="2">
        <v>237.2</v>
      </c>
      <c r="F642" s="3">
        <f>DATE(2024,5,6)</f>
        <v>45418</v>
      </c>
      <c r="G642" s="3">
        <f>DATE(2024,5,6)</f>
        <v>45418</v>
      </c>
      <c r="H642">
        <v>967897518</v>
      </c>
      <c r="I642" t="s">
        <v>20</v>
      </c>
      <c r="K642" t="s">
        <v>21</v>
      </c>
      <c r="L642" t="s">
        <v>22</v>
      </c>
      <c r="M642" t="s">
        <v>23</v>
      </c>
      <c r="N642" t="s">
        <v>23</v>
      </c>
      <c r="O642" t="s">
        <v>24</v>
      </c>
      <c r="P642" s="8" t="s">
        <v>980</v>
      </c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 spans="1:51" x14ac:dyDescent="0.2">
      <c r="A643" s="6" t="s">
        <v>17</v>
      </c>
      <c r="B643" t="s">
        <v>363</v>
      </c>
      <c r="C643" t="s">
        <v>364</v>
      </c>
      <c r="D643" t="s">
        <v>981</v>
      </c>
      <c r="E643" s="2">
        <v>2373</v>
      </c>
      <c r="F643" s="3">
        <f>DATE(2024,6,18)</f>
        <v>45461</v>
      </c>
      <c r="G643" s="3">
        <f>DATE(2024,6,18)</f>
        <v>45461</v>
      </c>
      <c r="H643">
        <v>967897519</v>
      </c>
      <c r="I643" t="s">
        <v>20</v>
      </c>
      <c r="K643" t="s">
        <v>21</v>
      </c>
      <c r="L643" t="s">
        <v>22</v>
      </c>
      <c r="M643" t="s">
        <v>23</v>
      </c>
      <c r="N643" t="s">
        <v>23</v>
      </c>
      <c r="O643" t="s">
        <v>24</v>
      </c>
      <c r="P643" s="8" t="s">
        <v>982</v>
      </c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 spans="1:51" hidden="1" x14ac:dyDescent="0.2">
      <c r="A644" s="6"/>
      <c r="E644" s="2"/>
      <c r="F644" s="3"/>
      <c r="G644" s="3"/>
      <c r="P644" s="8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 spans="1:51" x14ac:dyDescent="0.2">
      <c r="A645" s="6" t="s">
        <v>17</v>
      </c>
      <c r="B645" t="s">
        <v>674</v>
      </c>
      <c r="C645" t="s">
        <v>675</v>
      </c>
      <c r="D645" t="s">
        <v>983</v>
      </c>
      <c r="E645" s="2">
        <v>592.08000000000004</v>
      </c>
      <c r="F645" s="3">
        <f>DATE(2024,6,5)</f>
        <v>45448</v>
      </c>
      <c r="G645" s="3">
        <f>DATE(2024,6,5)</f>
        <v>45448</v>
      </c>
      <c r="H645">
        <v>967897521</v>
      </c>
      <c r="I645" t="s">
        <v>20</v>
      </c>
      <c r="K645" t="s">
        <v>21</v>
      </c>
      <c r="L645" t="s">
        <v>22</v>
      </c>
      <c r="M645" t="s">
        <v>23</v>
      </c>
      <c r="N645" t="s">
        <v>23</v>
      </c>
      <c r="O645" t="s">
        <v>24</v>
      </c>
      <c r="P645" s="8" t="s">
        <v>984</v>
      </c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 spans="1:51" x14ac:dyDescent="0.2">
      <c r="A646" s="6" t="s">
        <v>17</v>
      </c>
      <c r="B646" t="s">
        <v>110</v>
      </c>
      <c r="C646" t="s">
        <v>111</v>
      </c>
      <c r="D646" t="s">
        <v>985</v>
      </c>
      <c r="E646" s="2">
        <v>1213.6300000000001</v>
      </c>
      <c r="F646" s="3">
        <f>DATE(2024,6,4)</f>
        <v>45447</v>
      </c>
      <c r="G646" s="3">
        <f>DATE(2024,6,4)</f>
        <v>45447</v>
      </c>
      <c r="H646">
        <v>967897522</v>
      </c>
      <c r="I646" t="s">
        <v>20</v>
      </c>
      <c r="K646" t="s">
        <v>21</v>
      </c>
      <c r="L646" t="s">
        <v>22</v>
      </c>
      <c r="M646" t="s">
        <v>23</v>
      </c>
      <c r="N646" t="s">
        <v>23</v>
      </c>
      <c r="O646" t="s">
        <v>24</v>
      </c>
      <c r="P646" s="8" t="s">
        <v>986</v>
      </c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 spans="1:51" hidden="1" x14ac:dyDescent="0.2">
      <c r="A647" s="6"/>
      <c r="E647" s="2"/>
      <c r="F647" s="3"/>
      <c r="G647" s="3"/>
      <c r="P647" s="8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 spans="1:51" x14ac:dyDescent="0.2">
      <c r="A648" s="6" t="s">
        <v>17</v>
      </c>
      <c r="B648" t="s">
        <v>137</v>
      </c>
      <c r="C648" t="s">
        <v>138</v>
      </c>
      <c r="D648" t="s">
        <v>987</v>
      </c>
      <c r="E648" s="2">
        <v>280.85000000000002</v>
      </c>
      <c r="F648" s="3">
        <f>DATE(2024,4,8)</f>
        <v>45390</v>
      </c>
      <c r="G648" s="3">
        <f>DATE(2024,4,8)</f>
        <v>45390</v>
      </c>
      <c r="H648">
        <v>967897524</v>
      </c>
      <c r="I648" t="s">
        <v>20</v>
      </c>
      <c r="K648" t="s">
        <v>21</v>
      </c>
      <c r="L648" t="s">
        <v>22</v>
      </c>
      <c r="M648" t="s">
        <v>23</v>
      </c>
      <c r="N648" t="s">
        <v>23</v>
      </c>
      <c r="O648" t="s">
        <v>24</v>
      </c>
      <c r="P648" s="8" t="s">
        <v>988</v>
      </c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 spans="1:51" x14ac:dyDescent="0.2">
      <c r="A649" s="6" t="s">
        <v>17</v>
      </c>
      <c r="B649" t="s">
        <v>30</v>
      </c>
      <c r="C649" t="s">
        <v>31</v>
      </c>
      <c r="D649" t="s">
        <v>989</v>
      </c>
      <c r="E649" s="2">
        <v>1313.46</v>
      </c>
      <c r="F649" s="3">
        <f>DATE(2024,6,29)</f>
        <v>45472</v>
      </c>
      <c r="G649" s="3">
        <f>DATE(2024,6,29)</f>
        <v>45472</v>
      </c>
      <c r="H649">
        <v>967897525</v>
      </c>
      <c r="I649" t="s">
        <v>20</v>
      </c>
      <c r="K649" t="s">
        <v>21</v>
      </c>
      <c r="L649" t="s">
        <v>22</v>
      </c>
      <c r="M649" t="s">
        <v>23</v>
      </c>
      <c r="N649" t="s">
        <v>23</v>
      </c>
      <c r="O649" t="s">
        <v>24</v>
      </c>
      <c r="P649" s="8" t="s">
        <v>990</v>
      </c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 spans="1:51" hidden="1" x14ac:dyDescent="0.2">
      <c r="A650" s="6"/>
      <c r="E650" s="2"/>
      <c r="F650" s="3"/>
      <c r="G650" s="3"/>
      <c r="P650" s="8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 spans="1:51" hidden="1" x14ac:dyDescent="0.2">
      <c r="A651" s="6"/>
      <c r="E651" s="2"/>
      <c r="F651" s="3"/>
      <c r="G651" s="3"/>
      <c r="P651" s="8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 spans="1:51" hidden="1" x14ac:dyDescent="0.2">
      <c r="A652" s="6"/>
      <c r="E652" s="2"/>
      <c r="F652" s="3"/>
      <c r="G652" s="3"/>
      <c r="P652" s="8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 spans="1:51" x14ac:dyDescent="0.2">
      <c r="A653" s="6" t="s">
        <v>17</v>
      </c>
      <c r="B653" t="s">
        <v>44</v>
      </c>
      <c r="C653" t="s">
        <v>45</v>
      </c>
      <c r="D653" t="s">
        <v>991</v>
      </c>
      <c r="E653" s="2">
        <v>504.08</v>
      </c>
      <c r="F653" s="3">
        <f>DATE(2024,5,31)</f>
        <v>45443</v>
      </c>
      <c r="G653" s="3">
        <f>DATE(2024,5,31)</f>
        <v>45443</v>
      </c>
      <c r="H653">
        <v>967897529</v>
      </c>
      <c r="I653" t="s">
        <v>20</v>
      </c>
      <c r="K653" t="s">
        <v>21</v>
      </c>
      <c r="L653" t="s">
        <v>22</v>
      </c>
      <c r="M653" t="s">
        <v>23</v>
      </c>
      <c r="N653" t="s">
        <v>23</v>
      </c>
      <c r="O653" t="s">
        <v>24</v>
      </c>
      <c r="P653" s="8" t="s">
        <v>992</v>
      </c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 spans="1:51" x14ac:dyDescent="0.2">
      <c r="A654" s="6" t="s">
        <v>17</v>
      </c>
      <c r="B654" t="s">
        <v>26</v>
      </c>
      <c r="C654" t="s">
        <v>27</v>
      </c>
      <c r="D654" t="s">
        <v>993</v>
      </c>
      <c r="E654" s="2">
        <v>34.340000000000003</v>
      </c>
      <c r="F654" s="3">
        <f>DATE(2024,4,19)</f>
        <v>45401</v>
      </c>
      <c r="G654" s="3">
        <f>DATE(2024,4,19)</f>
        <v>45401</v>
      </c>
      <c r="H654">
        <v>967897530</v>
      </c>
      <c r="I654" t="s">
        <v>20</v>
      </c>
      <c r="K654" t="s">
        <v>21</v>
      </c>
      <c r="L654" t="s">
        <v>22</v>
      </c>
      <c r="M654" t="s">
        <v>23</v>
      </c>
      <c r="N654" t="s">
        <v>23</v>
      </c>
      <c r="O654" t="s">
        <v>24</v>
      </c>
      <c r="P654" s="8" t="s">
        <v>994</v>
      </c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 spans="1:51" hidden="1" x14ac:dyDescent="0.2">
      <c r="A655" s="6"/>
      <c r="E655" s="2"/>
      <c r="F655" s="3"/>
      <c r="G655" s="3"/>
      <c r="P655" s="8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 spans="1:51" hidden="1" x14ac:dyDescent="0.2">
      <c r="A656" s="6"/>
      <c r="E656" s="2"/>
      <c r="F656" s="3"/>
      <c r="G656" s="3"/>
      <c r="P656" s="8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 spans="1:51" x14ac:dyDescent="0.2">
      <c r="A657" s="6" t="s">
        <v>17</v>
      </c>
      <c r="B657" t="s">
        <v>34</v>
      </c>
      <c r="C657" t="s">
        <v>35</v>
      </c>
      <c r="D657" t="s">
        <v>995</v>
      </c>
      <c r="E657" s="2">
        <v>118.5</v>
      </c>
      <c r="F657" s="3">
        <f>DATE(2024,5,23)</f>
        <v>45435</v>
      </c>
      <c r="G657" s="3">
        <f>DATE(2024,5,23)</f>
        <v>45435</v>
      </c>
      <c r="H657">
        <v>967897533</v>
      </c>
      <c r="I657" t="s">
        <v>20</v>
      </c>
      <c r="K657" t="s">
        <v>21</v>
      </c>
      <c r="L657" t="s">
        <v>22</v>
      </c>
      <c r="M657" t="s">
        <v>23</v>
      </c>
      <c r="N657" t="s">
        <v>23</v>
      </c>
      <c r="O657" t="s">
        <v>24</v>
      </c>
      <c r="P657" s="8" t="s">
        <v>996</v>
      </c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 spans="1:51" x14ac:dyDescent="0.2">
      <c r="A658" s="6" t="s">
        <v>17</v>
      </c>
      <c r="B658" t="s">
        <v>57</v>
      </c>
      <c r="C658" t="s">
        <v>58</v>
      </c>
      <c r="D658" t="s">
        <v>997</v>
      </c>
      <c r="E658" s="2">
        <v>93.98</v>
      </c>
      <c r="F658" s="3">
        <f>DATE(2024,4,26)</f>
        <v>45408</v>
      </c>
      <c r="G658" s="3">
        <f>DATE(2024,4,26)</f>
        <v>45408</v>
      </c>
      <c r="H658">
        <v>967897534</v>
      </c>
      <c r="I658" t="s">
        <v>20</v>
      </c>
      <c r="K658" t="s">
        <v>21</v>
      </c>
      <c r="L658" t="s">
        <v>22</v>
      </c>
      <c r="M658" t="s">
        <v>23</v>
      </c>
      <c r="N658" t="s">
        <v>23</v>
      </c>
      <c r="O658" t="s">
        <v>24</v>
      </c>
      <c r="P658" s="8" t="s">
        <v>998</v>
      </c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 spans="1:51" x14ac:dyDescent="0.2">
      <c r="A659" s="6" t="s">
        <v>17</v>
      </c>
      <c r="B659" t="s">
        <v>611</v>
      </c>
      <c r="C659" t="s">
        <v>612</v>
      </c>
      <c r="D659" t="s">
        <v>999</v>
      </c>
      <c r="E659" s="2">
        <v>670.8</v>
      </c>
      <c r="F659" s="3">
        <f>DATE(2024,5,23)</f>
        <v>45435</v>
      </c>
      <c r="G659" s="3">
        <f>DATE(2024,5,23)</f>
        <v>45435</v>
      </c>
      <c r="H659">
        <v>967897535</v>
      </c>
      <c r="I659" t="s">
        <v>20</v>
      </c>
      <c r="K659" t="s">
        <v>21</v>
      </c>
      <c r="L659" t="s">
        <v>22</v>
      </c>
      <c r="M659" t="s">
        <v>23</v>
      </c>
      <c r="N659" t="s">
        <v>23</v>
      </c>
      <c r="O659" t="s">
        <v>24</v>
      </c>
      <c r="P659" s="8" t="s">
        <v>1000</v>
      </c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 spans="1:51" x14ac:dyDescent="0.2">
      <c r="A660" s="6" t="s">
        <v>17</v>
      </c>
      <c r="B660" t="s">
        <v>611</v>
      </c>
      <c r="C660" t="s">
        <v>612</v>
      </c>
      <c r="D660" t="s">
        <v>1001</v>
      </c>
      <c r="E660" s="2">
        <v>331.2</v>
      </c>
      <c r="F660" s="3">
        <f>DATE(2024,7,1)</f>
        <v>45474</v>
      </c>
      <c r="G660" s="3">
        <f>DATE(2024,7,1)</f>
        <v>45474</v>
      </c>
      <c r="H660">
        <v>967897536</v>
      </c>
      <c r="I660" t="s">
        <v>20</v>
      </c>
      <c r="K660" t="s">
        <v>21</v>
      </c>
      <c r="L660" t="s">
        <v>22</v>
      </c>
      <c r="M660" t="s">
        <v>23</v>
      </c>
      <c r="N660" t="s">
        <v>23</v>
      </c>
      <c r="O660" t="s">
        <v>24</v>
      </c>
      <c r="P660" s="8" t="s">
        <v>1002</v>
      </c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 spans="1:51" hidden="1" x14ac:dyDescent="0.2">
      <c r="A661" s="6"/>
      <c r="E661" s="2"/>
      <c r="F661" s="3"/>
      <c r="G661" s="3"/>
      <c r="P661" s="8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 spans="1:51" x14ac:dyDescent="0.2">
      <c r="A662" s="6" t="s">
        <v>17</v>
      </c>
      <c r="B662" t="s">
        <v>133</v>
      </c>
      <c r="C662" t="s">
        <v>134</v>
      </c>
      <c r="D662" t="s">
        <v>1003</v>
      </c>
      <c r="E662" s="2">
        <v>502.46</v>
      </c>
      <c r="F662" s="3">
        <f>DATE(2024,5,15)</f>
        <v>45427</v>
      </c>
      <c r="G662" s="3">
        <f>DATE(2024,5,15)</f>
        <v>45427</v>
      </c>
      <c r="H662">
        <v>967897538</v>
      </c>
      <c r="I662" t="s">
        <v>20</v>
      </c>
      <c r="K662" t="s">
        <v>21</v>
      </c>
      <c r="L662" t="s">
        <v>22</v>
      </c>
      <c r="M662" t="s">
        <v>23</v>
      </c>
      <c r="N662" t="s">
        <v>23</v>
      </c>
      <c r="O662" t="s">
        <v>24</v>
      </c>
      <c r="P662" s="8" t="s">
        <v>1004</v>
      </c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 spans="1:51" x14ac:dyDescent="0.2">
      <c r="A663" s="6" t="s">
        <v>17</v>
      </c>
      <c r="B663" t="s">
        <v>191</v>
      </c>
      <c r="C663" t="s">
        <v>192</v>
      </c>
      <c r="D663" t="s">
        <v>1005</v>
      </c>
      <c r="E663" s="2">
        <v>200</v>
      </c>
      <c r="F663" s="3">
        <f>DATE(2024,4,22)</f>
        <v>45404</v>
      </c>
      <c r="G663" s="3">
        <f>DATE(2024,4,22)</f>
        <v>45404</v>
      </c>
      <c r="H663">
        <v>967897539</v>
      </c>
      <c r="I663" t="s">
        <v>20</v>
      </c>
      <c r="K663" t="s">
        <v>21</v>
      </c>
      <c r="L663" t="s">
        <v>22</v>
      </c>
      <c r="M663" t="s">
        <v>23</v>
      </c>
      <c r="N663" t="s">
        <v>23</v>
      </c>
      <c r="O663" t="s">
        <v>24</v>
      </c>
      <c r="P663" s="8" t="s">
        <v>1006</v>
      </c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 spans="1:51" hidden="1" x14ac:dyDescent="0.2">
      <c r="A664" s="6"/>
      <c r="E664" s="2"/>
      <c r="F664" s="3"/>
      <c r="G664" s="3"/>
      <c r="P664" s="8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 spans="1:51" hidden="1" x14ac:dyDescent="0.2">
      <c r="A665" s="6"/>
      <c r="E665" s="2"/>
      <c r="F665" s="3"/>
      <c r="G665" s="3"/>
      <c r="P665" s="8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 spans="1:51" x14ac:dyDescent="0.2">
      <c r="A666" s="6" t="s">
        <v>17</v>
      </c>
      <c r="B666" t="s">
        <v>611</v>
      </c>
      <c r="C666" t="s">
        <v>612</v>
      </c>
      <c r="D666" t="s">
        <v>1007</v>
      </c>
      <c r="E666" s="2">
        <v>214.27</v>
      </c>
      <c r="F666" s="3">
        <f>DATE(2024,5,14)</f>
        <v>45426</v>
      </c>
      <c r="G666" s="3">
        <f>DATE(2024,5,14)</f>
        <v>45426</v>
      </c>
      <c r="H666">
        <v>967897542</v>
      </c>
      <c r="I666" t="s">
        <v>20</v>
      </c>
      <c r="K666" t="s">
        <v>21</v>
      </c>
      <c r="L666" t="s">
        <v>22</v>
      </c>
      <c r="M666" t="s">
        <v>23</v>
      </c>
      <c r="N666" t="s">
        <v>23</v>
      </c>
      <c r="O666" t="s">
        <v>24</v>
      </c>
      <c r="P666" s="8" t="s">
        <v>1008</v>
      </c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 spans="1:51" hidden="1" x14ac:dyDescent="0.2">
      <c r="A667" s="6"/>
      <c r="E667" s="2"/>
      <c r="F667" s="3"/>
      <c r="G667" s="3"/>
      <c r="P667" s="8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 spans="1:51" hidden="1" x14ac:dyDescent="0.2">
      <c r="A668" s="6"/>
      <c r="E668" s="2"/>
      <c r="F668" s="3"/>
      <c r="G668" s="3"/>
      <c r="P668" s="8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 spans="1:51" hidden="1" x14ac:dyDescent="0.2">
      <c r="A669" s="6"/>
      <c r="E669" s="2"/>
      <c r="F669" s="3"/>
      <c r="G669" s="3"/>
      <c r="P669" s="8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 spans="1:51" x14ac:dyDescent="0.2">
      <c r="A670" s="6" t="s">
        <v>17</v>
      </c>
      <c r="B670" t="s">
        <v>65</v>
      </c>
      <c r="C670" t="s">
        <v>66</v>
      </c>
      <c r="D670" t="s">
        <v>1009</v>
      </c>
      <c r="E670" s="2">
        <v>89</v>
      </c>
      <c r="F670" s="3">
        <f>DATE(2024,4,8)</f>
        <v>45390</v>
      </c>
      <c r="G670" s="3">
        <f>DATE(2024,4,8)</f>
        <v>45390</v>
      </c>
      <c r="H670">
        <v>967897546</v>
      </c>
      <c r="I670" t="s">
        <v>20</v>
      </c>
      <c r="K670" t="s">
        <v>21</v>
      </c>
      <c r="L670" t="s">
        <v>22</v>
      </c>
      <c r="M670" t="s">
        <v>23</v>
      </c>
      <c r="N670" t="s">
        <v>23</v>
      </c>
      <c r="O670" t="s">
        <v>24</v>
      </c>
      <c r="P670" s="8" t="s">
        <v>1010</v>
      </c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 spans="1:51" x14ac:dyDescent="0.2">
      <c r="A671" s="6" t="s">
        <v>17</v>
      </c>
      <c r="B671" t="s">
        <v>100</v>
      </c>
      <c r="C671" t="s">
        <v>101</v>
      </c>
      <c r="D671" t="s">
        <v>1011</v>
      </c>
      <c r="E671" s="2">
        <v>697.2</v>
      </c>
      <c r="F671" s="3">
        <f>DATE(2024,5,23)</f>
        <v>45435</v>
      </c>
      <c r="G671" s="3">
        <f>DATE(2024,5,23)</f>
        <v>45435</v>
      </c>
      <c r="H671">
        <v>967897547</v>
      </c>
      <c r="I671" t="s">
        <v>20</v>
      </c>
      <c r="K671" t="s">
        <v>21</v>
      </c>
      <c r="L671" t="s">
        <v>22</v>
      </c>
      <c r="M671" t="s">
        <v>23</v>
      </c>
      <c r="N671" t="s">
        <v>23</v>
      </c>
      <c r="O671" t="s">
        <v>24</v>
      </c>
      <c r="P671" s="8" t="s">
        <v>1012</v>
      </c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 spans="1:51" x14ac:dyDescent="0.2">
      <c r="A672" s="6" t="s">
        <v>17</v>
      </c>
      <c r="B672" t="s">
        <v>61</v>
      </c>
      <c r="C672" t="s">
        <v>62</v>
      </c>
      <c r="D672" t="s">
        <v>1013</v>
      </c>
      <c r="E672" s="2">
        <v>378</v>
      </c>
      <c r="F672" s="3">
        <f>DATE(2024,4,15)</f>
        <v>45397</v>
      </c>
      <c r="G672" s="3">
        <f>DATE(2024,4,15)</f>
        <v>45397</v>
      </c>
      <c r="H672">
        <v>967897548</v>
      </c>
      <c r="I672" t="s">
        <v>20</v>
      </c>
      <c r="K672" t="s">
        <v>21</v>
      </c>
      <c r="L672" t="s">
        <v>22</v>
      </c>
      <c r="M672" t="s">
        <v>23</v>
      </c>
      <c r="N672" t="s">
        <v>23</v>
      </c>
      <c r="O672" t="s">
        <v>24</v>
      </c>
      <c r="P672" s="8" t="s">
        <v>1014</v>
      </c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 spans="1:51" hidden="1" x14ac:dyDescent="0.2">
      <c r="A673" s="6"/>
      <c r="E673" s="2"/>
      <c r="F673" s="3"/>
      <c r="G673" s="3"/>
      <c r="P673" s="8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 spans="1:51" x14ac:dyDescent="0.2">
      <c r="A674" s="6" t="s">
        <v>17</v>
      </c>
      <c r="B674" t="s">
        <v>26</v>
      </c>
      <c r="C674" t="s">
        <v>27</v>
      </c>
      <c r="D674" t="s">
        <v>1015</v>
      </c>
      <c r="E674" s="2">
        <v>30</v>
      </c>
      <c r="F674" s="3">
        <f>DATE(2024,6,11)</f>
        <v>45454</v>
      </c>
      <c r="G674" s="3">
        <f>DATE(2024,6,11)</f>
        <v>45454</v>
      </c>
      <c r="H674">
        <v>967897550</v>
      </c>
      <c r="I674" t="s">
        <v>20</v>
      </c>
      <c r="K674" t="s">
        <v>21</v>
      </c>
      <c r="L674" t="s">
        <v>22</v>
      </c>
      <c r="M674" t="s">
        <v>23</v>
      </c>
      <c r="N674" t="s">
        <v>23</v>
      </c>
      <c r="O674" t="s">
        <v>24</v>
      </c>
      <c r="P674" s="8" t="s">
        <v>1016</v>
      </c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 spans="1:51" x14ac:dyDescent="0.2">
      <c r="A675" s="6" t="s">
        <v>17</v>
      </c>
      <c r="B675" t="s">
        <v>312</v>
      </c>
      <c r="C675" t="s">
        <v>313</v>
      </c>
      <c r="D675" t="s">
        <v>1017</v>
      </c>
      <c r="E675" s="2">
        <v>172.33</v>
      </c>
      <c r="F675" s="3">
        <f>DATE(2024,5,30)</f>
        <v>45442</v>
      </c>
      <c r="G675" s="3">
        <f>DATE(2024,5,30)</f>
        <v>45442</v>
      </c>
      <c r="H675">
        <v>967897551</v>
      </c>
      <c r="I675" t="s">
        <v>20</v>
      </c>
      <c r="K675" t="s">
        <v>21</v>
      </c>
      <c r="L675" t="s">
        <v>22</v>
      </c>
      <c r="M675" t="s">
        <v>23</v>
      </c>
      <c r="N675" t="s">
        <v>23</v>
      </c>
      <c r="O675" t="s">
        <v>24</v>
      </c>
      <c r="P675" s="8" t="s">
        <v>1018</v>
      </c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 spans="1:51" x14ac:dyDescent="0.2">
      <c r="A676" s="6" t="s">
        <v>17</v>
      </c>
      <c r="B676" t="s">
        <v>110</v>
      </c>
      <c r="C676" t="s">
        <v>111</v>
      </c>
      <c r="D676" t="s">
        <v>1019</v>
      </c>
      <c r="E676" s="2">
        <v>1</v>
      </c>
      <c r="F676" s="3">
        <f>DATE(2024,4,24)</f>
        <v>45406</v>
      </c>
      <c r="G676" s="3">
        <f>DATE(2024,4,24)</f>
        <v>45406</v>
      </c>
      <c r="H676">
        <v>967897552</v>
      </c>
      <c r="I676" t="s">
        <v>20</v>
      </c>
      <c r="K676" t="s">
        <v>21</v>
      </c>
      <c r="L676" t="s">
        <v>22</v>
      </c>
      <c r="M676" t="s">
        <v>23</v>
      </c>
      <c r="N676" t="s">
        <v>23</v>
      </c>
      <c r="O676" t="s">
        <v>24</v>
      </c>
      <c r="P676" s="8" t="s">
        <v>1020</v>
      </c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 spans="1:51" x14ac:dyDescent="0.2">
      <c r="A677" s="6" t="s">
        <v>17</v>
      </c>
      <c r="B677" t="s">
        <v>61</v>
      </c>
      <c r="C677" t="s">
        <v>62</v>
      </c>
      <c r="D677" t="s">
        <v>1021</v>
      </c>
      <c r="E677" s="2">
        <v>720</v>
      </c>
      <c r="F677" s="3">
        <f>DATE(2024,5,29)</f>
        <v>45441</v>
      </c>
      <c r="G677" s="3">
        <f>DATE(2024,5,29)</f>
        <v>45441</v>
      </c>
      <c r="H677">
        <v>967897553</v>
      </c>
      <c r="I677" t="s">
        <v>20</v>
      </c>
      <c r="K677" t="s">
        <v>21</v>
      </c>
      <c r="L677" t="s">
        <v>22</v>
      </c>
      <c r="M677" t="s">
        <v>23</v>
      </c>
      <c r="N677" t="s">
        <v>23</v>
      </c>
      <c r="O677" t="s">
        <v>24</v>
      </c>
      <c r="P677" s="8" t="s">
        <v>1022</v>
      </c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 spans="1:51" hidden="1" x14ac:dyDescent="0.2">
      <c r="A678" s="6"/>
      <c r="E678" s="2"/>
      <c r="F678" s="3"/>
      <c r="G678" s="3"/>
      <c r="P678" s="8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 spans="1:51" x14ac:dyDescent="0.2">
      <c r="A679" s="6" t="s">
        <v>17</v>
      </c>
      <c r="B679" t="s">
        <v>223</v>
      </c>
      <c r="C679" t="s">
        <v>223</v>
      </c>
      <c r="D679" t="s">
        <v>1023</v>
      </c>
      <c r="E679" s="2">
        <v>5145.22</v>
      </c>
      <c r="F679" s="3">
        <f>DATE(2024,6,24)</f>
        <v>45467</v>
      </c>
      <c r="G679" s="3">
        <f>DATE(2024,6,24)</f>
        <v>45467</v>
      </c>
      <c r="H679">
        <v>967897555</v>
      </c>
      <c r="I679" t="s">
        <v>20</v>
      </c>
      <c r="K679" t="s">
        <v>21</v>
      </c>
      <c r="L679" t="s">
        <v>22</v>
      </c>
      <c r="M679" t="s">
        <v>23</v>
      </c>
      <c r="N679" t="s">
        <v>23</v>
      </c>
      <c r="O679" t="s">
        <v>24</v>
      </c>
      <c r="P679" s="8" t="s">
        <v>1024</v>
      </c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 spans="1:51" x14ac:dyDescent="0.2">
      <c r="A680" s="6" t="s">
        <v>17</v>
      </c>
      <c r="B680" t="s">
        <v>57</v>
      </c>
      <c r="C680" t="s">
        <v>58</v>
      </c>
      <c r="D680" t="s">
        <v>1025</v>
      </c>
      <c r="E680" s="2">
        <v>50.1</v>
      </c>
      <c r="F680" s="3">
        <f>DATE(2024,4,8)</f>
        <v>45390</v>
      </c>
      <c r="G680" s="3">
        <f>DATE(2024,4,8)</f>
        <v>45390</v>
      </c>
      <c r="H680">
        <v>967897556</v>
      </c>
      <c r="I680" t="s">
        <v>20</v>
      </c>
      <c r="K680" t="s">
        <v>21</v>
      </c>
      <c r="L680" t="s">
        <v>22</v>
      </c>
      <c r="M680" t="s">
        <v>23</v>
      </c>
      <c r="N680" t="s">
        <v>23</v>
      </c>
      <c r="O680" t="s">
        <v>24</v>
      </c>
      <c r="P680" s="8" t="s">
        <v>1026</v>
      </c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 spans="1:51" x14ac:dyDescent="0.2">
      <c r="A681" s="6" t="s">
        <v>17</v>
      </c>
      <c r="B681" t="s">
        <v>674</v>
      </c>
      <c r="C681" t="s">
        <v>675</v>
      </c>
      <c r="D681" t="s">
        <v>1027</v>
      </c>
      <c r="E681" s="2">
        <v>206.24</v>
      </c>
      <c r="F681" s="3">
        <f>DATE(2024,6,26)</f>
        <v>45469</v>
      </c>
      <c r="G681" s="3">
        <f>DATE(2024,6,26)</f>
        <v>45469</v>
      </c>
      <c r="H681">
        <v>967897557</v>
      </c>
      <c r="I681" t="s">
        <v>20</v>
      </c>
      <c r="K681" t="s">
        <v>21</v>
      </c>
      <c r="L681" t="s">
        <v>22</v>
      </c>
      <c r="M681" t="s">
        <v>23</v>
      </c>
      <c r="N681" t="s">
        <v>23</v>
      </c>
      <c r="O681" t="s">
        <v>24</v>
      </c>
      <c r="P681" s="8" t="s">
        <v>1028</v>
      </c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 spans="1:51" x14ac:dyDescent="0.2">
      <c r="A682" s="6" t="s">
        <v>17</v>
      </c>
      <c r="B682" t="s">
        <v>887</v>
      </c>
      <c r="C682" t="s">
        <v>888</v>
      </c>
      <c r="D682" t="s">
        <v>1029</v>
      </c>
      <c r="E682" s="2">
        <v>1739.68</v>
      </c>
      <c r="F682" s="3">
        <f>DATE(2024,5,10)</f>
        <v>45422</v>
      </c>
      <c r="G682" s="3">
        <f>DATE(2024,5,10)</f>
        <v>45422</v>
      </c>
      <c r="H682">
        <v>967897558</v>
      </c>
      <c r="I682" t="s">
        <v>20</v>
      </c>
      <c r="K682" t="s">
        <v>21</v>
      </c>
      <c r="L682" t="s">
        <v>22</v>
      </c>
      <c r="M682" t="s">
        <v>23</v>
      </c>
      <c r="N682" t="s">
        <v>23</v>
      </c>
      <c r="O682" t="s">
        <v>24</v>
      </c>
      <c r="P682" s="8" t="s">
        <v>1030</v>
      </c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 spans="1:51" x14ac:dyDescent="0.2">
      <c r="A683" s="6" t="s">
        <v>17</v>
      </c>
      <c r="B683" t="s">
        <v>363</v>
      </c>
      <c r="C683" t="s">
        <v>364</v>
      </c>
      <c r="D683" t="s">
        <v>1031</v>
      </c>
      <c r="E683" s="2">
        <v>4029</v>
      </c>
      <c r="F683" s="3">
        <f>DATE(2024,5,31)</f>
        <v>45443</v>
      </c>
      <c r="G683" s="3">
        <f>DATE(2024,5,31)</f>
        <v>45443</v>
      </c>
      <c r="H683">
        <v>967897559</v>
      </c>
      <c r="I683" t="s">
        <v>20</v>
      </c>
      <c r="K683" t="s">
        <v>21</v>
      </c>
      <c r="L683" t="s">
        <v>22</v>
      </c>
      <c r="M683" t="s">
        <v>23</v>
      </c>
      <c r="N683" t="s">
        <v>23</v>
      </c>
      <c r="O683" t="s">
        <v>24</v>
      </c>
      <c r="P683" s="8" t="s">
        <v>1032</v>
      </c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 spans="1:51" hidden="1" x14ac:dyDescent="0.2">
      <c r="A684" s="6"/>
      <c r="E684" s="2"/>
      <c r="F684" s="3"/>
      <c r="G684" s="3"/>
      <c r="P684" s="8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 spans="1:51" hidden="1" x14ac:dyDescent="0.2">
      <c r="A685" s="6"/>
      <c r="E685" s="2"/>
      <c r="F685" s="3"/>
      <c r="G685" s="3"/>
      <c r="P685" s="8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 spans="1:51" hidden="1" x14ac:dyDescent="0.2">
      <c r="A686" s="6"/>
      <c r="E686" s="2"/>
      <c r="F686" s="3"/>
      <c r="G686" s="3"/>
      <c r="P686" s="8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 spans="1:51" hidden="1" x14ac:dyDescent="0.2">
      <c r="A687" s="6"/>
      <c r="E687" s="2"/>
      <c r="F687" s="3"/>
      <c r="G687" s="3"/>
      <c r="P687" s="8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 spans="1:51" x14ac:dyDescent="0.2">
      <c r="A688" s="6" t="s">
        <v>17</v>
      </c>
      <c r="B688" t="s">
        <v>133</v>
      </c>
      <c r="C688" t="s">
        <v>134</v>
      </c>
      <c r="D688" t="s">
        <v>1033</v>
      </c>
      <c r="E688" s="2">
        <v>338.07</v>
      </c>
      <c r="F688" s="3">
        <f>DATE(2024,5,15)</f>
        <v>45427</v>
      </c>
      <c r="G688" s="3">
        <f>DATE(2024,5,15)</f>
        <v>45427</v>
      </c>
      <c r="H688">
        <v>967897564</v>
      </c>
      <c r="I688" t="s">
        <v>20</v>
      </c>
      <c r="K688" t="s">
        <v>21</v>
      </c>
      <c r="L688" t="s">
        <v>22</v>
      </c>
      <c r="M688" t="s">
        <v>23</v>
      </c>
      <c r="N688" t="s">
        <v>23</v>
      </c>
      <c r="O688" t="s">
        <v>24</v>
      </c>
      <c r="P688" s="8" t="s">
        <v>1034</v>
      </c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 spans="1:51" x14ac:dyDescent="0.2">
      <c r="A689" s="6" t="s">
        <v>17</v>
      </c>
      <c r="B689" t="s">
        <v>44</v>
      </c>
      <c r="C689" t="s">
        <v>45</v>
      </c>
      <c r="D689" t="s">
        <v>1035</v>
      </c>
      <c r="E689" s="2">
        <v>106.8</v>
      </c>
      <c r="F689" s="3">
        <f>DATE(2024,6,18)</f>
        <v>45461</v>
      </c>
      <c r="G689" s="3">
        <f>DATE(2024,6,18)</f>
        <v>45461</v>
      </c>
      <c r="H689">
        <v>967897565</v>
      </c>
      <c r="I689" t="s">
        <v>20</v>
      </c>
      <c r="K689" t="s">
        <v>21</v>
      </c>
      <c r="L689" t="s">
        <v>22</v>
      </c>
      <c r="M689" t="s">
        <v>23</v>
      </c>
      <c r="N689" t="s">
        <v>23</v>
      </c>
      <c r="O689" t="s">
        <v>24</v>
      </c>
      <c r="P689" s="8" t="s">
        <v>1036</v>
      </c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 spans="1:51" hidden="1" x14ac:dyDescent="0.2">
      <c r="A690" s="6"/>
      <c r="E690" s="2"/>
      <c r="F690" s="3"/>
      <c r="G690" s="3"/>
      <c r="P690" s="8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 spans="1:51" x14ac:dyDescent="0.2">
      <c r="A691" s="6" t="s">
        <v>17</v>
      </c>
      <c r="B691" t="s">
        <v>38</v>
      </c>
      <c r="C691" t="s">
        <v>39</v>
      </c>
      <c r="D691" t="s">
        <v>1037</v>
      </c>
      <c r="E691" s="2">
        <v>12254.38</v>
      </c>
      <c r="F691" s="3">
        <f>DATE(2024,5,31)</f>
        <v>45443</v>
      </c>
      <c r="G691" s="3">
        <f>DATE(2024,5,31)</f>
        <v>45443</v>
      </c>
      <c r="H691">
        <v>967897567</v>
      </c>
      <c r="I691" t="s">
        <v>20</v>
      </c>
      <c r="K691" t="s">
        <v>21</v>
      </c>
      <c r="L691" t="s">
        <v>22</v>
      </c>
      <c r="M691" t="s">
        <v>23</v>
      </c>
      <c r="N691" t="s">
        <v>23</v>
      </c>
      <c r="O691" t="s">
        <v>24</v>
      </c>
      <c r="P691" s="8" t="s">
        <v>1038</v>
      </c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 spans="1:51" x14ac:dyDescent="0.2">
      <c r="A692" s="6" t="s">
        <v>17</v>
      </c>
      <c r="B692" t="s">
        <v>57</v>
      </c>
      <c r="C692" t="s">
        <v>58</v>
      </c>
      <c r="D692" t="s">
        <v>1039</v>
      </c>
      <c r="E692" s="2">
        <v>64.98</v>
      </c>
      <c r="F692" s="3">
        <f>DATE(2024,6,25)</f>
        <v>45468</v>
      </c>
      <c r="G692" s="3">
        <f>DATE(2024,6,25)</f>
        <v>45468</v>
      </c>
      <c r="H692">
        <v>967897568</v>
      </c>
      <c r="I692" t="s">
        <v>20</v>
      </c>
      <c r="K692" t="s">
        <v>21</v>
      </c>
      <c r="L692" t="s">
        <v>22</v>
      </c>
      <c r="M692" t="s">
        <v>23</v>
      </c>
      <c r="N692" t="s">
        <v>23</v>
      </c>
      <c r="O692" t="s">
        <v>24</v>
      </c>
      <c r="P692" s="8" t="s">
        <v>1040</v>
      </c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 spans="1:51" hidden="1" x14ac:dyDescent="0.2">
      <c r="A693" s="6"/>
      <c r="E693" s="2"/>
      <c r="F693" s="3"/>
      <c r="G693" s="3"/>
      <c r="P693" s="8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 spans="1:51" x14ac:dyDescent="0.2">
      <c r="A694" s="6" t="s">
        <v>17</v>
      </c>
      <c r="B694" t="s">
        <v>34</v>
      </c>
      <c r="C694" t="s">
        <v>35</v>
      </c>
      <c r="D694" t="s">
        <v>98</v>
      </c>
      <c r="E694" s="2">
        <v>500</v>
      </c>
      <c r="F694" s="3">
        <f>DATE(2024,5,7)</f>
        <v>45419</v>
      </c>
      <c r="G694" s="3">
        <f>DATE(2024,5,7)</f>
        <v>45419</v>
      </c>
      <c r="H694">
        <v>967897570</v>
      </c>
      <c r="I694" t="s">
        <v>20</v>
      </c>
      <c r="K694" t="s">
        <v>21</v>
      </c>
      <c r="L694" t="s">
        <v>22</v>
      </c>
      <c r="M694" t="s">
        <v>23</v>
      </c>
      <c r="N694" t="s">
        <v>23</v>
      </c>
      <c r="O694" t="s">
        <v>24</v>
      </c>
      <c r="P694" s="8" t="s">
        <v>1041</v>
      </c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 spans="1:51" hidden="1" x14ac:dyDescent="0.2">
      <c r="A695" s="6"/>
      <c r="E695" s="2"/>
      <c r="F695" s="3"/>
      <c r="G695" s="3"/>
      <c r="P695" s="8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 spans="1:51" hidden="1" x14ac:dyDescent="0.2">
      <c r="A696" s="6"/>
      <c r="E696" s="2"/>
      <c r="F696" s="3"/>
      <c r="G696" s="3"/>
      <c r="P696" s="8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 spans="1:51" hidden="1" x14ac:dyDescent="0.2">
      <c r="A697" s="6"/>
      <c r="E697" s="2"/>
      <c r="F697" s="3"/>
      <c r="G697" s="3"/>
      <c r="P697" s="8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 spans="1:51" hidden="1" x14ac:dyDescent="0.2">
      <c r="A698" s="6"/>
      <c r="E698" s="2"/>
      <c r="F698" s="3"/>
      <c r="G698" s="3"/>
      <c r="P698" s="8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 spans="1:51" x14ac:dyDescent="0.2">
      <c r="A699" s="6" t="s">
        <v>17</v>
      </c>
      <c r="B699" t="s">
        <v>104</v>
      </c>
      <c r="C699" t="s">
        <v>105</v>
      </c>
      <c r="D699" t="s">
        <v>1042</v>
      </c>
      <c r="E699" s="2">
        <v>452.72</v>
      </c>
      <c r="F699" s="3">
        <f>DATE(2024,6,6)</f>
        <v>45449</v>
      </c>
      <c r="G699" s="3">
        <f>DATE(2024,6,6)</f>
        <v>45449</v>
      </c>
      <c r="H699">
        <v>967897575</v>
      </c>
      <c r="I699" t="s">
        <v>20</v>
      </c>
      <c r="K699" t="s">
        <v>21</v>
      </c>
      <c r="L699" t="s">
        <v>22</v>
      </c>
      <c r="M699" t="s">
        <v>23</v>
      </c>
      <c r="N699" t="s">
        <v>23</v>
      </c>
      <c r="O699" t="s">
        <v>24</v>
      </c>
      <c r="P699" s="8" t="s">
        <v>1043</v>
      </c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 spans="1:51" x14ac:dyDescent="0.2">
      <c r="A700" s="6" t="s">
        <v>17</v>
      </c>
      <c r="B700" t="s">
        <v>57</v>
      </c>
      <c r="C700" t="s">
        <v>58</v>
      </c>
      <c r="D700" t="s">
        <v>1044</v>
      </c>
      <c r="E700" s="2">
        <v>51.99</v>
      </c>
      <c r="F700" s="3">
        <f>DATE(2024,6,24)</f>
        <v>45467</v>
      </c>
      <c r="G700" s="3">
        <f>DATE(2024,6,24)</f>
        <v>45467</v>
      </c>
      <c r="H700">
        <v>967897576</v>
      </c>
      <c r="I700" t="s">
        <v>20</v>
      </c>
      <c r="K700" t="s">
        <v>21</v>
      </c>
      <c r="L700" t="s">
        <v>22</v>
      </c>
      <c r="M700" t="s">
        <v>23</v>
      </c>
      <c r="N700" t="s">
        <v>23</v>
      </c>
      <c r="O700" t="s">
        <v>24</v>
      </c>
      <c r="P700" s="8" t="s">
        <v>1045</v>
      </c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 spans="1:51" x14ac:dyDescent="0.2">
      <c r="A701" s="6" t="s">
        <v>17</v>
      </c>
      <c r="B701" t="s">
        <v>1046</v>
      </c>
      <c r="C701" t="s">
        <v>1047</v>
      </c>
      <c r="D701" t="s">
        <v>1048</v>
      </c>
      <c r="E701" s="2">
        <v>1833.98</v>
      </c>
      <c r="F701" s="3">
        <f>DATE(2024,6,6)</f>
        <v>45449</v>
      </c>
      <c r="G701" s="3">
        <f>DATE(2024,6,6)</f>
        <v>45449</v>
      </c>
      <c r="H701">
        <v>967897577</v>
      </c>
      <c r="I701" t="s">
        <v>20</v>
      </c>
      <c r="K701" t="s">
        <v>21</v>
      </c>
      <c r="L701" t="s">
        <v>22</v>
      </c>
      <c r="M701" t="s">
        <v>23</v>
      </c>
      <c r="N701" t="s">
        <v>23</v>
      </c>
      <c r="O701" t="s">
        <v>24</v>
      </c>
      <c r="P701" s="8" t="s">
        <v>1049</v>
      </c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 spans="1:51" x14ac:dyDescent="0.2">
      <c r="A702" s="6" t="s">
        <v>17</v>
      </c>
      <c r="B702" t="s">
        <v>110</v>
      </c>
      <c r="C702" t="s">
        <v>111</v>
      </c>
      <c r="D702" t="s">
        <v>1050</v>
      </c>
      <c r="E702" s="2">
        <v>1217.1300000000001</v>
      </c>
      <c r="F702" s="3">
        <f>DATE(2024,5,6)</f>
        <v>45418</v>
      </c>
      <c r="G702" s="3">
        <f>DATE(2024,5,6)</f>
        <v>45418</v>
      </c>
      <c r="H702">
        <v>967897578</v>
      </c>
      <c r="I702" t="s">
        <v>20</v>
      </c>
      <c r="K702" t="s">
        <v>21</v>
      </c>
      <c r="L702" t="s">
        <v>22</v>
      </c>
      <c r="M702" t="s">
        <v>23</v>
      </c>
      <c r="N702" t="s">
        <v>23</v>
      </c>
      <c r="O702" t="s">
        <v>24</v>
      </c>
      <c r="P702" s="8" t="s">
        <v>1051</v>
      </c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 spans="1:51" x14ac:dyDescent="0.2">
      <c r="A703" s="6" t="s">
        <v>17</v>
      </c>
      <c r="B703" t="s">
        <v>655</v>
      </c>
      <c r="C703" t="s">
        <v>656</v>
      </c>
      <c r="D703" t="s">
        <v>1052</v>
      </c>
      <c r="E703" s="2">
        <v>1461.94</v>
      </c>
      <c r="F703" s="3">
        <f>DATE(2024,7,1)</f>
        <v>45474</v>
      </c>
      <c r="G703" s="3">
        <f>DATE(2024,7,1)</f>
        <v>45474</v>
      </c>
      <c r="H703">
        <v>967897579</v>
      </c>
      <c r="I703" t="s">
        <v>20</v>
      </c>
      <c r="K703" t="s">
        <v>21</v>
      </c>
      <c r="L703" t="s">
        <v>22</v>
      </c>
      <c r="M703" t="s">
        <v>23</v>
      </c>
      <c r="N703" t="s">
        <v>23</v>
      </c>
      <c r="O703" t="s">
        <v>24</v>
      </c>
      <c r="P703" s="8" t="s">
        <v>1053</v>
      </c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 spans="1:51" x14ac:dyDescent="0.2">
      <c r="A704" s="6" t="s">
        <v>17</v>
      </c>
      <c r="B704" t="s">
        <v>611</v>
      </c>
      <c r="C704" t="s">
        <v>612</v>
      </c>
      <c r="D704" t="s">
        <v>1054</v>
      </c>
      <c r="E704" s="2">
        <v>1420.42</v>
      </c>
      <c r="F704" s="3">
        <f>DATE(2024,6,20)</f>
        <v>45463</v>
      </c>
      <c r="G704" s="3">
        <f>DATE(2024,6,20)</f>
        <v>45463</v>
      </c>
      <c r="H704">
        <v>967897580</v>
      </c>
      <c r="I704" t="s">
        <v>20</v>
      </c>
      <c r="K704" t="s">
        <v>21</v>
      </c>
      <c r="L704" t="s">
        <v>22</v>
      </c>
      <c r="M704" t="s">
        <v>23</v>
      </c>
      <c r="N704" t="s">
        <v>23</v>
      </c>
      <c r="O704" t="s">
        <v>24</v>
      </c>
      <c r="P704" s="8" t="s">
        <v>1055</v>
      </c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 spans="1:51" hidden="1" x14ac:dyDescent="0.2">
      <c r="A705" s="6"/>
      <c r="E705" s="2"/>
      <c r="F705" s="3"/>
      <c r="G705" s="3"/>
      <c r="P705" s="8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 spans="1:51" x14ac:dyDescent="0.2">
      <c r="A706" s="6" t="s">
        <v>17</v>
      </c>
      <c r="B706" t="s">
        <v>179</v>
      </c>
      <c r="C706" t="s">
        <v>180</v>
      </c>
      <c r="D706" t="s">
        <v>1056</v>
      </c>
      <c r="E706" s="2">
        <v>1362.6</v>
      </c>
      <c r="F706" s="3">
        <f>DATE(2024,5,6)</f>
        <v>45418</v>
      </c>
      <c r="G706" s="3">
        <f>DATE(2024,5,6)</f>
        <v>45418</v>
      </c>
      <c r="H706">
        <v>967897582</v>
      </c>
      <c r="I706" t="s">
        <v>20</v>
      </c>
      <c r="K706" t="s">
        <v>21</v>
      </c>
      <c r="L706" t="s">
        <v>22</v>
      </c>
      <c r="M706" t="s">
        <v>23</v>
      </c>
      <c r="N706" t="s">
        <v>23</v>
      </c>
      <c r="O706" t="s">
        <v>24</v>
      </c>
      <c r="P706" s="8" t="s">
        <v>1057</v>
      </c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 spans="1:51" x14ac:dyDescent="0.2">
      <c r="A707" s="6" t="s">
        <v>17</v>
      </c>
      <c r="B707" t="s">
        <v>175</v>
      </c>
      <c r="C707" t="s">
        <v>176</v>
      </c>
      <c r="D707" t="s">
        <v>1058</v>
      </c>
      <c r="E707" s="2">
        <v>594.48</v>
      </c>
      <c r="F707" s="3">
        <f>DATE(2024,6,21)</f>
        <v>45464</v>
      </c>
      <c r="G707" s="3">
        <f>DATE(2024,6,21)</f>
        <v>45464</v>
      </c>
      <c r="H707">
        <v>967897583</v>
      </c>
      <c r="I707" t="s">
        <v>20</v>
      </c>
      <c r="K707" t="s">
        <v>21</v>
      </c>
      <c r="L707" t="s">
        <v>22</v>
      </c>
      <c r="M707" t="s">
        <v>23</v>
      </c>
      <c r="N707" t="s">
        <v>23</v>
      </c>
      <c r="O707" t="s">
        <v>24</v>
      </c>
      <c r="P707" s="8" t="s">
        <v>1059</v>
      </c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 spans="1:51" hidden="1" x14ac:dyDescent="0.2">
      <c r="A708" s="6"/>
      <c r="E708" s="2"/>
      <c r="F708" s="3"/>
      <c r="G708" s="3"/>
      <c r="P708" s="8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 spans="1:51" hidden="1" x14ac:dyDescent="0.2">
      <c r="A709" s="6"/>
      <c r="E709" s="2"/>
      <c r="F709" s="3"/>
      <c r="G709" s="3"/>
      <c r="P709" s="8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 spans="1:51" hidden="1" x14ac:dyDescent="0.2">
      <c r="A710" s="6"/>
      <c r="E710" s="2"/>
      <c r="F710" s="3"/>
      <c r="G710" s="3"/>
      <c r="P710" s="8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 spans="1:51" x14ac:dyDescent="0.2">
      <c r="A711" s="6" t="s">
        <v>17</v>
      </c>
      <c r="B711" t="s">
        <v>1060</v>
      </c>
      <c r="C711" t="s">
        <v>1061</v>
      </c>
      <c r="D711" t="s">
        <v>1062</v>
      </c>
      <c r="E711" s="2">
        <v>143.31</v>
      </c>
      <c r="F711" s="3">
        <f>DATE(2024,5,22)</f>
        <v>45434</v>
      </c>
      <c r="G711" s="3">
        <f>DATE(2024,5,22)</f>
        <v>45434</v>
      </c>
      <c r="H711">
        <v>967897587</v>
      </c>
      <c r="I711" t="s">
        <v>20</v>
      </c>
      <c r="K711" t="s">
        <v>21</v>
      </c>
      <c r="L711" t="s">
        <v>22</v>
      </c>
      <c r="M711" t="s">
        <v>23</v>
      </c>
      <c r="N711" t="s">
        <v>23</v>
      </c>
      <c r="O711" t="s">
        <v>24</v>
      </c>
      <c r="P711" s="8" t="s">
        <v>1063</v>
      </c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 spans="1:51" hidden="1" x14ac:dyDescent="0.2">
      <c r="A712" s="6"/>
      <c r="E712" s="2"/>
      <c r="F712" s="3"/>
      <c r="G712" s="3"/>
      <c r="P712" s="8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 spans="1:51" hidden="1" x14ac:dyDescent="0.2">
      <c r="A713" s="6"/>
      <c r="E713" s="2"/>
      <c r="F713" s="3"/>
      <c r="G713" s="3"/>
      <c r="P713" s="8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 spans="1:51" x14ac:dyDescent="0.2">
      <c r="A714" s="6" t="s">
        <v>17</v>
      </c>
      <c r="B714" t="s">
        <v>179</v>
      </c>
      <c r="C714" t="s">
        <v>180</v>
      </c>
      <c r="D714" t="s">
        <v>1064</v>
      </c>
      <c r="E714" s="2">
        <v>1880.99</v>
      </c>
      <c r="F714" s="3">
        <f>DATE(2024,6,3)</f>
        <v>45446</v>
      </c>
      <c r="G714" s="3">
        <f>DATE(2024,6,3)</f>
        <v>45446</v>
      </c>
      <c r="H714">
        <v>967897590</v>
      </c>
      <c r="I714" t="s">
        <v>20</v>
      </c>
      <c r="K714" t="s">
        <v>21</v>
      </c>
      <c r="L714" t="s">
        <v>22</v>
      </c>
      <c r="M714" t="s">
        <v>23</v>
      </c>
      <c r="N714" t="s">
        <v>23</v>
      </c>
      <c r="O714" t="s">
        <v>24</v>
      </c>
      <c r="P714" s="8" t="s">
        <v>1065</v>
      </c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 spans="1:51" x14ac:dyDescent="0.2">
      <c r="A715" s="6" t="s">
        <v>17</v>
      </c>
      <c r="B715" t="s">
        <v>887</v>
      </c>
      <c r="C715" t="s">
        <v>888</v>
      </c>
      <c r="D715" t="s">
        <v>1066</v>
      </c>
      <c r="E715" s="2">
        <v>616.78</v>
      </c>
      <c r="F715" s="3">
        <f>DATE(2024,7,1)</f>
        <v>45474</v>
      </c>
      <c r="G715" s="3">
        <f>DATE(2024,7,1)</f>
        <v>45474</v>
      </c>
      <c r="H715">
        <v>967897591</v>
      </c>
      <c r="I715" t="s">
        <v>20</v>
      </c>
      <c r="K715" t="s">
        <v>21</v>
      </c>
      <c r="L715" t="s">
        <v>22</v>
      </c>
      <c r="M715" t="s">
        <v>23</v>
      </c>
      <c r="N715" t="s">
        <v>23</v>
      </c>
      <c r="O715" t="s">
        <v>24</v>
      </c>
      <c r="P715" s="8" t="s">
        <v>1067</v>
      </c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 spans="1:51" x14ac:dyDescent="0.2">
      <c r="A716" s="6" t="s">
        <v>17</v>
      </c>
      <c r="B716" t="s">
        <v>34</v>
      </c>
      <c r="C716" t="s">
        <v>35</v>
      </c>
      <c r="D716" t="s">
        <v>1068</v>
      </c>
      <c r="E716" s="2">
        <v>190.08</v>
      </c>
      <c r="F716" s="3">
        <f>DATE(2024,7,1)</f>
        <v>45474</v>
      </c>
      <c r="G716" s="3">
        <f>DATE(2024,7,1)</f>
        <v>45474</v>
      </c>
      <c r="H716">
        <v>967897592</v>
      </c>
      <c r="I716" t="s">
        <v>20</v>
      </c>
      <c r="K716" t="s">
        <v>21</v>
      </c>
      <c r="L716" t="s">
        <v>22</v>
      </c>
      <c r="M716" t="s">
        <v>23</v>
      </c>
      <c r="N716" t="s">
        <v>23</v>
      </c>
      <c r="O716" t="s">
        <v>24</v>
      </c>
      <c r="P716" s="8" t="s">
        <v>1069</v>
      </c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 spans="1:51" x14ac:dyDescent="0.2">
      <c r="A717" s="6" t="s">
        <v>17</v>
      </c>
      <c r="B717" t="s">
        <v>110</v>
      </c>
      <c r="C717" t="s">
        <v>111</v>
      </c>
      <c r="D717" t="s">
        <v>1070</v>
      </c>
      <c r="E717" s="2">
        <v>235.52</v>
      </c>
      <c r="F717" s="3">
        <f>DATE(2024,5,6)</f>
        <v>45418</v>
      </c>
      <c r="G717" s="3">
        <f>DATE(2024,5,6)</f>
        <v>45418</v>
      </c>
      <c r="H717">
        <v>967897593</v>
      </c>
      <c r="I717" t="s">
        <v>20</v>
      </c>
      <c r="K717" t="s">
        <v>21</v>
      </c>
      <c r="L717" t="s">
        <v>22</v>
      </c>
      <c r="M717" t="s">
        <v>23</v>
      </c>
      <c r="N717" t="s">
        <v>23</v>
      </c>
      <c r="O717" t="s">
        <v>24</v>
      </c>
      <c r="P717" s="8" t="s">
        <v>1071</v>
      </c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 spans="1:51" x14ac:dyDescent="0.2">
      <c r="A718" s="6" t="s">
        <v>17</v>
      </c>
      <c r="B718" t="s">
        <v>44</v>
      </c>
      <c r="C718" t="s">
        <v>45</v>
      </c>
      <c r="D718" t="s">
        <v>1072</v>
      </c>
      <c r="E718" s="2">
        <v>2190</v>
      </c>
      <c r="F718" s="3">
        <f>DATE(2024,4,8)</f>
        <v>45390</v>
      </c>
      <c r="G718" s="3">
        <f>DATE(2024,4,8)</f>
        <v>45390</v>
      </c>
      <c r="H718">
        <v>967897594</v>
      </c>
      <c r="I718" t="s">
        <v>20</v>
      </c>
      <c r="K718" t="s">
        <v>21</v>
      </c>
      <c r="L718" t="s">
        <v>22</v>
      </c>
      <c r="M718" t="s">
        <v>23</v>
      </c>
      <c r="N718" t="s">
        <v>23</v>
      </c>
      <c r="O718" t="s">
        <v>24</v>
      </c>
      <c r="P718" s="8" t="s">
        <v>1073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 spans="1:51" x14ac:dyDescent="0.2">
      <c r="A719" s="6" t="s">
        <v>17</v>
      </c>
      <c r="B719" t="s">
        <v>363</v>
      </c>
      <c r="C719" t="s">
        <v>364</v>
      </c>
      <c r="D719" t="s">
        <v>1074</v>
      </c>
      <c r="E719" s="2">
        <v>55</v>
      </c>
      <c r="F719" s="3">
        <f>DATE(2024,5,2)</f>
        <v>45414</v>
      </c>
      <c r="G719" s="3">
        <f>DATE(2024,5,2)</f>
        <v>45414</v>
      </c>
      <c r="H719">
        <v>967897595</v>
      </c>
      <c r="I719" t="s">
        <v>20</v>
      </c>
      <c r="K719" t="s">
        <v>21</v>
      </c>
      <c r="L719" t="s">
        <v>22</v>
      </c>
      <c r="M719" t="s">
        <v>23</v>
      </c>
      <c r="N719" t="s">
        <v>23</v>
      </c>
      <c r="O719" t="s">
        <v>24</v>
      </c>
      <c r="P719" s="8" t="s">
        <v>1075</v>
      </c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 spans="1:51" x14ac:dyDescent="0.2">
      <c r="A720" s="6" t="s">
        <v>17</v>
      </c>
      <c r="B720" t="s">
        <v>18</v>
      </c>
      <c r="C720" t="s">
        <v>18</v>
      </c>
      <c r="D720" t="s">
        <v>1076</v>
      </c>
      <c r="E720" s="2">
        <v>3.23</v>
      </c>
      <c r="F720" s="3">
        <f>DATE(2024,6,5)</f>
        <v>45448</v>
      </c>
      <c r="G720" s="3">
        <f>DATE(2024,6,5)</f>
        <v>45448</v>
      </c>
      <c r="H720">
        <v>967897596</v>
      </c>
      <c r="I720" t="s">
        <v>20</v>
      </c>
      <c r="K720" t="s">
        <v>21</v>
      </c>
      <c r="L720" t="s">
        <v>22</v>
      </c>
      <c r="M720" t="s">
        <v>23</v>
      </c>
      <c r="N720" t="s">
        <v>23</v>
      </c>
      <c r="O720" t="s">
        <v>24</v>
      </c>
      <c r="P720" s="8" t="s">
        <v>1077</v>
      </c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 spans="1:51" x14ac:dyDescent="0.2">
      <c r="A721" s="6" t="s">
        <v>17</v>
      </c>
      <c r="B721" t="s">
        <v>363</v>
      </c>
      <c r="C721" t="s">
        <v>364</v>
      </c>
      <c r="D721" t="s">
        <v>1078</v>
      </c>
      <c r="E721" s="2">
        <v>55</v>
      </c>
      <c r="F721" s="3">
        <f>DATE(2024,5,2)</f>
        <v>45414</v>
      </c>
      <c r="G721" s="3">
        <f>DATE(2024,5,2)</f>
        <v>45414</v>
      </c>
      <c r="H721">
        <v>967897597</v>
      </c>
      <c r="I721" t="s">
        <v>20</v>
      </c>
      <c r="K721" t="s">
        <v>21</v>
      </c>
      <c r="L721" t="s">
        <v>22</v>
      </c>
      <c r="M721" t="s">
        <v>23</v>
      </c>
      <c r="N721" t="s">
        <v>23</v>
      </c>
      <c r="O721" t="s">
        <v>24</v>
      </c>
      <c r="P721" s="8" t="s">
        <v>1079</v>
      </c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 spans="1:51" x14ac:dyDescent="0.2">
      <c r="A722" s="6" t="s">
        <v>17</v>
      </c>
      <c r="B722" t="s">
        <v>80</v>
      </c>
      <c r="C722" t="s">
        <v>81</v>
      </c>
      <c r="D722" t="s">
        <v>1080</v>
      </c>
      <c r="E722" s="2">
        <v>1350.06</v>
      </c>
      <c r="F722" s="3">
        <f>DATE(2024,6,5)</f>
        <v>45448</v>
      </c>
      <c r="G722" s="3">
        <f>DATE(2024,6,5)</f>
        <v>45448</v>
      </c>
      <c r="H722">
        <v>967897598</v>
      </c>
      <c r="I722" t="s">
        <v>20</v>
      </c>
      <c r="K722" t="s">
        <v>21</v>
      </c>
      <c r="L722" t="s">
        <v>22</v>
      </c>
      <c r="M722" t="s">
        <v>23</v>
      </c>
      <c r="N722" t="s">
        <v>23</v>
      </c>
      <c r="O722" t="s">
        <v>24</v>
      </c>
      <c r="P722" s="8" t="s">
        <v>1081</v>
      </c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 spans="1:51" x14ac:dyDescent="0.2">
      <c r="A723" s="6" t="s">
        <v>17</v>
      </c>
      <c r="B723" t="s">
        <v>674</v>
      </c>
      <c r="C723" t="s">
        <v>675</v>
      </c>
      <c r="D723" t="s">
        <v>1082</v>
      </c>
      <c r="E723" s="2">
        <v>483.95</v>
      </c>
      <c r="F723" s="3">
        <f>DATE(2024,4,26)</f>
        <v>45408</v>
      </c>
      <c r="G723" s="3">
        <f>DATE(2024,4,26)</f>
        <v>45408</v>
      </c>
      <c r="H723">
        <v>967897599</v>
      </c>
      <c r="I723" t="s">
        <v>20</v>
      </c>
      <c r="K723" t="s">
        <v>21</v>
      </c>
      <c r="L723" t="s">
        <v>22</v>
      </c>
      <c r="M723" t="s">
        <v>23</v>
      </c>
      <c r="N723" t="s">
        <v>23</v>
      </c>
      <c r="O723" t="s">
        <v>24</v>
      </c>
      <c r="P723" s="8" t="s">
        <v>1083</v>
      </c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 spans="1:51" x14ac:dyDescent="0.2">
      <c r="A724" s="6" t="s">
        <v>17</v>
      </c>
      <c r="B724" t="s">
        <v>191</v>
      </c>
      <c r="C724" t="s">
        <v>192</v>
      </c>
      <c r="D724" t="s">
        <v>1084</v>
      </c>
      <c r="E724" s="2">
        <v>840</v>
      </c>
      <c r="F724" s="3">
        <f>DATE(2024,5,21)</f>
        <v>45433</v>
      </c>
      <c r="G724" s="3">
        <f>DATE(2024,5,21)</f>
        <v>45433</v>
      </c>
      <c r="H724">
        <v>967897600</v>
      </c>
      <c r="I724" t="s">
        <v>20</v>
      </c>
      <c r="K724" t="s">
        <v>21</v>
      </c>
      <c r="L724" t="s">
        <v>22</v>
      </c>
      <c r="M724" t="s">
        <v>23</v>
      </c>
      <c r="N724" t="s">
        <v>23</v>
      </c>
      <c r="O724" t="s">
        <v>24</v>
      </c>
      <c r="P724" s="8" t="s">
        <v>1085</v>
      </c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 spans="1:51" x14ac:dyDescent="0.2">
      <c r="A725" s="6" t="s">
        <v>17</v>
      </c>
      <c r="B725" t="s">
        <v>34</v>
      </c>
      <c r="C725" t="s">
        <v>35</v>
      </c>
      <c r="D725" t="s">
        <v>1086</v>
      </c>
      <c r="E725" s="2">
        <v>96.01</v>
      </c>
      <c r="F725" s="3">
        <f>DATE(2024,4,8)</f>
        <v>45390</v>
      </c>
      <c r="G725" s="3">
        <f>DATE(2024,4,8)</f>
        <v>45390</v>
      </c>
      <c r="H725">
        <v>967897601</v>
      </c>
      <c r="I725" t="s">
        <v>20</v>
      </c>
      <c r="K725" t="s">
        <v>21</v>
      </c>
      <c r="L725" t="s">
        <v>22</v>
      </c>
      <c r="M725" t="s">
        <v>23</v>
      </c>
      <c r="N725" t="s">
        <v>23</v>
      </c>
      <c r="O725" t="s">
        <v>24</v>
      </c>
      <c r="P725" s="8" t="s">
        <v>1087</v>
      </c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 spans="1:51" x14ac:dyDescent="0.2">
      <c r="A726" s="6" t="s">
        <v>17</v>
      </c>
      <c r="B726" t="s">
        <v>44</v>
      </c>
      <c r="C726" t="s">
        <v>45</v>
      </c>
      <c r="D726" t="s">
        <v>1088</v>
      </c>
      <c r="E726" s="2">
        <v>195</v>
      </c>
      <c r="F726" s="3">
        <f>DATE(2024,4,9)</f>
        <v>45391</v>
      </c>
      <c r="G726" s="3">
        <f>DATE(2024,4,9)</f>
        <v>45391</v>
      </c>
      <c r="H726">
        <v>967897602</v>
      </c>
      <c r="I726" t="s">
        <v>20</v>
      </c>
      <c r="K726" t="s">
        <v>21</v>
      </c>
      <c r="L726" t="s">
        <v>22</v>
      </c>
      <c r="M726" t="s">
        <v>23</v>
      </c>
      <c r="N726" t="s">
        <v>23</v>
      </c>
      <c r="O726" t="s">
        <v>24</v>
      </c>
      <c r="P726" s="8" t="s">
        <v>1089</v>
      </c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 spans="1:51" x14ac:dyDescent="0.2">
      <c r="A727" s="6" t="s">
        <v>17</v>
      </c>
      <c r="B727" t="s">
        <v>57</v>
      </c>
      <c r="C727" t="s">
        <v>58</v>
      </c>
      <c r="D727" t="s">
        <v>1090</v>
      </c>
      <c r="E727" s="2">
        <v>70.02</v>
      </c>
      <c r="F727" s="3">
        <f>DATE(2024,4,22)</f>
        <v>45404</v>
      </c>
      <c r="G727" s="3">
        <f>DATE(2024,4,22)</f>
        <v>45404</v>
      </c>
      <c r="H727">
        <v>967897603</v>
      </c>
      <c r="I727" t="s">
        <v>20</v>
      </c>
      <c r="K727" t="s">
        <v>21</v>
      </c>
      <c r="L727" t="s">
        <v>22</v>
      </c>
      <c r="M727" t="s">
        <v>23</v>
      </c>
      <c r="N727" t="s">
        <v>23</v>
      </c>
      <c r="O727" t="s">
        <v>24</v>
      </c>
      <c r="P727" s="8" t="s">
        <v>1091</v>
      </c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 spans="1:51" x14ac:dyDescent="0.2">
      <c r="A728" s="6" t="s">
        <v>17</v>
      </c>
      <c r="B728" t="s">
        <v>44</v>
      </c>
      <c r="C728" t="s">
        <v>45</v>
      </c>
      <c r="D728" t="s">
        <v>1092</v>
      </c>
      <c r="E728" s="2">
        <v>75.8</v>
      </c>
      <c r="F728" s="3">
        <f>DATE(2024,5,17)</f>
        <v>45429</v>
      </c>
      <c r="G728" s="3">
        <f>DATE(2024,5,17)</f>
        <v>45429</v>
      </c>
      <c r="H728">
        <v>967897604</v>
      </c>
      <c r="I728" t="s">
        <v>20</v>
      </c>
      <c r="K728" t="s">
        <v>21</v>
      </c>
      <c r="L728" t="s">
        <v>22</v>
      </c>
      <c r="M728" t="s">
        <v>23</v>
      </c>
      <c r="N728" t="s">
        <v>23</v>
      </c>
      <c r="O728" t="s">
        <v>24</v>
      </c>
      <c r="P728" s="8" t="s">
        <v>1093</v>
      </c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 spans="1:51" x14ac:dyDescent="0.2">
      <c r="A729" s="6" t="s">
        <v>17</v>
      </c>
      <c r="B729" t="s">
        <v>65</v>
      </c>
      <c r="C729" t="s">
        <v>66</v>
      </c>
      <c r="D729" t="s">
        <v>1094</v>
      </c>
      <c r="E729" s="2">
        <v>1737</v>
      </c>
      <c r="F729" s="3">
        <f>DATE(2024,6,13)</f>
        <v>45456</v>
      </c>
      <c r="G729" s="3">
        <f>DATE(2024,6,13)</f>
        <v>45456</v>
      </c>
      <c r="H729">
        <v>967897605</v>
      </c>
      <c r="I729" t="s">
        <v>20</v>
      </c>
      <c r="K729" t="s">
        <v>21</v>
      </c>
      <c r="L729" t="s">
        <v>22</v>
      </c>
      <c r="M729" t="s">
        <v>23</v>
      </c>
      <c r="N729" t="s">
        <v>23</v>
      </c>
      <c r="O729" t="s">
        <v>24</v>
      </c>
      <c r="P729" s="8" t="s">
        <v>1095</v>
      </c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 spans="1:51" x14ac:dyDescent="0.2">
      <c r="A730" s="6" t="s">
        <v>17</v>
      </c>
      <c r="B730" t="s">
        <v>1060</v>
      </c>
      <c r="C730" t="s">
        <v>1061</v>
      </c>
      <c r="D730" t="s">
        <v>1096</v>
      </c>
      <c r="E730" s="2">
        <v>167.88</v>
      </c>
      <c r="F730" s="3">
        <f>DATE(2024,5,31)</f>
        <v>45443</v>
      </c>
      <c r="G730" s="3">
        <f>DATE(2024,5,31)</f>
        <v>45443</v>
      </c>
      <c r="H730">
        <v>967897606</v>
      </c>
      <c r="I730" t="s">
        <v>20</v>
      </c>
      <c r="K730" t="s">
        <v>21</v>
      </c>
      <c r="L730" t="s">
        <v>22</v>
      </c>
      <c r="M730" t="s">
        <v>23</v>
      </c>
      <c r="N730" t="s">
        <v>23</v>
      </c>
      <c r="O730" t="s">
        <v>24</v>
      </c>
      <c r="P730" s="8" t="s">
        <v>1097</v>
      </c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 spans="1:51" hidden="1" x14ac:dyDescent="0.2">
      <c r="A731" s="6"/>
      <c r="E731" s="2"/>
      <c r="F731" s="3"/>
      <c r="G731" s="3"/>
      <c r="P731" s="8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 spans="1:51" x14ac:dyDescent="0.2">
      <c r="A732" s="6" t="s">
        <v>17</v>
      </c>
      <c r="B732" t="s">
        <v>191</v>
      </c>
      <c r="C732" t="s">
        <v>192</v>
      </c>
      <c r="D732" t="s">
        <v>1098</v>
      </c>
      <c r="E732" s="2">
        <v>1579.7</v>
      </c>
      <c r="F732" s="3">
        <f>DATE(2024,5,6)</f>
        <v>45418</v>
      </c>
      <c r="G732" s="3">
        <f>DATE(2024,5,6)</f>
        <v>45418</v>
      </c>
      <c r="H732">
        <v>967897608</v>
      </c>
      <c r="I732" t="s">
        <v>20</v>
      </c>
      <c r="K732" t="s">
        <v>21</v>
      </c>
      <c r="L732" t="s">
        <v>22</v>
      </c>
      <c r="M732" t="s">
        <v>23</v>
      </c>
      <c r="N732" t="s">
        <v>23</v>
      </c>
      <c r="O732" t="s">
        <v>24</v>
      </c>
      <c r="P732" s="8" t="s">
        <v>1099</v>
      </c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 spans="1:51" hidden="1" x14ac:dyDescent="0.2">
      <c r="A733" s="6"/>
      <c r="E733" s="2"/>
      <c r="F733" s="3"/>
      <c r="G733" s="3"/>
      <c r="P733" s="8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 spans="1:51" x14ac:dyDescent="0.2">
      <c r="A734" s="6" t="s">
        <v>17</v>
      </c>
      <c r="B734" t="s">
        <v>183</v>
      </c>
      <c r="C734" t="s">
        <v>184</v>
      </c>
      <c r="D734" t="s">
        <v>1100</v>
      </c>
      <c r="E734" s="2">
        <v>12628</v>
      </c>
      <c r="F734" s="3">
        <f>DATE(2024,6,18)</f>
        <v>45461</v>
      </c>
      <c r="G734" s="3">
        <f>DATE(2024,6,18)</f>
        <v>45461</v>
      </c>
      <c r="H734">
        <v>967897610</v>
      </c>
      <c r="I734" t="s">
        <v>20</v>
      </c>
      <c r="K734" t="s">
        <v>21</v>
      </c>
      <c r="L734" t="s">
        <v>22</v>
      </c>
      <c r="M734" t="s">
        <v>23</v>
      </c>
      <c r="N734" t="s">
        <v>23</v>
      </c>
      <c r="O734" t="s">
        <v>24</v>
      </c>
      <c r="P734" s="8" t="s">
        <v>1101</v>
      </c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 spans="1:51" x14ac:dyDescent="0.2">
      <c r="A735" s="6" t="s">
        <v>17</v>
      </c>
      <c r="B735" t="s">
        <v>26</v>
      </c>
      <c r="C735" t="s">
        <v>27</v>
      </c>
      <c r="D735" t="s">
        <v>1102</v>
      </c>
      <c r="E735" s="2">
        <v>30</v>
      </c>
      <c r="F735" s="3">
        <f>DATE(2024,4,11)</f>
        <v>45393</v>
      </c>
      <c r="G735" s="3">
        <f>DATE(2024,4,11)</f>
        <v>45393</v>
      </c>
      <c r="H735">
        <v>967897611</v>
      </c>
      <c r="I735" t="s">
        <v>20</v>
      </c>
      <c r="K735" t="s">
        <v>21</v>
      </c>
      <c r="L735" t="s">
        <v>22</v>
      </c>
      <c r="M735" t="s">
        <v>23</v>
      </c>
      <c r="N735" t="s">
        <v>23</v>
      </c>
      <c r="O735" t="s">
        <v>24</v>
      </c>
      <c r="P735" s="8" t="s">
        <v>1103</v>
      </c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 spans="1:51" x14ac:dyDescent="0.2">
      <c r="A736" s="6" t="s">
        <v>17</v>
      </c>
      <c r="B736" t="s">
        <v>104</v>
      </c>
      <c r="C736" t="s">
        <v>105</v>
      </c>
      <c r="D736" t="s">
        <v>1104</v>
      </c>
      <c r="E736" s="2">
        <v>41.54</v>
      </c>
      <c r="F736" s="3">
        <f>DATE(2024,6,4)</f>
        <v>45447</v>
      </c>
      <c r="G736" s="3">
        <f>DATE(2024,6,4)</f>
        <v>45447</v>
      </c>
      <c r="H736">
        <v>967897612</v>
      </c>
      <c r="I736" t="s">
        <v>20</v>
      </c>
      <c r="K736" t="s">
        <v>21</v>
      </c>
      <c r="L736" t="s">
        <v>22</v>
      </c>
      <c r="M736" t="s">
        <v>23</v>
      </c>
      <c r="N736" t="s">
        <v>23</v>
      </c>
      <c r="O736" t="s">
        <v>24</v>
      </c>
      <c r="P736" s="8" t="s">
        <v>1105</v>
      </c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 spans="1:51" x14ac:dyDescent="0.2">
      <c r="A737" s="6" t="s">
        <v>17</v>
      </c>
      <c r="B737" t="s">
        <v>18</v>
      </c>
      <c r="C737" t="s">
        <v>18</v>
      </c>
      <c r="D737" t="s">
        <v>1106</v>
      </c>
      <c r="E737" s="2">
        <v>1.96</v>
      </c>
      <c r="F737" s="3">
        <f>DATE(2024,5,16)</f>
        <v>45428</v>
      </c>
      <c r="G737" s="3">
        <f>DATE(2024,5,16)</f>
        <v>45428</v>
      </c>
      <c r="H737">
        <v>967897613</v>
      </c>
      <c r="I737" t="s">
        <v>20</v>
      </c>
      <c r="K737" t="s">
        <v>21</v>
      </c>
      <c r="L737" t="s">
        <v>22</v>
      </c>
      <c r="M737" t="s">
        <v>23</v>
      </c>
      <c r="N737" t="s">
        <v>23</v>
      </c>
      <c r="O737" t="s">
        <v>24</v>
      </c>
      <c r="P737" s="8" t="s">
        <v>1107</v>
      </c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 spans="1:51" x14ac:dyDescent="0.2">
      <c r="A738" s="6" t="s">
        <v>17</v>
      </c>
      <c r="B738" t="s">
        <v>44</v>
      </c>
      <c r="C738" t="s">
        <v>45</v>
      </c>
      <c r="D738" t="s">
        <v>1108</v>
      </c>
      <c r="E738" s="2">
        <v>21.67</v>
      </c>
      <c r="F738" s="3">
        <f>DATE(2024,7,3)</f>
        <v>45476</v>
      </c>
      <c r="G738" s="3">
        <f>DATE(2024,7,3)</f>
        <v>45476</v>
      </c>
      <c r="H738">
        <v>967897614</v>
      </c>
      <c r="I738" t="s">
        <v>20</v>
      </c>
      <c r="K738" t="s">
        <v>21</v>
      </c>
      <c r="L738" t="s">
        <v>22</v>
      </c>
      <c r="M738" t="s">
        <v>23</v>
      </c>
      <c r="N738" t="s">
        <v>23</v>
      </c>
      <c r="O738" t="s">
        <v>24</v>
      </c>
      <c r="P738" s="8" t="s">
        <v>1109</v>
      </c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 spans="1:51" x14ac:dyDescent="0.2">
      <c r="A739" s="6" t="s">
        <v>17</v>
      </c>
      <c r="B739" t="s">
        <v>30</v>
      </c>
      <c r="C739" t="s">
        <v>31</v>
      </c>
      <c r="D739" t="s">
        <v>1110</v>
      </c>
      <c r="E739" s="2">
        <v>3829.92</v>
      </c>
      <c r="F739" s="3">
        <f>DATE(2024,6,4)</f>
        <v>45447</v>
      </c>
      <c r="G739" s="3">
        <f>DATE(2024,6,4)</f>
        <v>45447</v>
      </c>
      <c r="H739">
        <v>967897615</v>
      </c>
      <c r="I739" t="s">
        <v>20</v>
      </c>
      <c r="K739" t="s">
        <v>21</v>
      </c>
      <c r="L739" t="s">
        <v>22</v>
      </c>
      <c r="M739" t="s">
        <v>23</v>
      </c>
      <c r="N739" t="s">
        <v>23</v>
      </c>
      <c r="O739" t="s">
        <v>24</v>
      </c>
      <c r="P739" s="8" t="s">
        <v>1111</v>
      </c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 spans="1:51" x14ac:dyDescent="0.2">
      <c r="A740" s="6" t="s">
        <v>17</v>
      </c>
      <c r="B740" t="s">
        <v>363</v>
      </c>
      <c r="C740" t="s">
        <v>364</v>
      </c>
      <c r="D740" t="s">
        <v>1112</v>
      </c>
      <c r="E740" s="2">
        <v>1680</v>
      </c>
      <c r="F740" s="3">
        <f>DATE(2024,6,13)</f>
        <v>45456</v>
      </c>
      <c r="G740" s="3">
        <f>DATE(2024,6,13)</f>
        <v>45456</v>
      </c>
      <c r="H740">
        <v>967897616</v>
      </c>
      <c r="I740" t="s">
        <v>20</v>
      </c>
      <c r="K740" t="s">
        <v>21</v>
      </c>
      <c r="L740" t="s">
        <v>22</v>
      </c>
      <c r="M740" t="s">
        <v>23</v>
      </c>
      <c r="N740" t="s">
        <v>23</v>
      </c>
      <c r="O740" t="s">
        <v>24</v>
      </c>
      <c r="P740" s="8" t="s">
        <v>1113</v>
      </c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 spans="1:51" x14ac:dyDescent="0.2">
      <c r="A741" s="6" t="s">
        <v>17</v>
      </c>
      <c r="B741" t="s">
        <v>316</v>
      </c>
      <c r="C741" t="s">
        <v>316</v>
      </c>
      <c r="D741" t="s">
        <v>1114</v>
      </c>
      <c r="E741" s="2">
        <v>620.22</v>
      </c>
      <c r="F741" s="3">
        <f>DATE(2024,6,4)</f>
        <v>45447</v>
      </c>
      <c r="G741" s="3">
        <f>DATE(2024,6,4)</f>
        <v>45447</v>
      </c>
      <c r="H741">
        <v>967897617</v>
      </c>
      <c r="I741" t="s">
        <v>20</v>
      </c>
      <c r="K741" t="s">
        <v>21</v>
      </c>
      <c r="L741" t="s">
        <v>22</v>
      </c>
      <c r="M741" t="s">
        <v>23</v>
      </c>
      <c r="N741" t="s">
        <v>23</v>
      </c>
      <c r="O741" t="s">
        <v>24</v>
      </c>
      <c r="P741" s="8" t="s">
        <v>1115</v>
      </c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 spans="1:51" x14ac:dyDescent="0.2">
      <c r="A742" s="6" t="s">
        <v>17</v>
      </c>
      <c r="B742" t="s">
        <v>179</v>
      </c>
      <c r="C742" t="s">
        <v>180</v>
      </c>
      <c r="D742" t="s">
        <v>1116</v>
      </c>
      <c r="E742" s="2">
        <v>1567.94</v>
      </c>
      <c r="F742" s="3">
        <f>DATE(2024,5,21)</f>
        <v>45433</v>
      </c>
      <c r="G742" s="3">
        <f>DATE(2024,5,21)</f>
        <v>45433</v>
      </c>
      <c r="H742">
        <v>967897618</v>
      </c>
      <c r="I742" t="s">
        <v>20</v>
      </c>
      <c r="K742" t="s">
        <v>21</v>
      </c>
      <c r="L742" t="s">
        <v>22</v>
      </c>
      <c r="M742" t="s">
        <v>23</v>
      </c>
      <c r="N742" t="s">
        <v>23</v>
      </c>
      <c r="O742" t="s">
        <v>24</v>
      </c>
      <c r="P742" s="8" t="s">
        <v>1117</v>
      </c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 spans="1:51" x14ac:dyDescent="0.2">
      <c r="A743" s="6" t="s">
        <v>17</v>
      </c>
      <c r="B743" t="s">
        <v>191</v>
      </c>
      <c r="C743" t="s">
        <v>192</v>
      </c>
      <c r="D743" t="s">
        <v>1118</v>
      </c>
      <c r="E743" s="2">
        <v>450</v>
      </c>
      <c r="F743" s="3">
        <f>DATE(2024,6,28)</f>
        <v>45471</v>
      </c>
      <c r="G743" s="3">
        <f>DATE(2024,6,28)</f>
        <v>45471</v>
      </c>
      <c r="H743">
        <v>967897619</v>
      </c>
      <c r="I743" t="s">
        <v>20</v>
      </c>
      <c r="K743" t="s">
        <v>21</v>
      </c>
      <c r="L743" t="s">
        <v>22</v>
      </c>
      <c r="M743" t="s">
        <v>23</v>
      </c>
      <c r="N743" t="s">
        <v>24</v>
      </c>
      <c r="O743" t="s">
        <v>24</v>
      </c>
      <c r="P743" s="8" t="s">
        <v>1119</v>
      </c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 spans="1:51" x14ac:dyDescent="0.2">
      <c r="A744" s="6" t="s">
        <v>17</v>
      </c>
      <c r="B744" t="s">
        <v>44</v>
      </c>
      <c r="C744" t="s">
        <v>45</v>
      </c>
      <c r="D744" t="s">
        <v>1120</v>
      </c>
      <c r="E744" s="2">
        <v>75.56</v>
      </c>
      <c r="F744" s="3">
        <f>DATE(2024,5,28)</f>
        <v>45440</v>
      </c>
      <c r="G744" s="3">
        <f>DATE(2024,5,28)</f>
        <v>45440</v>
      </c>
      <c r="H744">
        <v>967897620</v>
      </c>
      <c r="I744" t="s">
        <v>20</v>
      </c>
      <c r="K744" t="s">
        <v>21</v>
      </c>
      <c r="L744" t="s">
        <v>22</v>
      </c>
      <c r="M744" t="s">
        <v>23</v>
      </c>
      <c r="N744" t="s">
        <v>23</v>
      </c>
      <c r="O744" t="s">
        <v>24</v>
      </c>
      <c r="P744" s="8" t="s">
        <v>1121</v>
      </c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 spans="1:51" x14ac:dyDescent="0.2">
      <c r="A745" s="6" t="s">
        <v>17</v>
      </c>
      <c r="B745" t="s">
        <v>261</v>
      </c>
      <c r="C745" t="s">
        <v>262</v>
      </c>
      <c r="D745" t="s">
        <v>1122</v>
      </c>
      <c r="E745" s="2">
        <v>3193.91</v>
      </c>
      <c r="F745" s="3">
        <f>DATE(2024,4,25)</f>
        <v>45407</v>
      </c>
      <c r="G745" s="3">
        <f>DATE(2024,4,25)</f>
        <v>45407</v>
      </c>
      <c r="H745">
        <v>967897621</v>
      </c>
      <c r="I745" t="s">
        <v>20</v>
      </c>
      <c r="K745" t="s">
        <v>21</v>
      </c>
      <c r="L745" t="s">
        <v>22</v>
      </c>
      <c r="M745" t="s">
        <v>23</v>
      </c>
      <c r="N745" t="s">
        <v>23</v>
      </c>
      <c r="O745" t="s">
        <v>24</v>
      </c>
      <c r="P745" s="8" t="s">
        <v>1123</v>
      </c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 spans="1:51" x14ac:dyDescent="0.2">
      <c r="A746" s="6" t="s">
        <v>17</v>
      </c>
      <c r="B746" t="s">
        <v>104</v>
      </c>
      <c r="C746" t="s">
        <v>105</v>
      </c>
      <c r="D746" t="s">
        <v>1124</v>
      </c>
      <c r="E746" s="2">
        <v>1182.72</v>
      </c>
      <c r="F746" s="3">
        <f>DATE(2024,7,1)</f>
        <v>45474</v>
      </c>
      <c r="G746" s="3">
        <f>DATE(2024,7,1)</f>
        <v>45474</v>
      </c>
      <c r="H746">
        <v>967897622</v>
      </c>
      <c r="I746" t="s">
        <v>20</v>
      </c>
      <c r="K746" t="s">
        <v>21</v>
      </c>
      <c r="L746" t="s">
        <v>22</v>
      </c>
      <c r="M746" t="s">
        <v>23</v>
      </c>
      <c r="N746" t="s">
        <v>23</v>
      </c>
      <c r="O746" t="s">
        <v>24</v>
      </c>
      <c r="P746" s="8" t="s">
        <v>1125</v>
      </c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 spans="1:51" x14ac:dyDescent="0.2">
      <c r="A747" s="6" t="s">
        <v>17</v>
      </c>
      <c r="B747" t="s">
        <v>30</v>
      </c>
      <c r="C747" t="s">
        <v>31</v>
      </c>
      <c r="D747" t="s">
        <v>1126</v>
      </c>
      <c r="E747" s="2">
        <v>871.08</v>
      </c>
      <c r="F747" s="3">
        <f>DATE(2024,5,11)</f>
        <v>45423</v>
      </c>
      <c r="G747" s="3">
        <f>DATE(2024,5,11)</f>
        <v>45423</v>
      </c>
      <c r="H747">
        <v>967897623</v>
      </c>
      <c r="I747" t="s">
        <v>20</v>
      </c>
      <c r="K747" t="s">
        <v>21</v>
      </c>
      <c r="L747" t="s">
        <v>22</v>
      </c>
      <c r="M747" t="s">
        <v>23</v>
      </c>
      <c r="N747" t="s">
        <v>23</v>
      </c>
      <c r="O747" t="s">
        <v>24</v>
      </c>
      <c r="P747" s="8" t="s">
        <v>1127</v>
      </c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 spans="1:51" x14ac:dyDescent="0.2">
      <c r="A748" s="6" t="s">
        <v>17</v>
      </c>
      <c r="B748" t="s">
        <v>44</v>
      </c>
      <c r="C748" t="s">
        <v>45</v>
      </c>
      <c r="D748" t="s">
        <v>1128</v>
      </c>
      <c r="E748" s="2">
        <v>327.25</v>
      </c>
      <c r="F748" s="3">
        <f>DATE(2024,4,24)</f>
        <v>45406</v>
      </c>
      <c r="G748" s="3">
        <f>DATE(2024,4,24)</f>
        <v>45406</v>
      </c>
      <c r="H748">
        <v>967897624</v>
      </c>
      <c r="I748" t="s">
        <v>20</v>
      </c>
      <c r="K748" t="s">
        <v>21</v>
      </c>
      <c r="L748" t="s">
        <v>22</v>
      </c>
      <c r="M748" t="s">
        <v>23</v>
      </c>
      <c r="N748" t="s">
        <v>23</v>
      </c>
      <c r="O748" t="s">
        <v>24</v>
      </c>
      <c r="P748" s="8" t="s">
        <v>1129</v>
      </c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 spans="1:51" x14ac:dyDescent="0.2">
      <c r="A749" s="6" t="s">
        <v>17</v>
      </c>
      <c r="B749" t="s">
        <v>44</v>
      </c>
      <c r="C749" t="s">
        <v>45</v>
      </c>
      <c r="D749" t="s">
        <v>1130</v>
      </c>
      <c r="E749" s="2">
        <v>130</v>
      </c>
      <c r="F749" s="3">
        <f>DATE(2024,4,9)</f>
        <v>45391</v>
      </c>
      <c r="G749" s="3">
        <f>DATE(2024,4,9)</f>
        <v>45391</v>
      </c>
      <c r="H749">
        <v>967897625</v>
      </c>
      <c r="I749" t="s">
        <v>20</v>
      </c>
      <c r="K749" t="s">
        <v>21</v>
      </c>
      <c r="L749" t="s">
        <v>22</v>
      </c>
      <c r="M749" t="s">
        <v>23</v>
      </c>
      <c r="N749" t="s">
        <v>23</v>
      </c>
      <c r="O749" t="s">
        <v>24</v>
      </c>
      <c r="P749" s="8" t="s">
        <v>1131</v>
      </c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 spans="1:51" hidden="1" x14ac:dyDescent="0.2">
      <c r="A750" s="6"/>
      <c r="E750" s="2"/>
      <c r="F750" s="3"/>
      <c r="G750" s="3"/>
      <c r="P750" s="8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 spans="1:51" hidden="1" x14ac:dyDescent="0.2">
      <c r="A751" s="6"/>
      <c r="E751" s="2"/>
      <c r="F751" s="3"/>
      <c r="G751" s="3"/>
      <c r="P751" s="8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 spans="1:51" hidden="1" x14ac:dyDescent="0.2">
      <c r="A752" s="6"/>
      <c r="E752" s="2"/>
      <c r="F752" s="3"/>
      <c r="G752" s="3"/>
      <c r="P752" s="8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 spans="1:51" hidden="1" x14ac:dyDescent="0.2">
      <c r="A753" s="6"/>
      <c r="E753" s="2"/>
      <c r="F753" s="3"/>
      <c r="G753" s="3"/>
      <c r="P753" s="8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 spans="1:51" x14ac:dyDescent="0.2">
      <c r="A754" s="6" t="s">
        <v>17</v>
      </c>
      <c r="B754" t="s">
        <v>100</v>
      </c>
      <c r="C754" t="s">
        <v>101</v>
      </c>
      <c r="D754" t="s">
        <v>1132</v>
      </c>
      <c r="E754" s="2">
        <v>8777.19</v>
      </c>
      <c r="F754" s="3">
        <f>DATE(2024,5,28)</f>
        <v>45440</v>
      </c>
      <c r="G754" s="3">
        <f>DATE(2024,5,28)</f>
        <v>45440</v>
      </c>
      <c r="H754">
        <v>967897630</v>
      </c>
      <c r="I754" t="s">
        <v>20</v>
      </c>
      <c r="K754" t="s">
        <v>21</v>
      </c>
      <c r="L754" t="s">
        <v>22</v>
      </c>
      <c r="M754" t="s">
        <v>23</v>
      </c>
      <c r="N754" t="s">
        <v>23</v>
      </c>
      <c r="O754" t="s">
        <v>24</v>
      </c>
      <c r="P754" s="8" t="s">
        <v>1133</v>
      </c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 spans="1:51" hidden="1" x14ac:dyDescent="0.2">
      <c r="A755" s="6"/>
      <c r="E755" s="2"/>
      <c r="F755" s="3"/>
      <c r="G755" s="3"/>
      <c r="P755" s="8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 spans="1:51" hidden="1" x14ac:dyDescent="0.2">
      <c r="A756" s="6"/>
      <c r="E756" s="2"/>
      <c r="F756" s="3"/>
      <c r="G756" s="3"/>
      <c r="P756" s="8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 spans="1:51" x14ac:dyDescent="0.2">
      <c r="A757" s="6" t="s">
        <v>17</v>
      </c>
      <c r="B757" t="s">
        <v>674</v>
      </c>
      <c r="C757" t="s">
        <v>675</v>
      </c>
      <c r="D757" t="s">
        <v>1134</v>
      </c>
      <c r="E757" s="2">
        <v>1848.22</v>
      </c>
      <c r="F757" s="3">
        <f>DATE(2024,5,30)</f>
        <v>45442</v>
      </c>
      <c r="G757" s="3">
        <f>DATE(2024,5,30)</f>
        <v>45442</v>
      </c>
      <c r="H757">
        <v>967897633</v>
      </c>
      <c r="I757" t="s">
        <v>20</v>
      </c>
      <c r="K757" t="s">
        <v>21</v>
      </c>
      <c r="L757" t="s">
        <v>22</v>
      </c>
      <c r="M757" t="s">
        <v>23</v>
      </c>
      <c r="N757" t="s">
        <v>23</v>
      </c>
      <c r="O757" t="s">
        <v>24</v>
      </c>
      <c r="P757" s="8" t="s">
        <v>1135</v>
      </c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 spans="1:51" x14ac:dyDescent="0.2">
      <c r="A758" s="6" t="s">
        <v>17</v>
      </c>
      <c r="B758" t="s">
        <v>34</v>
      </c>
      <c r="C758" t="s">
        <v>35</v>
      </c>
      <c r="D758" t="s">
        <v>1136</v>
      </c>
      <c r="E758" s="2">
        <v>738.84</v>
      </c>
      <c r="F758" s="3">
        <f>DATE(2024,7,1)</f>
        <v>45474</v>
      </c>
      <c r="G758" s="3">
        <f>DATE(2024,7,1)</f>
        <v>45474</v>
      </c>
      <c r="H758">
        <v>967897634</v>
      </c>
      <c r="I758" t="s">
        <v>20</v>
      </c>
      <c r="K758" t="s">
        <v>21</v>
      </c>
      <c r="L758" t="s">
        <v>22</v>
      </c>
      <c r="M758" t="s">
        <v>23</v>
      </c>
      <c r="N758" t="s">
        <v>23</v>
      </c>
      <c r="O758" t="s">
        <v>24</v>
      </c>
      <c r="P758" s="8" t="s">
        <v>1137</v>
      </c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 spans="1:51" hidden="1" x14ac:dyDescent="0.2">
      <c r="A759" s="6"/>
      <c r="E759" s="2"/>
      <c r="F759" s="3"/>
      <c r="G759" s="3"/>
      <c r="P759" s="8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 spans="1:51" hidden="1" x14ac:dyDescent="0.2">
      <c r="A760" s="6"/>
      <c r="E760" s="2"/>
      <c r="F760" s="3"/>
      <c r="G760" s="3"/>
      <c r="P760" s="8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 spans="1:51" x14ac:dyDescent="0.2">
      <c r="A761" s="6" t="s">
        <v>17</v>
      </c>
      <c r="B761" t="s">
        <v>363</v>
      </c>
      <c r="C761" t="s">
        <v>364</v>
      </c>
      <c r="D761" t="s">
        <v>1138</v>
      </c>
      <c r="E761" s="2">
        <v>230</v>
      </c>
      <c r="F761" s="3">
        <f>DATE(2024,5,31)</f>
        <v>45443</v>
      </c>
      <c r="G761" s="3">
        <f>DATE(2024,5,31)</f>
        <v>45443</v>
      </c>
      <c r="H761">
        <v>967897637</v>
      </c>
      <c r="I761" t="s">
        <v>20</v>
      </c>
      <c r="K761" t="s">
        <v>21</v>
      </c>
      <c r="L761" t="s">
        <v>22</v>
      </c>
      <c r="M761" t="s">
        <v>23</v>
      </c>
      <c r="N761" t="s">
        <v>23</v>
      </c>
      <c r="O761" t="s">
        <v>24</v>
      </c>
      <c r="P761" s="8" t="s">
        <v>1139</v>
      </c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 spans="1:51" x14ac:dyDescent="0.2">
      <c r="A762" s="6" t="s">
        <v>17</v>
      </c>
      <c r="B762" t="s">
        <v>44</v>
      </c>
      <c r="C762" t="s">
        <v>45</v>
      </c>
      <c r="D762" t="s">
        <v>1140</v>
      </c>
      <c r="E762" s="2">
        <v>220.34</v>
      </c>
      <c r="F762" s="3">
        <f>DATE(2024,5,31)</f>
        <v>45443</v>
      </c>
      <c r="G762" s="3">
        <f>DATE(2024,5,31)</f>
        <v>45443</v>
      </c>
      <c r="H762">
        <v>967897638</v>
      </c>
      <c r="I762" t="s">
        <v>20</v>
      </c>
      <c r="K762" t="s">
        <v>21</v>
      </c>
      <c r="L762" t="s">
        <v>22</v>
      </c>
      <c r="M762" t="s">
        <v>23</v>
      </c>
      <c r="N762" t="s">
        <v>23</v>
      </c>
      <c r="O762" t="s">
        <v>24</v>
      </c>
      <c r="P762" s="8" t="s">
        <v>1141</v>
      </c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 spans="1:51" hidden="1" x14ac:dyDescent="0.2">
      <c r="A763" s="6"/>
      <c r="E763" s="2"/>
      <c r="F763" s="3"/>
      <c r="G763" s="3"/>
      <c r="P763" s="8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 spans="1:51" x14ac:dyDescent="0.2">
      <c r="A764" s="6" t="s">
        <v>17</v>
      </c>
      <c r="B764" t="s">
        <v>179</v>
      </c>
      <c r="C764" t="s">
        <v>180</v>
      </c>
      <c r="D764" t="s">
        <v>1142</v>
      </c>
      <c r="E764" s="2">
        <v>637.97</v>
      </c>
      <c r="F764" s="3">
        <f>DATE(2024,7,1)</f>
        <v>45474</v>
      </c>
      <c r="G764" s="3">
        <f>DATE(2024,7,1)</f>
        <v>45474</v>
      </c>
      <c r="H764">
        <v>967897640</v>
      </c>
      <c r="I764" t="s">
        <v>20</v>
      </c>
      <c r="K764" t="s">
        <v>21</v>
      </c>
      <c r="L764" t="s">
        <v>22</v>
      </c>
      <c r="M764" t="s">
        <v>23</v>
      </c>
      <c r="N764" t="s">
        <v>23</v>
      </c>
      <c r="O764" t="s">
        <v>24</v>
      </c>
      <c r="P764" s="8" t="s">
        <v>1143</v>
      </c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 spans="1:51" x14ac:dyDescent="0.2">
      <c r="A765" s="6" t="s">
        <v>17</v>
      </c>
      <c r="B765" t="s">
        <v>312</v>
      </c>
      <c r="C765" t="s">
        <v>313</v>
      </c>
      <c r="D765" t="s">
        <v>1144</v>
      </c>
      <c r="E765" s="2">
        <v>394.74</v>
      </c>
      <c r="F765" s="3">
        <f>DATE(2024,5,21)</f>
        <v>45433</v>
      </c>
      <c r="G765" s="3">
        <f>DATE(2024,5,21)</f>
        <v>45433</v>
      </c>
      <c r="H765">
        <v>967897641</v>
      </c>
      <c r="I765" t="s">
        <v>20</v>
      </c>
      <c r="K765" t="s">
        <v>21</v>
      </c>
      <c r="L765" t="s">
        <v>22</v>
      </c>
      <c r="M765" t="s">
        <v>23</v>
      </c>
      <c r="N765" t="s">
        <v>23</v>
      </c>
      <c r="O765" t="s">
        <v>24</v>
      </c>
      <c r="P765" s="8" t="s">
        <v>1145</v>
      </c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 spans="1:51" x14ac:dyDescent="0.2">
      <c r="A766" s="6" t="s">
        <v>17</v>
      </c>
      <c r="B766" t="s">
        <v>363</v>
      </c>
      <c r="C766" t="s">
        <v>364</v>
      </c>
      <c r="D766" t="s">
        <v>1146</v>
      </c>
      <c r="E766" s="2">
        <v>778.5</v>
      </c>
      <c r="F766" s="3">
        <f>DATE(2024,4,30)</f>
        <v>45412</v>
      </c>
      <c r="G766" s="3">
        <f>DATE(2024,4,30)</f>
        <v>45412</v>
      </c>
      <c r="H766">
        <v>967897642</v>
      </c>
      <c r="I766" t="s">
        <v>20</v>
      </c>
      <c r="K766" t="s">
        <v>21</v>
      </c>
      <c r="L766" t="s">
        <v>22</v>
      </c>
      <c r="M766" t="s">
        <v>23</v>
      </c>
      <c r="N766" t="s">
        <v>23</v>
      </c>
      <c r="O766" t="s">
        <v>24</v>
      </c>
      <c r="P766" s="8" t="s">
        <v>1147</v>
      </c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 spans="1:51" x14ac:dyDescent="0.2">
      <c r="A767" s="6" t="s">
        <v>17</v>
      </c>
      <c r="B767" t="s">
        <v>34</v>
      </c>
      <c r="C767" t="s">
        <v>35</v>
      </c>
      <c r="D767" t="s">
        <v>1148</v>
      </c>
      <c r="E767" s="2">
        <v>20.8</v>
      </c>
      <c r="F767" s="3">
        <f>DATE(2024,6,13)</f>
        <v>45456</v>
      </c>
      <c r="G767" s="3">
        <f>DATE(2024,6,13)</f>
        <v>45456</v>
      </c>
      <c r="H767">
        <v>967897643</v>
      </c>
      <c r="I767" t="s">
        <v>20</v>
      </c>
      <c r="K767" t="s">
        <v>21</v>
      </c>
      <c r="L767" t="s">
        <v>22</v>
      </c>
      <c r="M767" t="s">
        <v>23</v>
      </c>
      <c r="N767" t="s">
        <v>23</v>
      </c>
      <c r="O767" t="s">
        <v>24</v>
      </c>
      <c r="P767" s="8" t="s">
        <v>1149</v>
      </c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 spans="1:51" hidden="1" x14ac:dyDescent="0.2">
      <c r="A768" s="6"/>
      <c r="E768" s="2"/>
      <c r="F768" s="3"/>
      <c r="G768" s="3"/>
      <c r="P768" s="8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 spans="1:51" x14ac:dyDescent="0.2">
      <c r="A769" s="6" t="s">
        <v>17</v>
      </c>
      <c r="B769" t="s">
        <v>1060</v>
      </c>
      <c r="C769" t="s">
        <v>1061</v>
      </c>
      <c r="D769" t="s">
        <v>1150</v>
      </c>
      <c r="E769" s="2">
        <v>12</v>
      </c>
      <c r="F769" s="3">
        <f>DATE(2024,4,30)</f>
        <v>45412</v>
      </c>
      <c r="G769" s="3">
        <f>DATE(2024,4,30)</f>
        <v>45412</v>
      </c>
      <c r="H769">
        <v>967897645</v>
      </c>
      <c r="I769" t="s">
        <v>20</v>
      </c>
      <c r="K769" t="s">
        <v>21</v>
      </c>
      <c r="L769" t="s">
        <v>22</v>
      </c>
      <c r="M769" t="s">
        <v>23</v>
      </c>
      <c r="N769" t="s">
        <v>23</v>
      </c>
      <c r="O769" t="s">
        <v>24</v>
      </c>
      <c r="P769" s="8" t="s">
        <v>1151</v>
      </c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 spans="1:51" x14ac:dyDescent="0.2">
      <c r="A770" s="6" t="s">
        <v>17</v>
      </c>
      <c r="B770" t="s">
        <v>30</v>
      </c>
      <c r="C770" t="s">
        <v>31</v>
      </c>
      <c r="D770" t="s">
        <v>1152</v>
      </c>
      <c r="E770" s="2">
        <v>1313.46</v>
      </c>
      <c r="F770" s="3">
        <f>DATE(2024,5,1)</f>
        <v>45413</v>
      </c>
      <c r="G770" s="3">
        <f>DATE(2024,5,1)</f>
        <v>45413</v>
      </c>
      <c r="H770">
        <v>967897646</v>
      </c>
      <c r="I770" t="s">
        <v>20</v>
      </c>
      <c r="K770" t="s">
        <v>21</v>
      </c>
      <c r="L770" t="s">
        <v>22</v>
      </c>
      <c r="M770" t="s">
        <v>23</v>
      </c>
      <c r="N770" t="s">
        <v>23</v>
      </c>
      <c r="O770" t="s">
        <v>24</v>
      </c>
      <c r="P770" s="8" t="s">
        <v>1153</v>
      </c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 spans="1:51" x14ac:dyDescent="0.2">
      <c r="A771" s="6" t="s">
        <v>17</v>
      </c>
      <c r="B771" t="s">
        <v>110</v>
      </c>
      <c r="C771" t="s">
        <v>111</v>
      </c>
      <c r="D771" t="s">
        <v>1154</v>
      </c>
      <c r="E771" s="2">
        <v>289.08</v>
      </c>
      <c r="F771" s="3">
        <f>DATE(2024,6,18)</f>
        <v>45461</v>
      </c>
      <c r="G771" s="3">
        <f>DATE(2024,6,18)</f>
        <v>45461</v>
      </c>
      <c r="H771">
        <v>967897647</v>
      </c>
      <c r="I771" t="s">
        <v>20</v>
      </c>
      <c r="K771" t="s">
        <v>21</v>
      </c>
      <c r="L771" t="s">
        <v>22</v>
      </c>
      <c r="M771" t="s">
        <v>23</v>
      </c>
      <c r="N771" t="s">
        <v>23</v>
      </c>
      <c r="O771" t="s">
        <v>24</v>
      </c>
      <c r="P771" s="8" t="s">
        <v>1155</v>
      </c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 spans="1:51" x14ac:dyDescent="0.2">
      <c r="A772" s="6" t="s">
        <v>17</v>
      </c>
      <c r="B772" t="s">
        <v>887</v>
      </c>
      <c r="C772" t="s">
        <v>888</v>
      </c>
      <c r="D772" t="s">
        <v>1156</v>
      </c>
      <c r="E772" s="2">
        <v>1176.8</v>
      </c>
      <c r="F772" s="3">
        <f>DATE(2024,6,10)</f>
        <v>45453</v>
      </c>
      <c r="G772" s="3">
        <f>DATE(2024,6,10)</f>
        <v>45453</v>
      </c>
      <c r="H772">
        <v>967897648</v>
      </c>
      <c r="I772" t="s">
        <v>20</v>
      </c>
      <c r="K772" t="s">
        <v>21</v>
      </c>
      <c r="L772" t="s">
        <v>22</v>
      </c>
      <c r="M772" t="s">
        <v>23</v>
      </c>
      <c r="N772" t="s">
        <v>23</v>
      </c>
      <c r="O772" t="s">
        <v>24</v>
      </c>
      <c r="P772" s="8" t="s">
        <v>1157</v>
      </c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 spans="1:51" hidden="1" x14ac:dyDescent="0.2">
      <c r="A773" s="6"/>
      <c r="E773" s="2"/>
      <c r="F773" s="3"/>
      <c r="G773" s="3"/>
      <c r="P773" s="8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 spans="1:51" x14ac:dyDescent="0.2">
      <c r="A774" s="6" t="s">
        <v>17</v>
      </c>
      <c r="B774" t="s">
        <v>110</v>
      </c>
      <c r="C774" t="s">
        <v>111</v>
      </c>
      <c r="D774" t="s">
        <v>1158</v>
      </c>
      <c r="E774" s="2">
        <v>170.28</v>
      </c>
      <c r="F774" s="3">
        <f>DATE(2024,5,2)</f>
        <v>45414</v>
      </c>
      <c r="G774" s="3">
        <f>DATE(2024,5,2)</f>
        <v>45414</v>
      </c>
      <c r="H774">
        <v>967897650</v>
      </c>
      <c r="I774" t="s">
        <v>20</v>
      </c>
      <c r="K774" t="s">
        <v>21</v>
      </c>
      <c r="L774" t="s">
        <v>22</v>
      </c>
      <c r="M774" t="s">
        <v>23</v>
      </c>
      <c r="N774" t="s">
        <v>23</v>
      </c>
      <c r="O774" t="s">
        <v>24</v>
      </c>
      <c r="P774" s="8" t="s">
        <v>1159</v>
      </c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 spans="1:51" x14ac:dyDescent="0.2">
      <c r="A775" s="6" t="s">
        <v>17</v>
      </c>
      <c r="B775" t="s">
        <v>61</v>
      </c>
      <c r="C775" t="s">
        <v>62</v>
      </c>
      <c r="D775" t="s">
        <v>1160</v>
      </c>
      <c r="E775" s="2">
        <v>700</v>
      </c>
      <c r="F775" s="3">
        <f>DATE(2024,6,18)</f>
        <v>45461</v>
      </c>
      <c r="G775" s="3">
        <f>DATE(2024,6,18)</f>
        <v>45461</v>
      </c>
      <c r="H775">
        <v>967897651</v>
      </c>
      <c r="I775" t="s">
        <v>20</v>
      </c>
      <c r="K775" t="s">
        <v>21</v>
      </c>
      <c r="L775" t="s">
        <v>22</v>
      </c>
      <c r="M775" t="s">
        <v>23</v>
      </c>
      <c r="N775" t="s">
        <v>23</v>
      </c>
      <c r="O775" t="s">
        <v>24</v>
      </c>
      <c r="P775" s="8" t="s">
        <v>1161</v>
      </c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 spans="1:51" x14ac:dyDescent="0.2">
      <c r="A776" s="6" t="s">
        <v>17</v>
      </c>
      <c r="B776" t="s">
        <v>1046</v>
      </c>
      <c r="C776" t="s">
        <v>1047</v>
      </c>
      <c r="D776" t="s">
        <v>1162</v>
      </c>
      <c r="E776" s="2">
        <v>359.78</v>
      </c>
      <c r="F776" s="3">
        <f>DATE(2024,5,6)</f>
        <v>45418</v>
      </c>
      <c r="G776" s="3">
        <f>DATE(2024,5,6)</f>
        <v>45418</v>
      </c>
      <c r="H776">
        <v>967897652</v>
      </c>
      <c r="I776" t="s">
        <v>20</v>
      </c>
      <c r="K776" t="s">
        <v>21</v>
      </c>
      <c r="L776" t="s">
        <v>22</v>
      </c>
      <c r="M776" t="s">
        <v>23</v>
      </c>
      <c r="N776" t="s">
        <v>23</v>
      </c>
      <c r="O776" t="s">
        <v>24</v>
      </c>
      <c r="P776" s="8" t="s">
        <v>1163</v>
      </c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 spans="1:51" x14ac:dyDescent="0.2">
      <c r="A777" s="6" t="s">
        <v>17</v>
      </c>
      <c r="B777" t="s">
        <v>34</v>
      </c>
      <c r="C777" t="s">
        <v>35</v>
      </c>
      <c r="D777" t="s">
        <v>1164</v>
      </c>
      <c r="E777" s="2">
        <v>5823.94</v>
      </c>
      <c r="F777" s="3">
        <f>DATE(2024,7,1)</f>
        <v>45474</v>
      </c>
      <c r="G777" s="3">
        <f>DATE(2024,7,1)</f>
        <v>45474</v>
      </c>
      <c r="H777">
        <v>967897653</v>
      </c>
      <c r="I777" t="s">
        <v>20</v>
      </c>
      <c r="K777" t="s">
        <v>21</v>
      </c>
      <c r="L777" t="s">
        <v>22</v>
      </c>
      <c r="M777" t="s">
        <v>23</v>
      </c>
      <c r="N777" t="s">
        <v>23</v>
      </c>
      <c r="O777" t="s">
        <v>24</v>
      </c>
      <c r="P777" s="8" t="s">
        <v>1165</v>
      </c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 spans="1:51" hidden="1" x14ac:dyDescent="0.2">
      <c r="A778" s="6"/>
      <c r="E778" s="2"/>
      <c r="F778" s="3"/>
      <c r="G778" s="3"/>
      <c r="P778" s="8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 spans="1:51" x14ac:dyDescent="0.2">
      <c r="A779" s="6" t="s">
        <v>17</v>
      </c>
      <c r="B779" t="s">
        <v>61</v>
      </c>
      <c r="C779" t="s">
        <v>62</v>
      </c>
      <c r="D779" t="s">
        <v>1166</v>
      </c>
      <c r="E779" s="2">
        <v>324</v>
      </c>
      <c r="F779" s="3">
        <f>DATE(2024,6,10)</f>
        <v>45453</v>
      </c>
      <c r="G779" s="3">
        <f>DATE(2024,6,10)</f>
        <v>45453</v>
      </c>
      <c r="H779">
        <v>967897655</v>
      </c>
      <c r="I779" t="s">
        <v>20</v>
      </c>
      <c r="K779" t="s">
        <v>21</v>
      </c>
      <c r="L779" t="s">
        <v>22</v>
      </c>
      <c r="M779" t="s">
        <v>23</v>
      </c>
      <c r="N779" t="s">
        <v>23</v>
      </c>
      <c r="O779" t="s">
        <v>24</v>
      </c>
      <c r="P779" s="8" t="s">
        <v>1167</v>
      </c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 spans="1:51" x14ac:dyDescent="0.2">
      <c r="A780" s="6" t="s">
        <v>17</v>
      </c>
      <c r="B780" t="s">
        <v>363</v>
      </c>
      <c r="C780" t="s">
        <v>364</v>
      </c>
      <c r="D780" t="s">
        <v>1168</v>
      </c>
      <c r="E780" s="2">
        <v>778.5</v>
      </c>
      <c r="F780" s="3">
        <f>DATE(2024,5,30)</f>
        <v>45442</v>
      </c>
      <c r="G780" s="3">
        <f>DATE(2024,5,30)</f>
        <v>45442</v>
      </c>
      <c r="H780">
        <v>967897656</v>
      </c>
      <c r="I780" t="s">
        <v>20</v>
      </c>
      <c r="K780" t="s">
        <v>21</v>
      </c>
      <c r="L780" t="s">
        <v>22</v>
      </c>
      <c r="M780" t="s">
        <v>23</v>
      </c>
      <c r="N780" t="s">
        <v>23</v>
      </c>
      <c r="O780" t="s">
        <v>24</v>
      </c>
      <c r="P780" s="8" t="s">
        <v>1169</v>
      </c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 spans="1:51" x14ac:dyDescent="0.2">
      <c r="A781" s="6" t="s">
        <v>17</v>
      </c>
      <c r="B781" t="s">
        <v>137</v>
      </c>
      <c r="C781" t="s">
        <v>138</v>
      </c>
      <c r="D781" t="s">
        <v>1170</v>
      </c>
      <c r="E781" s="2">
        <v>180</v>
      </c>
      <c r="F781" s="3">
        <f>DATE(2024,4,8)</f>
        <v>45390</v>
      </c>
      <c r="G781" s="3">
        <f>DATE(2024,4,8)</f>
        <v>45390</v>
      </c>
      <c r="H781">
        <v>967897657</v>
      </c>
      <c r="I781" t="s">
        <v>20</v>
      </c>
      <c r="K781" t="s">
        <v>21</v>
      </c>
      <c r="L781" t="s">
        <v>22</v>
      </c>
      <c r="M781" t="s">
        <v>23</v>
      </c>
      <c r="N781" t="s">
        <v>23</v>
      </c>
      <c r="O781" t="s">
        <v>24</v>
      </c>
      <c r="P781" s="8" t="s">
        <v>1171</v>
      </c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 spans="1:51" x14ac:dyDescent="0.2">
      <c r="A782" s="6" t="s">
        <v>17</v>
      </c>
      <c r="B782" t="s">
        <v>44</v>
      </c>
      <c r="C782" t="s">
        <v>45</v>
      </c>
      <c r="D782" t="s">
        <v>1172</v>
      </c>
      <c r="E782" s="2">
        <v>24.6</v>
      </c>
      <c r="F782" s="3">
        <f>DATE(2024,4,24)</f>
        <v>45406</v>
      </c>
      <c r="G782" s="3">
        <f>DATE(2024,4,24)</f>
        <v>45406</v>
      </c>
      <c r="H782">
        <v>967897658</v>
      </c>
      <c r="I782" t="s">
        <v>20</v>
      </c>
      <c r="K782" t="s">
        <v>21</v>
      </c>
      <c r="L782" t="s">
        <v>22</v>
      </c>
      <c r="M782" t="s">
        <v>23</v>
      </c>
      <c r="N782" t="s">
        <v>23</v>
      </c>
      <c r="O782" t="s">
        <v>24</v>
      </c>
      <c r="P782" s="8" t="s">
        <v>1173</v>
      </c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 spans="1:51" x14ac:dyDescent="0.2">
      <c r="A783" s="6" t="s">
        <v>17</v>
      </c>
      <c r="B783" t="s">
        <v>655</v>
      </c>
      <c r="C783" t="s">
        <v>656</v>
      </c>
      <c r="D783" t="s">
        <v>1174</v>
      </c>
      <c r="E783" s="2">
        <v>887.38</v>
      </c>
      <c r="F783" s="3">
        <f>DATE(2024,5,21)</f>
        <v>45433</v>
      </c>
      <c r="G783" s="3">
        <f>DATE(2024,5,21)</f>
        <v>45433</v>
      </c>
      <c r="H783">
        <v>967897659</v>
      </c>
      <c r="I783" t="s">
        <v>20</v>
      </c>
      <c r="K783" t="s">
        <v>21</v>
      </c>
      <c r="L783" t="s">
        <v>22</v>
      </c>
      <c r="M783" t="s">
        <v>23</v>
      </c>
      <c r="N783" t="s">
        <v>23</v>
      </c>
      <c r="O783" t="s">
        <v>24</v>
      </c>
      <c r="P783" s="8" t="s">
        <v>1175</v>
      </c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 spans="1:51" x14ac:dyDescent="0.2">
      <c r="A784" s="6" t="s">
        <v>17</v>
      </c>
      <c r="B784" t="s">
        <v>104</v>
      </c>
      <c r="C784" t="s">
        <v>105</v>
      </c>
      <c r="D784" t="s">
        <v>1176</v>
      </c>
      <c r="E784" s="2">
        <v>592.76</v>
      </c>
      <c r="F784" s="3">
        <f>DATE(2024,5,30)</f>
        <v>45442</v>
      </c>
      <c r="G784" s="3">
        <f>DATE(2024,5,30)</f>
        <v>45442</v>
      </c>
      <c r="H784">
        <v>967897660</v>
      </c>
      <c r="I784" t="s">
        <v>20</v>
      </c>
      <c r="K784" t="s">
        <v>21</v>
      </c>
      <c r="L784" t="s">
        <v>22</v>
      </c>
      <c r="M784" t="s">
        <v>23</v>
      </c>
      <c r="N784" t="s">
        <v>23</v>
      </c>
      <c r="O784" t="s">
        <v>24</v>
      </c>
      <c r="P784" s="8" t="s">
        <v>1177</v>
      </c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 spans="1:51" x14ac:dyDescent="0.2">
      <c r="A785" s="6" t="s">
        <v>17</v>
      </c>
      <c r="B785" t="s">
        <v>191</v>
      </c>
      <c r="C785" t="s">
        <v>192</v>
      </c>
      <c r="D785" t="s">
        <v>1178</v>
      </c>
      <c r="E785" s="2">
        <v>450</v>
      </c>
      <c r="F785" s="3">
        <f>DATE(2024,5,21)</f>
        <v>45433</v>
      </c>
      <c r="G785" s="3">
        <f>DATE(2024,5,21)</f>
        <v>45433</v>
      </c>
      <c r="H785">
        <v>967897661</v>
      </c>
      <c r="I785" t="s">
        <v>20</v>
      </c>
      <c r="K785" t="s">
        <v>21</v>
      </c>
      <c r="L785" t="s">
        <v>22</v>
      </c>
      <c r="M785" t="s">
        <v>23</v>
      </c>
      <c r="N785" t="s">
        <v>23</v>
      </c>
      <c r="O785" t="s">
        <v>24</v>
      </c>
      <c r="P785" s="8" t="s">
        <v>1179</v>
      </c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 spans="1:51" x14ac:dyDescent="0.2">
      <c r="A786" s="6" t="s">
        <v>17</v>
      </c>
      <c r="B786" t="s">
        <v>674</v>
      </c>
      <c r="C786" t="s">
        <v>675</v>
      </c>
      <c r="D786" t="s">
        <v>1180</v>
      </c>
      <c r="E786" s="2">
        <v>295.8</v>
      </c>
      <c r="F786" s="3">
        <f>DATE(2024,5,15)</f>
        <v>45427</v>
      </c>
      <c r="G786" s="3">
        <f>DATE(2024,5,15)</f>
        <v>45427</v>
      </c>
      <c r="H786">
        <v>967897662</v>
      </c>
      <c r="I786" t="s">
        <v>20</v>
      </c>
      <c r="K786" t="s">
        <v>21</v>
      </c>
      <c r="L786" t="s">
        <v>22</v>
      </c>
      <c r="M786" t="s">
        <v>23</v>
      </c>
      <c r="N786" t="s">
        <v>23</v>
      </c>
      <c r="O786" t="s">
        <v>24</v>
      </c>
      <c r="P786" s="8" t="s">
        <v>1181</v>
      </c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 spans="1:51" hidden="1" x14ac:dyDescent="0.2">
      <c r="A787" s="6"/>
      <c r="E787" s="2"/>
      <c r="F787" s="3"/>
      <c r="G787" s="3"/>
      <c r="P787" s="8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 spans="1:51" hidden="1" x14ac:dyDescent="0.2">
      <c r="A788" s="6"/>
      <c r="E788" s="2"/>
      <c r="F788" s="3"/>
      <c r="G788" s="3"/>
      <c r="P788" s="8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 spans="1:51" x14ac:dyDescent="0.2">
      <c r="A789" s="6" t="s">
        <v>17</v>
      </c>
      <c r="B789" t="s">
        <v>57</v>
      </c>
      <c r="C789" t="s">
        <v>58</v>
      </c>
      <c r="D789" t="s">
        <v>1182</v>
      </c>
      <c r="E789" s="2">
        <v>69.95</v>
      </c>
      <c r="F789" s="3">
        <f>DATE(2024,5,21)</f>
        <v>45433</v>
      </c>
      <c r="G789" s="3">
        <f>DATE(2024,5,21)</f>
        <v>45433</v>
      </c>
      <c r="H789">
        <v>967897665</v>
      </c>
      <c r="I789" t="s">
        <v>20</v>
      </c>
      <c r="K789" t="s">
        <v>21</v>
      </c>
      <c r="L789" t="s">
        <v>22</v>
      </c>
      <c r="M789" t="s">
        <v>23</v>
      </c>
      <c r="N789" t="s">
        <v>23</v>
      </c>
      <c r="O789" t="s">
        <v>24</v>
      </c>
      <c r="P789" s="8" t="s">
        <v>1183</v>
      </c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 spans="1:51" hidden="1" x14ac:dyDescent="0.2">
      <c r="A790" s="6"/>
      <c r="E790" s="2"/>
      <c r="F790" s="3"/>
      <c r="G790" s="3"/>
      <c r="P790" s="8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 spans="1:51" x14ac:dyDescent="0.2">
      <c r="A791" s="6" t="s">
        <v>17</v>
      </c>
      <c r="B791" t="s">
        <v>65</v>
      </c>
      <c r="C791" t="s">
        <v>66</v>
      </c>
      <c r="D791" t="s">
        <v>1184</v>
      </c>
      <c r="E791" s="2">
        <v>449.6</v>
      </c>
      <c r="F791" s="3">
        <f>DATE(2024,6,13)</f>
        <v>45456</v>
      </c>
      <c r="G791" s="3">
        <f>DATE(2024,6,13)</f>
        <v>45456</v>
      </c>
      <c r="H791">
        <v>967897667</v>
      </c>
      <c r="I791" t="s">
        <v>20</v>
      </c>
      <c r="K791" t="s">
        <v>21</v>
      </c>
      <c r="L791" t="s">
        <v>22</v>
      </c>
      <c r="M791" t="s">
        <v>23</v>
      </c>
      <c r="N791" t="s">
        <v>23</v>
      </c>
      <c r="O791" t="s">
        <v>24</v>
      </c>
      <c r="P791" s="8" t="s">
        <v>1185</v>
      </c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 spans="1:51" hidden="1" x14ac:dyDescent="0.2">
      <c r="A792" s="6"/>
      <c r="E792" s="2"/>
      <c r="F792" s="3"/>
      <c r="G792" s="3"/>
      <c r="P792" s="8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 spans="1:51" hidden="1" x14ac:dyDescent="0.2">
      <c r="A793" s="6"/>
      <c r="E793" s="2"/>
      <c r="F793" s="3"/>
      <c r="G793" s="3"/>
      <c r="P793" s="8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 spans="1:51" hidden="1" x14ac:dyDescent="0.2">
      <c r="A794" s="6"/>
      <c r="E794" s="2"/>
      <c r="F794" s="3"/>
      <c r="G794" s="3"/>
      <c r="P794" s="8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 spans="1:51" x14ac:dyDescent="0.2">
      <c r="A795" s="6" t="s">
        <v>17</v>
      </c>
      <c r="B795" t="s">
        <v>57</v>
      </c>
      <c r="C795" t="s">
        <v>58</v>
      </c>
      <c r="D795" t="s">
        <v>1186</v>
      </c>
      <c r="E795" s="2">
        <v>80.400000000000006</v>
      </c>
      <c r="F795" s="3">
        <f>DATE(2024,6,24)</f>
        <v>45467</v>
      </c>
      <c r="G795" s="3">
        <f>DATE(2024,6,24)</f>
        <v>45467</v>
      </c>
      <c r="H795">
        <v>967897671</v>
      </c>
      <c r="I795" t="s">
        <v>20</v>
      </c>
      <c r="K795" t="s">
        <v>21</v>
      </c>
      <c r="L795" t="s">
        <v>22</v>
      </c>
      <c r="M795" t="s">
        <v>23</v>
      </c>
      <c r="N795" t="s">
        <v>23</v>
      </c>
      <c r="O795" t="s">
        <v>24</v>
      </c>
      <c r="P795" s="8" t="s">
        <v>1187</v>
      </c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 spans="1:51" x14ac:dyDescent="0.2">
      <c r="A796" s="6" t="s">
        <v>17</v>
      </c>
      <c r="B796" t="s">
        <v>61</v>
      </c>
      <c r="C796" t="s">
        <v>62</v>
      </c>
      <c r="D796" t="s">
        <v>1188</v>
      </c>
      <c r="E796" s="2">
        <v>378</v>
      </c>
      <c r="F796" s="3">
        <f>DATE(2024,6,17)</f>
        <v>45460</v>
      </c>
      <c r="G796" s="3">
        <f>DATE(2024,6,17)</f>
        <v>45460</v>
      </c>
      <c r="H796">
        <v>967897672</v>
      </c>
      <c r="I796" t="s">
        <v>20</v>
      </c>
      <c r="K796" t="s">
        <v>21</v>
      </c>
      <c r="L796" t="s">
        <v>22</v>
      </c>
      <c r="M796" t="s">
        <v>23</v>
      </c>
      <c r="N796" t="s">
        <v>23</v>
      </c>
      <c r="O796" t="s">
        <v>24</v>
      </c>
      <c r="P796" s="8" t="s">
        <v>1189</v>
      </c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 spans="1:51" x14ac:dyDescent="0.2">
      <c r="A797" s="6" t="s">
        <v>17</v>
      </c>
      <c r="B797" t="s">
        <v>363</v>
      </c>
      <c r="C797" t="s">
        <v>364</v>
      </c>
      <c r="D797" t="s">
        <v>1190</v>
      </c>
      <c r="E797" s="2">
        <v>778.5</v>
      </c>
      <c r="F797" s="3">
        <f>DATE(2024,7,2)</f>
        <v>45475</v>
      </c>
      <c r="G797" s="3">
        <f>DATE(2024,7,2)</f>
        <v>45475</v>
      </c>
      <c r="H797">
        <v>967897673</v>
      </c>
      <c r="I797" t="s">
        <v>20</v>
      </c>
      <c r="K797" t="s">
        <v>21</v>
      </c>
      <c r="L797" t="s">
        <v>22</v>
      </c>
      <c r="M797" t="s">
        <v>23</v>
      </c>
      <c r="N797" t="s">
        <v>23</v>
      </c>
      <c r="O797" t="s">
        <v>24</v>
      </c>
      <c r="P797" s="8" t="s">
        <v>1191</v>
      </c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 spans="1:51" x14ac:dyDescent="0.2">
      <c r="A798" s="6" t="s">
        <v>17</v>
      </c>
      <c r="B798" t="s">
        <v>34</v>
      </c>
      <c r="C798" t="s">
        <v>35</v>
      </c>
      <c r="D798" t="s">
        <v>1192</v>
      </c>
      <c r="E798" s="2">
        <v>102.16</v>
      </c>
      <c r="F798" s="3">
        <f>DATE(2024,7,1)</f>
        <v>45474</v>
      </c>
      <c r="G798" s="3">
        <f>DATE(2024,7,1)</f>
        <v>45474</v>
      </c>
      <c r="H798">
        <v>967897674</v>
      </c>
      <c r="I798" t="s">
        <v>20</v>
      </c>
      <c r="K798" t="s">
        <v>21</v>
      </c>
      <c r="L798" t="s">
        <v>22</v>
      </c>
      <c r="M798" t="s">
        <v>23</v>
      </c>
      <c r="N798" t="s">
        <v>23</v>
      </c>
      <c r="O798" t="s">
        <v>24</v>
      </c>
      <c r="P798" s="8" t="s">
        <v>1193</v>
      </c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 spans="1:51" hidden="1" x14ac:dyDescent="0.2">
      <c r="A799" s="6"/>
      <c r="E799" s="2"/>
      <c r="F799" s="3"/>
      <c r="G799" s="3"/>
      <c r="P799" s="8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 spans="1:51" x14ac:dyDescent="0.2">
      <c r="A800" s="6" t="s">
        <v>17</v>
      </c>
      <c r="B800" t="s">
        <v>191</v>
      </c>
      <c r="C800" t="s">
        <v>192</v>
      </c>
      <c r="D800" t="s">
        <v>1194</v>
      </c>
      <c r="E800" s="2">
        <v>1968.58</v>
      </c>
      <c r="F800" s="3">
        <f>DATE(2024,6,4)</f>
        <v>45447</v>
      </c>
      <c r="G800" s="3">
        <f>DATE(2024,6,4)</f>
        <v>45447</v>
      </c>
      <c r="H800">
        <v>967897676</v>
      </c>
      <c r="I800" t="s">
        <v>20</v>
      </c>
      <c r="K800" t="s">
        <v>21</v>
      </c>
      <c r="L800" t="s">
        <v>22</v>
      </c>
      <c r="M800" t="s">
        <v>23</v>
      </c>
      <c r="N800" t="s">
        <v>23</v>
      </c>
      <c r="O800" t="s">
        <v>24</v>
      </c>
      <c r="P800" s="8" t="s">
        <v>1195</v>
      </c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 spans="1:51" hidden="1" x14ac:dyDescent="0.2">
      <c r="A801" s="6"/>
      <c r="E801" s="2"/>
      <c r="F801" s="3"/>
      <c r="G801" s="3"/>
      <c r="P801" s="8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 spans="1:51" x14ac:dyDescent="0.2">
      <c r="A802" s="6" t="s">
        <v>17</v>
      </c>
      <c r="B802" t="s">
        <v>261</v>
      </c>
      <c r="C802" t="s">
        <v>262</v>
      </c>
      <c r="D802" t="s">
        <v>1196</v>
      </c>
      <c r="E802" s="2">
        <v>1270.31</v>
      </c>
      <c r="F802" s="3">
        <f>DATE(2024,5,3)</f>
        <v>45415</v>
      </c>
      <c r="G802" s="3">
        <f>DATE(2024,5,3)</f>
        <v>45415</v>
      </c>
      <c r="H802">
        <v>967897678</v>
      </c>
      <c r="I802" t="s">
        <v>20</v>
      </c>
      <c r="K802" t="s">
        <v>21</v>
      </c>
      <c r="L802" t="s">
        <v>22</v>
      </c>
      <c r="M802" t="s">
        <v>23</v>
      </c>
      <c r="N802" t="s">
        <v>23</v>
      </c>
      <c r="O802" t="s">
        <v>24</v>
      </c>
      <c r="P802" s="8" t="s">
        <v>1197</v>
      </c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 spans="1:51" x14ac:dyDescent="0.2">
      <c r="A803" s="6" t="s">
        <v>17</v>
      </c>
      <c r="B803" t="s">
        <v>887</v>
      </c>
      <c r="C803" t="s">
        <v>888</v>
      </c>
      <c r="D803" t="s">
        <v>1198</v>
      </c>
      <c r="E803" s="2">
        <v>12</v>
      </c>
      <c r="F803" s="3">
        <f>DATE(2024,4,23)</f>
        <v>45405</v>
      </c>
      <c r="G803" s="3">
        <f>DATE(2024,4,23)</f>
        <v>45405</v>
      </c>
      <c r="H803">
        <v>967897679</v>
      </c>
      <c r="I803" t="s">
        <v>20</v>
      </c>
      <c r="K803" t="s">
        <v>21</v>
      </c>
      <c r="L803" t="s">
        <v>22</v>
      </c>
      <c r="M803" t="s">
        <v>23</v>
      </c>
      <c r="N803" t="s">
        <v>23</v>
      </c>
      <c r="O803" t="s">
        <v>24</v>
      </c>
      <c r="P803" s="8" t="s">
        <v>1199</v>
      </c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 spans="1:51" hidden="1" x14ac:dyDescent="0.2">
      <c r="A804" s="6"/>
      <c r="E804" s="2"/>
      <c r="F804" s="3"/>
      <c r="G804" s="3"/>
      <c r="P804" s="8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 spans="1:51" x14ac:dyDescent="0.2">
      <c r="A805" s="6" t="s">
        <v>17</v>
      </c>
      <c r="B805" t="s">
        <v>1060</v>
      </c>
      <c r="C805" t="s">
        <v>1061</v>
      </c>
      <c r="D805" t="s">
        <v>1200</v>
      </c>
      <c r="E805" s="2">
        <v>137.59</v>
      </c>
      <c r="F805" s="3">
        <f>DATE(2024,5,10)</f>
        <v>45422</v>
      </c>
      <c r="G805" s="3">
        <f>DATE(2024,5,10)</f>
        <v>45422</v>
      </c>
      <c r="H805">
        <v>967897681</v>
      </c>
      <c r="I805" t="s">
        <v>20</v>
      </c>
      <c r="K805" t="s">
        <v>21</v>
      </c>
      <c r="L805" t="s">
        <v>22</v>
      </c>
      <c r="M805" t="s">
        <v>23</v>
      </c>
      <c r="N805" t="s">
        <v>23</v>
      </c>
      <c r="O805" t="s">
        <v>24</v>
      </c>
      <c r="P805" s="8" t="s">
        <v>1201</v>
      </c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 spans="1:51" hidden="1" x14ac:dyDescent="0.2">
      <c r="A806" s="6"/>
      <c r="E806" s="2"/>
      <c r="F806" s="3"/>
      <c r="G806" s="3"/>
      <c r="P806" s="8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 spans="1:51" x14ac:dyDescent="0.2">
      <c r="A807" s="6" t="s">
        <v>17</v>
      </c>
      <c r="B807" t="s">
        <v>18</v>
      </c>
      <c r="C807" t="s">
        <v>18</v>
      </c>
      <c r="D807" t="s">
        <v>1202</v>
      </c>
      <c r="E807" s="2">
        <v>220</v>
      </c>
      <c r="F807" s="3">
        <f>DATE(2024,6,21)</f>
        <v>45464</v>
      </c>
      <c r="G807" s="3">
        <f>DATE(2024,6,21)</f>
        <v>45464</v>
      </c>
      <c r="H807">
        <v>967897683</v>
      </c>
      <c r="I807" t="s">
        <v>20</v>
      </c>
      <c r="K807" t="s">
        <v>21</v>
      </c>
      <c r="L807" t="s">
        <v>22</v>
      </c>
      <c r="M807" t="s">
        <v>23</v>
      </c>
      <c r="N807" t="s">
        <v>23</v>
      </c>
      <c r="O807" t="s">
        <v>24</v>
      </c>
      <c r="P807" s="8" t="s">
        <v>1203</v>
      </c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 spans="1:51" hidden="1" x14ac:dyDescent="0.2">
      <c r="A808" s="6"/>
      <c r="E808" s="2"/>
      <c r="F808" s="3"/>
      <c r="G808" s="3"/>
      <c r="P808" s="8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 spans="1:51" x14ac:dyDescent="0.2">
      <c r="A809" s="6" t="s">
        <v>17</v>
      </c>
      <c r="B809" t="s">
        <v>44</v>
      </c>
      <c r="C809" t="s">
        <v>45</v>
      </c>
      <c r="D809" t="s">
        <v>1204</v>
      </c>
      <c r="E809" s="2">
        <v>77.8</v>
      </c>
      <c r="F809" s="3">
        <f>DATE(2024,4,30)</f>
        <v>45412</v>
      </c>
      <c r="G809" s="3">
        <f>DATE(2024,4,30)</f>
        <v>45412</v>
      </c>
      <c r="H809">
        <v>967897685</v>
      </c>
      <c r="I809" t="s">
        <v>20</v>
      </c>
      <c r="K809" t="s">
        <v>21</v>
      </c>
      <c r="L809" t="s">
        <v>22</v>
      </c>
      <c r="M809" t="s">
        <v>23</v>
      </c>
      <c r="N809" t="s">
        <v>23</v>
      </c>
      <c r="O809" t="s">
        <v>24</v>
      </c>
      <c r="P809" s="8" t="s">
        <v>1205</v>
      </c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 spans="1:51" x14ac:dyDescent="0.2">
      <c r="A810" s="6" t="s">
        <v>17</v>
      </c>
      <c r="B810" t="s">
        <v>887</v>
      </c>
      <c r="C810" t="s">
        <v>888</v>
      </c>
      <c r="D810" t="s">
        <v>1206</v>
      </c>
      <c r="E810" s="2">
        <v>448.06</v>
      </c>
      <c r="F810" s="3">
        <f>DATE(2024,5,15)</f>
        <v>45427</v>
      </c>
      <c r="G810" s="3">
        <f>DATE(2024,5,15)</f>
        <v>45427</v>
      </c>
      <c r="H810">
        <v>967897686</v>
      </c>
      <c r="I810" t="s">
        <v>20</v>
      </c>
      <c r="K810" t="s">
        <v>21</v>
      </c>
      <c r="L810" t="s">
        <v>22</v>
      </c>
      <c r="M810" t="s">
        <v>23</v>
      </c>
      <c r="N810" t="s">
        <v>23</v>
      </c>
      <c r="O810" t="s">
        <v>24</v>
      </c>
      <c r="P810" s="8" t="s">
        <v>1207</v>
      </c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 spans="1:51" hidden="1" x14ac:dyDescent="0.2">
      <c r="A811" s="6"/>
      <c r="E811" s="2"/>
      <c r="F811" s="3"/>
      <c r="G811" s="3"/>
      <c r="P811" s="8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 spans="1:51" hidden="1" x14ac:dyDescent="0.2">
      <c r="A812" s="6"/>
      <c r="E812" s="2"/>
      <c r="F812" s="3"/>
      <c r="G812" s="3"/>
      <c r="P812" s="8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 spans="1:51" hidden="1" x14ac:dyDescent="0.2">
      <c r="A813" s="6"/>
      <c r="E813" s="2"/>
      <c r="F813" s="3"/>
      <c r="G813" s="3"/>
      <c r="P813" s="8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 spans="1:51" x14ac:dyDescent="0.2">
      <c r="A814" s="6" t="s">
        <v>17</v>
      </c>
      <c r="B814" t="s">
        <v>115</v>
      </c>
      <c r="C814" t="s">
        <v>116</v>
      </c>
      <c r="D814" t="s">
        <v>1208</v>
      </c>
      <c r="E814" s="2">
        <v>1200.93</v>
      </c>
      <c r="F814" s="3">
        <f>DATE(2024,4,22)</f>
        <v>45404</v>
      </c>
      <c r="G814" s="3">
        <f>DATE(2024,4,22)</f>
        <v>45404</v>
      </c>
      <c r="H814">
        <v>967897690</v>
      </c>
      <c r="I814" t="s">
        <v>20</v>
      </c>
      <c r="K814" t="s">
        <v>21</v>
      </c>
      <c r="L814" t="s">
        <v>22</v>
      </c>
      <c r="M814" t="s">
        <v>23</v>
      </c>
      <c r="N814" t="s">
        <v>23</v>
      </c>
      <c r="O814" t="s">
        <v>24</v>
      </c>
      <c r="P814" s="8" t="s">
        <v>1209</v>
      </c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 spans="1:51" hidden="1" x14ac:dyDescent="0.2">
      <c r="A815" s="6"/>
      <c r="E815" s="2"/>
      <c r="F815" s="3"/>
      <c r="G815" s="3"/>
      <c r="P815" s="8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 spans="1:51" x14ac:dyDescent="0.2">
      <c r="A816" s="6" t="s">
        <v>17</v>
      </c>
      <c r="B816" t="s">
        <v>104</v>
      </c>
      <c r="C816" t="s">
        <v>105</v>
      </c>
      <c r="D816" t="s">
        <v>1210</v>
      </c>
      <c r="E816" s="2">
        <v>228.92</v>
      </c>
      <c r="F816" s="3">
        <f>DATE(2024,5,3)</f>
        <v>45415</v>
      </c>
      <c r="G816" s="3">
        <f>DATE(2024,5,3)</f>
        <v>45415</v>
      </c>
      <c r="H816">
        <v>967897692</v>
      </c>
      <c r="I816" t="s">
        <v>20</v>
      </c>
      <c r="K816" t="s">
        <v>21</v>
      </c>
      <c r="L816" t="s">
        <v>22</v>
      </c>
      <c r="M816" t="s">
        <v>23</v>
      </c>
      <c r="N816" t="s">
        <v>23</v>
      </c>
      <c r="O816" t="s">
        <v>24</v>
      </c>
      <c r="P816" s="8" t="s">
        <v>1211</v>
      </c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 spans="1:51" x14ac:dyDescent="0.2">
      <c r="A817" s="6" t="s">
        <v>17</v>
      </c>
      <c r="B817" t="s">
        <v>316</v>
      </c>
      <c r="C817" t="s">
        <v>316</v>
      </c>
      <c r="D817" t="s">
        <v>1212</v>
      </c>
      <c r="E817" s="2">
        <v>12</v>
      </c>
      <c r="F817" s="3">
        <f>DATE(2024,5,1)</f>
        <v>45413</v>
      </c>
      <c r="G817" s="3">
        <f>DATE(2024,5,1)</f>
        <v>45413</v>
      </c>
      <c r="H817">
        <v>967897693</v>
      </c>
      <c r="I817" t="s">
        <v>20</v>
      </c>
      <c r="K817" t="s">
        <v>21</v>
      </c>
      <c r="L817" t="s">
        <v>22</v>
      </c>
      <c r="M817" t="s">
        <v>23</v>
      </c>
      <c r="N817" t="s">
        <v>23</v>
      </c>
      <c r="O817" t="s">
        <v>24</v>
      </c>
      <c r="P817" s="8" t="s">
        <v>1213</v>
      </c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 spans="1:51" hidden="1" x14ac:dyDescent="0.2">
      <c r="A818" s="6"/>
      <c r="E818" s="2"/>
      <c r="F818" s="3"/>
      <c r="G818" s="3"/>
      <c r="P818" s="8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 spans="1:51" x14ac:dyDescent="0.2">
      <c r="A819" s="6" t="s">
        <v>17</v>
      </c>
      <c r="B819" t="s">
        <v>887</v>
      </c>
      <c r="C819" t="s">
        <v>888</v>
      </c>
      <c r="D819" t="s">
        <v>1214</v>
      </c>
      <c r="E819" s="2">
        <v>468.48</v>
      </c>
      <c r="F819" s="3">
        <f>DATE(2024,6,17)</f>
        <v>45460</v>
      </c>
      <c r="G819" s="3">
        <f>DATE(2024,6,17)</f>
        <v>45460</v>
      </c>
      <c r="H819">
        <v>967897695</v>
      </c>
      <c r="I819" t="s">
        <v>20</v>
      </c>
      <c r="K819" t="s">
        <v>21</v>
      </c>
      <c r="L819" t="s">
        <v>22</v>
      </c>
      <c r="M819" t="s">
        <v>23</v>
      </c>
      <c r="N819" t="s">
        <v>23</v>
      </c>
      <c r="O819" t="s">
        <v>24</v>
      </c>
      <c r="P819" s="8" t="s">
        <v>1215</v>
      </c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 spans="1:51" x14ac:dyDescent="0.2">
      <c r="A820" s="6" t="s">
        <v>17</v>
      </c>
      <c r="B820" t="s">
        <v>110</v>
      </c>
      <c r="C820" t="s">
        <v>111</v>
      </c>
      <c r="D820" t="s">
        <v>1216</v>
      </c>
      <c r="E820" s="2">
        <v>481.32</v>
      </c>
      <c r="F820" s="3">
        <f>DATE(2024,7,1)</f>
        <v>45474</v>
      </c>
      <c r="G820" s="3">
        <f>DATE(2024,7,1)</f>
        <v>45474</v>
      </c>
      <c r="H820">
        <v>967897696</v>
      </c>
      <c r="I820" t="s">
        <v>20</v>
      </c>
      <c r="K820" t="s">
        <v>21</v>
      </c>
      <c r="L820" t="s">
        <v>22</v>
      </c>
      <c r="M820" t="s">
        <v>23</v>
      </c>
      <c r="N820" t="s">
        <v>23</v>
      </c>
      <c r="O820" t="s">
        <v>24</v>
      </c>
      <c r="P820" s="8" t="s">
        <v>1217</v>
      </c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 spans="1:51" x14ac:dyDescent="0.2">
      <c r="A821" s="6" t="s">
        <v>17</v>
      </c>
      <c r="B821" t="s">
        <v>251</v>
      </c>
      <c r="C821" t="s">
        <v>252</v>
      </c>
      <c r="D821" t="s">
        <v>1218</v>
      </c>
      <c r="E821" s="2">
        <v>67.8</v>
      </c>
      <c r="F821" s="3">
        <f>DATE(2024,6,13)</f>
        <v>45456</v>
      </c>
      <c r="G821" s="3">
        <f>DATE(2024,6,13)</f>
        <v>45456</v>
      </c>
      <c r="H821">
        <v>967897697</v>
      </c>
      <c r="I821" t="s">
        <v>20</v>
      </c>
      <c r="K821" t="s">
        <v>21</v>
      </c>
      <c r="L821" t="s">
        <v>22</v>
      </c>
      <c r="M821" t="s">
        <v>23</v>
      </c>
      <c r="N821" t="s">
        <v>23</v>
      </c>
      <c r="O821" t="s">
        <v>24</v>
      </c>
      <c r="P821" s="8" t="s">
        <v>1219</v>
      </c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 spans="1:51" x14ac:dyDescent="0.2">
      <c r="A822" s="6" t="s">
        <v>17</v>
      </c>
      <c r="B822" t="s">
        <v>191</v>
      </c>
      <c r="C822" t="s">
        <v>192</v>
      </c>
      <c r="D822" t="s">
        <v>1220</v>
      </c>
      <c r="E822" s="2">
        <v>934.99</v>
      </c>
      <c r="F822" s="3">
        <f>DATE(2024,4,8)</f>
        <v>45390</v>
      </c>
      <c r="G822" s="3">
        <f>DATE(2024,4,8)</f>
        <v>45390</v>
      </c>
      <c r="H822">
        <v>967897698</v>
      </c>
      <c r="I822" t="s">
        <v>20</v>
      </c>
      <c r="K822" t="s">
        <v>21</v>
      </c>
      <c r="L822" t="s">
        <v>22</v>
      </c>
      <c r="M822" t="s">
        <v>23</v>
      </c>
      <c r="N822" t="s">
        <v>23</v>
      </c>
      <c r="O822" t="s">
        <v>24</v>
      </c>
      <c r="P822" s="8" t="s">
        <v>1221</v>
      </c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 spans="1:51" x14ac:dyDescent="0.2">
      <c r="A823" s="6" t="s">
        <v>17</v>
      </c>
      <c r="B823" t="s">
        <v>1046</v>
      </c>
      <c r="C823" t="s">
        <v>1047</v>
      </c>
      <c r="D823" t="s">
        <v>1222</v>
      </c>
      <c r="E823" s="2">
        <v>1136.73</v>
      </c>
      <c r="F823" s="3">
        <f>DATE(2024,6,18)</f>
        <v>45461</v>
      </c>
      <c r="G823" s="3">
        <f>DATE(2024,6,18)</f>
        <v>45461</v>
      </c>
      <c r="H823">
        <v>967897699</v>
      </c>
      <c r="I823" t="s">
        <v>20</v>
      </c>
      <c r="K823" t="s">
        <v>21</v>
      </c>
      <c r="L823" t="s">
        <v>22</v>
      </c>
      <c r="M823" t="s">
        <v>23</v>
      </c>
      <c r="N823" t="s">
        <v>23</v>
      </c>
      <c r="O823" t="s">
        <v>24</v>
      </c>
      <c r="P823" s="8" t="s">
        <v>1223</v>
      </c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 spans="1:51" x14ac:dyDescent="0.2">
      <c r="A824" s="6" t="s">
        <v>17</v>
      </c>
      <c r="B824" t="s">
        <v>18</v>
      </c>
      <c r="C824" t="s">
        <v>18</v>
      </c>
      <c r="D824" t="s">
        <v>1224</v>
      </c>
      <c r="E824" s="2">
        <v>81.61</v>
      </c>
      <c r="F824" s="3">
        <f>DATE(2024,7,1)</f>
        <v>45474</v>
      </c>
      <c r="G824" s="3">
        <f>DATE(2024,7,1)</f>
        <v>45474</v>
      </c>
      <c r="H824">
        <v>967897700</v>
      </c>
      <c r="I824" t="s">
        <v>20</v>
      </c>
      <c r="K824" t="s">
        <v>21</v>
      </c>
      <c r="L824" t="s">
        <v>22</v>
      </c>
      <c r="M824" t="s">
        <v>23</v>
      </c>
      <c r="N824" t="s">
        <v>23</v>
      </c>
      <c r="O824" t="s">
        <v>24</v>
      </c>
      <c r="P824" s="8" t="s">
        <v>1225</v>
      </c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 spans="1:51" x14ac:dyDescent="0.2">
      <c r="A825" s="6" t="s">
        <v>17</v>
      </c>
      <c r="B825" t="s">
        <v>232</v>
      </c>
      <c r="C825" t="s">
        <v>233</v>
      </c>
      <c r="D825" t="s">
        <v>1226</v>
      </c>
      <c r="E825" s="2">
        <v>2360</v>
      </c>
      <c r="F825" s="3">
        <f>DATE(2024,5,23)</f>
        <v>45435</v>
      </c>
      <c r="G825" s="3">
        <f>DATE(2024,5,23)</f>
        <v>45435</v>
      </c>
      <c r="H825">
        <v>967897701</v>
      </c>
      <c r="I825" t="s">
        <v>20</v>
      </c>
      <c r="K825" t="s">
        <v>21</v>
      </c>
      <c r="L825" t="s">
        <v>22</v>
      </c>
      <c r="M825" t="s">
        <v>23</v>
      </c>
      <c r="N825" t="s">
        <v>23</v>
      </c>
      <c r="O825" t="s">
        <v>24</v>
      </c>
      <c r="P825" s="8" t="s">
        <v>1227</v>
      </c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 spans="1:51" x14ac:dyDescent="0.2">
      <c r="A826" s="6" t="s">
        <v>17</v>
      </c>
      <c r="B826" t="s">
        <v>44</v>
      </c>
      <c r="C826" t="s">
        <v>45</v>
      </c>
      <c r="D826" t="s">
        <v>1228</v>
      </c>
      <c r="E826" s="2">
        <v>194.7</v>
      </c>
      <c r="F826" s="3">
        <f>DATE(2024,6,18)</f>
        <v>45461</v>
      </c>
      <c r="G826" s="3">
        <f>DATE(2024,6,18)</f>
        <v>45461</v>
      </c>
      <c r="H826">
        <v>967897702</v>
      </c>
      <c r="I826" t="s">
        <v>20</v>
      </c>
      <c r="K826" t="s">
        <v>21</v>
      </c>
      <c r="L826" t="s">
        <v>22</v>
      </c>
      <c r="M826" t="s">
        <v>23</v>
      </c>
      <c r="N826" t="s">
        <v>23</v>
      </c>
      <c r="O826" t="s">
        <v>24</v>
      </c>
      <c r="P826" s="8" t="s">
        <v>1229</v>
      </c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 spans="1:51" x14ac:dyDescent="0.2">
      <c r="A827" s="6" t="s">
        <v>17</v>
      </c>
      <c r="B827" t="s">
        <v>104</v>
      </c>
      <c r="C827" t="s">
        <v>105</v>
      </c>
      <c r="D827" t="s">
        <v>1230</v>
      </c>
      <c r="E827" s="2">
        <v>471.41</v>
      </c>
      <c r="F827" s="3">
        <f>DATE(2024,5,10)</f>
        <v>45422</v>
      </c>
      <c r="G827" s="3">
        <f>DATE(2024,5,10)</f>
        <v>45422</v>
      </c>
      <c r="H827">
        <v>967897703</v>
      </c>
      <c r="I827" t="s">
        <v>20</v>
      </c>
      <c r="K827" t="s">
        <v>21</v>
      </c>
      <c r="L827" t="s">
        <v>22</v>
      </c>
      <c r="M827" t="s">
        <v>23</v>
      </c>
      <c r="N827" t="s">
        <v>23</v>
      </c>
      <c r="O827" t="s">
        <v>24</v>
      </c>
      <c r="P827" s="8" t="s">
        <v>1231</v>
      </c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 spans="1:51" x14ac:dyDescent="0.2">
      <c r="A828" s="6" t="s">
        <v>17</v>
      </c>
      <c r="B828" t="s">
        <v>1046</v>
      </c>
      <c r="C828" t="s">
        <v>1047</v>
      </c>
      <c r="D828" t="s">
        <v>1232</v>
      </c>
      <c r="E828" s="2">
        <v>1504.2</v>
      </c>
      <c r="F828" s="3">
        <f>DATE(2024,6,13)</f>
        <v>45456</v>
      </c>
      <c r="G828" s="3">
        <f>DATE(2024,6,13)</f>
        <v>45456</v>
      </c>
      <c r="H828">
        <v>967897704</v>
      </c>
      <c r="I828" t="s">
        <v>20</v>
      </c>
      <c r="K828" t="s">
        <v>21</v>
      </c>
      <c r="L828" t="s">
        <v>22</v>
      </c>
      <c r="M828" t="s">
        <v>23</v>
      </c>
      <c r="N828" t="s">
        <v>23</v>
      </c>
      <c r="O828" t="s">
        <v>24</v>
      </c>
      <c r="P828" s="8" t="s">
        <v>1233</v>
      </c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 spans="1:51" x14ac:dyDescent="0.2">
      <c r="A829" s="6" t="s">
        <v>17</v>
      </c>
      <c r="B829" t="s">
        <v>175</v>
      </c>
      <c r="C829" t="s">
        <v>176</v>
      </c>
      <c r="D829" t="s">
        <v>1234</v>
      </c>
      <c r="E829" s="2">
        <v>15748.19</v>
      </c>
      <c r="F829" s="3">
        <f>DATE(2024,6,10)</f>
        <v>45453</v>
      </c>
      <c r="G829" s="3">
        <f>DATE(2024,6,10)</f>
        <v>45453</v>
      </c>
      <c r="H829">
        <v>967897705</v>
      </c>
      <c r="I829" t="s">
        <v>20</v>
      </c>
      <c r="K829" t="s">
        <v>21</v>
      </c>
      <c r="L829" t="s">
        <v>22</v>
      </c>
      <c r="M829" t="s">
        <v>23</v>
      </c>
      <c r="N829" t="s">
        <v>23</v>
      </c>
      <c r="O829" t="s">
        <v>24</v>
      </c>
      <c r="P829" s="8" t="s">
        <v>1235</v>
      </c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 spans="1:51" x14ac:dyDescent="0.2">
      <c r="A830" s="6" t="s">
        <v>17</v>
      </c>
      <c r="B830" t="s">
        <v>65</v>
      </c>
      <c r="C830" t="s">
        <v>66</v>
      </c>
      <c r="D830" t="s">
        <v>1236</v>
      </c>
      <c r="E830" s="2">
        <v>1103.6400000000001</v>
      </c>
      <c r="F830" s="3">
        <f>DATE(2024,4,15)</f>
        <v>45397</v>
      </c>
      <c r="G830" s="3">
        <f>DATE(2024,4,15)</f>
        <v>45397</v>
      </c>
      <c r="H830">
        <v>967897706</v>
      </c>
      <c r="I830" t="s">
        <v>20</v>
      </c>
      <c r="K830" t="s">
        <v>21</v>
      </c>
      <c r="L830" t="s">
        <v>22</v>
      </c>
      <c r="M830" t="s">
        <v>23</v>
      </c>
      <c r="N830" t="s">
        <v>23</v>
      </c>
      <c r="O830" t="s">
        <v>24</v>
      </c>
      <c r="P830" s="8" t="s">
        <v>1237</v>
      </c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 spans="1:51" x14ac:dyDescent="0.2">
      <c r="A831" s="6" t="s">
        <v>17</v>
      </c>
      <c r="B831" t="s">
        <v>191</v>
      </c>
      <c r="C831" t="s">
        <v>192</v>
      </c>
      <c r="D831" t="s">
        <v>1238</v>
      </c>
      <c r="E831" s="2">
        <v>600</v>
      </c>
      <c r="F831" s="3">
        <f>DATE(2024,5,22)</f>
        <v>45434</v>
      </c>
      <c r="G831" s="3">
        <f>DATE(2024,5,22)</f>
        <v>45434</v>
      </c>
      <c r="H831">
        <v>967897707</v>
      </c>
      <c r="I831" t="s">
        <v>20</v>
      </c>
      <c r="K831" t="s">
        <v>21</v>
      </c>
      <c r="L831" t="s">
        <v>22</v>
      </c>
      <c r="M831" t="s">
        <v>23</v>
      </c>
      <c r="N831" t="s">
        <v>23</v>
      </c>
      <c r="O831" t="s">
        <v>24</v>
      </c>
      <c r="P831" s="8" t="s">
        <v>1239</v>
      </c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 spans="1:51" hidden="1" x14ac:dyDescent="0.2">
      <c r="A832" s="6"/>
      <c r="E832" s="2"/>
      <c r="F832" s="3"/>
      <c r="G832" s="3"/>
      <c r="P832" s="8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 spans="1:51" x14ac:dyDescent="0.2">
      <c r="A833" s="6" t="s">
        <v>17</v>
      </c>
      <c r="B833" t="s">
        <v>104</v>
      </c>
      <c r="C833" t="s">
        <v>105</v>
      </c>
      <c r="D833" t="s">
        <v>1240</v>
      </c>
      <c r="E833" s="2">
        <v>337.23</v>
      </c>
      <c r="F833" s="3">
        <f>DATE(2024,6,13)</f>
        <v>45456</v>
      </c>
      <c r="G833" s="3">
        <f>DATE(2024,6,13)</f>
        <v>45456</v>
      </c>
      <c r="H833">
        <v>967897709</v>
      </c>
      <c r="I833" t="s">
        <v>20</v>
      </c>
      <c r="K833" t="s">
        <v>21</v>
      </c>
      <c r="L833" t="s">
        <v>22</v>
      </c>
      <c r="M833" t="s">
        <v>23</v>
      </c>
      <c r="N833" t="s">
        <v>23</v>
      </c>
      <c r="O833" t="s">
        <v>24</v>
      </c>
      <c r="P833" s="8" t="s">
        <v>1241</v>
      </c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 spans="1:51" hidden="1" x14ac:dyDescent="0.2">
      <c r="A834" s="6"/>
      <c r="E834" s="2"/>
      <c r="F834" s="3"/>
      <c r="G834" s="3"/>
      <c r="P834" s="8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 spans="1:51" x14ac:dyDescent="0.2">
      <c r="A835" s="6" t="s">
        <v>17</v>
      </c>
      <c r="B835" t="s">
        <v>104</v>
      </c>
      <c r="C835" t="s">
        <v>105</v>
      </c>
      <c r="D835" t="s">
        <v>1242</v>
      </c>
      <c r="E835" s="2">
        <v>126.01</v>
      </c>
      <c r="F835" s="3">
        <f>DATE(2024,5,23)</f>
        <v>45435</v>
      </c>
      <c r="G835" s="3">
        <f>DATE(2024,5,23)</f>
        <v>45435</v>
      </c>
      <c r="H835">
        <v>967897711</v>
      </c>
      <c r="I835" t="s">
        <v>20</v>
      </c>
      <c r="K835" t="s">
        <v>21</v>
      </c>
      <c r="L835" t="s">
        <v>22</v>
      </c>
      <c r="M835" t="s">
        <v>23</v>
      </c>
      <c r="N835" t="s">
        <v>23</v>
      </c>
      <c r="O835" t="s">
        <v>24</v>
      </c>
      <c r="P835" s="8" t="s">
        <v>1243</v>
      </c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 spans="1:51" x14ac:dyDescent="0.2">
      <c r="A836" s="6" t="s">
        <v>17</v>
      </c>
      <c r="B836" t="s">
        <v>674</v>
      </c>
      <c r="C836" t="s">
        <v>675</v>
      </c>
      <c r="D836" t="s">
        <v>1244</v>
      </c>
      <c r="E836" s="2">
        <v>305.07</v>
      </c>
      <c r="F836" s="3">
        <f>DATE(2024,4,16)</f>
        <v>45398</v>
      </c>
      <c r="G836" s="3">
        <f>DATE(2024,4,16)</f>
        <v>45398</v>
      </c>
      <c r="H836">
        <v>967897712</v>
      </c>
      <c r="I836" t="s">
        <v>20</v>
      </c>
      <c r="K836" t="s">
        <v>21</v>
      </c>
      <c r="L836" t="s">
        <v>22</v>
      </c>
      <c r="M836" t="s">
        <v>23</v>
      </c>
      <c r="N836" t="s">
        <v>23</v>
      </c>
      <c r="O836" t="s">
        <v>24</v>
      </c>
      <c r="P836" s="8" t="s">
        <v>1245</v>
      </c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 spans="1:51" x14ac:dyDescent="0.2">
      <c r="A837" s="6" t="s">
        <v>17</v>
      </c>
      <c r="B837" t="s">
        <v>363</v>
      </c>
      <c r="C837" t="s">
        <v>364</v>
      </c>
      <c r="D837" t="s">
        <v>1246</v>
      </c>
      <c r="E837" s="2">
        <v>295</v>
      </c>
      <c r="F837" s="3">
        <f>DATE(2024,5,2)</f>
        <v>45414</v>
      </c>
      <c r="G837" s="3">
        <f>DATE(2024,5,2)</f>
        <v>45414</v>
      </c>
      <c r="H837">
        <v>967897713</v>
      </c>
      <c r="I837" t="s">
        <v>20</v>
      </c>
      <c r="K837" t="s">
        <v>21</v>
      </c>
      <c r="L837" t="s">
        <v>22</v>
      </c>
      <c r="M837" t="s">
        <v>23</v>
      </c>
      <c r="N837" t="s">
        <v>23</v>
      </c>
      <c r="O837" t="s">
        <v>24</v>
      </c>
      <c r="P837" s="8" t="s">
        <v>1247</v>
      </c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 spans="1:51" x14ac:dyDescent="0.2">
      <c r="A838" s="6" t="s">
        <v>17</v>
      </c>
      <c r="B838" t="s">
        <v>363</v>
      </c>
      <c r="C838" t="s">
        <v>364</v>
      </c>
      <c r="D838" t="s">
        <v>1248</v>
      </c>
      <c r="E838" s="2">
        <v>220</v>
      </c>
      <c r="F838" s="3">
        <f>DATE(2024,5,16)</f>
        <v>45428</v>
      </c>
      <c r="G838" s="3">
        <f>DATE(2024,5,16)</f>
        <v>45428</v>
      </c>
      <c r="H838">
        <v>967897714</v>
      </c>
      <c r="I838" t="s">
        <v>20</v>
      </c>
      <c r="K838" t="s">
        <v>21</v>
      </c>
      <c r="L838" t="s">
        <v>22</v>
      </c>
      <c r="M838" t="s">
        <v>23</v>
      </c>
      <c r="N838" t="s">
        <v>23</v>
      </c>
      <c r="O838" t="s">
        <v>24</v>
      </c>
      <c r="P838" s="8" t="s">
        <v>1249</v>
      </c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 spans="1:51" hidden="1" x14ac:dyDescent="0.2">
      <c r="A839" s="6"/>
      <c r="E839" s="2"/>
      <c r="F839" s="3"/>
      <c r="G839" s="3"/>
      <c r="P839" s="8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 spans="1:51" x14ac:dyDescent="0.2">
      <c r="A840" s="6" t="s">
        <v>17</v>
      </c>
      <c r="B840" t="s">
        <v>133</v>
      </c>
      <c r="C840" t="s">
        <v>134</v>
      </c>
      <c r="D840" t="s">
        <v>1251</v>
      </c>
      <c r="E840" s="2">
        <v>711.02</v>
      </c>
      <c r="F840" s="3">
        <f>DATE(2024,4,10)</f>
        <v>45392</v>
      </c>
      <c r="G840" s="3">
        <f>DATE(2024,4,10)</f>
        <v>45392</v>
      </c>
      <c r="H840">
        <v>967897716</v>
      </c>
      <c r="I840" t="s">
        <v>20</v>
      </c>
      <c r="K840" t="s">
        <v>21</v>
      </c>
      <c r="L840" t="s">
        <v>22</v>
      </c>
      <c r="M840" t="s">
        <v>23</v>
      </c>
      <c r="N840" t="s">
        <v>23</v>
      </c>
      <c r="O840" t="s">
        <v>24</v>
      </c>
      <c r="P840" s="8" t="s">
        <v>1252</v>
      </c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 spans="1:51" x14ac:dyDescent="0.2">
      <c r="A841" s="6" t="s">
        <v>17</v>
      </c>
      <c r="B841" t="s">
        <v>65</v>
      </c>
      <c r="C841" t="s">
        <v>66</v>
      </c>
      <c r="D841" t="s">
        <v>1253</v>
      </c>
      <c r="E841" s="2">
        <v>331.2</v>
      </c>
      <c r="F841" s="3">
        <f>DATE(2024,6,13)</f>
        <v>45456</v>
      </c>
      <c r="G841" s="3">
        <f>DATE(2024,6,13)</f>
        <v>45456</v>
      </c>
      <c r="H841">
        <v>967897717</v>
      </c>
      <c r="I841" t="s">
        <v>20</v>
      </c>
      <c r="K841" t="s">
        <v>21</v>
      </c>
      <c r="L841" t="s">
        <v>22</v>
      </c>
      <c r="M841" t="s">
        <v>23</v>
      </c>
      <c r="N841" t="s">
        <v>23</v>
      </c>
      <c r="O841" t="s">
        <v>24</v>
      </c>
      <c r="P841" s="8" t="s">
        <v>1254</v>
      </c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 spans="1:51" x14ac:dyDescent="0.2">
      <c r="A842" s="6" t="s">
        <v>17</v>
      </c>
      <c r="B842" t="s">
        <v>1046</v>
      </c>
      <c r="C842" t="s">
        <v>1047</v>
      </c>
      <c r="D842" t="s">
        <v>1255</v>
      </c>
      <c r="E842" s="2">
        <v>483.95</v>
      </c>
      <c r="F842" s="3">
        <f>DATE(2024,4,15)</f>
        <v>45397</v>
      </c>
      <c r="G842" s="3">
        <f>DATE(2024,4,15)</f>
        <v>45397</v>
      </c>
      <c r="H842">
        <v>967897718</v>
      </c>
      <c r="I842" t="s">
        <v>20</v>
      </c>
      <c r="K842" t="s">
        <v>21</v>
      </c>
      <c r="L842" t="s">
        <v>22</v>
      </c>
      <c r="M842" t="s">
        <v>23</v>
      </c>
      <c r="N842" t="s">
        <v>23</v>
      </c>
      <c r="O842" t="s">
        <v>24</v>
      </c>
      <c r="P842" s="8" t="s">
        <v>1256</v>
      </c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 spans="1:51" hidden="1" x14ac:dyDescent="0.2">
      <c r="A843" s="6"/>
      <c r="E843" s="2"/>
      <c r="F843" s="3"/>
      <c r="G843" s="3"/>
      <c r="P843" s="8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 spans="1:51" hidden="1" x14ac:dyDescent="0.2">
      <c r="A844" s="6"/>
      <c r="E844" s="2"/>
      <c r="F844" s="3"/>
      <c r="G844" s="3"/>
      <c r="P844" s="8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 spans="1:51" hidden="1" x14ac:dyDescent="0.2">
      <c r="A845" s="6"/>
      <c r="E845" s="2"/>
      <c r="F845" s="3"/>
      <c r="G845" s="3"/>
      <c r="P845" s="8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 spans="1:51" hidden="1" x14ac:dyDescent="0.2">
      <c r="A846" s="6"/>
      <c r="E846" s="2"/>
      <c r="F846" s="3"/>
      <c r="G846" s="3"/>
      <c r="P846" s="8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 spans="1:51" x14ac:dyDescent="0.2">
      <c r="A847" s="6" t="s">
        <v>17</v>
      </c>
      <c r="B847" t="s">
        <v>44</v>
      </c>
      <c r="C847" t="s">
        <v>45</v>
      </c>
      <c r="D847" t="s">
        <v>1257</v>
      </c>
      <c r="E847" s="2">
        <v>79.38</v>
      </c>
      <c r="F847" s="3">
        <f>DATE(2024,6,29)</f>
        <v>45472</v>
      </c>
      <c r="G847" s="3">
        <f>DATE(2024,6,29)</f>
        <v>45472</v>
      </c>
      <c r="H847">
        <v>967897723</v>
      </c>
      <c r="I847" t="s">
        <v>20</v>
      </c>
      <c r="K847" t="s">
        <v>21</v>
      </c>
      <c r="L847" t="s">
        <v>22</v>
      </c>
      <c r="M847" t="s">
        <v>23</v>
      </c>
      <c r="N847" t="s">
        <v>23</v>
      </c>
      <c r="O847" t="s">
        <v>24</v>
      </c>
      <c r="P847" s="8" t="s">
        <v>1258</v>
      </c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 spans="1:51" x14ac:dyDescent="0.2">
      <c r="A848" s="6" t="s">
        <v>17</v>
      </c>
      <c r="B848" t="s">
        <v>232</v>
      </c>
      <c r="C848" t="s">
        <v>233</v>
      </c>
      <c r="D848" t="s">
        <v>1259</v>
      </c>
      <c r="E848" s="2">
        <v>67</v>
      </c>
      <c r="F848" s="3">
        <f>DATE(2024,5,6)</f>
        <v>45418</v>
      </c>
      <c r="G848" s="3">
        <f>DATE(2024,5,6)</f>
        <v>45418</v>
      </c>
      <c r="H848">
        <v>967897724</v>
      </c>
      <c r="I848" t="s">
        <v>20</v>
      </c>
      <c r="K848" t="s">
        <v>21</v>
      </c>
      <c r="L848" t="s">
        <v>22</v>
      </c>
      <c r="M848" t="s">
        <v>23</v>
      </c>
      <c r="N848" t="s">
        <v>23</v>
      </c>
      <c r="O848" t="s">
        <v>24</v>
      </c>
      <c r="P848" s="8" t="s">
        <v>1260</v>
      </c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 spans="1:51" hidden="1" x14ac:dyDescent="0.2">
      <c r="A849" s="6"/>
      <c r="E849" s="2"/>
      <c r="F849" s="3"/>
      <c r="G849" s="3"/>
      <c r="P849" s="8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 spans="1:51" x14ac:dyDescent="0.2">
      <c r="A850" s="6" t="s">
        <v>17</v>
      </c>
      <c r="B850" t="s">
        <v>57</v>
      </c>
      <c r="C850" t="s">
        <v>58</v>
      </c>
      <c r="D850" t="s">
        <v>1261</v>
      </c>
      <c r="E850" s="2">
        <v>51.99</v>
      </c>
      <c r="F850" s="3">
        <f>DATE(2024,5,24)</f>
        <v>45436</v>
      </c>
      <c r="G850" s="3">
        <f>DATE(2024,5,24)</f>
        <v>45436</v>
      </c>
      <c r="H850">
        <v>967897726</v>
      </c>
      <c r="I850" t="s">
        <v>20</v>
      </c>
      <c r="K850" t="s">
        <v>21</v>
      </c>
      <c r="L850" t="s">
        <v>22</v>
      </c>
      <c r="M850" t="s">
        <v>23</v>
      </c>
      <c r="N850" t="s">
        <v>23</v>
      </c>
      <c r="O850" t="s">
        <v>24</v>
      </c>
      <c r="P850" s="8" t="s">
        <v>1262</v>
      </c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 spans="1:51" x14ac:dyDescent="0.2">
      <c r="A851" s="6" t="s">
        <v>17</v>
      </c>
      <c r="B851" t="s">
        <v>57</v>
      </c>
      <c r="C851" t="s">
        <v>58</v>
      </c>
      <c r="D851" t="s">
        <v>1263</v>
      </c>
      <c r="E851" s="2">
        <v>50.1</v>
      </c>
      <c r="F851" s="3">
        <f>DATE(2024,5,6)</f>
        <v>45418</v>
      </c>
      <c r="G851" s="3">
        <f>DATE(2024,5,6)</f>
        <v>45418</v>
      </c>
      <c r="H851">
        <v>967897727</v>
      </c>
      <c r="I851" t="s">
        <v>20</v>
      </c>
      <c r="K851" t="s">
        <v>21</v>
      </c>
      <c r="L851" t="s">
        <v>22</v>
      </c>
      <c r="M851" t="s">
        <v>23</v>
      </c>
      <c r="N851" t="s">
        <v>23</v>
      </c>
      <c r="O851" t="s">
        <v>24</v>
      </c>
      <c r="P851" s="8" t="s">
        <v>1264</v>
      </c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 spans="1:51" hidden="1" x14ac:dyDescent="0.2">
      <c r="A852" s="6"/>
      <c r="E852" s="2"/>
      <c r="F852" s="3"/>
      <c r="G852" s="3"/>
      <c r="P852" s="8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 spans="1:51" x14ac:dyDescent="0.2">
      <c r="A853" s="6" t="s">
        <v>17</v>
      </c>
      <c r="B853" t="s">
        <v>611</v>
      </c>
      <c r="C853" t="s">
        <v>612</v>
      </c>
      <c r="D853" t="s">
        <v>1265</v>
      </c>
      <c r="E853" s="2">
        <v>908.5</v>
      </c>
      <c r="F853" s="3">
        <f>DATE(2024,4,29)</f>
        <v>45411</v>
      </c>
      <c r="G853" s="3">
        <f>DATE(2024,4,29)</f>
        <v>45411</v>
      </c>
      <c r="H853">
        <v>967897729</v>
      </c>
      <c r="I853" t="s">
        <v>20</v>
      </c>
      <c r="K853" t="s">
        <v>21</v>
      </c>
      <c r="L853" t="s">
        <v>22</v>
      </c>
      <c r="M853" t="s">
        <v>23</v>
      </c>
      <c r="N853" t="s">
        <v>23</v>
      </c>
      <c r="O853" t="s">
        <v>24</v>
      </c>
      <c r="P853" s="8" t="s">
        <v>1266</v>
      </c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 spans="1:51" x14ac:dyDescent="0.2">
      <c r="A854" s="6" t="s">
        <v>17</v>
      </c>
      <c r="B854" t="s">
        <v>223</v>
      </c>
      <c r="C854" t="s">
        <v>223</v>
      </c>
      <c r="D854" t="s">
        <v>1267</v>
      </c>
      <c r="E854" s="2">
        <v>1539.75</v>
      </c>
      <c r="F854" s="3">
        <f>DATE(2024,6,17)</f>
        <v>45460</v>
      </c>
      <c r="G854" s="3">
        <f>DATE(2024,6,17)</f>
        <v>45460</v>
      </c>
      <c r="H854">
        <v>967897730</v>
      </c>
      <c r="I854" t="s">
        <v>20</v>
      </c>
      <c r="K854" t="s">
        <v>21</v>
      </c>
      <c r="L854" t="s">
        <v>22</v>
      </c>
      <c r="M854" t="s">
        <v>23</v>
      </c>
      <c r="N854" t="s">
        <v>23</v>
      </c>
      <c r="O854" t="s">
        <v>24</v>
      </c>
      <c r="P854" s="8" t="s">
        <v>1268</v>
      </c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 spans="1:51" x14ac:dyDescent="0.2">
      <c r="A855" s="6" t="s">
        <v>17</v>
      </c>
      <c r="B855" t="s">
        <v>104</v>
      </c>
      <c r="C855" t="s">
        <v>105</v>
      </c>
      <c r="D855" t="s">
        <v>1269</v>
      </c>
      <c r="E855" s="2">
        <v>1030.42</v>
      </c>
      <c r="F855" s="3">
        <f>DATE(2024,7,1)</f>
        <v>45474</v>
      </c>
      <c r="G855" s="3">
        <f>DATE(2024,7,1)</f>
        <v>45474</v>
      </c>
      <c r="H855">
        <v>967897731</v>
      </c>
      <c r="I855" t="s">
        <v>20</v>
      </c>
      <c r="K855" t="s">
        <v>21</v>
      </c>
      <c r="L855" t="s">
        <v>22</v>
      </c>
      <c r="M855" t="s">
        <v>23</v>
      </c>
      <c r="N855" t="s">
        <v>23</v>
      </c>
      <c r="O855" t="s">
        <v>24</v>
      </c>
      <c r="P855" s="8" t="s">
        <v>1270</v>
      </c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 spans="1:51" hidden="1" x14ac:dyDescent="0.2">
      <c r="A856" s="6"/>
      <c r="E856" s="2"/>
      <c r="F856" s="3"/>
      <c r="G856" s="3"/>
      <c r="P856" s="8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 spans="1:51" x14ac:dyDescent="0.2">
      <c r="A857" s="6" t="s">
        <v>17</v>
      </c>
      <c r="B857" t="s">
        <v>611</v>
      </c>
      <c r="C857" t="s">
        <v>612</v>
      </c>
      <c r="D857" t="s">
        <v>1271</v>
      </c>
      <c r="E857" s="2">
        <v>499.32</v>
      </c>
      <c r="F857" s="3">
        <f>DATE(2024,5,14)</f>
        <v>45426</v>
      </c>
      <c r="G857" s="3">
        <f>DATE(2024,5,14)</f>
        <v>45426</v>
      </c>
      <c r="H857">
        <v>967897733</v>
      </c>
      <c r="I857" t="s">
        <v>20</v>
      </c>
      <c r="K857" t="s">
        <v>21</v>
      </c>
      <c r="L857" t="s">
        <v>22</v>
      </c>
      <c r="M857" t="s">
        <v>23</v>
      </c>
      <c r="N857" t="s">
        <v>23</v>
      </c>
      <c r="O857" t="s">
        <v>24</v>
      </c>
      <c r="P857" s="8" t="s">
        <v>1272</v>
      </c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 spans="1:51" x14ac:dyDescent="0.2">
      <c r="A858" s="6" t="s">
        <v>17</v>
      </c>
      <c r="B858" t="s">
        <v>363</v>
      </c>
      <c r="C858" t="s">
        <v>364</v>
      </c>
      <c r="D858" t="s">
        <v>1273</v>
      </c>
      <c r="E858" s="2">
        <v>55</v>
      </c>
      <c r="F858" s="3">
        <f>DATE(2024,5,31)</f>
        <v>45443</v>
      </c>
      <c r="G858" s="3">
        <f>DATE(2024,5,31)</f>
        <v>45443</v>
      </c>
      <c r="H858">
        <v>967897734</v>
      </c>
      <c r="I858" t="s">
        <v>20</v>
      </c>
      <c r="K858" t="s">
        <v>21</v>
      </c>
      <c r="L858" t="s">
        <v>22</v>
      </c>
      <c r="M858" t="s">
        <v>23</v>
      </c>
      <c r="N858" t="s">
        <v>23</v>
      </c>
      <c r="O858" t="s">
        <v>24</v>
      </c>
      <c r="P858" s="8" t="s">
        <v>1274</v>
      </c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 spans="1:51" x14ac:dyDescent="0.2">
      <c r="A859" s="6" t="s">
        <v>17</v>
      </c>
      <c r="B859" t="s">
        <v>655</v>
      </c>
      <c r="C859" t="s">
        <v>656</v>
      </c>
      <c r="D859" t="s">
        <v>1275</v>
      </c>
      <c r="E859" s="2">
        <v>2104.61</v>
      </c>
      <c r="F859" s="3">
        <f>DATE(2024,6,20)</f>
        <v>45463</v>
      </c>
      <c r="G859" s="3">
        <f>DATE(2024,6,20)</f>
        <v>45463</v>
      </c>
      <c r="H859">
        <v>967897735</v>
      </c>
      <c r="I859" t="s">
        <v>20</v>
      </c>
      <c r="K859" t="s">
        <v>21</v>
      </c>
      <c r="L859" t="s">
        <v>22</v>
      </c>
      <c r="M859" t="s">
        <v>23</v>
      </c>
      <c r="N859" t="s">
        <v>23</v>
      </c>
      <c r="O859" t="s">
        <v>24</v>
      </c>
      <c r="P859" s="8" t="s">
        <v>1276</v>
      </c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 spans="1:51" x14ac:dyDescent="0.2">
      <c r="A860" s="6" t="s">
        <v>17</v>
      </c>
      <c r="B860" t="s">
        <v>674</v>
      </c>
      <c r="C860" t="s">
        <v>675</v>
      </c>
      <c r="D860" t="s">
        <v>1277</v>
      </c>
      <c r="E860" s="2">
        <v>501.59</v>
      </c>
      <c r="F860" s="3">
        <f>DATE(2024,6,26)</f>
        <v>45469</v>
      </c>
      <c r="G860" s="3">
        <f>DATE(2024,6,26)</f>
        <v>45469</v>
      </c>
      <c r="H860">
        <v>967897736</v>
      </c>
      <c r="I860" t="s">
        <v>20</v>
      </c>
      <c r="K860" t="s">
        <v>21</v>
      </c>
      <c r="L860" t="s">
        <v>22</v>
      </c>
      <c r="M860" t="s">
        <v>23</v>
      </c>
      <c r="N860" t="s">
        <v>23</v>
      </c>
      <c r="O860" t="s">
        <v>24</v>
      </c>
      <c r="P860" s="8" t="s">
        <v>1278</v>
      </c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 spans="1:51" x14ac:dyDescent="0.2">
      <c r="A861" s="6" t="s">
        <v>17</v>
      </c>
      <c r="B861" t="s">
        <v>30</v>
      </c>
      <c r="C861" t="s">
        <v>31</v>
      </c>
      <c r="D861" t="s">
        <v>1279</v>
      </c>
      <c r="E861" s="2">
        <v>871.08</v>
      </c>
      <c r="F861" s="3">
        <f>DATE(2024,6,11)</f>
        <v>45454</v>
      </c>
      <c r="G861" s="3">
        <f>DATE(2024,6,11)</f>
        <v>45454</v>
      </c>
      <c r="H861">
        <v>967897737</v>
      </c>
      <c r="I861" t="s">
        <v>20</v>
      </c>
      <c r="K861" t="s">
        <v>21</v>
      </c>
      <c r="L861" t="s">
        <v>22</v>
      </c>
      <c r="M861" t="s">
        <v>23</v>
      </c>
      <c r="N861" t="s">
        <v>23</v>
      </c>
      <c r="O861" t="s">
        <v>24</v>
      </c>
      <c r="P861" s="8" t="s">
        <v>1280</v>
      </c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 spans="1:51" hidden="1" x14ac:dyDescent="0.2">
      <c r="A862" s="6"/>
      <c r="E862" s="2"/>
      <c r="F862" s="3"/>
      <c r="G862" s="3"/>
      <c r="P862" s="8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 spans="1:51" x14ac:dyDescent="0.2">
      <c r="A863" s="6" t="s">
        <v>17</v>
      </c>
      <c r="B863" t="s">
        <v>887</v>
      </c>
      <c r="C863" t="s">
        <v>888</v>
      </c>
      <c r="D863" t="s">
        <v>1281</v>
      </c>
      <c r="E863" s="2">
        <v>2986.71</v>
      </c>
      <c r="F863" s="3">
        <f>DATE(2024,4,22)</f>
        <v>45404</v>
      </c>
      <c r="G863" s="3">
        <f>DATE(2024,4,22)</f>
        <v>45404</v>
      </c>
      <c r="H863">
        <v>967897739</v>
      </c>
      <c r="I863" t="s">
        <v>20</v>
      </c>
      <c r="K863" t="s">
        <v>21</v>
      </c>
      <c r="L863" t="s">
        <v>22</v>
      </c>
      <c r="M863" t="s">
        <v>23</v>
      </c>
      <c r="N863" t="s">
        <v>23</v>
      </c>
      <c r="O863" t="s">
        <v>24</v>
      </c>
      <c r="P863" s="8" t="s">
        <v>1282</v>
      </c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 spans="1:51" x14ac:dyDescent="0.2">
      <c r="A864" s="6" t="s">
        <v>17</v>
      </c>
      <c r="B864" t="s">
        <v>80</v>
      </c>
      <c r="C864" t="s">
        <v>81</v>
      </c>
      <c r="D864" t="s">
        <v>1283</v>
      </c>
      <c r="E864" s="2">
        <v>42</v>
      </c>
      <c r="F864" s="3">
        <f>DATE(2024,4,12)</f>
        <v>45394</v>
      </c>
      <c r="G864" s="3">
        <f>DATE(2024,4,12)</f>
        <v>45394</v>
      </c>
      <c r="H864">
        <v>967897740</v>
      </c>
      <c r="I864" t="s">
        <v>20</v>
      </c>
      <c r="K864" t="s">
        <v>21</v>
      </c>
      <c r="L864" t="s">
        <v>22</v>
      </c>
      <c r="M864" t="s">
        <v>23</v>
      </c>
      <c r="N864" t="s">
        <v>23</v>
      </c>
      <c r="O864" t="s">
        <v>24</v>
      </c>
      <c r="P864" s="8" t="s">
        <v>1284</v>
      </c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 spans="1:51" x14ac:dyDescent="0.2">
      <c r="A865" s="6" t="s">
        <v>17</v>
      </c>
      <c r="B865" t="s">
        <v>232</v>
      </c>
      <c r="C865" t="s">
        <v>233</v>
      </c>
      <c r="D865" t="s">
        <v>1285</v>
      </c>
      <c r="E865" s="2">
        <v>1091</v>
      </c>
      <c r="F865" s="3">
        <f>DATE(2024,6,25)</f>
        <v>45468</v>
      </c>
      <c r="G865" s="3">
        <f>DATE(2024,6,25)</f>
        <v>45468</v>
      </c>
      <c r="H865">
        <v>967897741</v>
      </c>
      <c r="I865" t="s">
        <v>20</v>
      </c>
      <c r="K865" t="s">
        <v>21</v>
      </c>
      <c r="L865" t="s">
        <v>22</v>
      </c>
      <c r="M865" t="s">
        <v>23</v>
      </c>
      <c r="N865" t="s">
        <v>23</v>
      </c>
      <c r="O865" t="s">
        <v>24</v>
      </c>
      <c r="P865" s="8" t="s">
        <v>1286</v>
      </c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 spans="1:51" x14ac:dyDescent="0.2">
      <c r="A866" s="6" t="s">
        <v>17</v>
      </c>
      <c r="B866" t="s">
        <v>44</v>
      </c>
      <c r="C866" t="s">
        <v>45</v>
      </c>
      <c r="D866" t="s">
        <v>1287</v>
      </c>
      <c r="E866" s="2">
        <v>809.1</v>
      </c>
      <c r="F866" s="3">
        <f>DATE(2024,5,16)</f>
        <v>45428</v>
      </c>
      <c r="G866" s="3">
        <f>DATE(2024,5,16)</f>
        <v>45428</v>
      </c>
      <c r="H866">
        <v>967897742</v>
      </c>
      <c r="I866" t="s">
        <v>20</v>
      </c>
      <c r="K866" t="s">
        <v>21</v>
      </c>
      <c r="L866" t="s">
        <v>22</v>
      </c>
      <c r="M866" t="s">
        <v>23</v>
      </c>
      <c r="N866" t="s">
        <v>23</v>
      </c>
      <c r="O866" t="s">
        <v>24</v>
      </c>
      <c r="P866" s="8" t="s">
        <v>1288</v>
      </c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 spans="1:51" hidden="1" x14ac:dyDescent="0.2">
      <c r="A867" s="6"/>
      <c r="E867" s="2"/>
      <c r="F867" s="3"/>
      <c r="G867" s="3"/>
      <c r="P867" s="8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 spans="1:51" hidden="1" x14ac:dyDescent="0.2">
      <c r="A868" s="6"/>
      <c r="E868" s="2"/>
      <c r="F868" s="3"/>
      <c r="G868" s="3"/>
      <c r="P868" s="8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 spans="1:51" hidden="1" x14ac:dyDescent="0.2">
      <c r="A869" s="6"/>
      <c r="E869" s="2"/>
      <c r="F869" s="3"/>
      <c r="G869" s="3"/>
      <c r="P869" s="8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 spans="1:51" hidden="1" x14ac:dyDescent="0.2">
      <c r="A870" s="6"/>
      <c r="E870" s="2"/>
      <c r="F870" s="3"/>
      <c r="G870" s="3"/>
      <c r="P870" s="8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 spans="1:51" hidden="1" x14ac:dyDescent="0.2">
      <c r="A871" s="6"/>
      <c r="E871" s="2"/>
      <c r="F871" s="3"/>
      <c r="G871" s="3"/>
      <c r="P871" s="8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 spans="1:51" x14ac:dyDescent="0.2">
      <c r="A872" s="6" t="s">
        <v>17</v>
      </c>
      <c r="B872" t="s">
        <v>80</v>
      </c>
      <c r="C872" t="s">
        <v>81</v>
      </c>
      <c r="D872" t="s">
        <v>1289</v>
      </c>
      <c r="E872" s="2">
        <v>42</v>
      </c>
      <c r="F872" s="3">
        <f>DATE(2024,5,14)</f>
        <v>45426</v>
      </c>
      <c r="G872" s="3">
        <f>DATE(2024,5,14)</f>
        <v>45426</v>
      </c>
      <c r="H872">
        <v>967897748</v>
      </c>
      <c r="I872" t="s">
        <v>20</v>
      </c>
      <c r="K872" t="s">
        <v>21</v>
      </c>
      <c r="L872" t="s">
        <v>22</v>
      </c>
      <c r="M872" t="s">
        <v>23</v>
      </c>
      <c r="N872" t="s">
        <v>23</v>
      </c>
      <c r="O872" t="s">
        <v>24</v>
      </c>
      <c r="P872" s="8" t="s">
        <v>1290</v>
      </c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 spans="1:51" x14ac:dyDescent="0.2">
      <c r="A873" s="6" t="s">
        <v>17</v>
      </c>
      <c r="B873" t="s">
        <v>30</v>
      </c>
      <c r="C873" t="s">
        <v>31</v>
      </c>
      <c r="D873" t="s">
        <v>1291</v>
      </c>
      <c r="E873" s="2">
        <v>3829.92</v>
      </c>
      <c r="F873" s="3">
        <f>DATE(2024,7,3)</f>
        <v>45476</v>
      </c>
      <c r="G873" s="3">
        <f>DATE(2024,7,3)</f>
        <v>45476</v>
      </c>
      <c r="H873">
        <v>967897749</v>
      </c>
      <c r="I873" t="s">
        <v>20</v>
      </c>
      <c r="K873" t="s">
        <v>21</v>
      </c>
      <c r="L873" t="s">
        <v>22</v>
      </c>
      <c r="M873" t="s">
        <v>23</v>
      </c>
      <c r="N873" t="s">
        <v>23</v>
      </c>
      <c r="O873" t="s">
        <v>24</v>
      </c>
      <c r="P873" s="8" t="s">
        <v>1292</v>
      </c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 spans="1:51" x14ac:dyDescent="0.2">
      <c r="A874" s="6" t="s">
        <v>17</v>
      </c>
      <c r="B874" t="s">
        <v>34</v>
      </c>
      <c r="C874" t="s">
        <v>35</v>
      </c>
      <c r="D874" t="s">
        <v>1293</v>
      </c>
      <c r="E874" s="2">
        <v>197.3</v>
      </c>
      <c r="F874" s="3">
        <f>DATE(2024,4,10)</f>
        <v>45392</v>
      </c>
      <c r="G874" s="3">
        <f>DATE(2024,4,10)</f>
        <v>45392</v>
      </c>
      <c r="H874">
        <v>967897750</v>
      </c>
      <c r="I874" t="s">
        <v>20</v>
      </c>
      <c r="K874" t="s">
        <v>21</v>
      </c>
      <c r="L874" t="s">
        <v>22</v>
      </c>
      <c r="M874" t="s">
        <v>23</v>
      </c>
      <c r="N874" t="s">
        <v>23</v>
      </c>
      <c r="O874" t="s">
        <v>24</v>
      </c>
      <c r="P874" s="8" t="s">
        <v>1294</v>
      </c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 spans="1:51" x14ac:dyDescent="0.2">
      <c r="A875" s="6" t="s">
        <v>17</v>
      </c>
      <c r="B875" t="s">
        <v>110</v>
      </c>
      <c r="C875" t="s">
        <v>111</v>
      </c>
      <c r="D875" t="s">
        <v>1295</v>
      </c>
      <c r="E875" s="2">
        <v>94.32</v>
      </c>
      <c r="F875" s="3">
        <f>DATE(2024,5,14)</f>
        <v>45426</v>
      </c>
      <c r="G875" s="3">
        <f>DATE(2024,5,14)</f>
        <v>45426</v>
      </c>
      <c r="H875">
        <v>967897751</v>
      </c>
      <c r="I875" t="s">
        <v>20</v>
      </c>
      <c r="K875" t="s">
        <v>21</v>
      </c>
      <c r="L875" t="s">
        <v>22</v>
      </c>
      <c r="M875" t="s">
        <v>23</v>
      </c>
      <c r="N875" t="s">
        <v>23</v>
      </c>
      <c r="O875" t="s">
        <v>24</v>
      </c>
      <c r="P875" s="8" t="s">
        <v>1296</v>
      </c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 spans="1:51" x14ac:dyDescent="0.2">
      <c r="A876" s="6" t="s">
        <v>17</v>
      </c>
      <c r="B876" t="s">
        <v>674</v>
      </c>
      <c r="C876" t="s">
        <v>675</v>
      </c>
      <c r="D876" t="s">
        <v>1297</v>
      </c>
      <c r="E876" s="2">
        <v>910.87</v>
      </c>
      <c r="F876" s="3">
        <f>DATE(2024,4,22)</f>
        <v>45404</v>
      </c>
      <c r="G876" s="3">
        <f>DATE(2024,4,22)</f>
        <v>45404</v>
      </c>
      <c r="H876">
        <v>967897752</v>
      </c>
      <c r="I876" t="s">
        <v>20</v>
      </c>
      <c r="K876" t="s">
        <v>21</v>
      </c>
      <c r="L876" t="s">
        <v>22</v>
      </c>
      <c r="M876" t="s">
        <v>23</v>
      </c>
      <c r="N876" t="s">
        <v>23</v>
      </c>
      <c r="O876" t="s">
        <v>24</v>
      </c>
      <c r="P876" s="8" t="s">
        <v>1298</v>
      </c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 spans="1:51" x14ac:dyDescent="0.2">
      <c r="A877" s="6" t="s">
        <v>17</v>
      </c>
      <c r="B877" t="s">
        <v>1046</v>
      </c>
      <c r="C877" t="s">
        <v>1047</v>
      </c>
      <c r="D877" t="s">
        <v>1299</v>
      </c>
      <c r="E877" s="2">
        <v>1182.33</v>
      </c>
      <c r="F877" s="3">
        <f>DATE(2024,5,23)</f>
        <v>45435</v>
      </c>
      <c r="G877" s="3">
        <f>DATE(2024,5,23)</f>
        <v>45435</v>
      </c>
      <c r="H877">
        <v>967897753</v>
      </c>
      <c r="I877" t="s">
        <v>20</v>
      </c>
      <c r="K877" t="s">
        <v>21</v>
      </c>
      <c r="L877" t="s">
        <v>22</v>
      </c>
      <c r="M877" t="s">
        <v>23</v>
      </c>
      <c r="N877" t="s">
        <v>23</v>
      </c>
      <c r="O877" t="s">
        <v>24</v>
      </c>
      <c r="P877" s="8" t="s">
        <v>1300</v>
      </c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 spans="1:51" x14ac:dyDescent="0.2">
      <c r="A878" s="6" t="s">
        <v>17</v>
      </c>
      <c r="B878" t="s">
        <v>674</v>
      </c>
      <c r="C878" t="s">
        <v>675</v>
      </c>
      <c r="D878" t="s">
        <v>1301</v>
      </c>
      <c r="E878" s="2">
        <v>505.03</v>
      </c>
      <c r="F878" s="3">
        <f>DATE(2024,6,17)</f>
        <v>45460</v>
      </c>
      <c r="G878" s="3">
        <f>DATE(2024,6,17)</f>
        <v>45460</v>
      </c>
      <c r="H878">
        <v>967897754</v>
      </c>
      <c r="I878" t="s">
        <v>20</v>
      </c>
      <c r="K878" t="s">
        <v>21</v>
      </c>
      <c r="L878" t="s">
        <v>22</v>
      </c>
      <c r="M878" t="s">
        <v>23</v>
      </c>
      <c r="N878" t="s">
        <v>23</v>
      </c>
      <c r="O878" t="s">
        <v>24</v>
      </c>
      <c r="P878" s="8" t="s">
        <v>1302</v>
      </c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 spans="1:51" hidden="1" x14ac:dyDescent="0.2">
      <c r="A879" s="6"/>
      <c r="E879" s="2"/>
      <c r="F879" s="3"/>
      <c r="G879" s="3"/>
      <c r="P879" s="8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 spans="1:51" x14ac:dyDescent="0.2">
      <c r="A880" s="6" t="s">
        <v>17</v>
      </c>
      <c r="B880" t="s">
        <v>251</v>
      </c>
      <c r="C880" t="s">
        <v>252</v>
      </c>
      <c r="D880" t="s">
        <v>1303</v>
      </c>
      <c r="E880" s="2">
        <v>624</v>
      </c>
      <c r="F880" s="3">
        <f>DATE(2024,6,18)</f>
        <v>45461</v>
      </c>
      <c r="G880" s="3">
        <f>DATE(2024,6,18)</f>
        <v>45461</v>
      </c>
      <c r="H880">
        <v>967897756</v>
      </c>
      <c r="I880" t="s">
        <v>20</v>
      </c>
      <c r="K880" t="s">
        <v>21</v>
      </c>
      <c r="L880" t="s">
        <v>22</v>
      </c>
      <c r="M880" t="s">
        <v>23</v>
      </c>
      <c r="N880" t="s">
        <v>23</v>
      </c>
      <c r="O880" t="s">
        <v>24</v>
      </c>
      <c r="P880" s="8" t="s">
        <v>1304</v>
      </c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 spans="1:51" x14ac:dyDescent="0.2">
      <c r="A881" s="6" t="s">
        <v>17</v>
      </c>
      <c r="B881" t="s">
        <v>110</v>
      </c>
      <c r="C881" t="s">
        <v>111</v>
      </c>
      <c r="D881" t="s">
        <v>1305</v>
      </c>
      <c r="E881" s="2">
        <v>529.91999999999996</v>
      </c>
      <c r="F881" s="3">
        <f>DATE(2024,5,14)</f>
        <v>45426</v>
      </c>
      <c r="G881" s="3">
        <f>DATE(2024,5,14)</f>
        <v>45426</v>
      </c>
      <c r="H881">
        <v>967897757</v>
      </c>
      <c r="I881" t="s">
        <v>20</v>
      </c>
      <c r="K881" t="s">
        <v>21</v>
      </c>
      <c r="L881" t="s">
        <v>22</v>
      </c>
      <c r="M881" t="s">
        <v>23</v>
      </c>
      <c r="N881" t="s">
        <v>23</v>
      </c>
      <c r="O881" t="s">
        <v>24</v>
      </c>
      <c r="P881" s="8" t="s">
        <v>1306</v>
      </c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 spans="1:51" hidden="1" x14ac:dyDescent="0.2">
      <c r="A882" s="6"/>
      <c r="E882" s="2"/>
      <c r="F882" s="3"/>
      <c r="G882" s="3"/>
      <c r="P882" s="8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 spans="1:51" hidden="1" x14ac:dyDescent="0.2">
      <c r="A883" s="6"/>
      <c r="E883" s="2"/>
      <c r="F883" s="3"/>
      <c r="G883" s="3"/>
      <c r="P883" s="8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 spans="1:51" hidden="1" x14ac:dyDescent="0.2">
      <c r="A884" s="6"/>
      <c r="E884" s="2"/>
      <c r="F884" s="3"/>
      <c r="G884" s="3"/>
      <c r="P884" s="8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 spans="1:51" x14ac:dyDescent="0.2">
      <c r="A885" s="6" t="s">
        <v>17</v>
      </c>
      <c r="B885" t="s">
        <v>363</v>
      </c>
      <c r="C885" t="s">
        <v>364</v>
      </c>
      <c r="D885" t="s">
        <v>1307</v>
      </c>
      <c r="E885" s="2">
        <v>450</v>
      </c>
      <c r="F885" s="3">
        <f>DATE(2024,6,18)</f>
        <v>45461</v>
      </c>
      <c r="G885" s="3">
        <f>DATE(2024,6,18)</f>
        <v>45461</v>
      </c>
      <c r="H885">
        <v>967897761</v>
      </c>
      <c r="I885" t="s">
        <v>20</v>
      </c>
      <c r="K885" t="s">
        <v>21</v>
      </c>
      <c r="L885" t="s">
        <v>22</v>
      </c>
      <c r="M885" t="s">
        <v>23</v>
      </c>
      <c r="N885" t="s">
        <v>23</v>
      </c>
      <c r="O885" t="s">
        <v>24</v>
      </c>
      <c r="P885" s="8" t="s">
        <v>1308</v>
      </c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 spans="1:51" hidden="1" x14ac:dyDescent="0.2">
      <c r="A886" s="6"/>
      <c r="E886" s="2"/>
      <c r="F886" s="3"/>
      <c r="G886" s="3"/>
      <c r="P886" s="8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 spans="1:51" hidden="1" x14ac:dyDescent="0.2">
      <c r="A887" s="6"/>
      <c r="E887" s="2"/>
      <c r="F887" s="3"/>
      <c r="G887" s="3"/>
      <c r="P887" s="8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 spans="1:51" hidden="1" x14ac:dyDescent="0.2">
      <c r="A888" s="6"/>
      <c r="E888" s="2"/>
      <c r="F888" s="3"/>
      <c r="G888" s="3"/>
      <c r="P888" s="8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 spans="1:51" hidden="1" x14ac:dyDescent="0.2">
      <c r="A889" s="6"/>
      <c r="E889" s="2"/>
      <c r="F889" s="3"/>
      <c r="G889" s="3"/>
      <c r="P889" s="8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 spans="1:51" hidden="1" x14ac:dyDescent="0.2">
      <c r="A890" s="6"/>
      <c r="E890" s="2"/>
      <c r="F890" s="3"/>
      <c r="G890" s="3"/>
      <c r="P890" s="8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 spans="1:51" hidden="1" x14ac:dyDescent="0.2">
      <c r="A891" s="6"/>
      <c r="E891" s="2"/>
      <c r="F891" s="3"/>
      <c r="G891" s="3"/>
      <c r="P891" s="8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 spans="1:51" x14ac:dyDescent="0.2">
      <c r="A892" s="6" t="s">
        <v>17</v>
      </c>
      <c r="B892" t="s">
        <v>611</v>
      </c>
      <c r="C892" t="s">
        <v>612</v>
      </c>
      <c r="D892" t="s">
        <v>1309</v>
      </c>
      <c r="E892" s="2">
        <v>244.8</v>
      </c>
      <c r="F892" s="3">
        <f>DATE(2024,4,29)</f>
        <v>45411</v>
      </c>
      <c r="G892" s="3">
        <f>DATE(2024,4,29)</f>
        <v>45411</v>
      </c>
      <c r="H892">
        <v>967897768</v>
      </c>
      <c r="I892" t="s">
        <v>20</v>
      </c>
      <c r="K892" t="s">
        <v>21</v>
      </c>
      <c r="L892" t="s">
        <v>22</v>
      </c>
      <c r="M892" t="s">
        <v>23</v>
      </c>
      <c r="N892" t="s">
        <v>23</v>
      </c>
      <c r="O892" t="s">
        <v>24</v>
      </c>
      <c r="P892" s="8" t="s">
        <v>1310</v>
      </c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 spans="1:51" hidden="1" x14ac:dyDescent="0.2">
      <c r="A893" s="6"/>
      <c r="E893" s="2"/>
      <c r="F893" s="3"/>
      <c r="G893" s="3"/>
      <c r="P893" s="8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 spans="1:51" hidden="1" x14ac:dyDescent="0.2">
      <c r="A894" s="6"/>
      <c r="E894" s="2"/>
      <c r="F894" s="3"/>
      <c r="G894" s="3"/>
      <c r="P894" s="8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 spans="1:51" x14ac:dyDescent="0.2">
      <c r="A895" s="6" t="s">
        <v>17</v>
      </c>
      <c r="B895" t="s">
        <v>57</v>
      </c>
      <c r="C895" t="s">
        <v>58</v>
      </c>
      <c r="D895" t="s">
        <v>1311</v>
      </c>
      <c r="E895" s="2">
        <v>51.99</v>
      </c>
      <c r="F895" s="3">
        <f>DATE(2024,4,22)</f>
        <v>45404</v>
      </c>
      <c r="G895" s="3">
        <f>DATE(2024,4,22)</f>
        <v>45404</v>
      </c>
      <c r="H895">
        <v>967897771</v>
      </c>
      <c r="I895" t="s">
        <v>20</v>
      </c>
      <c r="K895" t="s">
        <v>21</v>
      </c>
      <c r="L895" t="s">
        <v>22</v>
      </c>
      <c r="M895" t="s">
        <v>23</v>
      </c>
      <c r="N895" t="s">
        <v>23</v>
      </c>
      <c r="O895" t="s">
        <v>24</v>
      </c>
      <c r="P895" s="8" t="s">
        <v>1312</v>
      </c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 spans="1:51" x14ac:dyDescent="0.2">
      <c r="A896" s="6" t="s">
        <v>17</v>
      </c>
      <c r="B896" t="s">
        <v>887</v>
      </c>
      <c r="C896" t="s">
        <v>888</v>
      </c>
      <c r="D896" t="s">
        <v>1313</v>
      </c>
      <c r="E896" s="2">
        <v>1782.67</v>
      </c>
      <c r="F896" s="3">
        <f>DATE(2024,6,20)</f>
        <v>45463</v>
      </c>
      <c r="G896" s="3">
        <f>DATE(2024,6,20)</f>
        <v>45463</v>
      </c>
      <c r="H896">
        <v>967897772</v>
      </c>
      <c r="I896" t="s">
        <v>20</v>
      </c>
      <c r="K896" t="s">
        <v>21</v>
      </c>
      <c r="L896" t="s">
        <v>22</v>
      </c>
      <c r="M896" t="s">
        <v>23</v>
      </c>
      <c r="N896" t="s">
        <v>23</v>
      </c>
      <c r="O896" t="s">
        <v>24</v>
      </c>
      <c r="P896" s="8" t="s">
        <v>1314</v>
      </c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 spans="1:51" x14ac:dyDescent="0.2">
      <c r="A897" s="6" t="s">
        <v>17</v>
      </c>
      <c r="B897" t="s">
        <v>61</v>
      </c>
      <c r="C897" t="s">
        <v>62</v>
      </c>
      <c r="D897" t="s">
        <v>1315</v>
      </c>
      <c r="E897" s="2">
        <v>720</v>
      </c>
      <c r="F897" s="3">
        <f>DATE(2024,5,29)</f>
        <v>45441</v>
      </c>
      <c r="G897" s="3">
        <f>DATE(2024,5,29)</f>
        <v>45441</v>
      </c>
      <c r="H897">
        <v>967897773</v>
      </c>
      <c r="I897" t="s">
        <v>20</v>
      </c>
      <c r="K897" t="s">
        <v>21</v>
      </c>
      <c r="L897" t="s">
        <v>22</v>
      </c>
      <c r="M897" t="s">
        <v>23</v>
      </c>
      <c r="N897" t="s">
        <v>23</v>
      </c>
      <c r="O897" t="s">
        <v>24</v>
      </c>
      <c r="P897" s="8" t="s">
        <v>1316</v>
      </c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 spans="1:51" x14ac:dyDescent="0.2">
      <c r="A898" s="6" t="s">
        <v>17</v>
      </c>
      <c r="B898" t="s">
        <v>44</v>
      </c>
      <c r="C898" t="s">
        <v>45</v>
      </c>
      <c r="D898" t="s">
        <v>1317</v>
      </c>
      <c r="E898" s="2">
        <v>387.49</v>
      </c>
      <c r="F898" s="3">
        <f>DATE(2024,4,18)</f>
        <v>45400</v>
      </c>
      <c r="G898" s="3">
        <f>DATE(2024,4,18)</f>
        <v>45400</v>
      </c>
      <c r="H898">
        <v>967897774</v>
      </c>
      <c r="I898" t="s">
        <v>20</v>
      </c>
      <c r="K898" t="s">
        <v>21</v>
      </c>
      <c r="L898" t="s">
        <v>22</v>
      </c>
      <c r="M898" t="s">
        <v>23</v>
      </c>
      <c r="N898" t="s">
        <v>23</v>
      </c>
      <c r="O898" t="s">
        <v>24</v>
      </c>
      <c r="P898" s="8" t="s">
        <v>1318</v>
      </c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 spans="1:51" x14ac:dyDescent="0.2">
      <c r="A899" s="6" t="s">
        <v>17</v>
      </c>
      <c r="B899" t="s">
        <v>179</v>
      </c>
      <c r="C899" t="s">
        <v>180</v>
      </c>
      <c r="D899" t="s">
        <v>1319</v>
      </c>
      <c r="E899" s="2">
        <v>519.79999999999995</v>
      </c>
      <c r="F899" s="3">
        <f>DATE(2024,7,1)</f>
        <v>45474</v>
      </c>
      <c r="G899" s="3">
        <f>DATE(2024,7,1)</f>
        <v>45474</v>
      </c>
      <c r="H899">
        <v>967897775</v>
      </c>
      <c r="I899" t="s">
        <v>20</v>
      </c>
      <c r="K899" t="s">
        <v>21</v>
      </c>
      <c r="L899" t="s">
        <v>22</v>
      </c>
      <c r="M899" t="s">
        <v>23</v>
      </c>
      <c r="N899" t="s">
        <v>23</v>
      </c>
      <c r="O899" t="s">
        <v>24</v>
      </c>
      <c r="P899" s="8" t="s">
        <v>1320</v>
      </c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 spans="1:51" x14ac:dyDescent="0.2">
      <c r="A900" s="6" t="s">
        <v>17</v>
      </c>
      <c r="B900" t="s">
        <v>191</v>
      </c>
      <c r="C900" t="s">
        <v>192</v>
      </c>
      <c r="D900" t="s">
        <v>1321</v>
      </c>
      <c r="E900" s="2">
        <v>1880.65</v>
      </c>
      <c r="F900" s="3">
        <f>DATE(2024,5,4)</f>
        <v>45416</v>
      </c>
      <c r="G900" s="3">
        <f>DATE(2024,5,4)</f>
        <v>45416</v>
      </c>
      <c r="H900">
        <v>967897776</v>
      </c>
      <c r="I900" t="s">
        <v>20</v>
      </c>
      <c r="K900" t="s">
        <v>21</v>
      </c>
      <c r="L900" t="s">
        <v>22</v>
      </c>
      <c r="M900" t="s">
        <v>23</v>
      </c>
      <c r="N900" t="s">
        <v>23</v>
      </c>
      <c r="O900" t="s">
        <v>24</v>
      </c>
      <c r="P900" s="8" t="s">
        <v>1322</v>
      </c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 spans="1:51" x14ac:dyDescent="0.2">
      <c r="A901" s="6" t="s">
        <v>17</v>
      </c>
      <c r="B901" t="s">
        <v>44</v>
      </c>
      <c r="C901" t="s">
        <v>45</v>
      </c>
      <c r="D901" t="s">
        <v>1323</v>
      </c>
      <c r="E901" s="2">
        <v>75.8</v>
      </c>
      <c r="F901" s="3">
        <f>DATE(2024,6,6)</f>
        <v>45449</v>
      </c>
      <c r="G901" s="3">
        <f>DATE(2024,6,6)</f>
        <v>45449</v>
      </c>
      <c r="H901">
        <v>967897777</v>
      </c>
      <c r="I901" t="s">
        <v>20</v>
      </c>
      <c r="K901" t="s">
        <v>21</v>
      </c>
      <c r="L901" t="s">
        <v>22</v>
      </c>
      <c r="M901" t="s">
        <v>23</v>
      </c>
      <c r="N901" t="s">
        <v>23</v>
      </c>
      <c r="O901" t="s">
        <v>24</v>
      </c>
      <c r="P901" s="8" t="s">
        <v>1324</v>
      </c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 spans="1:51" x14ac:dyDescent="0.2">
      <c r="A902" s="6" t="s">
        <v>17</v>
      </c>
      <c r="B902" t="s">
        <v>316</v>
      </c>
      <c r="C902" t="s">
        <v>316</v>
      </c>
      <c r="D902" t="s">
        <v>1325</v>
      </c>
      <c r="E902" s="2">
        <v>12</v>
      </c>
      <c r="F902" s="3">
        <f>DATE(2024,6,4)</f>
        <v>45447</v>
      </c>
      <c r="G902" s="3">
        <f>DATE(2024,6,4)</f>
        <v>45447</v>
      </c>
      <c r="H902">
        <v>967897778</v>
      </c>
      <c r="I902" t="s">
        <v>20</v>
      </c>
      <c r="K902" t="s">
        <v>21</v>
      </c>
      <c r="L902" t="s">
        <v>22</v>
      </c>
      <c r="M902" t="s">
        <v>23</v>
      </c>
      <c r="N902" t="s">
        <v>23</v>
      </c>
      <c r="O902" t="s">
        <v>24</v>
      </c>
      <c r="P902" s="8" t="s">
        <v>1326</v>
      </c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 spans="1:51" x14ac:dyDescent="0.2">
      <c r="A903" s="6" t="s">
        <v>17</v>
      </c>
      <c r="B903" t="s">
        <v>65</v>
      </c>
      <c r="C903" t="s">
        <v>66</v>
      </c>
      <c r="D903" t="s">
        <v>1327</v>
      </c>
      <c r="E903" s="2">
        <v>343.4</v>
      </c>
      <c r="F903" s="3">
        <f>DATE(2024,6,21)</f>
        <v>45464</v>
      </c>
      <c r="G903" s="3">
        <f>DATE(2024,6,21)</f>
        <v>45464</v>
      </c>
      <c r="H903">
        <v>967897779</v>
      </c>
      <c r="I903" t="s">
        <v>20</v>
      </c>
      <c r="K903" t="s">
        <v>21</v>
      </c>
      <c r="L903" t="s">
        <v>22</v>
      </c>
      <c r="M903" t="s">
        <v>23</v>
      </c>
      <c r="N903" t="s">
        <v>23</v>
      </c>
      <c r="O903" t="s">
        <v>24</v>
      </c>
      <c r="P903" s="8" t="s">
        <v>1328</v>
      </c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 spans="1:51" hidden="1" x14ac:dyDescent="0.2">
      <c r="A904" s="6"/>
      <c r="E904" s="2"/>
      <c r="F904" s="3"/>
      <c r="G904" s="3"/>
      <c r="P904" s="8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 spans="1:51" x14ac:dyDescent="0.2">
      <c r="A905" s="6" t="s">
        <v>17</v>
      </c>
      <c r="B905" t="s">
        <v>191</v>
      </c>
      <c r="C905" t="s">
        <v>192</v>
      </c>
      <c r="D905" t="s">
        <v>1329</v>
      </c>
      <c r="E905" s="2">
        <v>500</v>
      </c>
      <c r="F905" s="3">
        <f>DATE(2024,7,1)</f>
        <v>45474</v>
      </c>
      <c r="G905" s="3">
        <f>DATE(2024,7,1)</f>
        <v>45474</v>
      </c>
      <c r="H905">
        <v>967897781</v>
      </c>
      <c r="I905" t="s">
        <v>20</v>
      </c>
      <c r="K905" t="s">
        <v>21</v>
      </c>
      <c r="L905" t="s">
        <v>22</v>
      </c>
      <c r="M905" t="s">
        <v>23</v>
      </c>
      <c r="N905" t="s">
        <v>23</v>
      </c>
      <c r="O905" t="s">
        <v>24</v>
      </c>
      <c r="P905" s="8" t="s">
        <v>1330</v>
      </c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 spans="1:51" hidden="1" x14ac:dyDescent="0.2">
      <c r="A906" s="6"/>
      <c r="E906" s="2"/>
      <c r="F906" s="3"/>
      <c r="G906" s="3"/>
      <c r="P906" s="8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 spans="1:51" x14ac:dyDescent="0.2">
      <c r="A907" s="6" t="s">
        <v>17</v>
      </c>
      <c r="B907" t="s">
        <v>251</v>
      </c>
      <c r="C907" t="s">
        <v>252</v>
      </c>
      <c r="D907" t="s">
        <v>1331</v>
      </c>
      <c r="E907" s="2">
        <v>2992</v>
      </c>
      <c r="F907" s="3">
        <f>DATE(2024,4,18)</f>
        <v>45400</v>
      </c>
      <c r="G907" s="3">
        <f>DATE(2024,4,18)</f>
        <v>45400</v>
      </c>
      <c r="H907">
        <v>967897783</v>
      </c>
      <c r="I907" t="s">
        <v>20</v>
      </c>
      <c r="K907" t="s">
        <v>21</v>
      </c>
      <c r="L907" t="s">
        <v>22</v>
      </c>
      <c r="M907" t="s">
        <v>23</v>
      </c>
      <c r="N907" t="s">
        <v>23</v>
      </c>
      <c r="O907" t="s">
        <v>24</v>
      </c>
      <c r="P907" s="8" t="s">
        <v>1332</v>
      </c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 spans="1:51" hidden="1" x14ac:dyDescent="0.2">
      <c r="A908" s="6"/>
      <c r="E908" s="2"/>
      <c r="F908" s="3"/>
      <c r="G908" s="3"/>
      <c r="P908" s="8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 spans="1:51" hidden="1" x14ac:dyDescent="0.2">
      <c r="A909" s="6"/>
      <c r="E909" s="2"/>
      <c r="F909" s="3"/>
      <c r="G909" s="3"/>
      <c r="P909" s="8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 spans="1:51" x14ac:dyDescent="0.2">
      <c r="A910" s="6" t="s">
        <v>17</v>
      </c>
      <c r="B910" t="s">
        <v>57</v>
      </c>
      <c r="C910" t="s">
        <v>58</v>
      </c>
      <c r="D910" t="s">
        <v>1333</v>
      </c>
      <c r="E910" s="2">
        <v>78</v>
      </c>
      <c r="F910" s="3">
        <f>DATE(2024,5,24)</f>
        <v>45436</v>
      </c>
      <c r="G910" s="3">
        <f>DATE(2024,5,24)</f>
        <v>45436</v>
      </c>
      <c r="H910">
        <v>967897786</v>
      </c>
      <c r="I910" t="s">
        <v>20</v>
      </c>
      <c r="K910" t="s">
        <v>21</v>
      </c>
      <c r="L910" t="s">
        <v>22</v>
      </c>
      <c r="M910" t="s">
        <v>23</v>
      </c>
      <c r="N910" t="s">
        <v>23</v>
      </c>
      <c r="O910" t="s">
        <v>24</v>
      </c>
      <c r="P910" s="8" t="s">
        <v>1334</v>
      </c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 spans="1:51" hidden="1" x14ac:dyDescent="0.2">
      <c r="A911" s="6"/>
      <c r="E911" s="2"/>
      <c r="F911" s="3"/>
      <c r="G911" s="3"/>
      <c r="P911" s="8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 spans="1:51" x14ac:dyDescent="0.2">
      <c r="A912" s="6" t="s">
        <v>17</v>
      </c>
      <c r="B912" t="s">
        <v>191</v>
      </c>
      <c r="C912" t="s">
        <v>192</v>
      </c>
      <c r="D912" t="s">
        <v>1335</v>
      </c>
      <c r="E912" s="2">
        <v>840</v>
      </c>
      <c r="F912" s="3">
        <f>DATE(2024,7,1)</f>
        <v>45474</v>
      </c>
      <c r="G912" s="3">
        <f>DATE(2024,7,1)</f>
        <v>45474</v>
      </c>
      <c r="H912">
        <v>967897788</v>
      </c>
      <c r="I912" t="s">
        <v>20</v>
      </c>
      <c r="K912" t="s">
        <v>21</v>
      </c>
      <c r="L912" t="s">
        <v>22</v>
      </c>
      <c r="M912" t="s">
        <v>23</v>
      </c>
      <c r="N912" t="s">
        <v>23</v>
      </c>
      <c r="O912" t="s">
        <v>24</v>
      </c>
      <c r="P912" s="8" t="s">
        <v>1336</v>
      </c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 spans="1:51" hidden="1" x14ac:dyDescent="0.2">
      <c r="A913" s="6"/>
      <c r="E913" s="2"/>
      <c r="F913" s="3"/>
      <c r="G913" s="3"/>
      <c r="P913" s="8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 spans="1:51" x14ac:dyDescent="0.2">
      <c r="A914" s="6" t="s">
        <v>17</v>
      </c>
      <c r="B914" t="s">
        <v>363</v>
      </c>
      <c r="C914" t="s">
        <v>364</v>
      </c>
      <c r="D914" t="s">
        <v>1337</v>
      </c>
      <c r="E914" s="2">
        <v>115.82</v>
      </c>
      <c r="F914" s="3">
        <f>DATE(2024,5,21)</f>
        <v>45433</v>
      </c>
      <c r="G914" s="3">
        <f>DATE(2024,5,21)</f>
        <v>45433</v>
      </c>
      <c r="H914">
        <v>967897790</v>
      </c>
      <c r="I914" t="s">
        <v>20</v>
      </c>
      <c r="K914" t="s">
        <v>21</v>
      </c>
      <c r="L914" t="s">
        <v>22</v>
      </c>
      <c r="M914" t="s">
        <v>23</v>
      </c>
      <c r="N914" t="s">
        <v>23</v>
      </c>
      <c r="O914" t="s">
        <v>24</v>
      </c>
      <c r="P914" s="8" t="s">
        <v>1338</v>
      </c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 spans="1:51" x14ac:dyDescent="0.2">
      <c r="A915" s="6" t="s">
        <v>17</v>
      </c>
      <c r="B915" t="s">
        <v>110</v>
      </c>
      <c r="C915" t="s">
        <v>111</v>
      </c>
      <c r="D915" t="s">
        <v>1339</v>
      </c>
      <c r="E915" s="2">
        <v>222.84</v>
      </c>
      <c r="F915" s="3">
        <f>DATE(2024,5,23)</f>
        <v>45435</v>
      </c>
      <c r="G915" s="3">
        <f>DATE(2024,5,23)</f>
        <v>45435</v>
      </c>
      <c r="H915">
        <v>967897791</v>
      </c>
      <c r="I915" t="s">
        <v>20</v>
      </c>
      <c r="K915" t="s">
        <v>21</v>
      </c>
      <c r="L915" t="s">
        <v>22</v>
      </c>
      <c r="M915" t="s">
        <v>23</v>
      </c>
      <c r="N915" t="s">
        <v>23</v>
      </c>
      <c r="O915" t="s">
        <v>24</v>
      </c>
      <c r="P915" s="8" t="s">
        <v>1340</v>
      </c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 spans="1:51" x14ac:dyDescent="0.2">
      <c r="A916" s="6" t="s">
        <v>17</v>
      </c>
      <c r="B916" t="s">
        <v>1046</v>
      </c>
      <c r="C916" t="s">
        <v>1047</v>
      </c>
      <c r="D916" t="s">
        <v>1341</v>
      </c>
      <c r="E916" s="2">
        <v>1181.04</v>
      </c>
      <c r="F916" s="3">
        <f>DATE(2024,5,16)</f>
        <v>45428</v>
      </c>
      <c r="G916" s="3">
        <f>DATE(2024,5,16)</f>
        <v>45428</v>
      </c>
      <c r="H916">
        <v>967897792</v>
      </c>
      <c r="I916" t="s">
        <v>20</v>
      </c>
      <c r="K916" t="s">
        <v>21</v>
      </c>
      <c r="L916" t="s">
        <v>22</v>
      </c>
      <c r="M916" t="s">
        <v>23</v>
      </c>
      <c r="N916" t="s">
        <v>23</v>
      </c>
      <c r="O916" t="s">
        <v>24</v>
      </c>
      <c r="P916" s="8" t="s">
        <v>1342</v>
      </c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 spans="1:51" x14ac:dyDescent="0.2">
      <c r="A917" s="6" t="s">
        <v>17</v>
      </c>
      <c r="B917" t="s">
        <v>44</v>
      </c>
      <c r="C917" t="s">
        <v>45</v>
      </c>
      <c r="D917" t="s">
        <v>1343</v>
      </c>
      <c r="E917" s="2">
        <v>38.659999999999997</v>
      </c>
      <c r="F917" s="3">
        <f>DATE(2024,4,8)</f>
        <v>45390</v>
      </c>
      <c r="G917" s="3">
        <f>DATE(2024,4,8)</f>
        <v>45390</v>
      </c>
      <c r="H917">
        <v>967897793</v>
      </c>
      <c r="I917" t="s">
        <v>20</v>
      </c>
      <c r="K917" t="s">
        <v>21</v>
      </c>
      <c r="L917" t="s">
        <v>22</v>
      </c>
      <c r="M917" t="s">
        <v>23</v>
      </c>
      <c r="N917" t="s">
        <v>23</v>
      </c>
      <c r="O917" t="s">
        <v>24</v>
      </c>
      <c r="P917" s="8" t="s">
        <v>1344</v>
      </c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 spans="1:51" x14ac:dyDescent="0.2">
      <c r="A918" s="6" t="s">
        <v>17</v>
      </c>
      <c r="B918" t="s">
        <v>26</v>
      </c>
      <c r="C918" t="s">
        <v>27</v>
      </c>
      <c r="D918" t="s">
        <v>1345</v>
      </c>
      <c r="E918" s="2">
        <v>42.04</v>
      </c>
      <c r="F918" s="3">
        <f>DATE(2024,6,20)</f>
        <v>45463</v>
      </c>
      <c r="G918" s="3">
        <f>DATE(2024,6,20)</f>
        <v>45463</v>
      </c>
      <c r="H918">
        <v>967897794</v>
      </c>
      <c r="I918" t="s">
        <v>20</v>
      </c>
      <c r="K918" t="s">
        <v>21</v>
      </c>
      <c r="L918" t="s">
        <v>22</v>
      </c>
      <c r="M918" t="s">
        <v>23</v>
      </c>
      <c r="N918" t="s">
        <v>23</v>
      </c>
      <c r="O918" t="s">
        <v>24</v>
      </c>
      <c r="P918" s="8" t="s">
        <v>1346</v>
      </c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 spans="1:51" hidden="1" x14ac:dyDescent="0.2">
      <c r="A919" s="6"/>
      <c r="E919" s="2"/>
      <c r="F919" s="3"/>
      <c r="G919" s="3"/>
      <c r="P919" s="8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 spans="1:51" x14ac:dyDescent="0.2">
      <c r="A920" s="6" t="s">
        <v>17</v>
      </c>
      <c r="B920" t="s">
        <v>674</v>
      </c>
      <c r="C920" t="s">
        <v>675</v>
      </c>
      <c r="D920" t="s">
        <v>1347</v>
      </c>
      <c r="E920" s="2">
        <v>686.01</v>
      </c>
      <c r="F920" s="3">
        <f>DATE(2024,5,6)</f>
        <v>45418</v>
      </c>
      <c r="G920" s="3">
        <f>DATE(2024,5,6)</f>
        <v>45418</v>
      </c>
      <c r="H920">
        <v>967897796</v>
      </c>
      <c r="I920" t="s">
        <v>20</v>
      </c>
      <c r="K920" t="s">
        <v>21</v>
      </c>
      <c r="L920" t="s">
        <v>22</v>
      </c>
      <c r="M920" t="s">
        <v>23</v>
      </c>
      <c r="N920" t="s">
        <v>23</v>
      </c>
      <c r="O920" t="s">
        <v>24</v>
      </c>
      <c r="P920" s="8" t="s">
        <v>1348</v>
      </c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 spans="1:51" x14ac:dyDescent="0.2">
      <c r="A921" s="6" t="s">
        <v>17</v>
      </c>
      <c r="B921" t="s">
        <v>104</v>
      </c>
      <c r="C921" t="s">
        <v>105</v>
      </c>
      <c r="D921" t="s">
        <v>1349</v>
      </c>
      <c r="E921" s="2">
        <v>1127.67</v>
      </c>
      <c r="F921" s="3">
        <f>DATE(2024,5,23)</f>
        <v>45435</v>
      </c>
      <c r="G921" s="3">
        <f>DATE(2024,5,23)</f>
        <v>45435</v>
      </c>
      <c r="H921">
        <v>967897797</v>
      </c>
      <c r="I921" t="s">
        <v>20</v>
      </c>
      <c r="K921" t="s">
        <v>21</v>
      </c>
      <c r="L921" t="s">
        <v>22</v>
      </c>
      <c r="M921" t="s">
        <v>23</v>
      </c>
      <c r="N921" t="s">
        <v>23</v>
      </c>
      <c r="O921" t="s">
        <v>24</v>
      </c>
      <c r="P921" s="8" t="s">
        <v>1350</v>
      </c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 spans="1:51" x14ac:dyDescent="0.2">
      <c r="A922" s="6" t="s">
        <v>17</v>
      </c>
      <c r="B922" t="s">
        <v>363</v>
      </c>
      <c r="C922" t="s">
        <v>364</v>
      </c>
      <c r="D922" t="s">
        <v>1351</v>
      </c>
      <c r="E922" s="2">
        <v>105.63</v>
      </c>
      <c r="F922" s="3">
        <f>DATE(2024,6,4)</f>
        <v>45447</v>
      </c>
      <c r="G922" s="3">
        <f>DATE(2024,6,4)</f>
        <v>45447</v>
      </c>
      <c r="H922">
        <v>967897798</v>
      </c>
      <c r="I922" t="s">
        <v>20</v>
      </c>
      <c r="K922" t="s">
        <v>21</v>
      </c>
      <c r="L922" t="s">
        <v>22</v>
      </c>
      <c r="M922" t="s">
        <v>23</v>
      </c>
      <c r="N922" t="s">
        <v>23</v>
      </c>
      <c r="O922" t="s">
        <v>24</v>
      </c>
      <c r="P922" s="8" t="s">
        <v>1352</v>
      </c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 spans="1:51" x14ac:dyDescent="0.2">
      <c r="A923" s="6" t="s">
        <v>17</v>
      </c>
      <c r="B923" t="s">
        <v>18</v>
      </c>
      <c r="C923" t="s">
        <v>18</v>
      </c>
      <c r="D923" t="s">
        <v>1353</v>
      </c>
      <c r="E923" s="2">
        <v>12.92</v>
      </c>
      <c r="F923" s="3">
        <f>DATE(2024,5,1)</f>
        <v>45413</v>
      </c>
      <c r="G923" s="3">
        <f>DATE(2024,5,1)</f>
        <v>45413</v>
      </c>
      <c r="H923">
        <v>967897799</v>
      </c>
      <c r="I923" t="s">
        <v>20</v>
      </c>
      <c r="K923" t="s">
        <v>21</v>
      </c>
      <c r="L923" t="s">
        <v>22</v>
      </c>
      <c r="M923" t="s">
        <v>23</v>
      </c>
      <c r="N923" t="s">
        <v>23</v>
      </c>
      <c r="O923" t="s">
        <v>24</v>
      </c>
      <c r="P923" s="8" t="s">
        <v>1354</v>
      </c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 spans="1:51" hidden="1" x14ac:dyDescent="0.2">
      <c r="A924" s="6"/>
      <c r="E924" s="2"/>
      <c r="F924" s="3"/>
      <c r="G924" s="3"/>
      <c r="P924" s="8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 spans="1:51" x14ac:dyDescent="0.2">
      <c r="A925" s="6" t="s">
        <v>17</v>
      </c>
      <c r="B925" t="s">
        <v>363</v>
      </c>
      <c r="C925" t="s">
        <v>364</v>
      </c>
      <c r="D925" t="s">
        <v>1355</v>
      </c>
      <c r="E925" s="2">
        <v>612</v>
      </c>
      <c r="F925" s="3">
        <f>DATE(2024,5,21)</f>
        <v>45433</v>
      </c>
      <c r="G925" s="3">
        <f>DATE(2024,5,21)</f>
        <v>45433</v>
      </c>
      <c r="H925">
        <v>967897801</v>
      </c>
      <c r="I925" t="s">
        <v>20</v>
      </c>
      <c r="K925" t="s">
        <v>21</v>
      </c>
      <c r="L925" t="s">
        <v>22</v>
      </c>
      <c r="M925" t="s">
        <v>23</v>
      </c>
      <c r="N925" t="s">
        <v>23</v>
      </c>
      <c r="O925" t="s">
        <v>24</v>
      </c>
      <c r="P925" s="8" t="s">
        <v>1356</v>
      </c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 spans="1:51" hidden="1" x14ac:dyDescent="0.2">
      <c r="A926" s="6"/>
      <c r="E926" s="2"/>
      <c r="F926" s="3"/>
      <c r="G926" s="3"/>
      <c r="P926" s="8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 spans="1:51" x14ac:dyDescent="0.2">
      <c r="A927" s="6" t="s">
        <v>17</v>
      </c>
      <c r="B927" t="s">
        <v>44</v>
      </c>
      <c r="C927" t="s">
        <v>45</v>
      </c>
      <c r="D927" t="s">
        <v>1357</v>
      </c>
      <c r="E927" s="2">
        <v>323.72000000000003</v>
      </c>
      <c r="F927" s="3">
        <f>DATE(2024,4,8)</f>
        <v>45390</v>
      </c>
      <c r="G927" s="3">
        <f>DATE(2024,4,8)</f>
        <v>45390</v>
      </c>
      <c r="H927">
        <v>967897803</v>
      </c>
      <c r="I927" t="s">
        <v>20</v>
      </c>
      <c r="K927" t="s">
        <v>21</v>
      </c>
      <c r="L927" t="s">
        <v>22</v>
      </c>
      <c r="M927" t="s">
        <v>23</v>
      </c>
      <c r="N927" t="s">
        <v>23</v>
      </c>
      <c r="O927" t="s">
        <v>24</v>
      </c>
      <c r="P927" s="8" t="s">
        <v>1358</v>
      </c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 spans="1:51" x14ac:dyDescent="0.2">
      <c r="A928" s="6" t="s">
        <v>17</v>
      </c>
      <c r="B928" t="s">
        <v>44</v>
      </c>
      <c r="C928" t="s">
        <v>45</v>
      </c>
      <c r="D928" t="s">
        <v>1359</v>
      </c>
      <c r="E928" s="2">
        <v>184.09</v>
      </c>
      <c r="F928" s="3">
        <f>DATE(2024,5,31)</f>
        <v>45443</v>
      </c>
      <c r="G928" s="3">
        <f>DATE(2024,5,31)</f>
        <v>45443</v>
      </c>
      <c r="H928">
        <v>967897804</v>
      </c>
      <c r="I928" t="s">
        <v>20</v>
      </c>
      <c r="K928" t="s">
        <v>21</v>
      </c>
      <c r="L928" t="s">
        <v>22</v>
      </c>
      <c r="M928" t="s">
        <v>23</v>
      </c>
      <c r="N928" t="s">
        <v>23</v>
      </c>
      <c r="O928" t="s">
        <v>24</v>
      </c>
      <c r="P928" s="8" t="s">
        <v>1360</v>
      </c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 spans="1:51" hidden="1" x14ac:dyDescent="0.2">
      <c r="A929" s="6"/>
      <c r="E929" s="2"/>
      <c r="F929" s="3"/>
      <c r="G929" s="3"/>
      <c r="P929" s="8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 spans="1:51" x14ac:dyDescent="0.2">
      <c r="A930" s="6" t="s">
        <v>17</v>
      </c>
      <c r="B930" t="s">
        <v>191</v>
      </c>
      <c r="C930" t="s">
        <v>192</v>
      </c>
      <c r="D930" t="s">
        <v>1361</v>
      </c>
      <c r="E930" s="2">
        <v>600</v>
      </c>
      <c r="F930" s="3">
        <f>DATE(2024,6,20)</f>
        <v>45463</v>
      </c>
      <c r="G930" s="3">
        <f>DATE(2024,6,20)</f>
        <v>45463</v>
      </c>
      <c r="H930">
        <v>967897806</v>
      </c>
      <c r="I930" t="s">
        <v>20</v>
      </c>
      <c r="K930" t="s">
        <v>21</v>
      </c>
      <c r="L930" t="s">
        <v>22</v>
      </c>
      <c r="M930" t="s">
        <v>23</v>
      </c>
      <c r="N930" t="s">
        <v>23</v>
      </c>
      <c r="O930" t="s">
        <v>24</v>
      </c>
      <c r="P930" s="8" t="s">
        <v>1362</v>
      </c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 spans="1:51" hidden="1" x14ac:dyDescent="0.2">
      <c r="A931" s="6"/>
      <c r="E931" s="2"/>
      <c r="F931" s="3"/>
      <c r="G931" s="3"/>
      <c r="P931" s="8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 spans="1:51" x14ac:dyDescent="0.2">
      <c r="A932" s="6" t="s">
        <v>17</v>
      </c>
      <c r="B932" t="s">
        <v>363</v>
      </c>
      <c r="C932" t="s">
        <v>364</v>
      </c>
      <c r="D932" t="s">
        <v>1363</v>
      </c>
      <c r="E932" s="2">
        <v>1580</v>
      </c>
      <c r="F932" s="3">
        <f>DATE(2024,5,23)</f>
        <v>45435</v>
      </c>
      <c r="G932" s="3">
        <f>DATE(2024,5,23)</f>
        <v>45435</v>
      </c>
      <c r="H932">
        <v>967897808</v>
      </c>
      <c r="I932" t="s">
        <v>20</v>
      </c>
      <c r="K932" t="s">
        <v>21</v>
      </c>
      <c r="L932" t="s">
        <v>22</v>
      </c>
      <c r="M932" t="s">
        <v>23</v>
      </c>
      <c r="N932" t="s">
        <v>23</v>
      </c>
      <c r="O932" t="s">
        <v>24</v>
      </c>
      <c r="P932" s="8" t="s">
        <v>1364</v>
      </c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 spans="1:51" x14ac:dyDescent="0.2">
      <c r="A933" s="6" t="s">
        <v>17</v>
      </c>
      <c r="B933" t="s">
        <v>30</v>
      </c>
      <c r="C933" t="s">
        <v>31</v>
      </c>
      <c r="D933" t="s">
        <v>1365</v>
      </c>
      <c r="E933" s="2">
        <v>1156.0999999999999</v>
      </c>
      <c r="F933" s="3">
        <f>DATE(2024,6,11)</f>
        <v>45454</v>
      </c>
      <c r="G933" s="3">
        <f>DATE(2024,6,11)</f>
        <v>45454</v>
      </c>
      <c r="H933">
        <v>967897809</v>
      </c>
      <c r="I933" t="s">
        <v>20</v>
      </c>
      <c r="K933" t="s">
        <v>21</v>
      </c>
      <c r="L933" t="s">
        <v>22</v>
      </c>
      <c r="M933" t="s">
        <v>23</v>
      </c>
      <c r="N933" t="s">
        <v>23</v>
      </c>
      <c r="O933" t="s">
        <v>24</v>
      </c>
      <c r="P933" s="8" t="s">
        <v>1366</v>
      </c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 spans="1:51" hidden="1" x14ac:dyDescent="0.2">
      <c r="A934" s="6"/>
      <c r="E934" s="2"/>
      <c r="F934" s="3"/>
      <c r="G934" s="3"/>
      <c r="P934" s="8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 spans="1:51" x14ac:dyDescent="0.2">
      <c r="A935" s="6" t="s">
        <v>17</v>
      </c>
      <c r="B935" t="s">
        <v>34</v>
      </c>
      <c r="C935" t="s">
        <v>35</v>
      </c>
      <c r="D935" t="s">
        <v>1367</v>
      </c>
      <c r="E935" s="2">
        <v>89</v>
      </c>
      <c r="F935" s="3">
        <f>DATE(2024,7,1)</f>
        <v>45474</v>
      </c>
      <c r="G935" s="3">
        <f>DATE(2024,7,1)</f>
        <v>45474</v>
      </c>
      <c r="H935">
        <v>967897811</v>
      </c>
      <c r="I935" t="s">
        <v>20</v>
      </c>
      <c r="K935" t="s">
        <v>21</v>
      </c>
      <c r="L935" t="s">
        <v>22</v>
      </c>
      <c r="M935" t="s">
        <v>23</v>
      </c>
      <c r="N935" t="s">
        <v>23</v>
      </c>
      <c r="O935" t="s">
        <v>24</v>
      </c>
      <c r="P935" s="8" t="s">
        <v>1368</v>
      </c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 spans="1:51" x14ac:dyDescent="0.2">
      <c r="A936" s="6" t="s">
        <v>17</v>
      </c>
      <c r="B936" t="s">
        <v>191</v>
      </c>
      <c r="C936" t="s">
        <v>192</v>
      </c>
      <c r="D936" t="s">
        <v>1369</v>
      </c>
      <c r="E936" s="2">
        <v>1080</v>
      </c>
      <c r="F936" s="3">
        <f>DATE(2024,4,30)</f>
        <v>45412</v>
      </c>
      <c r="G936" s="3">
        <f>DATE(2024,4,30)</f>
        <v>45412</v>
      </c>
      <c r="H936">
        <v>967897812</v>
      </c>
      <c r="I936" t="s">
        <v>20</v>
      </c>
      <c r="K936" t="s">
        <v>21</v>
      </c>
      <c r="L936" t="s">
        <v>22</v>
      </c>
      <c r="M936" t="s">
        <v>23</v>
      </c>
      <c r="N936" t="s">
        <v>23</v>
      </c>
      <c r="O936" t="s">
        <v>24</v>
      </c>
      <c r="P936" s="8" t="s">
        <v>1370</v>
      </c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 spans="1:51" x14ac:dyDescent="0.2">
      <c r="A937" s="6" t="s">
        <v>17</v>
      </c>
      <c r="B937" t="s">
        <v>104</v>
      </c>
      <c r="C937" t="s">
        <v>105</v>
      </c>
      <c r="D937" t="s">
        <v>1371</v>
      </c>
      <c r="E937" s="2">
        <v>294.57</v>
      </c>
      <c r="F937" s="3">
        <f>DATE(2024,6,20)</f>
        <v>45463</v>
      </c>
      <c r="G937" s="3">
        <f>DATE(2024,6,20)</f>
        <v>45463</v>
      </c>
      <c r="H937">
        <v>967897813</v>
      </c>
      <c r="I937" t="s">
        <v>20</v>
      </c>
      <c r="K937" t="s">
        <v>21</v>
      </c>
      <c r="L937" t="s">
        <v>22</v>
      </c>
      <c r="M937" t="s">
        <v>23</v>
      </c>
      <c r="N937" t="s">
        <v>23</v>
      </c>
      <c r="O937" t="s">
        <v>24</v>
      </c>
      <c r="P937" s="8" t="s">
        <v>1372</v>
      </c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 spans="1:51" hidden="1" x14ac:dyDescent="0.2">
      <c r="A938" s="6"/>
      <c r="E938" s="2"/>
      <c r="F938" s="3"/>
      <c r="G938" s="3"/>
      <c r="P938" s="8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 spans="1:51" hidden="1" x14ac:dyDescent="0.2">
      <c r="A939" s="6"/>
      <c r="E939" s="2"/>
      <c r="F939" s="3"/>
      <c r="G939" s="3"/>
      <c r="P939" s="8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 spans="1:51" x14ac:dyDescent="0.2">
      <c r="A940" s="6" t="s">
        <v>17</v>
      </c>
      <c r="B940" t="s">
        <v>887</v>
      </c>
      <c r="C940" t="s">
        <v>888</v>
      </c>
      <c r="D940" t="s">
        <v>1373</v>
      </c>
      <c r="E940" s="2">
        <v>334.31</v>
      </c>
      <c r="F940" s="3">
        <f>DATE(2024,6,5)</f>
        <v>45448</v>
      </c>
      <c r="G940" s="3">
        <f>DATE(2024,6,5)</f>
        <v>45448</v>
      </c>
      <c r="H940">
        <v>967897816</v>
      </c>
      <c r="I940" t="s">
        <v>20</v>
      </c>
      <c r="K940" t="s">
        <v>21</v>
      </c>
      <c r="L940" t="s">
        <v>22</v>
      </c>
      <c r="M940" t="s">
        <v>23</v>
      </c>
      <c r="N940" t="s">
        <v>23</v>
      </c>
      <c r="O940" t="s">
        <v>24</v>
      </c>
      <c r="P940" s="8" t="s">
        <v>1374</v>
      </c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 spans="1:51" hidden="1" x14ac:dyDescent="0.2">
      <c r="A941" s="6"/>
      <c r="E941" s="2"/>
      <c r="F941" s="3"/>
      <c r="G941" s="3"/>
      <c r="P941" s="8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  <row r="942" spans="1:51" x14ac:dyDescent="0.2">
      <c r="A942" s="6" t="s">
        <v>17</v>
      </c>
      <c r="B942" t="s">
        <v>175</v>
      </c>
      <c r="C942" t="s">
        <v>176</v>
      </c>
      <c r="D942" t="s">
        <v>1375</v>
      </c>
      <c r="E942" s="2">
        <v>300</v>
      </c>
      <c r="F942" s="3">
        <f>DATE(2024,6,5)</f>
        <v>45448</v>
      </c>
      <c r="G942" s="3">
        <f>DATE(2024,6,5)</f>
        <v>45448</v>
      </c>
      <c r="H942">
        <v>967897818</v>
      </c>
      <c r="I942" t="s">
        <v>20</v>
      </c>
      <c r="K942" t="s">
        <v>21</v>
      </c>
      <c r="L942" t="s">
        <v>22</v>
      </c>
      <c r="M942" t="s">
        <v>23</v>
      </c>
      <c r="N942" t="s">
        <v>23</v>
      </c>
      <c r="O942" t="s">
        <v>24</v>
      </c>
      <c r="P942" s="8" t="s">
        <v>1376</v>
      </c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</row>
    <row r="943" spans="1:51" x14ac:dyDescent="0.2">
      <c r="A943" s="6" t="s">
        <v>17</v>
      </c>
      <c r="B943" t="s">
        <v>18</v>
      </c>
      <c r="C943" t="s">
        <v>18</v>
      </c>
      <c r="D943" t="s">
        <v>1377</v>
      </c>
      <c r="E943" s="2">
        <v>2.3199999999999998</v>
      </c>
      <c r="F943" s="3">
        <f>DATE(2024,5,23)</f>
        <v>45435</v>
      </c>
      <c r="G943" s="3">
        <f>DATE(2024,5,23)</f>
        <v>45435</v>
      </c>
      <c r="H943">
        <v>967897819</v>
      </c>
      <c r="I943" t="s">
        <v>20</v>
      </c>
      <c r="K943" t="s">
        <v>21</v>
      </c>
      <c r="L943" t="s">
        <v>22</v>
      </c>
      <c r="M943" t="s">
        <v>23</v>
      </c>
      <c r="N943" t="s">
        <v>23</v>
      </c>
      <c r="O943" t="s">
        <v>24</v>
      </c>
      <c r="P943" s="8" t="s">
        <v>1378</v>
      </c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</row>
    <row r="944" spans="1:51" x14ac:dyDescent="0.2">
      <c r="A944" s="6" t="s">
        <v>17</v>
      </c>
      <c r="B944" t="s">
        <v>655</v>
      </c>
      <c r="C944" t="s">
        <v>656</v>
      </c>
      <c r="D944" t="s">
        <v>1379</v>
      </c>
      <c r="E944" s="2">
        <v>1837.4</v>
      </c>
      <c r="F944" s="3">
        <f>DATE(2024,5,10)</f>
        <v>45422</v>
      </c>
      <c r="G944" s="3">
        <f>DATE(2024,5,10)</f>
        <v>45422</v>
      </c>
      <c r="H944">
        <v>967897820</v>
      </c>
      <c r="I944" t="s">
        <v>20</v>
      </c>
      <c r="K944" t="s">
        <v>21</v>
      </c>
      <c r="L944" t="s">
        <v>22</v>
      </c>
      <c r="M944" t="s">
        <v>23</v>
      </c>
      <c r="N944" t="s">
        <v>23</v>
      </c>
      <c r="O944" t="s">
        <v>24</v>
      </c>
      <c r="P944" s="8" t="s">
        <v>1380</v>
      </c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</row>
    <row r="945" spans="1:51" x14ac:dyDescent="0.2">
      <c r="A945" s="6" t="s">
        <v>17</v>
      </c>
      <c r="B945" t="s">
        <v>223</v>
      </c>
      <c r="C945" t="s">
        <v>223</v>
      </c>
      <c r="D945" t="s">
        <v>1381</v>
      </c>
      <c r="E945" s="2">
        <v>3850.03</v>
      </c>
      <c r="F945" s="3">
        <f>DATE(2024,4,24)</f>
        <v>45406</v>
      </c>
      <c r="G945" s="3">
        <f>DATE(2024,4,24)</f>
        <v>45406</v>
      </c>
      <c r="H945">
        <v>967897821</v>
      </c>
      <c r="I945" t="s">
        <v>20</v>
      </c>
      <c r="K945" t="s">
        <v>21</v>
      </c>
      <c r="L945" t="s">
        <v>22</v>
      </c>
      <c r="M945" t="s">
        <v>23</v>
      </c>
      <c r="N945" t="s">
        <v>23</v>
      </c>
      <c r="O945" t="s">
        <v>24</v>
      </c>
      <c r="P945" s="8" t="s">
        <v>1382</v>
      </c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</row>
    <row r="946" spans="1:51" x14ac:dyDescent="0.2">
      <c r="A946" s="6" t="s">
        <v>17</v>
      </c>
      <c r="B946" t="s">
        <v>191</v>
      </c>
      <c r="C946" t="s">
        <v>192</v>
      </c>
      <c r="D946" t="s">
        <v>1383</v>
      </c>
      <c r="E946" s="2">
        <v>20138.13</v>
      </c>
      <c r="F946" s="3">
        <f>DATE(2024,7,4)</f>
        <v>45477</v>
      </c>
      <c r="G946" s="3">
        <f>DATE(2024,7,4)</f>
        <v>45477</v>
      </c>
      <c r="H946">
        <v>967897822</v>
      </c>
      <c r="I946" t="s">
        <v>20</v>
      </c>
      <c r="K946" t="s">
        <v>21</v>
      </c>
      <c r="L946" t="s">
        <v>22</v>
      </c>
      <c r="M946" t="s">
        <v>23</v>
      </c>
      <c r="N946" t="s">
        <v>23</v>
      </c>
      <c r="O946" t="s">
        <v>24</v>
      </c>
      <c r="P946" s="8" t="s">
        <v>1384</v>
      </c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</row>
    <row r="947" spans="1:51" hidden="1" x14ac:dyDescent="0.2">
      <c r="A947" s="6"/>
      <c r="E947" s="2"/>
      <c r="F947" s="3"/>
      <c r="G947" s="3"/>
      <c r="P947" s="8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</row>
    <row r="948" spans="1:51" x14ac:dyDescent="0.2">
      <c r="A948" s="6" t="s">
        <v>17</v>
      </c>
      <c r="B948" t="s">
        <v>18</v>
      </c>
      <c r="C948" t="s">
        <v>18</v>
      </c>
      <c r="D948" t="s">
        <v>1385</v>
      </c>
      <c r="E948" s="2">
        <v>12.92</v>
      </c>
      <c r="F948" s="3">
        <f>DATE(2024,7,2)</f>
        <v>45475</v>
      </c>
      <c r="G948" s="3">
        <f>DATE(2024,7,2)</f>
        <v>45475</v>
      </c>
      <c r="H948">
        <v>967897824</v>
      </c>
      <c r="I948" t="s">
        <v>20</v>
      </c>
      <c r="K948" t="s">
        <v>21</v>
      </c>
      <c r="L948" t="s">
        <v>22</v>
      </c>
      <c r="M948" t="s">
        <v>23</v>
      </c>
      <c r="N948" t="s">
        <v>23</v>
      </c>
      <c r="O948" t="s">
        <v>24</v>
      </c>
      <c r="P948" s="8" t="s">
        <v>1386</v>
      </c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</row>
    <row r="949" spans="1:51" hidden="1" x14ac:dyDescent="0.2">
      <c r="A949" s="6"/>
      <c r="E949" s="2"/>
      <c r="F949" s="3"/>
      <c r="G949" s="3"/>
      <c r="P949" s="8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</row>
    <row r="950" spans="1:51" hidden="1" x14ac:dyDescent="0.2">
      <c r="A950" s="6"/>
      <c r="E950" s="2"/>
      <c r="F950" s="3"/>
      <c r="G950" s="3"/>
      <c r="P950" s="8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</row>
    <row r="951" spans="1:51" x14ac:dyDescent="0.2">
      <c r="A951" s="6" t="s">
        <v>17</v>
      </c>
      <c r="B951" t="s">
        <v>104</v>
      </c>
      <c r="C951" t="s">
        <v>105</v>
      </c>
      <c r="D951" t="s">
        <v>1387</v>
      </c>
      <c r="E951" s="2">
        <v>263.7</v>
      </c>
      <c r="F951" s="3">
        <f>DATE(2024,6,26)</f>
        <v>45469</v>
      </c>
      <c r="G951" s="3">
        <f>DATE(2024,6,26)</f>
        <v>45469</v>
      </c>
      <c r="H951">
        <v>967897827</v>
      </c>
      <c r="I951" t="s">
        <v>20</v>
      </c>
      <c r="K951" t="s">
        <v>21</v>
      </c>
      <c r="L951" t="s">
        <v>22</v>
      </c>
      <c r="M951" t="s">
        <v>23</v>
      </c>
      <c r="N951" t="s">
        <v>23</v>
      </c>
      <c r="O951" t="s">
        <v>24</v>
      </c>
      <c r="P951" s="8" t="s">
        <v>1388</v>
      </c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</row>
    <row r="952" spans="1:51" x14ac:dyDescent="0.2">
      <c r="A952" s="6" t="s">
        <v>17</v>
      </c>
      <c r="B952" t="s">
        <v>312</v>
      </c>
      <c r="C952" t="s">
        <v>313</v>
      </c>
      <c r="D952" t="s">
        <v>1389</v>
      </c>
      <c r="E952" s="2">
        <v>1200</v>
      </c>
      <c r="F952" s="3">
        <f>DATE(2024,5,23)</f>
        <v>45435</v>
      </c>
      <c r="G952" s="3">
        <f>DATE(2024,5,23)</f>
        <v>45435</v>
      </c>
      <c r="H952">
        <v>967897828</v>
      </c>
      <c r="I952" t="s">
        <v>20</v>
      </c>
      <c r="K952" t="s">
        <v>21</v>
      </c>
      <c r="L952" t="s">
        <v>22</v>
      </c>
      <c r="M952" t="s">
        <v>23</v>
      </c>
      <c r="N952" t="s">
        <v>23</v>
      </c>
      <c r="O952" t="s">
        <v>24</v>
      </c>
      <c r="P952" s="8" t="s">
        <v>1390</v>
      </c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</row>
    <row r="953" spans="1:51" hidden="1" x14ac:dyDescent="0.2">
      <c r="A953" s="6"/>
      <c r="E953" s="2"/>
      <c r="F953" s="3"/>
      <c r="G953" s="3"/>
      <c r="P953" s="8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</row>
    <row r="954" spans="1:51" x14ac:dyDescent="0.2">
      <c r="A954" s="6" t="s">
        <v>17</v>
      </c>
      <c r="B954" t="s">
        <v>191</v>
      </c>
      <c r="C954" t="s">
        <v>192</v>
      </c>
      <c r="D954" t="s">
        <v>1391</v>
      </c>
      <c r="E954" s="2">
        <v>1800.65</v>
      </c>
      <c r="F954" s="3">
        <f>DATE(2024,7,3)</f>
        <v>45476</v>
      </c>
      <c r="G954" s="3">
        <f>DATE(2024,7,3)</f>
        <v>45476</v>
      </c>
      <c r="H954">
        <v>967897830</v>
      </c>
      <c r="I954" t="s">
        <v>20</v>
      </c>
      <c r="K954" t="s">
        <v>21</v>
      </c>
      <c r="L954" t="s">
        <v>22</v>
      </c>
      <c r="M954" t="s">
        <v>23</v>
      </c>
      <c r="N954" t="s">
        <v>23</v>
      </c>
      <c r="O954" t="s">
        <v>24</v>
      </c>
      <c r="P954" s="8" t="s">
        <v>1392</v>
      </c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</row>
    <row r="955" spans="1:51" x14ac:dyDescent="0.2">
      <c r="A955" s="6" t="s">
        <v>17</v>
      </c>
      <c r="B955" t="s">
        <v>223</v>
      </c>
      <c r="C955" t="s">
        <v>223</v>
      </c>
      <c r="D955" t="s">
        <v>1393</v>
      </c>
      <c r="E955" s="2">
        <v>429.05</v>
      </c>
      <c r="F955" s="3">
        <f>DATE(2024,4,17)</f>
        <v>45399</v>
      </c>
      <c r="G955" s="3">
        <f>DATE(2024,4,17)</f>
        <v>45399</v>
      </c>
      <c r="H955">
        <v>967897831</v>
      </c>
      <c r="I955" t="s">
        <v>20</v>
      </c>
      <c r="K955" t="s">
        <v>21</v>
      </c>
      <c r="L955" t="s">
        <v>22</v>
      </c>
      <c r="M955" t="s">
        <v>23</v>
      </c>
      <c r="N955" t="s">
        <v>23</v>
      </c>
      <c r="O955" t="s">
        <v>24</v>
      </c>
      <c r="P955" s="8" t="s">
        <v>1394</v>
      </c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</row>
    <row r="956" spans="1:51" x14ac:dyDescent="0.2">
      <c r="A956" s="6" t="s">
        <v>17</v>
      </c>
      <c r="B956" t="s">
        <v>655</v>
      </c>
      <c r="C956" t="s">
        <v>656</v>
      </c>
      <c r="D956" t="s">
        <v>1395</v>
      </c>
      <c r="E956" s="2">
        <v>772.88</v>
      </c>
      <c r="F956" s="3">
        <f>DATE(2024,4,22)</f>
        <v>45404</v>
      </c>
      <c r="G956" s="3">
        <f>DATE(2024,4,22)</f>
        <v>45404</v>
      </c>
      <c r="H956">
        <v>967897832</v>
      </c>
      <c r="I956" t="s">
        <v>20</v>
      </c>
      <c r="K956" t="s">
        <v>21</v>
      </c>
      <c r="L956" t="s">
        <v>22</v>
      </c>
      <c r="M956" t="s">
        <v>23</v>
      </c>
      <c r="N956" t="s">
        <v>23</v>
      </c>
      <c r="O956" t="s">
        <v>24</v>
      </c>
      <c r="P956" s="8" t="s">
        <v>1396</v>
      </c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</row>
    <row r="957" spans="1:51" x14ac:dyDescent="0.2">
      <c r="A957" s="6" t="s">
        <v>17</v>
      </c>
      <c r="B957" t="s">
        <v>133</v>
      </c>
      <c r="C957" t="s">
        <v>134</v>
      </c>
      <c r="D957" t="s">
        <v>1397</v>
      </c>
      <c r="E957" s="2">
        <v>52.18</v>
      </c>
      <c r="F957" s="3">
        <f>DATE(2024,4,10)</f>
        <v>45392</v>
      </c>
      <c r="G957" s="3">
        <f>DATE(2024,4,10)</f>
        <v>45392</v>
      </c>
      <c r="H957">
        <v>967897833</v>
      </c>
      <c r="I957" t="s">
        <v>20</v>
      </c>
      <c r="K957" t="s">
        <v>21</v>
      </c>
      <c r="L957" t="s">
        <v>22</v>
      </c>
      <c r="M957" t="s">
        <v>23</v>
      </c>
      <c r="N957" t="s">
        <v>23</v>
      </c>
      <c r="O957" t="s">
        <v>24</v>
      </c>
      <c r="P957" s="8" t="s">
        <v>1398</v>
      </c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</row>
    <row r="958" spans="1:51" x14ac:dyDescent="0.2">
      <c r="A958" s="6" t="s">
        <v>17</v>
      </c>
      <c r="B958" t="s">
        <v>61</v>
      </c>
      <c r="C958" t="s">
        <v>62</v>
      </c>
      <c r="D958" t="s">
        <v>1399</v>
      </c>
      <c r="E958" s="2">
        <v>324</v>
      </c>
      <c r="F958" s="3">
        <f>DATE(2024,5,10)</f>
        <v>45422</v>
      </c>
      <c r="G958" s="3">
        <f>DATE(2024,5,10)</f>
        <v>45422</v>
      </c>
      <c r="H958">
        <v>967897834</v>
      </c>
      <c r="I958" t="s">
        <v>20</v>
      </c>
      <c r="K958" t="s">
        <v>21</v>
      </c>
      <c r="L958" t="s">
        <v>22</v>
      </c>
      <c r="M958" t="s">
        <v>23</v>
      </c>
      <c r="N958" t="s">
        <v>23</v>
      </c>
      <c r="O958" t="s">
        <v>24</v>
      </c>
      <c r="P958" s="8" t="s">
        <v>1400</v>
      </c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</row>
    <row r="959" spans="1:51" x14ac:dyDescent="0.2">
      <c r="A959" s="6" t="s">
        <v>17</v>
      </c>
      <c r="B959" t="s">
        <v>674</v>
      </c>
      <c r="C959" t="s">
        <v>675</v>
      </c>
      <c r="D959" t="s">
        <v>1401</v>
      </c>
      <c r="E959" s="2">
        <v>1961.7</v>
      </c>
      <c r="F959" s="3">
        <f>DATE(2024,7,1)</f>
        <v>45474</v>
      </c>
      <c r="G959" s="3">
        <f>DATE(2024,7,1)</f>
        <v>45474</v>
      </c>
      <c r="H959">
        <v>967897835</v>
      </c>
      <c r="I959" t="s">
        <v>20</v>
      </c>
      <c r="K959" t="s">
        <v>21</v>
      </c>
      <c r="L959" t="s">
        <v>22</v>
      </c>
      <c r="M959" t="s">
        <v>23</v>
      </c>
      <c r="N959" t="s">
        <v>23</v>
      </c>
      <c r="O959" t="s">
        <v>24</v>
      </c>
      <c r="P959" s="8" t="s">
        <v>1402</v>
      </c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</row>
    <row r="960" spans="1:51" hidden="1" x14ac:dyDescent="0.2">
      <c r="A960" s="6"/>
      <c r="E960" s="2"/>
      <c r="F960" s="3"/>
      <c r="G960" s="3"/>
      <c r="P960" s="8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</row>
    <row r="961" spans="1:51" hidden="1" x14ac:dyDescent="0.2">
      <c r="A961" s="6"/>
      <c r="E961" s="2"/>
      <c r="F961" s="3"/>
      <c r="G961" s="3"/>
      <c r="P961" s="8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</row>
    <row r="962" spans="1:51" hidden="1" x14ac:dyDescent="0.2">
      <c r="A962" s="6"/>
      <c r="E962" s="2"/>
      <c r="F962" s="3"/>
      <c r="G962" s="3"/>
      <c r="P962" s="8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</row>
    <row r="963" spans="1:51" x14ac:dyDescent="0.2">
      <c r="A963" s="6" t="s">
        <v>17</v>
      </c>
      <c r="B963" t="s">
        <v>261</v>
      </c>
      <c r="C963" t="s">
        <v>262</v>
      </c>
      <c r="D963" t="s">
        <v>1403</v>
      </c>
      <c r="E963" s="2">
        <v>3614.54</v>
      </c>
      <c r="F963" s="3">
        <f>DATE(2024,5,27)</f>
        <v>45439</v>
      </c>
      <c r="G963" s="3">
        <f>DATE(2024,5,27)</f>
        <v>45439</v>
      </c>
      <c r="H963">
        <v>967897839</v>
      </c>
      <c r="I963" t="s">
        <v>20</v>
      </c>
      <c r="K963" t="s">
        <v>21</v>
      </c>
      <c r="L963" t="s">
        <v>22</v>
      </c>
      <c r="M963" t="s">
        <v>23</v>
      </c>
      <c r="N963" t="s">
        <v>23</v>
      </c>
      <c r="O963" t="s">
        <v>24</v>
      </c>
      <c r="P963" s="8" t="s">
        <v>1404</v>
      </c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</row>
    <row r="964" spans="1:51" x14ac:dyDescent="0.2">
      <c r="A964" s="6" t="s">
        <v>17</v>
      </c>
      <c r="B964" t="s">
        <v>363</v>
      </c>
      <c r="C964" t="s">
        <v>364</v>
      </c>
      <c r="D964" t="s">
        <v>1405</v>
      </c>
      <c r="E964" s="2">
        <v>120</v>
      </c>
      <c r="F964" s="3">
        <f>DATE(2024,7,1)</f>
        <v>45474</v>
      </c>
      <c r="G964" s="3">
        <f>DATE(2024,7,1)</f>
        <v>45474</v>
      </c>
      <c r="H964">
        <v>967897840</v>
      </c>
      <c r="I964" t="s">
        <v>20</v>
      </c>
      <c r="K964" t="s">
        <v>21</v>
      </c>
      <c r="L964" t="s">
        <v>22</v>
      </c>
      <c r="M964" t="s">
        <v>23</v>
      </c>
      <c r="N964" t="s">
        <v>23</v>
      </c>
      <c r="O964" t="s">
        <v>24</v>
      </c>
      <c r="P964" s="8" t="s">
        <v>1406</v>
      </c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</row>
    <row r="965" spans="1:51" x14ac:dyDescent="0.2">
      <c r="A965" s="6" t="s">
        <v>17</v>
      </c>
      <c r="B965" t="s">
        <v>363</v>
      </c>
      <c r="C965" t="s">
        <v>364</v>
      </c>
      <c r="D965" t="s">
        <v>1407</v>
      </c>
      <c r="E965" s="2">
        <v>480</v>
      </c>
      <c r="F965" s="3">
        <f>DATE(2024,5,14)</f>
        <v>45426</v>
      </c>
      <c r="G965" s="3">
        <f>DATE(2024,5,14)</f>
        <v>45426</v>
      </c>
      <c r="H965">
        <v>967897841</v>
      </c>
      <c r="I965" t="s">
        <v>20</v>
      </c>
      <c r="K965" t="s">
        <v>21</v>
      </c>
      <c r="L965" t="s">
        <v>22</v>
      </c>
      <c r="M965" t="s">
        <v>23</v>
      </c>
      <c r="N965" t="s">
        <v>23</v>
      </c>
      <c r="O965" t="s">
        <v>24</v>
      </c>
      <c r="P965" s="8" t="s">
        <v>1408</v>
      </c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</row>
    <row r="966" spans="1:51" x14ac:dyDescent="0.2">
      <c r="A966" s="6" t="s">
        <v>17</v>
      </c>
      <c r="B966" t="s">
        <v>137</v>
      </c>
      <c r="C966" t="s">
        <v>138</v>
      </c>
      <c r="D966" t="s">
        <v>1409</v>
      </c>
      <c r="E966" s="2">
        <v>118.8</v>
      </c>
      <c r="F966" s="3">
        <f>DATE(2024,4,10)</f>
        <v>45392</v>
      </c>
      <c r="G966" s="3">
        <f>DATE(2024,4,10)</f>
        <v>45392</v>
      </c>
      <c r="H966">
        <v>967897842</v>
      </c>
      <c r="I966" t="s">
        <v>20</v>
      </c>
      <c r="K966" t="s">
        <v>21</v>
      </c>
      <c r="L966" t="s">
        <v>22</v>
      </c>
      <c r="M966" t="s">
        <v>23</v>
      </c>
      <c r="N966" t="s">
        <v>23</v>
      </c>
      <c r="O966" t="s">
        <v>24</v>
      </c>
      <c r="P966" s="8" t="s">
        <v>1410</v>
      </c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</row>
    <row r="967" spans="1:51" x14ac:dyDescent="0.2">
      <c r="A967" s="6" t="s">
        <v>17</v>
      </c>
      <c r="B967" t="s">
        <v>312</v>
      </c>
      <c r="C967" t="s">
        <v>313</v>
      </c>
      <c r="D967" t="s">
        <v>1411</v>
      </c>
      <c r="E967" s="2">
        <v>450.6</v>
      </c>
      <c r="F967" s="3">
        <f>DATE(2024,6,13)</f>
        <v>45456</v>
      </c>
      <c r="G967" s="3">
        <f>DATE(2024,6,13)</f>
        <v>45456</v>
      </c>
      <c r="H967">
        <v>967897843</v>
      </c>
      <c r="I967" t="s">
        <v>20</v>
      </c>
      <c r="K967" t="s">
        <v>21</v>
      </c>
      <c r="L967" t="s">
        <v>22</v>
      </c>
      <c r="M967" t="s">
        <v>23</v>
      </c>
      <c r="N967" t="s">
        <v>23</v>
      </c>
      <c r="O967" t="s">
        <v>24</v>
      </c>
      <c r="P967" s="8" t="s">
        <v>1412</v>
      </c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</row>
    <row r="968" spans="1:51" x14ac:dyDescent="0.2">
      <c r="A968" s="6" t="s">
        <v>17</v>
      </c>
      <c r="B968" t="s">
        <v>1060</v>
      </c>
      <c r="C968" t="s">
        <v>1061</v>
      </c>
      <c r="D968" t="s">
        <v>1413</v>
      </c>
      <c r="E968" s="2">
        <v>122.3</v>
      </c>
      <c r="F968" s="3">
        <f>DATE(2024,4,29)</f>
        <v>45411</v>
      </c>
      <c r="G968" s="3">
        <f>DATE(2024,4,29)</f>
        <v>45411</v>
      </c>
      <c r="H968">
        <v>967897844</v>
      </c>
      <c r="I968" t="s">
        <v>20</v>
      </c>
      <c r="K968" t="s">
        <v>21</v>
      </c>
      <c r="L968" t="s">
        <v>22</v>
      </c>
      <c r="M968" t="s">
        <v>23</v>
      </c>
      <c r="N968" t="s">
        <v>23</v>
      </c>
      <c r="O968" t="s">
        <v>24</v>
      </c>
      <c r="P968" s="8" t="s">
        <v>1414</v>
      </c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</row>
    <row r="969" spans="1:51" x14ac:dyDescent="0.2">
      <c r="A969" s="6" t="s">
        <v>17</v>
      </c>
      <c r="B969" t="s">
        <v>100</v>
      </c>
      <c r="C969" t="s">
        <v>101</v>
      </c>
      <c r="D969" t="s">
        <v>1415</v>
      </c>
      <c r="E969" s="2">
        <v>207.5</v>
      </c>
      <c r="F969" s="3">
        <f>DATE(2024,5,31)</f>
        <v>45443</v>
      </c>
      <c r="G969" s="3">
        <f>DATE(2024,5,31)</f>
        <v>45443</v>
      </c>
      <c r="H969">
        <v>967897845</v>
      </c>
      <c r="I969" t="s">
        <v>20</v>
      </c>
      <c r="K969" t="s">
        <v>21</v>
      </c>
      <c r="L969" t="s">
        <v>22</v>
      </c>
      <c r="M969" t="s">
        <v>23</v>
      </c>
      <c r="N969" t="s">
        <v>23</v>
      </c>
      <c r="O969" t="s">
        <v>24</v>
      </c>
      <c r="P969" s="8" t="s">
        <v>1416</v>
      </c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</row>
    <row r="970" spans="1:51" x14ac:dyDescent="0.2">
      <c r="A970" s="6" t="s">
        <v>17</v>
      </c>
      <c r="B970" t="s">
        <v>887</v>
      </c>
      <c r="C970" t="s">
        <v>888</v>
      </c>
      <c r="D970" t="s">
        <v>1417</v>
      </c>
      <c r="E970" s="2">
        <v>1159.25</v>
      </c>
      <c r="F970" s="3">
        <f>DATE(2024,5,20)</f>
        <v>45432</v>
      </c>
      <c r="G970" s="3">
        <f>DATE(2024,5,20)</f>
        <v>45432</v>
      </c>
      <c r="H970">
        <v>967897846</v>
      </c>
      <c r="I970" t="s">
        <v>20</v>
      </c>
      <c r="K970" t="s">
        <v>21</v>
      </c>
      <c r="L970" t="s">
        <v>22</v>
      </c>
      <c r="M970" t="s">
        <v>23</v>
      </c>
      <c r="N970" t="s">
        <v>23</v>
      </c>
      <c r="O970" t="s">
        <v>24</v>
      </c>
      <c r="P970" s="8" t="s">
        <v>1418</v>
      </c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</row>
    <row r="971" spans="1:51" x14ac:dyDescent="0.2">
      <c r="A971" s="6" t="s">
        <v>17</v>
      </c>
      <c r="B971" t="s">
        <v>191</v>
      </c>
      <c r="C971" t="s">
        <v>192</v>
      </c>
      <c r="D971" t="s">
        <v>1419</v>
      </c>
      <c r="E971" s="2">
        <v>840</v>
      </c>
      <c r="F971" s="3">
        <f>DATE(2024,6,13)</f>
        <v>45456</v>
      </c>
      <c r="G971" s="3">
        <f>DATE(2024,6,13)</f>
        <v>45456</v>
      </c>
      <c r="H971">
        <v>967897847</v>
      </c>
      <c r="I971" t="s">
        <v>20</v>
      </c>
      <c r="K971" t="s">
        <v>21</v>
      </c>
      <c r="L971" t="s">
        <v>22</v>
      </c>
      <c r="M971" t="s">
        <v>23</v>
      </c>
      <c r="N971" t="s">
        <v>23</v>
      </c>
      <c r="O971" t="s">
        <v>24</v>
      </c>
      <c r="P971" s="8" t="s">
        <v>1420</v>
      </c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</row>
    <row r="972" spans="1:51" x14ac:dyDescent="0.2">
      <c r="A972" s="6" t="s">
        <v>17</v>
      </c>
      <c r="B972" t="s">
        <v>18</v>
      </c>
      <c r="C972" t="s">
        <v>18</v>
      </c>
      <c r="D972" t="s">
        <v>1421</v>
      </c>
      <c r="E972" s="2">
        <v>2.25</v>
      </c>
      <c r="F972" s="3">
        <f>DATE(2024,5,10)</f>
        <v>45422</v>
      </c>
      <c r="G972" s="3">
        <f>DATE(2024,5,10)</f>
        <v>45422</v>
      </c>
      <c r="H972">
        <v>967897848</v>
      </c>
      <c r="I972" t="s">
        <v>20</v>
      </c>
      <c r="K972" t="s">
        <v>21</v>
      </c>
      <c r="L972" t="s">
        <v>22</v>
      </c>
      <c r="M972" t="s">
        <v>23</v>
      </c>
      <c r="N972" t="s">
        <v>23</v>
      </c>
      <c r="O972" t="s">
        <v>24</v>
      </c>
      <c r="P972" s="8" t="s">
        <v>1422</v>
      </c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</row>
    <row r="973" spans="1:51" hidden="1" x14ac:dyDescent="0.2">
      <c r="A973" s="6"/>
      <c r="E973" s="2"/>
      <c r="F973" s="3"/>
      <c r="G973" s="3"/>
      <c r="P973" s="8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</row>
    <row r="974" spans="1:51" x14ac:dyDescent="0.2">
      <c r="A974" s="6" t="s">
        <v>17</v>
      </c>
      <c r="B974" t="s">
        <v>137</v>
      </c>
      <c r="C974" t="s">
        <v>138</v>
      </c>
      <c r="D974" t="s">
        <v>1423</v>
      </c>
      <c r="E974" s="2">
        <v>3549.6</v>
      </c>
      <c r="F974" s="3">
        <f>DATE(2024,6,4)</f>
        <v>45447</v>
      </c>
      <c r="G974" s="3">
        <f>DATE(2024,6,4)</f>
        <v>45447</v>
      </c>
      <c r="H974">
        <v>967897850</v>
      </c>
      <c r="I974" t="s">
        <v>20</v>
      </c>
      <c r="K974" t="s">
        <v>21</v>
      </c>
      <c r="L974" t="s">
        <v>22</v>
      </c>
      <c r="M974" t="s">
        <v>23</v>
      </c>
      <c r="N974" t="s">
        <v>23</v>
      </c>
      <c r="O974" t="s">
        <v>24</v>
      </c>
      <c r="P974" s="8" t="s">
        <v>1424</v>
      </c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</row>
    <row r="975" spans="1:51" x14ac:dyDescent="0.2">
      <c r="A975" s="6" t="s">
        <v>17</v>
      </c>
      <c r="B975" t="s">
        <v>61</v>
      </c>
      <c r="C975" t="s">
        <v>62</v>
      </c>
      <c r="D975" t="s">
        <v>1425</v>
      </c>
      <c r="E975" s="2">
        <v>0.9</v>
      </c>
      <c r="F975" s="3">
        <f>DATE(2024,4,18)</f>
        <v>45400</v>
      </c>
      <c r="G975" s="3">
        <f>DATE(2024,4,18)</f>
        <v>45400</v>
      </c>
      <c r="H975">
        <v>967897851</v>
      </c>
      <c r="I975" t="s">
        <v>20</v>
      </c>
      <c r="K975" t="s">
        <v>21</v>
      </c>
      <c r="L975" t="s">
        <v>22</v>
      </c>
      <c r="M975" t="s">
        <v>23</v>
      </c>
      <c r="N975" t="s">
        <v>23</v>
      </c>
      <c r="O975" t="s">
        <v>24</v>
      </c>
      <c r="P975" s="8" t="s">
        <v>1426</v>
      </c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</row>
    <row r="976" spans="1:51" hidden="1" x14ac:dyDescent="0.2">
      <c r="A976" s="6"/>
      <c r="E976" s="2"/>
      <c r="F976" s="3"/>
      <c r="G976" s="3"/>
      <c r="P976" s="8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</row>
    <row r="977" spans="1:51" x14ac:dyDescent="0.2">
      <c r="A977" s="6" t="s">
        <v>17</v>
      </c>
      <c r="B977" t="s">
        <v>30</v>
      </c>
      <c r="C977" t="s">
        <v>31</v>
      </c>
      <c r="D977" t="s">
        <v>1427</v>
      </c>
      <c r="E977" s="2">
        <v>1156.0999999999999</v>
      </c>
      <c r="F977" s="3">
        <f>DATE(2024,5,11)</f>
        <v>45423</v>
      </c>
      <c r="G977" s="3">
        <f>DATE(2024,5,11)</f>
        <v>45423</v>
      </c>
      <c r="H977">
        <v>967897853</v>
      </c>
      <c r="I977" t="s">
        <v>20</v>
      </c>
      <c r="K977" t="s">
        <v>21</v>
      </c>
      <c r="L977" t="s">
        <v>22</v>
      </c>
      <c r="M977" t="s">
        <v>23</v>
      </c>
      <c r="N977" t="s">
        <v>23</v>
      </c>
      <c r="O977" t="s">
        <v>24</v>
      </c>
      <c r="P977" s="8" t="s">
        <v>1428</v>
      </c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</row>
    <row r="978" spans="1:51" x14ac:dyDescent="0.2">
      <c r="A978" s="6" t="s">
        <v>17</v>
      </c>
      <c r="B978" t="s">
        <v>191</v>
      </c>
      <c r="C978" t="s">
        <v>192</v>
      </c>
      <c r="D978" t="s">
        <v>1429</v>
      </c>
      <c r="E978" s="2">
        <v>15747.24</v>
      </c>
      <c r="F978" s="3">
        <f>DATE(2024,6,4)</f>
        <v>45447</v>
      </c>
      <c r="G978" s="3">
        <f>DATE(2024,6,4)</f>
        <v>45447</v>
      </c>
      <c r="H978">
        <v>967897854</v>
      </c>
      <c r="I978" t="s">
        <v>20</v>
      </c>
      <c r="K978" t="s">
        <v>21</v>
      </c>
      <c r="L978" t="s">
        <v>22</v>
      </c>
      <c r="M978" t="s">
        <v>23</v>
      </c>
      <c r="N978" t="s">
        <v>23</v>
      </c>
      <c r="O978" t="s">
        <v>24</v>
      </c>
      <c r="P978" s="8" t="s">
        <v>1430</v>
      </c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</row>
    <row r="979" spans="1:51" hidden="1" x14ac:dyDescent="0.2">
      <c r="A979" s="6"/>
      <c r="E979" s="2"/>
      <c r="F979" s="3"/>
      <c r="G979" s="3"/>
      <c r="P979" s="8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</row>
    <row r="980" spans="1:51" x14ac:dyDescent="0.2">
      <c r="A980" s="6" t="s">
        <v>17</v>
      </c>
      <c r="B980" t="s">
        <v>179</v>
      </c>
      <c r="C980" t="s">
        <v>180</v>
      </c>
      <c r="D980" t="s">
        <v>1431</v>
      </c>
      <c r="E980" s="2">
        <v>1046.1500000000001</v>
      </c>
      <c r="F980" s="3">
        <f>DATE(2024,6,18)</f>
        <v>45461</v>
      </c>
      <c r="G980" s="3">
        <f>DATE(2024,6,18)</f>
        <v>45461</v>
      </c>
      <c r="H980">
        <v>967897856</v>
      </c>
      <c r="I980" t="s">
        <v>20</v>
      </c>
      <c r="K980" t="s">
        <v>21</v>
      </c>
      <c r="L980" t="s">
        <v>22</v>
      </c>
      <c r="M980" t="s">
        <v>23</v>
      </c>
      <c r="N980" t="s">
        <v>23</v>
      </c>
      <c r="O980" t="s">
        <v>24</v>
      </c>
      <c r="P980" s="8" t="s">
        <v>1432</v>
      </c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</row>
    <row r="981" spans="1:51" x14ac:dyDescent="0.2">
      <c r="A981" s="6" t="s">
        <v>17</v>
      </c>
      <c r="B981" t="s">
        <v>110</v>
      </c>
      <c r="C981" t="s">
        <v>111</v>
      </c>
      <c r="D981" t="s">
        <v>1433</v>
      </c>
      <c r="E981" s="2">
        <v>271.27999999999997</v>
      </c>
      <c r="F981" s="3">
        <f>DATE(2024,6,4)</f>
        <v>45447</v>
      </c>
      <c r="G981" s="3">
        <f>DATE(2024,6,4)</f>
        <v>45447</v>
      </c>
      <c r="H981">
        <v>967897857</v>
      </c>
      <c r="I981" t="s">
        <v>20</v>
      </c>
      <c r="K981" t="s">
        <v>21</v>
      </c>
      <c r="L981" t="s">
        <v>22</v>
      </c>
      <c r="M981" t="s">
        <v>23</v>
      </c>
      <c r="N981" t="s">
        <v>23</v>
      </c>
      <c r="O981" t="s">
        <v>24</v>
      </c>
      <c r="P981" s="8" t="s">
        <v>1434</v>
      </c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</row>
    <row r="982" spans="1:51" hidden="1" x14ac:dyDescent="0.2">
      <c r="A982" s="6"/>
      <c r="E982" s="2"/>
      <c r="F982" s="3"/>
      <c r="G982" s="3"/>
      <c r="P982" s="8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</row>
    <row r="983" spans="1:51" x14ac:dyDescent="0.2">
      <c r="A983" s="6" t="s">
        <v>17</v>
      </c>
      <c r="B983" t="s">
        <v>179</v>
      </c>
      <c r="C983" t="s">
        <v>180</v>
      </c>
      <c r="D983" t="s">
        <v>1435</v>
      </c>
      <c r="E983" s="2">
        <v>668.03</v>
      </c>
      <c r="F983" s="3">
        <f>DATE(2024,4,8)</f>
        <v>45390</v>
      </c>
      <c r="G983" s="3">
        <f>DATE(2024,4,8)</f>
        <v>45390</v>
      </c>
      <c r="H983">
        <v>967897859</v>
      </c>
      <c r="I983" t="s">
        <v>20</v>
      </c>
      <c r="K983" t="s">
        <v>21</v>
      </c>
      <c r="L983" t="s">
        <v>22</v>
      </c>
      <c r="M983" t="s">
        <v>23</v>
      </c>
      <c r="N983" t="s">
        <v>23</v>
      </c>
      <c r="O983" t="s">
        <v>24</v>
      </c>
      <c r="P983" s="8" t="s">
        <v>1436</v>
      </c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</row>
    <row r="984" spans="1:51" hidden="1" x14ac:dyDescent="0.2">
      <c r="A984" s="6"/>
      <c r="E984" s="2"/>
      <c r="F984" s="3"/>
      <c r="G984" s="3"/>
      <c r="P984" s="8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</row>
    <row r="985" spans="1:51" hidden="1" x14ac:dyDescent="0.2">
      <c r="A985" s="6"/>
      <c r="E985" s="2"/>
      <c r="F985" s="3"/>
      <c r="G985" s="3"/>
      <c r="P985" s="8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</row>
    <row r="986" spans="1:51" hidden="1" x14ac:dyDescent="0.2">
      <c r="A986" s="6"/>
      <c r="E986" s="2"/>
      <c r="F986" s="3"/>
      <c r="G986" s="3"/>
      <c r="P986" s="8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</row>
    <row r="987" spans="1:51" hidden="1" x14ac:dyDescent="0.2">
      <c r="A987" s="6"/>
      <c r="E987" s="2"/>
      <c r="F987" s="3"/>
      <c r="G987" s="3"/>
      <c r="P987" s="8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</row>
    <row r="988" spans="1:51" x14ac:dyDescent="0.2">
      <c r="A988" s="6" t="s">
        <v>17</v>
      </c>
      <c r="B988" t="s">
        <v>191</v>
      </c>
      <c r="C988" t="s">
        <v>192</v>
      </c>
      <c r="D988" t="s">
        <v>1437</v>
      </c>
      <c r="E988" s="2">
        <v>1000</v>
      </c>
      <c r="F988" s="3">
        <f>DATE(2024,4,8)</f>
        <v>45390</v>
      </c>
      <c r="G988" s="3">
        <f>DATE(2024,4,8)</f>
        <v>45390</v>
      </c>
      <c r="H988">
        <v>967897864</v>
      </c>
      <c r="I988" t="s">
        <v>20</v>
      </c>
      <c r="K988" t="s">
        <v>21</v>
      </c>
      <c r="L988" t="s">
        <v>22</v>
      </c>
      <c r="M988" t="s">
        <v>23</v>
      </c>
      <c r="N988" t="s">
        <v>23</v>
      </c>
      <c r="O988" t="s">
        <v>24</v>
      </c>
      <c r="P988" s="8" t="s">
        <v>1438</v>
      </c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</row>
    <row r="989" spans="1:51" x14ac:dyDescent="0.2">
      <c r="A989" s="6" t="s">
        <v>17</v>
      </c>
      <c r="B989" t="s">
        <v>34</v>
      </c>
      <c r="C989" t="s">
        <v>35</v>
      </c>
      <c r="D989" t="s">
        <v>1439</v>
      </c>
      <c r="E989" s="2">
        <v>102.16</v>
      </c>
      <c r="F989" s="3">
        <f>DATE(2024,6,3)</f>
        <v>45446</v>
      </c>
      <c r="G989" s="3">
        <f>DATE(2024,6,3)</f>
        <v>45446</v>
      </c>
      <c r="H989">
        <v>967897865</v>
      </c>
      <c r="I989" t="s">
        <v>20</v>
      </c>
      <c r="K989" t="s">
        <v>21</v>
      </c>
      <c r="L989" t="s">
        <v>22</v>
      </c>
      <c r="M989" t="s">
        <v>23</v>
      </c>
      <c r="N989" t="s">
        <v>23</v>
      </c>
      <c r="O989" t="s">
        <v>24</v>
      </c>
      <c r="P989" s="8" t="s">
        <v>1440</v>
      </c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</row>
    <row r="990" spans="1:51" hidden="1" x14ac:dyDescent="0.2">
      <c r="A990" s="6"/>
      <c r="E990" s="2"/>
      <c r="F990" s="3"/>
      <c r="G990" s="3"/>
      <c r="P990" s="8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</row>
    <row r="991" spans="1:51" x14ac:dyDescent="0.2">
      <c r="A991" s="6" t="s">
        <v>17</v>
      </c>
      <c r="B991" t="s">
        <v>316</v>
      </c>
      <c r="C991" t="s">
        <v>316</v>
      </c>
      <c r="D991" t="s">
        <v>1441</v>
      </c>
      <c r="E991" s="2">
        <v>12</v>
      </c>
      <c r="F991" s="3">
        <f>DATE(2024,5,11)</f>
        <v>45423</v>
      </c>
      <c r="G991" s="3">
        <f>DATE(2024,5,11)</f>
        <v>45423</v>
      </c>
      <c r="H991">
        <v>967897867</v>
      </c>
      <c r="I991" t="s">
        <v>20</v>
      </c>
      <c r="K991" t="s">
        <v>21</v>
      </c>
      <c r="L991" t="s">
        <v>22</v>
      </c>
      <c r="M991" t="s">
        <v>23</v>
      </c>
      <c r="N991" t="s">
        <v>23</v>
      </c>
      <c r="O991" t="s">
        <v>24</v>
      </c>
      <c r="P991" s="8" t="s">
        <v>1442</v>
      </c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</row>
    <row r="992" spans="1:51" hidden="1" x14ac:dyDescent="0.2">
      <c r="A992" s="6"/>
      <c r="E992" s="2"/>
      <c r="F992" s="3"/>
      <c r="G992" s="3"/>
      <c r="P992" s="8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</row>
    <row r="993" spans="1:51" x14ac:dyDescent="0.2">
      <c r="A993" s="6" t="s">
        <v>17</v>
      </c>
      <c r="B993" t="s">
        <v>30</v>
      </c>
      <c r="C993" t="s">
        <v>31</v>
      </c>
      <c r="D993" t="s">
        <v>1443</v>
      </c>
      <c r="E993" s="2">
        <v>1313.46</v>
      </c>
      <c r="F993" s="3">
        <f>DATE(2024,6,1)</f>
        <v>45444</v>
      </c>
      <c r="G993" s="3">
        <f>DATE(2024,6,1)</f>
        <v>45444</v>
      </c>
      <c r="H993">
        <v>967897869</v>
      </c>
      <c r="I993" t="s">
        <v>20</v>
      </c>
      <c r="K993" t="s">
        <v>21</v>
      </c>
      <c r="L993" t="s">
        <v>22</v>
      </c>
      <c r="M993" t="s">
        <v>23</v>
      </c>
      <c r="N993" t="s">
        <v>23</v>
      </c>
      <c r="O993" t="s">
        <v>24</v>
      </c>
      <c r="P993" s="8" t="s">
        <v>1444</v>
      </c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</row>
    <row r="994" spans="1:51" x14ac:dyDescent="0.2">
      <c r="A994" s="6" t="s">
        <v>17</v>
      </c>
      <c r="B994" t="s">
        <v>261</v>
      </c>
      <c r="C994" t="s">
        <v>262</v>
      </c>
      <c r="D994" t="s">
        <v>1445</v>
      </c>
      <c r="E994" s="2">
        <v>1234.57</v>
      </c>
      <c r="F994" s="3">
        <f>DATE(2024,5,3)</f>
        <v>45415</v>
      </c>
      <c r="G994" s="3">
        <f>DATE(2024,5,3)</f>
        <v>45415</v>
      </c>
      <c r="H994">
        <v>967897870</v>
      </c>
      <c r="I994" t="s">
        <v>20</v>
      </c>
      <c r="K994" t="s">
        <v>21</v>
      </c>
      <c r="L994" t="s">
        <v>22</v>
      </c>
      <c r="M994" t="s">
        <v>23</v>
      </c>
      <c r="N994" t="s">
        <v>23</v>
      </c>
      <c r="O994" t="s">
        <v>24</v>
      </c>
      <c r="P994" s="8" t="s">
        <v>1446</v>
      </c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</row>
    <row r="995" spans="1:51" x14ac:dyDescent="0.2">
      <c r="A995" s="6" t="s">
        <v>17</v>
      </c>
      <c r="B995" t="s">
        <v>611</v>
      </c>
      <c r="C995" t="s">
        <v>612</v>
      </c>
      <c r="D995" t="s">
        <v>1447</v>
      </c>
      <c r="E995" s="2">
        <v>708.11</v>
      </c>
      <c r="F995" s="3">
        <f>DATE(2024,4,30)</f>
        <v>45412</v>
      </c>
      <c r="G995" s="3">
        <f>DATE(2024,4,30)</f>
        <v>45412</v>
      </c>
      <c r="H995">
        <v>967897871</v>
      </c>
      <c r="I995" t="s">
        <v>20</v>
      </c>
      <c r="K995" t="s">
        <v>21</v>
      </c>
      <c r="L995" t="s">
        <v>22</v>
      </c>
      <c r="M995" t="s">
        <v>23</v>
      </c>
      <c r="N995" t="s">
        <v>23</v>
      </c>
      <c r="O995" t="s">
        <v>24</v>
      </c>
      <c r="P995" s="8" t="s">
        <v>1448</v>
      </c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</row>
    <row r="996" spans="1:51" x14ac:dyDescent="0.2">
      <c r="A996" s="6" t="s">
        <v>17</v>
      </c>
      <c r="B996" t="s">
        <v>104</v>
      </c>
      <c r="C996" t="s">
        <v>105</v>
      </c>
      <c r="D996" t="s">
        <v>1449</v>
      </c>
      <c r="E996" s="2">
        <v>891.39</v>
      </c>
      <c r="F996" s="3">
        <f>DATE(2024,5,6)</f>
        <v>45418</v>
      </c>
      <c r="G996" s="3">
        <f>DATE(2024,5,6)</f>
        <v>45418</v>
      </c>
      <c r="H996">
        <v>967897872</v>
      </c>
      <c r="I996" t="s">
        <v>20</v>
      </c>
      <c r="K996" t="s">
        <v>21</v>
      </c>
      <c r="L996" t="s">
        <v>22</v>
      </c>
      <c r="M996" t="s">
        <v>23</v>
      </c>
      <c r="N996" t="s">
        <v>23</v>
      </c>
      <c r="O996" t="s">
        <v>24</v>
      </c>
      <c r="P996" s="8" t="s">
        <v>1450</v>
      </c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</row>
    <row r="997" spans="1:51" x14ac:dyDescent="0.2">
      <c r="A997" s="6" t="s">
        <v>17</v>
      </c>
      <c r="B997" t="s">
        <v>57</v>
      </c>
      <c r="C997" t="s">
        <v>58</v>
      </c>
      <c r="D997" t="s">
        <v>1451</v>
      </c>
      <c r="E997" s="2">
        <v>131.93</v>
      </c>
      <c r="F997" s="3">
        <f>DATE(2024,6,14)</f>
        <v>45457</v>
      </c>
      <c r="G997" s="3">
        <f>DATE(2024,6,14)</f>
        <v>45457</v>
      </c>
      <c r="H997">
        <v>967897873</v>
      </c>
      <c r="I997" t="s">
        <v>20</v>
      </c>
      <c r="K997" t="s">
        <v>21</v>
      </c>
      <c r="L997" t="s">
        <v>22</v>
      </c>
      <c r="M997" t="s">
        <v>23</v>
      </c>
      <c r="N997" t="s">
        <v>23</v>
      </c>
      <c r="O997" t="s">
        <v>24</v>
      </c>
      <c r="P997" s="8" t="s">
        <v>1452</v>
      </c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</row>
    <row r="998" spans="1:51" x14ac:dyDescent="0.2">
      <c r="A998" s="6" t="s">
        <v>17</v>
      </c>
      <c r="B998" t="s">
        <v>137</v>
      </c>
      <c r="C998" t="s">
        <v>138</v>
      </c>
      <c r="D998" t="s">
        <v>1453</v>
      </c>
      <c r="E998" s="2">
        <v>3631.13</v>
      </c>
      <c r="F998" s="3">
        <f>DATE(2024,5,8)</f>
        <v>45420</v>
      </c>
      <c r="G998" s="3">
        <f>DATE(2024,5,8)</f>
        <v>45420</v>
      </c>
      <c r="H998">
        <v>967897874</v>
      </c>
      <c r="I998" t="s">
        <v>20</v>
      </c>
      <c r="K998" t="s">
        <v>21</v>
      </c>
      <c r="L998" t="s">
        <v>22</v>
      </c>
      <c r="M998" t="s">
        <v>23</v>
      </c>
      <c r="N998" t="s">
        <v>23</v>
      </c>
      <c r="O998" t="s">
        <v>24</v>
      </c>
      <c r="P998" s="8" t="s">
        <v>1454</v>
      </c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</row>
    <row r="999" spans="1:51" x14ac:dyDescent="0.2">
      <c r="A999" s="6" t="s">
        <v>17</v>
      </c>
      <c r="B999" t="s">
        <v>34</v>
      </c>
      <c r="C999" t="s">
        <v>35</v>
      </c>
      <c r="D999" t="s">
        <v>98</v>
      </c>
      <c r="E999" s="2">
        <v>500</v>
      </c>
      <c r="F999" s="3">
        <f>DATE(2024,6,7)</f>
        <v>45450</v>
      </c>
      <c r="G999" s="3">
        <f>DATE(2024,6,7)</f>
        <v>45450</v>
      </c>
      <c r="H999">
        <v>967897875</v>
      </c>
      <c r="I999" t="s">
        <v>20</v>
      </c>
      <c r="K999" t="s">
        <v>21</v>
      </c>
      <c r="L999" t="s">
        <v>22</v>
      </c>
      <c r="M999" t="s">
        <v>23</v>
      </c>
      <c r="N999" t="s">
        <v>23</v>
      </c>
      <c r="O999" t="s">
        <v>24</v>
      </c>
      <c r="P999" s="8" t="s">
        <v>1455</v>
      </c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</row>
    <row r="1000" spans="1:51" x14ac:dyDescent="0.2">
      <c r="A1000" s="6" t="s">
        <v>17</v>
      </c>
      <c r="B1000" t="s">
        <v>44</v>
      </c>
      <c r="C1000" t="s">
        <v>45</v>
      </c>
      <c r="D1000" t="s">
        <v>1456</v>
      </c>
      <c r="E1000" s="2">
        <v>228.08</v>
      </c>
      <c r="F1000" s="3">
        <f>DATE(2024,7,1)</f>
        <v>45474</v>
      </c>
      <c r="G1000" s="3">
        <f>DATE(2024,7,1)</f>
        <v>45474</v>
      </c>
      <c r="H1000">
        <v>967897876</v>
      </c>
      <c r="I1000" t="s">
        <v>20</v>
      </c>
      <c r="K1000" t="s">
        <v>21</v>
      </c>
      <c r="L1000" t="s">
        <v>22</v>
      </c>
      <c r="M1000" t="s">
        <v>23</v>
      </c>
      <c r="N1000" t="s">
        <v>23</v>
      </c>
      <c r="O1000" t="s">
        <v>24</v>
      </c>
      <c r="P1000" s="8" t="s">
        <v>1457</v>
      </c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</row>
    <row r="1001" spans="1:51" x14ac:dyDescent="0.2">
      <c r="A1001" s="6" t="s">
        <v>17</v>
      </c>
      <c r="B1001" t="s">
        <v>34</v>
      </c>
      <c r="C1001" t="s">
        <v>35</v>
      </c>
      <c r="D1001" t="s">
        <v>1458</v>
      </c>
      <c r="E1001" s="2">
        <v>102.16</v>
      </c>
      <c r="F1001" s="3">
        <f>DATE(2024,5,2)</f>
        <v>45414</v>
      </c>
      <c r="G1001" s="3">
        <f>DATE(2024,5,2)</f>
        <v>45414</v>
      </c>
      <c r="H1001">
        <v>967897877</v>
      </c>
      <c r="I1001" t="s">
        <v>20</v>
      </c>
      <c r="K1001" t="s">
        <v>21</v>
      </c>
      <c r="L1001" t="s">
        <v>22</v>
      </c>
      <c r="M1001" t="s">
        <v>23</v>
      </c>
      <c r="N1001" t="s">
        <v>23</v>
      </c>
      <c r="O1001" t="s">
        <v>24</v>
      </c>
      <c r="P1001" s="8" t="s">
        <v>1459</v>
      </c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</row>
    <row r="1002" spans="1:51" hidden="1" x14ac:dyDescent="0.2">
      <c r="A1002" s="6"/>
      <c r="E1002" s="2"/>
      <c r="F1002" s="3"/>
      <c r="G1002" s="3"/>
      <c r="P1002" s="8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</row>
    <row r="1003" spans="1:51" x14ac:dyDescent="0.2">
      <c r="A1003" s="6" t="s">
        <v>17</v>
      </c>
      <c r="B1003" t="s">
        <v>104</v>
      </c>
      <c r="C1003" t="s">
        <v>105</v>
      </c>
      <c r="D1003" t="s">
        <v>1460</v>
      </c>
      <c r="E1003" s="2">
        <v>584.96</v>
      </c>
      <c r="F1003" s="3">
        <f>DATE(2024,4,18)</f>
        <v>45400</v>
      </c>
      <c r="G1003" s="3">
        <f>DATE(2024,4,18)</f>
        <v>45400</v>
      </c>
      <c r="H1003">
        <v>967897879</v>
      </c>
      <c r="I1003" t="s">
        <v>20</v>
      </c>
      <c r="K1003" t="s">
        <v>21</v>
      </c>
      <c r="L1003" t="s">
        <v>22</v>
      </c>
      <c r="M1003" t="s">
        <v>23</v>
      </c>
      <c r="N1003" t="s">
        <v>23</v>
      </c>
      <c r="O1003" t="s">
        <v>24</v>
      </c>
      <c r="P1003" s="8" t="s">
        <v>1461</v>
      </c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</row>
    <row r="1004" spans="1:51" x14ac:dyDescent="0.2">
      <c r="A1004" s="6" t="s">
        <v>17</v>
      </c>
      <c r="B1004" t="s">
        <v>34</v>
      </c>
      <c r="C1004" t="s">
        <v>35</v>
      </c>
      <c r="D1004" t="s">
        <v>1462</v>
      </c>
      <c r="E1004" s="2">
        <v>143.30000000000001</v>
      </c>
      <c r="F1004" s="3">
        <f>DATE(2024,6,10)</f>
        <v>45453</v>
      </c>
      <c r="G1004" s="3">
        <f>DATE(2024,6,10)</f>
        <v>45453</v>
      </c>
      <c r="H1004">
        <v>967897880</v>
      </c>
      <c r="I1004" t="s">
        <v>20</v>
      </c>
      <c r="K1004" t="s">
        <v>21</v>
      </c>
      <c r="L1004" t="s">
        <v>22</v>
      </c>
      <c r="M1004" t="s">
        <v>23</v>
      </c>
      <c r="N1004" t="s">
        <v>23</v>
      </c>
      <c r="O1004" t="s">
        <v>24</v>
      </c>
      <c r="P1004" s="8" t="s">
        <v>1463</v>
      </c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</row>
    <row r="1005" spans="1:51" x14ac:dyDescent="0.2">
      <c r="A1005" s="6" t="s">
        <v>17</v>
      </c>
      <c r="B1005" t="s">
        <v>110</v>
      </c>
      <c r="C1005" t="s">
        <v>111</v>
      </c>
      <c r="D1005" t="s">
        <v>1464</v>
      </c>
      <c r="E1005" s="2">
        <v>189</v>
      </c>
      <c r="F1005" s="3">
        <f>DATE(2024,6,13)</f>
        <v>45456</v>
      </c>
      <c r="G1005" s="3">
        <f>DATE(2024,6,13)</f>
        <v>45456</v>
      </c>
      <c r="H1005">
        <v>967897881</v>
      </c>
      <c r="I1005" t="s">
        <v>20</v>
      </c>
      <c r="K1005" t="s">
        <v>21</v>
      </c>
      <c r="L1005" t="s">
        <v>22</v>
      </c>
      <c r="M1005" t="s">
        <v>23</v>
      </c>
      <c r="N1005" t="s">
        <v>23</v>
      </c>
      <c r="O1005" t="s">
        <v>24</v>
      </c>
      <c r="P1005" s="8" t="s">
        <v>1465</v>
      </c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</row>
    <row r="1006" spans="1:51" hidden="1" x14ac:dyDescent="0.2">
      <c r="A1006" s="6"/>
      <c r="E1006" s="2"/>
      <c r="F1006" s="3"/>
      <c r="G1006" s="3"/>
      <c r="P1006" s="8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</row>
    <row r="1007" spans="1:51" x14ac:dyDescent="0.2">
      <c r="A1007" s="6" t="s">
        <v>17</v>
      </c>
      <c r="B1007" t="s">
        <v>363</v>
      </c>
      <c r="C1007" t="s">
        <v>364</v>
      </c>
      <c r="D1007" t="s">
        <v>1466</v>
      </c>
      <c r="E1007" s="2">
        <v>55</v>
      </c>
      <c r="F1007" s="3">
        <f>DATE(2024,7,1)</f>
        <v>45474</v>
      </c>
      <c r="G1007" s="3">
        <f>DATE(2024,7,1)</f>
        <v>45474</v>
      </c>
      <c r="H1007">
        <v>967897883</v>
      </c>
      <c r="I1007" t="s">
        <v>20</v>
      </c>
      <c r="K1007" t="s">
        <v>21</v>
      </c>
      <c r="L1007" t="s">
        <v>22</v>
      </c>
      <c r="M1007" t="s">
        <v>23</v>
      </c>
      <c r="N1007" t="s">
        <v>23</v>
      </c>
      <c r="O1007" t="s">
        <v>24</v>
      </c>
      <c r="P1007" s="8" t="s">
        <v>1467</v>
      </c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</row>
    <row r="1008" spans="1:51" x14ac:dyDescent="0.2">
      <c r="A1008" s="6" t="s">
        <v>17</v>
      </c>
      <c r="B1008" t="s">
        <v>183</v>
      </c>
      <c r="C1008" t="s">
        <v>184</v>
      </c>
      <c r="D1008" t="s">
        <v>1468</v>
      </c>
      <c r="E1008" s="2">
        <v>13755</v>
      </c>
      <c r="F1008" s="3">
        <f>DATE(2024,5,16)</f>
        <v>45428</v>
      </c>
      <c r="G1008" s="3">
        <f>DATE(2024,5,16)</f>
        <v>45428</v>
      </c>
      <c r="H1008">
        <v>967897884</v>
      </c>
      <c r="I1008" t="s">
        <v>20</v>
      </c>
      <c r="K1008" t="s">
        <v>21</v>
      </c>
      <c r="L1008" t="s">
        <v>22</v>
      </c>
      <c r="M1008" t="s">
        <v>23</v>
      </c>
      <c r="N1008" t="s">
        <v>23</v>
      </c>
      <c r="O1008" t="s">
        <v>24</v>
      </c>
      <c r="P1008" s="8" t="s">
        <v>1469</v>
      </c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</row>
    <row r="1009" spans="1:51" x14ac:dyDescent="0.2">
      <c r="A1009" s="6" t="s">
        <v>17</v>
      </c>
      <c r="B1009" t="s">
        <v>34</v>
      </c>
      <c r="C1009" t="s">
        <v>35</v>
      </c>
      <c r="D1009" t="s">
        <v>1470</v>
      </c>
      <c r="E1009" s="2">
        <v>1243.2</v>
      </c>
      <c r="F1009" s="3">
        <f>DATE(2024,6,19)</f>
        <v>45462</v>
      </c>
      <c r="G1009" s="3">
        <f>DATE(2024,6,19)</f>
        <v>45462</v>
      </c>
      <c r="H1009">
        <v>967897885</v>
      </c>
      <c r="I1009" t="s">
        <v>20</v>
      </c>
      <c r="K1009" t="s">
        <v>21</v>
      </c>
      <c r="L1009" t="s">
        <v>22</v>
      </c>
      <c r="M1009" t="s">
        <v>23</v>
      </c>
      <c r="N1009" t="s">
        <v>23</v>
      </c>
      <c r="O1009" t="s">
        <v>24</v>
      </c>
      <c r="P1009" s="8" t="s">
        <v>1471</v>
      </c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</row>
    <row r="1010" spans="1:51" hidden="1" x14ac:dyDescent="0.2">
      <c r="A1010" s="6"/>
      <c r="E1010" s="2"/>
      <c r="F1010" s="3"/>
      <c r="G1010" s="3"/>
      <c r="P1010" s="8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</row>
    <row r="1011" spans="1:51" hidden="1" x14ac:dyDescent="0.2">
      <c r="A1011" s="6"/>
      <c r="E1011" s="2"/>
      <c r="F1011" s="3"/>
      <c r="G1011" s="3"/>
      <c r="P1011" s="8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</row>
    <row r="1012" spans="1:51" x14ac:dyDescent="0.2">
      <c r="A1012" s="6" t="s">
        <v>17</v>
      </c>
      <c r="B1012" t="s">
        <v>137</v>
      </c>
      <c r="C1012" t="s">
        <v>138</v>
      </c>
      <c r="D1012" t="s">
        <v>1472</v>
      </c>
      <c r="E1012" s="2">
        <v>360</v>
      </c>
      <c r="F1012" s="3">
        <f>DATE(2024,6,4)</f>
        <v>45447</v>
      </c>
      <c r="G1012" s="3">
        <f>DATE(2024,6,4)</f>
        <v>45447</v>
      </c>
      <c r="H1012">
        <v>967897888</v>
      </c>
      <c r="I1012" t="s">
        <v>20</v>
      </c>
      <c r="K1012" t="s">
        <v>21</v>
      </c>
      <c r="L1012" t="s">
        <v>22</v>
      </c>
      <c r="M1012" t="s">
        <v>23</v>
      </c>
      <c r="N1012" t="s">
        <v>23</v>
      </c>
      <c r="O1012" t="s">
        <v>24</v>
      </c>
      <c r="P1012" s="8" t="s">
        <v>1473</v>
      </c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</row>
    <row r="1013" spans="1:51" x14ac:dyDescent="0.2">
      <c r="A1013" s="6" t="s">
        <v>17</v>
      </c>
      <c r="B1013" t="s">
        <v>104</v>
      </c>
      <c r="C1013" t="s">
        <v>105</v>
      </c>
      <c r="D1013" t="s">
        <v>1474</v>
      </c>
      <c r="E1013" s="2">
        <v>296.04000000000002</v>
      </c>
      <c r="F1013" s="3">
        <f>DATE(2024,5,13)</f>
        <v>45425</v>
      </c>
      <c r="G1013" s="3">
        <f>DATE(2024,5,13)</f>
        <v>45425</v>
      </c>
      <c r="H1013">
        <v>967897889</v>
      </c>
      <c r="I1013" t="s">
        <v>20</v>
      </c>
      <c r="K1013" t="s">
        <v>21</v>
      </c>
      <c r="L1013" t="s">
        <v>22</v>
      </c>
      <c r="M1013" t="s">
        <v>23</v>
      </c>
      <c r="N1013" t="s">
        <v>23</v>
      </c>
      <c r="O1013" t="s">
        <v>24</v>
      </c>
      <c r="P1013" s="8" t="s">
        <v>1475</v>
      </c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</row>
    <row r="1014" spans="1:51" x14ac:dyDescent="0.2">
      <c r="A1014" s="6" t="s">
        <v>17</v>
      </c>
      <c r="B1014" t="s">
        <v>57</v>
      </c>
      <c r="C1014" t="s">
        <v>58</v>
      </c>
      <c r="D1014" t="s">
        <v>1476</v>
      </c>
      <c r="E1014" s="2">
        <v>260.23</v>
      </c>
      <c r="F1014" s="3">
        <f>DATE(2024,5,6)</f>
        <v>45418</v>
      </c>
      <c r="G1014" s="3">
        <f>DATE(2024,5,6)</f>
        <v>45418</v>
      </c>
      <c r="H1014">
        <v>967897890</v>
      </c>
      <c r="I1014" t="s">
        <v>20</v>
      </c>
      <c r="K1014" t="s">
        <v>21</v>
      </c>
      <c r="L1014" t="s">
        <v>22</v>
      </c>
      <c r="M1014" t="s">
        <v>23</v>
      </c>
      <c r="N1014" t="s">
        <v>23</v>
      </c>
      <c r="O1014" t="s">
        <v>24</v>
      </c>
      <c r="P1014" s="8" t="s">
        <v>1477</v>
      </c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</row>
    <row r="1015" spans="1:51" hidden="1" x14ac:dyDescent="0.2">
      <c r="A1015" s="6"/>
      <c r="E1015" s="2"/>
      <c r="F1015" s="3"/>
      <c r="G1015" s="3"/>
      <c r="P1015" s="8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</row>
    <row r="1016" spans="1:51" x14ac:dyDescent="0.2">
      <c r="A1016" s="6" t="s">
        <v>17</v>
      </c>
      <c r="B1016" t="s">
        <v>611</v>
      </c>
      <c r="C1016" t="s">
        <v>612</v>
      </c>
      <c r="D1016" t="s">
        <v>1478</v>
      </c>
      <c r="E1016" s="2">
        <v>2042.61</v>
      </c>
      <c r="F1016" s="3">
        <f>DATE(2024,5,31)</f>
        <v>45443</v>
      </c>
      <c r="G1016" s="3">
        <f>DATE(2024,5,31)</f>
        <v>45443</v>
      </c>
      <c r="H1016">
        <v>967897892</v>
      </c>
      <c r="I1016" t="s">
        <v>20</v>
      </c>
      <c r="K1016" t="s">
        <v>21</v>
      </c>
      <c r="L1016" t="s">
        <v>22</v>
      </c>
      <c r="M1016" t="s">
        <v>23</v>
      </c>
      <c r="N1016" t="s">
        <v>23</v>
      </c>
      <c r="O1016" t="s">
        <v>24</v>
      </c>
      <c r="P1016" s="8" t="s">
        <v>1479</v>
      </c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</row>
    <row r="1017" spans="1:51" hidden="1" x14ac:dyDescent="0.2">
      <c r="A1017" s="6"/>
      <c r="E1017" s="2"/>
      <c r="F1017" s="3"/>
      <c r="G1017" s="3"/>
      <c r="P1017" s="8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</row>
    <row r="1018" spans="1:51" x14ac:dyDescent="0.2">
      <c r="A1018" s="6" t="s">
        <v>17</v>
      </c>
      <c r="B1018" t="s">
        <v>674</v>
      </c>
      <c r="C1018" t="s">
        <v>675</v>
      </c>
      <c r="D1018" t="s">
        <v>1480</v>
      </c>
      <c r="E1018" s="2">
        <v>2159.83</v>
      </c>
      <c r="F1018" s="3">
        <f>DATE(2024,5,20)</f>
        <v>45432</v>
      </c>
      <c r="G1018" s="3">
        <f>DATE(2024,5,20)</f>
        <v>45432</v>
      </c>
      <c r="H1018">
        <v>967897894</v>
      </c>
      <c r="I1018" t="s">
        <v>20</v>
      </c>
      <c r="K1018" t="s">
        <v>21</v>
      </c>
      <c r="L1018" t="s">
        <v>22</v>
      </c>
      <c r="M1018" t="s">
        <v>23</v>
      </c>
      <c r="N1018" t="s">
        <v>23</v>
      </c>
      <c r="O1018" t="s">
        <v>24</v>
      </c>
      <c r="P1018" s="8" t="s">
        <v>1481</v>
      </c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</row>
    <row r="1019" spans="1:51" x14ac:dyDescent="0.2">
      <c r="A1019" s="6" t="s">
        <v>17</v>
      </c>
      <c r="B1019" t="s">
        <v>674</v>
      </c>
      <c r="C1019" t="s">
        <v>675</v>
      </c>
      <c r="D1019" t="s">
        <v>1482</v>
      </c>
      <c r="E1019" s="2">
        <v>1008.02</v>
      </c>
      <c r="F1019" s="3">
        <f>DATE(2024,4,30)</f>
        <v>45412</v>
      </c>
      <c r="G1019" s="3">
        <f>DATE(2024,4,30)</f>
        <v>45412</v>
      </c>
      <c r="H1019">
        <v>967897895</v>
      </c>
      <c r="I1019" t="s">
        <v>20</v>
      </c>
      <c r="K1019" t="s">
        <v>21</v>
      </c>
      <c r="L1019" t="s">
        <v>22</v>
      </c>
      <c r="M1019" t="s">
        <v>23</v>
      </c>
      <c r="N1019" t="s">
        <v>23</v>
      </c>
      <c r="O1019" t="s">
        <v>24</v>
      </c>
      <c r="P1019" s="8" t="s">
        <v>1483</v>
      </c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</row>
    <row r="1020" spans="1:51" hidden="1" x14ac:dyDescent="0.2">
      <c r="A1020" s="6"/>
      <c r="E1020" s="2"/>
      <c r="F1020" s="3"/>
      <c r="G1020" s="3"/>
      <c r="P1020" s="8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</row>
    <row r="1021" spans="1:51" x14ac:dyDescent="0.2">
      <c r="A1021" s="6" t="s">
        <v>17</v>
      </c>
      <c r="B1021" t="s">
        <v>191</v>
      </c>
      <c r="C1021" t="s">
        <v>192</v>
      </c>
      <c r="D1021" t="s">
        <v>1484</v>
      </c>
      <c r="E1021" s="2">
        <v>600</v>
      </c>
      <c r="F1021" s="3">
        <f>DATE(2024,4,26)</f>
        <v>45408</v>
      </c>
      <c r="G1021" s="3">
        <f>DATE(2024,4,26)</f>
        <v>45408</v>
      </c>
      <c r="H1021">
        <v>967897897</v>
      </c>
      <c r="I1021" t="s">
        <v>20</v>
      </c>
      <c r="K1021" t="s">
        <v>21</v>
      </c>
      <c r="L1021" t="s">
        <v>22</v>
      </c>
      <c r="M1021" t="s">
        <v>23</v>
      </c>
      <c r="N1021" t="s">
        <v>23</v>
      </c>
      <c r="O1021" t="s">
        <v>24</v>
      </c>
      <c r="P1021" s="8" t="s">
        <v>1485</v>
      </c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</row>
    <row r="1022" spans="1:51" x14ac:dyDescent="0.2">
      <c r="A1022" s="6" t="s">
        <v>17</v>
      </c>
      <c r="B1022" t="s">
        <v>18</v>
      </c>
      <c r="C1022" t="s">
        <v>18</v>
      </c>
      <c r="D1022" t="s">
        <v>1486</v>
      </c>
      <c r="E1022" s="2">
        <v>0.99</v>
      </c>
      <c r="F1022" s="3">
        <f>DATE(2024,5,27)</f>
        <v>45439</v>
      </c>
      <c r="G1022" s="3">
        <f>DATE(2024,5,27)</f>
        <v>45439</v>
      </c>
      <c r="H1022">
        <v>967897898</v>
      </c>
      <c r="I1022" t="s">
        <v>20</v>
      </c>
      <c r="K1022" t="s">
        <v>21</v>
      </c>
      <c r="L1022" t="s">
        <v>22</v>
      </c>
      <c r="M1022" t="s">
        <v>23</v>
      </c>
      <c r="N1022" t="s">
        <v>23</v>
      </c>
      <c r="O1022" t="s">
        <v>24</v>
      </c>
      <c r="P1022" s="8" t="s">
        <v>1487</v>
      </c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</row>
    <row r="1023" spans="1:51" x14ac:dyDescent="0.2">
      <c r="A1023" s="6" t="s">
        <v>17</v>
      </c>
      <c r="B1023" t="s">
        <v>1046</v>
      </c>
      <c r="C1023" t="s">
        <v>1047</v>
      </c>
      <c r="D1023" t="s">
        <v>1488</v>
      </c>
      <c r="E1023" s="2">
        <v>926.65</v>
      </c>
      <c r="F1023" s="3">
        <f>DATE(2024,4,29)</f>
        <v>45411</v>
      </c>
      <c r="G1023" s="3">
        <f>DATE(2024,4,29)</f>
        <v>45411</v>
      </c>
      <c r="H1023">
        <v>967897899</v>
      </c>
      <c r="I1023" t="s">
        <v>20</v>
      </c>
      <c r="K1023" t="s">
        <v>21</v>
      </c>
      <c r="L1023" t="s">
        <v>22</v>
      </c>
      <c r="M1023" t="s">
        <v>23</v>
      </c>
      <c r="N1023" t="s">
        <v>23</v>
      </c>
      <c r="O1023" t="s">
        <v>24</v>
      </c>
      <c r="P1023" s="8" t="s">
        <v>1489</v>
      </c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</row>
    <row r="1024" spans="1:51" hidden="1" x14ac:dyDescent="0.2">
      <c r="A1024" s="6"/>
      <c r="E1024" s="2"/>
      <c r="F1024" s="3"/>
      <c r="G1024" s="3"/>
      <c r="P1024" s="8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</row>
    <row r="1025" spans="1:51" x14ac:dyDescent="0.2">
      <c r="A1025" s="6" t="s">
        <v>17</v>
      </c>
      <c r="B1025" t="s">
        <v>104</v>
      </c>
      <c r="C1025" t="s">
        <v>105</v>
      </c>
      <c r="D1025" t="s">
        <v>1490</v>
      </c>
      <c r="E1025" s="2">
        <v>104.01</v>
      </c>
      <c r="F1025" s="3">
        <f>DATE(2024,5,24)</f>
        <v>45436</v>
      </c>
      <c r="G1025" s="3">
        <f>DATE(2024,5,24)</f>
        <v>45436</v>
      </c>
      <c r="H1025">
        <v>967897901</v>
      </c>
      <c r="I1025" t="s">
        <v>20</v>
      </c>
      <c r="K1025" t="s">
        <v>21</v>
      </c>
      <c r="L1025" t="s">
        <v>22</v>
      </c>
      <c r="M1025" t="s">
        <v>23</v>
      </c>
      <c r="N1025" t="s">
        <v>23</v>
      </c>
      <c r="O1025" t="s">
        <v>24</v>
      </c>
      <c r="P1025" s="8" t="s">
        <v>1491</v>
      </c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</row>
    <row r="1026" spans="1:51" x14ac:dyDescent="0.2">
      <c r="A1026" s="6" t="s">
        <v>17</v>
      </c>
      <c r="B1026" t="s">
        <v>44</v>
      </c>
      <c r="C1026" t="s">
        <v>45</v>
      </c>
      <c r="D1026" t="s">
        <v>1492</v>
      </c>
      <c r="E1026" s="2">
        <v>1702.86</v>
      </c>
      <c r="F1026" s="3">
        <f>DATE(2024,4,30)</f>
        <v>45412</v>
      </c>
      <c r="G1026" s="3">
        <f>DATE(2024,4,30)</f>
        <v>45412</v>
      </c>
      <c r="H1026">
        <v>967897902</v>
      </c>
      <c r="I1026" t="s">
        <v>20</v>
      </c>
      <c r="K1026" t="s">
        <v>21</v>
      </c>
      <c r="L1026" t="s">
        <v>22</v>
      </c>
      <c r="M1026" t="s">
        <v>23</v>
      </c>
      <c r="N1026" t="s">
        <v>23</v>
      </c>
      <c r="O1026" t="s">
        <v>24</v>
      </c>
      <c r="P1026" s="8" t="s">
        <v>1493</v>
      </c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</row>
    <row r="1027" spans="1:51" x14ac:dyDescent="0.2">
      <c r="A1027" s="6" t="s">
        <v>17</v>
      </c>
      <c r="B1027" t="s">
        <v>57</v>
      </c>
      <c r="C1027" t="s">
        <v>58</v>
      </c>
      <c r="D1027" t="s">
        <v>1494</v>
      </c>
      <c r="E1027" s="2">
        <v>47.98</v>
      </c>
      <c r="F1027" s="3">
        <f>DATE(2024,4,15)</f>
        <v>45397</v>
      </c>
      <c r="G1027" s="3">
        <f>DATE(2024,4,15)</f>
        <v>45397</v>
      </c>
      <c r="H1027">
        <v>967897903</v>
      </c>
      <c r="I1027" t="s">
        <v>20</v>
      </c>
      <c r="K1027" t="s">
        <v>21</v>
      </c>
      <c r="L1027" t="s">
        <v>22</v>
      </c>
      <c r="M1027" t="s">
        <v>23</v>
      </c>
      <c r="N1027" t="s">
        <v>23</v>
      </c>
      <c r="O1027" t="s">
        <v>24</v>
      </c>
      <c r="P1027" s="8" t="s">
        <v>1495</v>
      </c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</row>
    <row r="1028" spans="1:51" hidden="1" x14ac:dyDescent="0.2">
      <c r="A1028" s="6"/>
      <c r="E1028" s="2"/>
      <c r="F1028" s="3"/>
      <c r="G1028" s="3"/>
      <c r="P1028" s="8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</row>
    <row r="1029" spans="1:51" x14ac:dyDescent="0.2">
      <c r="A1029" s="6" t="s">
        <v>17</v>
      </c>
      <c r="B1029" t="s">
        <v>1496</v>
      </c>
      <c r="C1029" t="s">
        <v>1497</v>
      </c>
      <c r="D1029" t="s">
        <v>1498</v>
      </c>
      <c r="E1029" s="2">
        <v>3502</v>
      </c>
      <c r="F1029" s="3">
        <f>DATE(2024,6,27)</f>
        <v>45470</v>
      </c>
      <c r="G1029" s="3">
        <f>DATE(2024,6,27)</f>
        <v>45470</v>
      </c>
      <c r="H1029">
        <v>967897905</v>
      </c>
      <c r="I1029" t="s">
        <v>20</v>
      </c>
      <c r="K1029" t="s">
        <v>21</v>
      </c>
      <c r="L1029" t="s">
        <v>22</v>
      </c>
      <c r="M1029" t="s">
        <v>23</v>
      </c>
      <c r="N1029" t="s">
        <v>23</v>
      </c>
      <c r="O1029" t="s">
        <v>24</v>
      </c>
      <c r="P1029" s="8" t="s">
        <v>1499</v>
      </c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</row>
    <row r="1030" spans="1:51" x14ac:dyDescent="0.2">
      <c r="A1030" s="6" t="s">
        <v>17</v>
      </c>
      <c r="B1030" t="s">
        <v>104</v>
      </c>
      <c r="C1030" t="s">
        <v>105</v>
      </c>
      <c r="D1030" t="s">
        <v>1500</v>
      </c>
      <c r="E1030" s="2">
        <v>387.16</v>
      </c>
      <c r="F1030" s="3">
        <f>DATE(2024,7,4)</f>
        <v>45477</v>
      </c>
      <c r="G1030" s="3">
        <f>DATE(2024,7,4)</f>
        <v>45477</v>
      </c>
      <c r="H1030">
        <v>967897906</v>
      </c>
      <c r="I1030" t="s">
        <v>20</v>
      </c>
      <c r="K1030" t="s">
        <v>21</v>
      </c>
      <c r="L1030" t="s">
        <v>22</v>
      </c>
      <c r="M1030" t="s">
        <v>23</v>
      </c>
      <c r="N1030" t="s">
        <v>23</v>
      </c>
      <c r="O1030" t="s">
        <v>24</v>
      </c>
      <c r="P1030" s="8" t="s">
        <v>1501</v>
      </c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</row>
    <row r="1031" spans="1:51" x14ac:dyDescent="0.2">
      <c r="A1031" s="6" t="s">
        <v>17</v>
      </c>
      <c r="B1031" t="s">
        <v>110</v>
      </c>
      <c r="C1031" t="s">
        <v>111</v>
      </c>
      <c r="D1031" t="s">
        <v>1502</v>
      </c>
      <c r="E1031" s="2">
        <v>69.84</v>
      </c>
      <c r="F1031" s="3">
        <f>DATE(2024,4,29)</f>
        <v>45411</v>
      </c>
      <c r="G1031" s="3">
        <f>DATE(2024,4,29)</f>
        <v>45411</v>
      </c>
      <c r="H1031">
        <v>967897907</v>
      </c>
      <c r="I1031" t="s">
        <v>20</v>
      </c>
      <c r="K1031" t="s">
        <v>21</v>
      </c>
      <c r="L1031" t="s">
        <v>22</v>
      </c>
      <c r="M1031" t="s">
        <v>23</v>
      </c>
      <c r="N1031" t="s">
        <v>23</v>
      </c>
      <c r="O1031" t="s">
        <v>24</v>
      </c>
      <c r="P1031" s="8" t="s">
        <v>1503</v>
      </c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</row>
    <row r="1032" spans="1:51" x14ac:dyDescent="0.2">
      <c r="A1032" s="6" t="s">
        <v>17</v>
      </c>
      <c r="B1032" t="s">
        <v>30</v>
      </c>
      <c r="C1032" t="s">
        <v>31</v>
      </c>
      <c r="D1032" t="s">
        <v>1504</v>
      </c>
      <c r="E1032" s="2">
        <v>1143.52</v>
      </c>
      <c r="F1032" s="3">
        <f>DATE(2024,4,9)</f>
        <v>45391</v>
      </c>
      <c r="G1032" s="3">
        <f>DATE(2024,4,9)</f>
        <v>45391</v>
      </c>
      <c r="H1032">
        <v>967899701</v>
      </c>
      <c r="I1032" t="s">
        <v>20</v>
      </c>
      <c r="K1032" t="s">
        <v>21</v>
      </c>
      <c r="L1032" t="s">
        <v>22</v>
      </c>
      <c r="M1032" t="s">
        <v>23</v>
      </c>
      <c r="N1032" t="s">
        <v>23</v>
      </c>
      <c r="O1032" t="s">
        <v>24</v>
      </c>
      <c r="P1032" s="8" t="s">
        <v>1505</v>
      </c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</row>
    <row r="1033" spans="1:51" x14ac:dyDescent="0.2">
      <c r="A1033" s="6" t="s">
        <v>17</v>
      </c>
      <c r="B1033" t="s">
        <v>30</v>
      </c>
      <c r="C1033" t="s">
        <v>31</v>
      </c>
      <c r="D1033" t="s">
        <v>1506</v>
      </c>
      <c r="E1033" s="2">
        <v>871.08</v>
      </c>
      <c r="F1033" s="3">
        <f>DATE(2024,4,9)</f>
        <v>45391</v>
      </c>
      <c r="G1033" s="3">
        <f>DATE(2024,4,9)</f>
        <v>45391</v>
      </c>
      <c r="H1033">
        <v>967899702</v>
      </c>
      <c r="I1033" t="s">
        <v>20</v>
      </c>
      <c r="K1033" t="s">
        <v>21</v>
      </c>
      <c r="L1033" t="s">
        <v>22</v>
      </c>
      <c r="M1033" t="s">
        <v>23</v>
      </c>
      <c r="N1033" t="s">
        <v>23</v>
      </c>
      <c r="O1033" t="s">
        <v>24</v>
      </c>
      <c r="P1033" s="8" t="s">
        <v>1507</v>
      </c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</row>
    <row r="1034" spans="1:51" hidden="1" x14ac:dyDescent="0.2">
      <c r="A1034" s="6"/>
      <c r="E1034" s="2"/>
      <c r="F1034" s="3"/>
      <c r="G1034" s="3"/>
      <c r="P1034" s="8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</row>
    <row r="1035" spans="1:51" x14ac:dyDescent="0.2">
      <c r="A1035" s="6" t="s">
        <v>17</v>
      </c>
      <c r="B1035" t="s">
        <v>57</v>
      </c>
      <c r="C1035" t="s">
        <v>58</v>
      </c>
      <c r="D1035" t="s">
        <v>1508</v>
      </c>
      <c r="E1035" s="2">
        <v>96</v>
      </c>
      <c r="F1035" s="3">
        <f>DATE(2024,5,24)</f>
        <v>45436</v>
      </c>
      <c r="G1035" s="3">
        <f>DATE(2024,5,24)</f>
        <v>45436</v>
      </c>
      <c r="H1035">
        <v>967899704</v>
      </c>
      <c r="I1035" t="s">
        <v>20</v>
      </c>
      <c r="K1035" t="s">
        <v>21</v>
      </c>
      <c r="L1035" t="s">
        <v>22</v>
      </c>
      <c r="M1035" t="s">
        <v>23</v>
      </c>
      <c r="N1035" t="s">
        <v>23</v>
      </c>
      <c r="O1035" t="s">
        <v>24</v>
      </c>
      <c r="P1035" s="8" t="s">
        <v>1509</v>
      </c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</row>
    <row r="1036" spans="1:51" x14ac:dyDescent="0.2">
      <c r="A1036" s="6" t="s">
        <v>17</v>
      </c>
      <c r="B1036" t="s">
        <v>191</v>
      </c>
      <c r="C1036" t="s">
        <v>192</v>
      </c>
      <c r="D1036" t="s">
        <v>1510</v>
      </c>
      <c r="E1036" s="2">
        <v>6314.55</v>
      </c>
      <c r="F1036" s="3">
        <f>DATE(2024,5,10)</f>
        <v>45422</v>
      </c>
      <c r="G1036" s="3">
        <f>DATE(2024,5,10)</f>
        <v>45422</v>
      </c>
      <c r="H1036">
        <v>967899705</v>
      </c>
      <c r="I1036" t="s">
        <v>20</v>
      </c>
      <c r="K1036" t="s">
        <v>21</v>
      </c>
      <c r="L1036" t="s">
        <v>22</v>
      </c>
      <c r="M1036" t="s">
        <v>23</v>
      </c>
      <c r="N1036" t="s">
        <v>23</v>
      </c>
      <c r="O1036" t="s">
        <v>24</v>
      </c>
      <c r="P1036" s="8" t="s">
        <v>1511</v>
      </c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</row>
    <row r="1037" spans="1:51" hidden="1" x14ac:dyDescent="0.2">
      <c r="A1037" s="6"/>
      <c r="E1037" s="2"/>
      <c r="F1037" s="3"/>
      <c r="G1037" s="3"/>
      <c r="P1037" s="8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</row>
    <row r="1038" spans="1:51" x14ac:dyDescent="0.2">
      <c r="A1038" s="6" t="s">
        <v>17</v>
      </c>
      <c r="B1038" t="s">
        <v>110</v>
      </c>
      <c r="C1038" t="s">
        <v>111</v>
      </c>
      <c r="D1038" t="s">
        <v>1512</v>
      </c>
      <c r="E1038" s="2">
        <v>36.26</v>
      </c>
      <c r="F1038" s="3">
        <f>DATE(2024,6,13)</f>
        <v>45456</v>
      </c>
      <c r="G1038" s="3">
        <f>DATE(2024,6,13)</f>
        <v>45456</v>
      </c>
      <c r="H1038">
        <v>967899707</v>
      </c>
      <c r="I1038" t="s">
        <v>20</v>
      </c>
      <c r="K1038" t="s">
        <v>21</v>
      </c>
      <c r="L1038" t="s">
        <v>22</v>
      </c>
      <c r="M1038" t="s">
        <v>23</v>
      </c>
      <c r="N1038" t="s">
        <v>23</v>
      </c>
      <c r="O1038" t="s">
        <v>24</v>
      </c>
      <c r="P1038" s="8" t="s">
        <v>1513</v>
      </c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</row>
    <row r="1039" spans="1:51" x14ac:dyDescent="0.2">
      <c r="A1039" s="6" t="s">
        <v>17</v>
      </c>
      <c r="B1039" t="s">
        <v>57</v>
      </c>
      <c r="C1039" t="s">
        <v>58</v>
      </c>
      <c r="D1039" t="s">
        <v>1514</v>
      </c>
      <c r="E1039" s="2">
        <v>74.84</v>
      </c>
      <c r="F1039" s="3">
        <f>DATE(2024,6,21)</f>
        <v>45464</v>
      </c>
      <c r="G1039" s="3">
        <f>DATE(2024,6,21)</f>
        <v>45464</v>
      </c>
      <c r="H1039">
        <v>967899708</v>
      </c>
      <c r="I1039" t="s">
        <v>20</v>
      </c>
      <c r="K1039" t="s">
        <v>21</v>
      </c>
      <c r="L1039" t="s">
        <v>22</v>
      </c>
      <c r="M1039" t="s">
        <v>23</v>
      </c>
      <c r="N1039" t="s">
        <v>23</v>
      </c>
      <c r="O1039" t="s">
        <v>24</v>
      </c>
      <c r="P1039" s="8" t="s">
        <v>1515</v>
      </c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</row>
    <row r="1040" spans="1:51" x14ac:dyDescent="0.2">
      <c r="A1040" s="6" t="s">
        <v>17</v>
      </c>
      <c r="B1040" t="s">
        <v>80</v>
      </c>
      <c r="C1040" t="s">
        <v>81</v>
      </c>
      <c r="D1040" t="s">
        <v>1516</v>
      </c>
      <c r="E1040" s="2">
        <v>374.51</v>
      </c>
      <c r="F1040" s="3">
        <f>DATE(2024,5,6)</f>
        <v>45418</v>
      </c>
      <c r="G1040" s="3">
        <f>DATE(2024,5,6)</f>
        <v>45418</v>
      </c>
      <c r="H1040">
        <v>967899709</v>
      </c>
      <c r="I1040" t="s">
        <v>20</v>
      </c>
      <c r="K1040" t="s">
        <v>21</v>
      </c>
      <c r="L1040" t="s">
        <v>22</v>
      </c>
      <c r="M1040" t="s">
        <v>23</v>
      </c>
      <c r="N1040" t="s">
        <v>23</v>
      </c>
      <c r="O1040" t="s">
        <v>24</v>
      </c>
      <c r="P1040" s="8" t="s">
        <v>1517</v>
      </c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</row>
    <row r="1041" spans="1:51" hidden="1" x14ac:dyDescent="0.2">
      <c r="A1041" s="6"/>
      <c r="E1041" s="2"/>
      <c r="F1041" s="3"/>
      <c r="G1041" s="3"/>
      <c r="P1041" s="8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</row>
    <row r="1042" spans="1:51" hidden="1" x14ac:dyDescent="0.2">
      <c r="A1042" s="6"/>
      <c r="E1042" s="2"/>
      <c r="F1042" s="3"/>
      <c r="G1042" s="3"/>
      <c r="P1042" s="8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</row>
    <row r="1043" spans="1:51" x14ac:dyDescent="0.2">
      <c r="A1043" s="6" t="s">
        <v>17</v>
      </c>
      <c r="B1043" t="s">
        <v>110</v>
      </c>
      <c r="C1043" t="s">
        <v>111</v>
      </c>
      <c r="D1043" t="s">
        <v>1518</v>
      </c>
      <c r="E1043" s="2">
        <v>632.16</v>
      </c>
      <c r="F1043" s="3">
        <f>DATE(2024,6,4)</f>
        <v>45447</v>
      </c>
      <c r="G1043" s="3">
        <f>DATE(2024,6,4)</f>
        <v>45447</v>
      </c>
      <c r="H1043">
        <v>967899712</v>
      </c>
      <c r="I1043" t="s">
        <v>20</v>
      </c>
      <c r="K1043" t="s">
        <v>21</v>
      </c>
      <c r="L1043" t="s">
        <v>22</v>
      </c>
      <c r="M1043" t="s">
        <v>23</v>
      </c>
      <c r="N1043" t="s">
        <v>23</v>
      </c>
      <c r="O1043" t="s">
        <v>24</v>
      </c>
      <c r="P1043" s="8" t="s">
        <v>1519</v>
      </c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</row>
    <row r="1044" spans="1:51" x14ac:dyDescent="0.2">
      <c r="A1044" s="6" t="s">
        <v>17</v>
      </c>
      <c r="B1044" t="s">
        <v>104</v>
      </c>
      <c r="C1044" t="s">
        <v>105</v>
      </c>
      <c r="D1044" t="s">
        <v>1520</v>
      </c>
      <c r="E1044" s="2">
        <v>1096.23</v>
      </c>
      <c r="F1044" s="3">
        <f>DATE(2024,5,14)</f>
        <v>45426</v>
      </c>
      <c r="G1044" s="3">
        <f>DATE(2024,5,14)</f>
        <v>45426</v>
      </c>
      <c r="H1044">
        <v>967899713</v>
      </c>
      <c r="I1044" t="s">
        <v>20</v>
      </c>
      <c r="K1044" t="s">
        <v>21</v>
      </c>
      <c r="L1044" t="s">
        <v>22</v>
      </c>
      <c r="M1044" t="s">
        <v>23</v>
      </c>
      <c r="N1044" t="s">
        <v>23</v>
      </c>
      <c r="O1044" t="s">
        <v>24</v>
      </c>
      <c r="P1044" s="8" t="s">
        <v>1521</v>
      </c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</row>
    <row r="1045" spans="1:51" x14ac:dyDescent="0.2">
      <c r="A1045" s="6" t="s">
        <v>17</v>
      </c>
      <c r="B1045" t="s">
        <v>175</v>
      </c>
      <c r="C1045" t="s">
        <v>176</v>
      </c>
      <c r="D1045" t="s">
        <v>1522</v>
      </c>
      <c r="E1045" s="2">
        <v>237</v>
      </c>
      <c r="F1045" s="3">
        <f>DATE(2024,5,22)</f>
        <v>45434</v>
      </c>
      <c r="G1045" s="3">
        <f>DATE(2024,5,22)</f>
        <v>45434</v>
      </c>
      <c r="H1045">
        <v>967899714</v>
      </c>
      <c r="I1045" t="s">
        <v>20</v>
      </c>
      <c r="K1045" t="s">
        <v>21</v>
      </c>
      <c r="L1045" t="s">
        <v>22</v>
      </c>
      <c r="M1045" t="s">
        <v>23</v>
      </c>
      <c r="N1045" t="s">
        <v>23</v>
      </c>
      <c r="O1045" t="s">
        <v>24</v>
      </c>
      <c r="P1045" s="8" t="s">
        <v>1523</v>
      </c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</row>
    <row r="1046" spans="1:51" x14ac:dyDescent="0.2">
      <c r="A1046" s="6" t="s">
        <v>17</v>
      </c>
      <c r="B1046" t="s">
        <v>137</v>
      </c>
      <c r="C1046" t="s">
        <v>138</v>
      </c>
      <c r="D1046" t="s">
        <v>1524</v>
      </c>
      <c r="E1046" s="2">
        <v>118.8</v>
      </c>
      <c r="F1046" s="3">
        <f>DATE(2024,5,10)</f>
        <v>45422</v>
      </c>
      <c r="G1046" s="3">
        <f>DATE(2024,5,10)</f>
        <v>45422</v>
      </c>
      <c r="H1046">
        <v>967899715</v>
      </c>
      <c r="I1046" t="s">
        <v>20</v>
      </c>
      <c r="K1046" t="s">
        <v>21</v>
      </c>
      <c r="L1046" t="s">
        <v>22</v>
      </c>
      <c r="M1046" t="s">
        <v>23</v>
      </c>
      <c r="N1046" t="s">
        <v>23</v>
      </c>
      <c r="O1046" t="s">
        <v>24</v>
      </c>
      <c r="P1046" s="8" t="s">
        <v>1525</v>
      </c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</row>
    <row r="1047" spans="1:51" hidden="1" x14ac:dyDescent="0.2">
      <c r="A1047" s="6"/>
      <c r="E1047" s="2"/>
      <c r="F1047" s="3"/>
      <c r="G1047" s="3"/>
      <c r="P1047" s="8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</row>
    <row r="1048" spans="1:51" x14ac:dyDescent="0.2">
      <c r="A1048" s="6" t="s">
        <v>17</v>
      </c>
      <c r="B1048" t="s">
        <v>34</v>
      </c>
      <c r="C1048" t="s">
        <v>35</v>
      </c>
      <c r="D1048" t="s">
        <v>1526</v>
      </c>
      <c r="E1048" s="2">
        <v>143.30000000000001</v>
      </c>
      <c r="F1048" s="3">
        <f>DATE(2024,5,10)</f>
        <v>45422</v>
      </c>
      <c r="G1048" s="3">
        <f>DATE(2024,5,10)</f>
        <v>45422</v>
      </c>
      <c r="H1048">
        <v>967899717</v>
      </c>
      <c r="I1048" t="s">
        <v>20</v>
      </c>
      <c r="K1048" t="s">
        <v>21</v>
      </c>
      <c r="L1048" t="s">
        <v>22</v>
      </c>
      <c r="M1048" t="s">
        <v>23</v>
      </c>
      <c r="N1048" t="s">
        <v>23</v>
      </c>
      <c r="O1048" t="s">
        <v>24</v>
      </c>
      <c r="P1048" s="8" t="s">
        <v>1527</v>
      </c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</row>
    <row r="1049" spans="1:51" hidden="1" x14ac:dyDescent="0.2">
      <c r="A1049" s="6"/>
      <c r="E1049" s="2"/>
      <c r="F1049" s="3"/>
      <c r="G1049" s="3"/>
      <c r="P1049" s="8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</row>
    <row r="1050" spans="1:51" x14ac:dyDescent="0.2">
      <c r="A1050" s="6" t="s">
        <v>17</v>
      </c>
      <c r="B1050" t="s">
        <v>191</v>
      </c>
      <c r="C1050" t="s">
        <v>192</v>
      </c>
      <c r="D1050" t="s">
        <v>1528</v>
      </c>
      <c r="E1050" s="2">
        <v>2406.2600000000002</v>
      </c>
      <c r="F1050" s="3">
        <f>DATE(2024,7,4)</f>
        <v>45477</v>
      </c>
      <c r="G1050" s="3">
        <f>DATE(2024,7,4)</f>
        <v>45477</v>
      </c>
      <c r="H1050">
        <v>967899719</v>
      </c>
      <c r="I1050" t="s">
        <v>20</v>
      </c>
      <c r="K1050" t="s">
        <v>21</v>
      </c>
      <c r="L1050" t="s">
        <v>22</v>
      </c>
      <c r="M1050" t="s">
        <v>23</v>
      </c>
      <c r="N1050" t="s">
        <v>23</v>
      </c>
      <c r="O1050" t="s">
        <v>24</v>
      </c>
      <c r="P1050" s="8" t="s">
        <v>1529</v>
      </c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</row>
    <row r="1051" spans="1:51" x14ac:dyDescent="0.2">
      <c r="A1051" s="6" t="s">
        <v>17</v>
      </c>
      <c r="B1051" t="s">
        <v>223</v>
      </c>
      <c r="C1051" t="s">
        <v>223</v>
      </c>
      <c r="D1051" t="s">
        <v>1530</v>
      </c>
      <c r="E1051" s="2">
        <v>1283.93</v>
      </c>
      <c r="F1051" s="3">
        <f>DATE(2024,5,17)</f>
        <v>45429</v>
      </c>
      <c r="G1051" s="3">
        <f>DATE(2024,5,17)</f>
        <v>45429</v>
      </c>
      <c r="H1051">
        <v>967899720</v>
      </c>
      <c r="I1051" t="s">
        <v>20</v>
      </c>
      <c r="K1051" t="s">
        <v>21</v>
      </c>
      <c r="L1051" t="s">
        <v>22</v>
      </c>
      <c r="M1051" t="s">
        <v>23</v>
      </c>
      <c r="N1051" t="s">
        <v>23</v>
      </c>
      <c r="O1051" t="s">
        <v>24</v>
      </c>
      <c r="P1051" s="8" t="s">
        <v>1531</v>
      </c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</row>
    <row r="1052" spans="1:51" x14ac:dyDescent="0.2">
      <c r="A1052" s="6" t="s">
        <v>17</v>
      </c>
      <c r="B1052" t="s">
        <v>655</v>
      </c>
      <c r="C1052" t="s">
        <v>656</v>
      </c>
      <c r="D1052" t="s">
        <v>1532</v>
      </c>
      <c r="E1052" s="2">
        <v>3064.58</v>
      </c>
      <c r="F1052" s="3">
        <f>DATE(2024,5,30)</f>
        <v>45442</v>
      </c>
      <c r="G1052" s="3">
        <f>DATE(2024,5,30)</f>
        <v>45442</v>
      </c>
      <c r="H1052">
        <v>967899721</v>
      </c>
      <c r="I1052" t="s">
        <v>20</v>
      </c>
      <c r="K1052" t="s">
        <v>21</v>
      </c>
      <c r="L1052" t="s">
        <v>22</v>
      </c>
      <c r="M1052" t="s">
        <v>23</v>
      </c>
      <c r="N1052" t="s">
        <v>23</v>
      </c>
      <c r="O1052" t="s">
        <v>24</v>
      </c>
      <c r="P1052" s="8" t="s">
        <v>1533</v>
      </c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</row>
    <row r="1053" spans="1:51" x14ac:dyDescent="0.2">
      <c r="A1053" s="6" t="s">
        <v>17</v>
      </c>
      <c r="B1053" t="s">
        <v>261</v>
      </c>
      <c r="C1053" t="s">
        <v>262</v>
      </c>
      <c r="D1053" t="s">
        <v>1534</v>
      </c>
      <c r="E1053" s="2">
        <v>2713.32</v>
      </c>
      <c r="F1053" s="3">
        <f>DATE(2024,6,25)</f>
        <v>45468</v>
      </c>
      <c r="G1053" s="3">
        <f>DATE(2024,6,25)</f>
        <v>45468</v>
      </c>
      <c r="H1053">
        <v>967899722</v>
      </c>
      <c r="I1053" t="s">
        <v>20</v>
      </c>
      <c r="K1053" t="s">
        <v>21</v>
      </c>
      <c r="L1053" t="s">
        <v>22</v>
      </c>
      <c r="M1053" t="s">
        <v>23</v>
      </c>
      <c r="N1053" t="s">
        <v>23</v>
      </c>
      <c r="O1053" t="s">
        <v>24</v>
      </c>
      <c r="P1053" s="8" t="s">
        <v>1535</v>
      </c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</row>
    <row r="1054" spans="1:51" hidden="1" x14ac:dyDescent="0.2">
      <c r="A1054" s="6"/>
      <c r="E1054" s="2"/>
      <c r="F1054" s="3"/>
      <c r="G1054" s="3"/>
      <c r="P1054" s="8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</row>
    <row r="1055" spans="1:51" hidden="1" x14ac:dyDescent="0.2">
      <c r="A1055" s="6"/>
      <c r="E1055" s="2"/>
      <c r="F1055" s="3"/>
      <c r="G1055" s="3"/>
      <c r="P1055" s="8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</row>
    <row r="1056" spans="1:51" hidden="1" x14ac:dyDescent="0.2">
      <c r="A1056" s="6"/>
      <c r="E1056" s="2"/>
      <c r="F1056" s="3"/>
      <c r="G1056" s="3"/>
      <c r="P1056" s="8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</row>
    <row r="1057" spans="1:51" hidden="1" x14ac:dyDescent="0.2">
      <c r="A1057" s="6"/>
      <c r="E1057" s="2"/>
      <c r="F1057" s="3"/>
      <c r="G1057" s="3"/>
      <c r="P1057" s="8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</row>
    <row r="1058" spans="1:51" hidden="1" x14ac:dyDescent="0.2">
      <c r="A1058" s="6"/>
      <c r="E1058" s="2"/>
      <c r="F1058" s="3"/>
      <c r="G1058" s="3"/>
      <c r="P1058" s="8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</row>
    <row r="1059" spans="1:51" hidden="1" x14ac:dyDescent="0.2">
      <c r="A1059" s="6"/>
      <c r="E1059" s="2"/>
      <c r="F1059" s="3"/>
      <c r="G1059" s="3"/>
      <c r="P1059" s="8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</row>
    <row r="1060" spans="1:51" x14ac:dyDescent="0.2">
      <c r="A1060" s="6" t="s">
        <v>17</v>
      </c>
      <c r="B1060" t="s">
        <v>1046</v>
      </c>
      <c r="C1060" t="s">
        <v>1047</v>
      </c>
      <c r="D1060" t="s">
        <v>1536</v>
      </c>
      <c r="E1060" s="2">
        <v>1431.4</v>
      </c>
      <c r="F1060" s="3">
        <f>DATE(2024,7,1)</f>
        <v>45474</v>
      </c>
      <c r="G1060" s="3">
        <f>DATE(2024,7,1)</f>
        <v>45474</v>
      </c>
      <c r="H1060">
        <v>967899729</v>
      </c>
      <c r="I1060" t="s">
        <v>20</v>
      </c>
      <c r="K1060" t="s">
        <v>21</v>
      </c>
      <c r="L1060" t="s">
        <v>22</v>
      </c>
      <c r="M1060" t="s">
        <v>23</v>
      </c>
      <c r="N1060" t="s">
        <v>23</v>
      </c>
      <c r="O1060" t="s">
        <v>24</v>
      </c>
      <c r="P1060" s="8" t="s">
        <v>1537</v>
      </c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</row>
    <row r="1061" spans="1:51" hidden="1" x14ac:dyDescent="0.2">
      <c r="A1061" s="6"/>
      <c r="E1061" s="2"/>
      <c r="F1061" s="3"/>
      <c r="G1061" s="3"/>
      <c r="P1061" s="8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</row>
    <row r="1062" spans="1:51" x14ac:dyDescent="0.2">
      <c r="A1062" s="6" t="s">
        <v>17</v>
      </c>
      <c r="B1062" t="s">
        <v>44</v>
      </c>
      <c r="C1062" t="s">
        <v>45</v>
      </c>
      <c r="D1062" t="s">
        <v>1538</v>
      </c>
      <c r="E1062" s="2">
        <v>521.03</v>
      </c>
      <c r="F1062" s="3">
        <f>DATE(2024,5,31)</f>
        <v>45443</v>
      </c>
      <c r="G1062" s="3">
        <f>DATE(2024,5,31)</f>
        <v>45443</v>
      </c>
      <c r="H1062">
        <v>967899731</v>
      </c>
      <c r="I1062" t="s">
        <v>20</v>
      </c>
      <c r="K1062" t="s">
        <v>21</v>
      </c>
      <c r="L1062" t="s">
        <v>22</v>
      </c>
      <c r="M1062" t="s">
        <v>23</v>
      </c>
      <c r="N1062" t="s">
        <v>23</v>
      </c>
      <c r="O1062" t="s">
        <v>24</v>
      </c>
      <c r="P1062" s="8" t="s">
        <v>1539</v>
      </c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</row>
    <row r="1063" spans="1:51" x14ac:dyDescent="0.2">
      <c r="A1063" s="6" t="s">
        <v>17</v>
      </c>
      <c r="B1063" t="s">
        <v>191</v>
      </c>
      <c r="C1063" t="s">
        <v>192</v>
      </c>
      <c r="D1063" t="s">
        <v>1540</v>
      </c>
      <c r="E1063" s="2">
        <v>900</v>
      </c>
      <c r="F1063" s="3">
        <f>DATE(2024,5,30)</f>
        <v>45442</v>
      </c>
      <c r="G1063" s="3">
        <f>DATE(2024,5,30)</f>
        <v>45442</v>
      </c>
      <c r="H1063">
        <v>967899732</v>
      </c>
      <c r="I1063" t="s">
        <v>20</v>
      </c>
      <c r="K1063" t="s">
        <v>21</v>
      </c>
      <c r="L1063" t="s">
        <v>22</v>
      </c>
      <c r="M1063" t="s">
        <v>23</v>
      </c>
      <c r="N1063" t="s">
        <v>23</v>
      </c>
      <c r="O1063" t="s">
        <v>24</v>
      </c>
      <c r="P1063" s="8" t="s">
        <v>1541</v>
      </c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</row>
    <row r="1064" spans="1:51" hidden="1" x14ac:dyDescent="0.2">
      <c r="A1064" s="6"/>
      <c r="E1064" s="2"/>
      <c r="F1064" s="3"/>
      <c r="G1064" s="3"/>
      <c r="P1064" s="8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</row>
    <row r="1065" spans="1:51" hidden="1" x14ac:dyDescent="0.2">
      <c r="A1065" s="6"/>
      <c r="E1065" s="2"/>
      <c r="F1065" s="3"/>
      <c r="G1065" s="3"/>
      <c r="P1065" s="8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</row>
    <row r="1066" spans="1:51" hidden="1" x14ac:dyDescent="0.2">
      <c r="A1066" s="6"/>
      <c r="E1066" s="2"/>
      <c r="F1066" s="3"/>
      <c r="G1066" s="3"/>
      <c r="P1066" s="8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</row>
    <row r="1067" spans="1:51" x14ac:dyDescent="0.2">
      <c r="A1067" s="6" t="s">
        <v>17</v>
      </c>
      <c r="B1067" t="s">
        <v>57</v>
      </c>
      <c r="C1067" t="s">
        <v>58</v>
      </c>
      <c r="D1067" t="s">
        <v>1542</v>
      </c>
      <c r="E1067" s="2">
        <v>96</v>
      </c>
      <c r="F1067" s="3">
        <f>DATE(2024,6,24)</f>
        <v>45467</v>
      </c>
      <c r="G1067" s="3">
        <f>DATE(2024,6,24)</f>
        <v>45467</v>
      </c>
      <c r="H1067">
        <v>967899736</v>
      </c>
      <c r="I1067" t="s">
        <v>20</v>
      </c>
      <c r="K1067" t="s">
        <v>21</v>
      </c>
      <c r="L1067" t="s">
        <v>22</v>
      </c>
      <c r="M1067" t="s">
        <v>23</v>
      </c>
      <c r="N1067" t="s">
        <v>23</v>
      </c>
      <c r="O1067" t="s">
        <v>24</v>
      </c>
      <c r="P1067" s="8" t="s">
        <v>1543</v>
      </c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</row>
    <row r="1068" spans="1:51" hidden="1" x14ac:dyDescent="0.2">
      <c r="A1068" s="6"/>
      <c r="E1068" s="2"/>
      <c r="F1068" s="3"/>
      <c r="G1068" s="3"/>
      <c r="P1068" s="8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</row>
    <row r="1069" spans="1:51" x14ac:dyDescent="0.2">
      <c r="A1069" s="6" t="s">
        <v>17</v>
      </c>
      <c r="B1069" t="s">
        <v>65</v>
      </c>
      <c r="C1069" t="s">
        <v>66</v>
      </c>
      <c r="D1069" t="s">
        <v>1544</v>
      </c>
      <c r="E1069" s="2">
        <v>2897.08</v>
      </c>
      <c r="F1069" s="3">
        <f>DATE(2024,4,8)</f>
        <v>45390</v>
      </c>
      <c r="G1069" s="3">
        <f>DATE(2024,4,8)</f>
        <v>45390</v>
      </c>
      <c r="H1069">
        <v>967899738</v>
      </c>
      <c r="I1069" t="s">
        <v>20</v>
      </c>
      <c r="K1069" t="s">
        <v>21</v>
      </c>
      <c r="L1069" t="s">
        <v>22</v>
      </c>
      <c r="M1069" t="s">
        <v>23</v>
      </c>
      <c r="N1069" t="s">
        <v>23</v>
      </c>
      <c r="O1069" t="s">
        <v>24</v>
      </c>
      <c r="P1069" s="8" t="s">
        <v>1545</v>
      </c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</row>
    <row r="1070" spans="1:51" x14ac:dyDescent="0.2">
      <c r="A1070" s="6" t="s">
        <v>17</v>
      </c>
      <c r="B1070" t="s">
        <v>18</v>
      </c>
      <c r="C1070" t="s">
        <v>18</v>
      </c>
      <c r="D1070" t="s">
        <v>1546</v>
      </c>
      <c r="E1070" s="2">
        <v>3.86</v>
      </c>
      <c r="F1070" s="3">
        <f>DATE(2024,6,6)</f>
        <v>45449</v>
      </c>
      <c r="G1070" s="3">
        <f>DATE(2024,6,6)</f>
        <v>45449</v>
      </c>
      <c r="H1070">
        <v>967899739</v>
      </c>
      <c r="I1070" t="s">
        <v>20</v>
      </c>
      <c r="K1070" t="s">
        <v>21</v>
      </c>
      <c r="L1070" t="s">
        <v>22</v>
      </c>
      <c r="M1070" t="s">
        <v>23</v>
      </c>
      <c r="N1070" t="s">
        <v>23</v>
      </c>
      <c r="O1070" t="s">
        <v>24</v>
      </c>
      <c r="P1070" s="8" t="s">
        <v>1547</v>
      </c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</row>
    <row r="1071" spans="1:51" x14ac:dyDescent="0.2">
      <c r="A1071" s="6" t="s">
        <v>17</v>
      </c>
      <c r="B1071" t="s">
        <v>104</v>
      </c>
      <c r="C1071" t="s">
        <v>105</v>
      </c>
      <c r="D1071" t="s">
        <v>1548</v>
      </c>
      <c r="E1071" s="2">
        <v>402.74</v>
      </c>
      <c r="F1071" s="3">
        <f>DATE(2024,6,27)</f>
        <v>45470</v>
      </c>
      <c r="G1071" s="3">
        <f>DATE(2024,6,27)</f>
        <v>45470</v>
      </c>
      <c r="H1071">
        <v>967899740</v>
      </c>
      <c r="I1071" t="s">
        <v>20</v>
      </c>
      <c r="K1071" t="s">
        <v>21</v>
      </c>
      <c r="L1071" t="s">
        <v>22</v>
      </c>
      <c r="M1071" t="s">
        <v>23</v>
      </c>
      <c r="N1071" t="s">
        <v>23</v>
      </c>
      <c r="O1071" t="s">
        <v>24</v>
      </c>
      <c r="P1071" s="8" t="s">
        <v>1549</v>
      </c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</row>
    <row r="1072" spans="1:51" x14ac:dyDescent="0.2">
      <c r="A1072" s="6" t="s">
        <v>17</v>
      </c>
      <c r="B1072" t="s">
        <v>316</v>
      </c>
      <c r="C1072" t="s">
        <v>316</v>
      </c>
      <c r="D1072" t="s">
        <v>1550</v>
      </c>
      <c r="E1072" s="2">
        <v>5090.84</v>
      </c>
      <c r="F1072" s="3">
        <f>DATE(2024,5,6)</f>
        <v>45418</v>
      </c>
      <c r="G1072" s="3">
        <f>DATE(2024,5,6)</f>
        <v>45418</v>
      </c>
      <c r="H1072">
        <v>967899741</v>
      </c>
      <c r="I1072" t="s">
        <v>20</v>
      </c>
      <c r="K1072" t="s">
        <v>21</v>
      </c>
      <c r="L1072" t="s">
        <v>22</v>
      </c>
      <c r="M1072" t="s">
        <v>23</v>
      </c>
      <c r="N1072" t="s">
        <v>23</v>
      </c>
      <c r="O1072" t="s">
        <v>24</v>
      </c>
      <c r="P1072" s="8" t="s">
        <v>1551</v>
      </c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</row>
    <row r="1073" spans="1:51" x14ac:dyDescent="0.2">
      <c r="A1073" s="6" t="s">
        <v>17</v>
      </c>
      <c r="B1073" t="s">
        <v>251</v>
      </c>
      <c r="C1073" t="s">
        <v>252</v>
      </c>
      <c r="D1073" t="s">
        <v>1552</v>
      </c>
      <c r="E1073" s="2">
        <v>922</v>
      </c>
      <c r="F1073" s="3">
        <f>DATE(2024,4,29)</f>
        <v>45411</v>
      </c>
      <c r="G1073" s="3">
        <f>DATE(2024,4,29)</f>
        <v>45411</v>
      </c>
      <c r="H1073">
        <v>967899742</v>
      </c>
      <c r="I1073" t="s">
        <v>20</v>
      </c>
      <c r="K1073" t="s">
        <v>21</v>
      </c>
      <c r="L1073" t="s">
        <v>22</v>
      </c>
      <c r="M1073" t="s">
        <v>23</v>
      </c>
      <c r="N1073" t="s">
        <v>23</v>
      </c>
      <c r="O1073" t="s">
        <v>24</v>
      </c>
      <c r="P1073" s="8" t="s">
        <v>1553</v>
      </c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</row>
    <row r="1074" spans="1:51" x14ac:dyDescent="0.2">
      <c r="A1074" s="6" t="s">
        <v>17</v>
      </c>
      <c r="B1074" t="s">
        <v>611</v>
      </c>
      <c r="C1074" t="s">
        <v>612</v>
      </c>
      <c r="D1074" t="s">
        <v>1554</v>
      </c>
      <c r="E1074" s="2">
        <v>314.14</v>
      </c>
      <c r="F1074" s="3">
        <f>DATE(2024,4,8)</f>
        <v>45390</v>
      </c>
      <c r="G1074" s="3">
        <f>DATE(2024,4,8)</f>
        <v>45390</v>
      </c>
      <c r="H1074">
        <v>967899744</v>
      </c>
      <c r="I1074" t="s">
        <v>20</v>
      </c>
      <c r="K1074" t="s">
        <v>21</v>
      </c>
      <c r="L1074" t="s">
        <v>22</v>
      </c>
      <c r="M1074" t="s">
        <v>23</v>
      </c>
      <c r="N1074" t="s">
        <v>23</v>
      </c>
      <c r="O1074" t="s">
        <v>24</v>
      </c>
      <c r="P1074" s="8" t="s">
        <v>1555</v>
      </c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</row>
    <row r="1075" spans="1:51" x14ac:dyDescent="0.2">
      <c r="A1075" s="6" t="s">
        <v>17</v>
      </c>
      <c r="B1075" t="s">
        <v>1060</v>
      </c>
      <c r="C1075" t="s">
        <v>1061</v>
      </c>
      <c r="D1075" t="s">
        <v>1556</v>
      </c>
      <c r="E1075" s="2">
        <v>104.31</v>
      </c>
      <c r="F1075" s="3">
        <f>DATE(2024,6,11)</f>
        <v>45454</v>
      </c>
      <c r="G1075" s="3">
        <f>DATE(2024,6,11)</f>
        <v>45454</v>
      </c>
      <c r="H1075">
        <v>967899745</v>
      </c>
      <c r="I1075" t="s">
        <v>20</v>
      </c>
      <c r="K1075" t="s">
        <v>21</v>
      </c>
      <c r="L1075" t="s">
        <v>22</v>
      </c>
      <c r="M1075" t="s">
        <v>23</v>
      </c>
      <c r="N1075" t="s">
        <v>23</v>
      </c>
      <c r="O1075" t="s">
        <v>24</v>
      </c>
      <c r="P1075" s="8" t="s">
        <v>1557</v>
      </c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</row>
    <row r="1076" spans="1:51" x14ac:dyDescent="0.2">
      <c r="A1076" s="6" t="s">
        <v>17</v>
      </c>
      <c r="B1076" t="s">
        <v>44</v>
      </c>
      <c r="C1076" t="s">
        <v>45</v>
      </c>
      <c r="D1076" t="s">
        <v>1558</v>
      </c>
      <c r="E1076" s="2">
        <v>419.86</v>
      </c>
      <c r="F1076" s="3">
        <f>DATE(2024,4,30)</f>
        <v>45412</v>
      </c>
      <c r="G1076" s="3">
        <f>DATE(2024,4,30)</f>
        <v>45412</v>
      </c>
      <c r="H1076">
        <v>967899746</v>
      </c>
      <c r="I1076" t="s">
        <v>20</v>
      </c>
      <c r="K1076" t="s">
        <v>21</v>
      </c>
      <c r="L1076" t="s">
        <v>22</v>
      </c>
      <c r="M1076" t="s">
        <v>23</v>
      </c>
      <c r="N1076" t="s">
        <v>23</v>
      </c>
      <c r="O1076" t="s">
        <v>24</v>
      </c>
      <c r="P1076" s="8" t="s">
        <v>1559</v>
      </c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</row>
    <row r="1077" spans="1:51" x14ac:dyDescent="0.2">
      <c r="A1077" s="6" t="s">
        <v>17</v>
      </c>
      <c r="B1077" t="s">
        <v>57</v>
      </c>
      <c r="C1077" t="s">
        <v>58</v>
      </c>
      <c r="D1077" t="s">
        <v>1560</v>
      </c>
      <c r="E1077" s="2">
        <v>67.62</v>
      </c>
      <c r="F1077" s="3">
        <f>DATE(2024,5,27)</f>
        <v>45439</v>
      </c>
      <c r="G1077" s="3">
        <f>DATE(2024,5,27)</f>
        <v>45439</v>
      </c>
      <c r="H1077">
        <v>967899747</v>
      </c>
      <c r="I1077" t="s">
        <v>20</v>
      </c>
      <c r="K1077" t="s">
        <v>21</v>
      </c>
      <c r="L1077" t="s">
        <v>22</v>
      </c>
      <c r="M1077" t="s">
        <v>23</v>
      </c>
      <c r="N1077" t="s">
        <v>23</v>
      </c>
      <c r="O1077" t="s">
        <v>24</v>
      </c>
      <c r="P1077" s="8" t="s">
        <v>1561</v>
      </c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</row>
    <row r="1078" spans="1:51" x14ac:dyDescent="0.2">
      <c r="A1078" s="6" t="s">
        <v>17</v>
      </c>
      <c r="B1078" t="s">
        <v>137</v>
      </c>
      <c r="C1078" t="s">
        <v>138</v>
      </c>
      <c r="D1078" t="s">
        <v>1562</v>
      </c>
      <c r="E1078" s="2">
        <v>118.8</v>
      </c>
      <c r="F1078" s="3">
        <f>DATE(2024,6,13)</f>
        <v>45456</v>
      </c>
      <c r="G1078" s="3">
        <f>DATE(2024,6,13)</f>
        <v>45456</v>
      </c>
      <c r="H1078">
        <v>967899748</v>
      </c>
      <c r="I1078" t="s">
        <v>20</v>
      </c>
      <c r="K1078" t="s">
        <v>21</v>
      </c>
      <c r="L1078" t="s">
        <v>22</v>
      </c>
      <c r="M1078" t="s">
        <v>23</v>
      </c>
      <c r="N1078" t="s">
        <v>23</v>
      </c>
      <c r="O1078" t="s">
        <v>24</v>
      </c>
      <c r="P1078" s="8" t="s">
        <v>1563</v>
      </c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</row>
    <row r="1079" spans="1:51" hidden="1" x14ac:dyDescent="0.2">
      <c r="A1079" s="6"/>
      <c r="E1079" s="2"/>
      <c r="F1079" s="3"/>
      <c r="G1079" s="3"/>
      <c r="P1079" s="8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</row>
    <row r="1080" spans="1:51" x14ac:dyDescent="0.2">
      <c r="A1080" s="6" t="s">
        <v>17</v>
      </c>
      <c r="B1080" t="s">
        <v>674</v>
      </c>
      <c r="C1080" t="s">
        <v>675</v>
      </c>
      <c r="D1080" t="s">
        <v>1564</v>
      </c>
      <c r="E1080" s="2">
        <v>826.94</v>
      </c>
      <c r="F1080" s="3">
        <f>DATE(2024,5,27)</f>
        <v>45439</v>
      </c>
      <c r="G1080" s="3">
        <f>DATE(2024,5,27)</f>
        <v>45439</v>
      </c>
      <c r="H1080">
        <v>967899750</v>
      </c>
      <c r="I1080" t="s">
        <v>20</v>
      </c>
      <c r="K1080" t="s">
        <v>21</v>
      </c>
      <c r="L1080" t="s">
        <v>22</v>
      </c>
      <c r="M1080" t="s">
        <v>23</v>
      </c>
      <c r="N1080" t="s">
        <v>23</v>
      </c>
      <c r="O1080" t="s">
        <v>24</v>
      </c>
      <c r="P1080" s="8" t="s">
        <v>1565</v>
      </c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</row>
    <row r="1081" spans="1:51" hidden="1" x14ac:dyDescent="0.2">
      <c r="A1081" s="6"/>
      <c r="E1081" s="2"/>
      <c r="F1081" s="3"/>
      <c r="G1081" s="3"/>
      <c r="P1081" s="8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</row>
    <row r="1082" spans="1:51" x14ac:dyDescent="0.2">
      <c r="A1082" s="6" t="s">
        <v>17</v>
      </c>
      <c r="B1082" t="s">
        <v>179</v>
      </c>
      <c r="C1082" t="s">
        <v>180</v>
      </c>
      <c r="D1082" t="s">
        <v>1566</v>
      </c>
      <c r="E1082" s="2">
        <v>850.79</v>
      </c>
      <c r="F1082" s="3">
        <f>DATE(2024,6,13)</f>
        <v>45456</v>
      </c>
      <c r="G1082" s="3">
        <f>DATE(2024,6,13)</f>
        <v>45456</v>
      </c>
      <c r="H1082">
        <v>967899752</v>
      </c>
      <c r="I1082" t="s">
        <v>20</v>
      </c>
      <c r="K1082" t="s">
        <v>21</v>
      </c>
      <c r="L1082" t="s">
        <v>22</v>
      </c>
      <c r="M1082" t="s">
        <v>23</v>
      </c>
      <c r="N1082" t="s">
        <v>23</v>
      </c>
      <c r="O1082" t="s">
        <v>24</v>
      </c>
      <c r="P1082" s="8" t="s">
        <v>1567</v>
      </c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</row>
    <row r="1083" spans="1:51" hidden="1" x14ac:dyDescent="0.2">
      <c r="A1083" s="6"/>
      <c r="E1083" s="2"/>
      <c r="F1083" s="3"/>
      <c r="G1083" s="3"/>
      <c r="P1083" s="8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</row>
    <row r="1084" spans="1:51" hidden="1" x14ac:dyDescent="0.2">
      <c r="A1084" s="6"/>
      <c r="E1084" s="2"/>
      <c r="F1084" s="3"/>
      <c r="G1084" s="3"/>
      <c r="P1084" s="8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</row>
    <row r="1085" spans="1:51" x14ac:dyDescent="0.2">
      <c r="A1085" s="6" t="s">
        <v>17</v>
      </c>
      <c r="B1085" t="s">
        <v>674</v>
      </c>
      <c r="C1085" t="s">
        <v>675</v>
      </c>
      <c r="D1085" t="s">
        <v>1568</v>
      </c>
      <c r="E1085" s="2">
        <v>1963.28</v>
      </c>
      <c r="F1085" s="3">
        <f>DATE(2024,5,10)</f>
        <v>45422</v>
      </c>
      <c r="G1085" s="3">
        <f>DATE(2024,5,10)</f>
        <v>45422</v>
      </c>
      <c r="H1085">
        <v>967899755</v>
      </c>
      <c r="I1085" t="s">
        <v>20</v>
      </c>
      <c r="K1085" t="s">
        <v>21</v>
      </c>
      <c r="L1085" t="s">
        <v>22</v>
      </c>
      <c r="M1085" t="s">
        <v>23</v>
      </c>
      <c r="N1085" t="s">
        <v>23</v>
      </c>
      <c r="O1085" t="s">
        <v>24</v>
      </c>
      <c r="P1085" s="8" t="s">
        <v>1569</v>
      </c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</row>
    <row r="1086" spans="1:51" x14ac:dyDescent="0.2">
      <c r="A1086" s="6" t="s">
        <v>17</v>
      </c>
      <c r="B1086" t="s">
        <v>57</v>
      </c>
      <c r="C1086" t="s">
        <v>58</v>
      </c>
      <c r="D1086" t="s">
        <v>1570</v>
      </c>
      <c r="E1086" s="2">
        <v>164.38</v>
      </c>
      <c r="F1086" s="3">
        <f>DATE(2024,7,4)</f>
        <v>45477</v>
      </c>
      <c r="G1086" s="3">
        <f>DATE(2024,7,4)</f>
        <v>45477</v>
      </c>
      <c r="H1086">
        <v>967899756</v>
      </c>
      <c r="I1086" t="s">
        <v>20</v>
      </c>
      <c r="K1086" t="s">
        <v>21</v>
      </c>
      <c r="L1086" t="s">
        <v>22</v>
      </c>
      <c r="M1086" t="s">
        <v>23</v>
      </c>
      <c r="N1086" t="s">
        <v>23</v>
      </c>
      <c r="O1086" t="s">
        <v>24</v>
      </c>
      <c r="P1086" s="8" t="s">
        <v>1571</v>
      </c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</row>
    <row r="1087" spans="1:51" hidden="1" x14ac:dyDescent="0.2">
      <c r="A1087" s="6"/>
      <c r="E1087" s="2"/>
      <c r="F1087" s="3"/>
      <c r="G1087" s="3"/>
      <c r="P1087" s="8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</row>
    <row r="1088" spans="1:51" x14ac:dyDescent="0.2">
      <c r="A1088" s="6" t="s">
        <v>17</v>
      </c>
      <c r="B1088" t="s">
        <v>61</v>
      </c>
      <c r="C1088" t="s">
        <v>62</v>
      </c>
      <c r="D1088" t="s">
        <v>1572</v>
      </c>
      <c r="E1088" s="2">
        <v>720</v>
      </c>
      <c r="F1088" s="3">
        <f>DATE(2024,4,15)</f>
        <v>45397</v>
      </c>
      <c r="G1088" s="3">
        <f>DATE(2024,4,15)</f>
        <v>45397</v>
      </c>
      <c r="H1088">
        <v>967899758</v>
      </c>
      <c r="I1088" t="s">
        <v>20</v>
      </c>
      <c r="K1088" t="s">
        <v>21</v>
      </c>
      <c r="L1088" t="s">
        <v>22</v>
      </c>
      <c r="M1088" t="s">
        <v>23</v>
      </c>
      <c r="N1088" t="s">
        <v>23</v>
      </c>
      <c r="O1088" t="s">
        <v>24</v>
      </c>
      <c r="P1088" s="8" t="s">
        <v>1573</v>
      </c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</row>
    <row r="1089" spans="1:51" x14ac:dyDescent="0.2">
      <c r="A1089" s="6" t="s">
        <v>17</v>
      </c>
      <c r="B1089" t="s">
        <v>44</v>
      </c>
      <c r="C1089" t="s">
        <v>45</v>
      </c>
      <c r="D1089" t="s">
        <v>1574</v>
      </c>
      <c r="E1089" s="2">
        <v>165.14</v>
      </c>
      <c r="F1089" s="3">
        <f>DATE(2024,4,26)</f>
        <v>45408</v>
      </c>
      <c r="G1089" s="3">
        <f>DATE(2024,4,26)</f>
        <v>45408</v>
      </c>
      <c r="H1089">
        <v>967899759</v>
      </c>
      <c r="I1089" t="s">
        <v>20</v>
      </c>
      <c r="K1089" t="s">
        <v>21</v>
      </c>
      <c r="L1089" t="s">
        <v>22</v>
      </c>
      <c r="M1089" t="s">
        <v>23</v>
      </c>
      <c r="N1089" t="s">
        <v>23</v>
      </c>
      <c r="O1089" t="s">
        <v>24</v>
      </c>
      <c r="P1089" s="8" t="s">
        <v>1575</v>
      </c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</row>
    <row r="1090" spans="1:51" x14ac:dyDescent="0.2">
      <c r="A1090" s="6" t="s">
        <v>17</v>
      </c>
      <c r="B1090" t="s">
        <v>655</v>
      </c>
      <c r="C1090" t="s">
        <v>656</v>
      </c>
      <c r="D1090" t="s">
        <v>1576</v>
      </c>
      <c r="E1090" s="2">
        <v>1097.4000000000001</v>
      </c>
      <c r="F1090" s="3">
        <f>DATE(2024,6,10)</f>
        <v>45453</v>
      </c>
      <c r="G1090" s="3">
        <f>DATE(2024,6,10)</f>
        <v>45453</v>
      </c>
      <c r="H1090">
        <v>967899760</v>
      </c>
      <c r="I1090" t="s">
        <v>20</v>
      </c>
      <c r="K1090" t="s">
        <v>21</v>
      </c>
      <c r="L1090" t="s">
        <v>22</v>
      </c>
      <c r="M1090" t="s">
        <v>23</v>
      </c>
      <c r="N1090" t="s">
        <v>23</v>
      </c>
      <c r="O1090" t="s">
        <v>24</v>
      </c>
      <c r="P1090" s="8" t="s">
        <v>1577</v>
      </c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</row>
    <row r="1091" spans="1:51" x14ac:dyDescent="0.2">
      <c r="A1091" s="6" t="s">
        <v>17</v>
      </c>
      <c r="B1091" t="s">
        <v>1060</v>
      </c>
      <c r="C1091" t="s">
        <v>1061</v>
      </c>
      <c r="D1091" t="s">
        <v>1578</v>
      </c>
      <c r="E1091" s="2">
        <v>87.26</v>
      </c>
      <c r="F1091" s="3">
        <f>DATE(2024,6,3)</f>
        <v>45446</v>
      </c>
      <c r="G1091" s="3">
        <f>DATE(2024,6,3)</f>
        <v>45446</v>
      </c>
      <c r="H1091">
        <v>967899761</v>
      </c>
      <c r="I1091" t="s">
        <v>20</v>
      </c>
      <c r="K1091" t="s">
        <v>21</v>
      </c>
      <c r="L1091" t="s">
        <v>22</v>
      </c>
      <c r="M1091" t="s">
        <v>23</v>
      </c>
      <c r="N1091" t="s">
        <v>23</v>
      </c>
      <c r="O1091" t="s">
        <v>24</v>
      </c>
      <c r="P1091" s="8" t="s">
        <v>1579</v>
      </c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</row>
    <row r="1092" spans="1:51" x14ac:dyDescent="0.2">
      <c r="A1092" s="6" t="s">
        <v>17</v>
      </c>
      <c r="B1092" t="s">
        <v>104</v>
      </c>
      <c r="C1092" t="s">
        <v>105</v>
      </c>
      <c r="D1092" t="s">
        <v>1580</v>
      </c>
      <c r="E1092" s="2">
        <v>263.7</v>
      </c>
      <c r="F1092" s="3">
        <f>DATE(2024,5,30)</f>
        <v>45442</v>
      </c>
      <c r="G1092" s="3">
        <f>DATE(2024,5,30)</f>
        <v>45442</v>
      </c>
      <c r="H1092">
        <v>967899762</v>
      </c>
      <c r="I1092" t="s">
        <v>20</v>
      </c>
      <c r="K1092" t="s">
        <v>21</v>
      </c>
      <c r="L1092" t="s">
        <v>22</v>
      </c>
      <c r="M1092" t="s">
        <v>23</v>
      </c>
      <c r="N1092" t="s">
        <v>23</v>
      </c>
      <c r="O1092" t="s">
        <v>24</v>
      </c>
      <c r="P1092" s="8" t="s">
        <v>1581</v>
      </c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</row>
    <row r="1093" spans="1:51" x14ac:dyDescent="0.2">
      <c r="A1093" s="6" t="s">
        <v>17</v>
      </c>
      <c r="B1093" t="s">
        <v>44</v>
      </c>
      <c r="C1093" t="s">
        <v>45</v>
      </c>
      <c r="D1093" t="s">
        <v>1582</v>
      </c>
      <c r="E1093" s="2">
        <v>106.8</v>
      </c>
      <c r="F1093" s="3">
        <f>DATE(2024,6,19)</f>
        <v>45462</v>
      </c>
      <c r="G1093" s="3">
        <f>DATE(2024,6,19)</f>
        <v>45462</v>
      </c>
      <c r="H1093">
        <v>967899763</v>
      </c>
      <c r="I1093" t="s">
        <v>20</v>
      </c>
      <c r="K1093" t="s">
        <v>21</v>
      </c>
      <c r="L1093" t="s">
        <v>22</v>
      </c>
      <c r="M1093" t="s">
        <v>23</v>
      </c>
      <c r="N1093" t="s">
        <v>23</v>
      </c>
      <c r="O1093" t="s">
        <v>24</v>
      </c>
      <c r="P1093" s="8" t="s">
        <v>1583</v>
      </c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</row>
    <row r="1094" spans="1:51" hidden="1" x14ac:dyDescent="0.2">
      <c r="A1094" s="6"/>
      <c r="E1094" s="2"/>
      <c r="F1094" s="3"/>
      <c r="G1094" s="3"/>
      <c r="P1094" s="8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</row>
    <row r="1095" spans="1:51" x14ac:dyDescent="0.2">
      <c r="A1095" s="6" t="s">
        <v>17</v>
      </c>
      <c r="B1095" t="s">
        <v>57</v>
      </c>
      <c r="C1095" t="s">
        <v>58</v>
      </c>
      <c r="D1095" t="s">
        <v>1584</v>
      </c>
      <c r="E1095" s="2">
        <v>109.36</v>
      </c>
      <c r="F1095" s="3">
        <f>DATE(2024,4,22)</f>
        <v>45404</v>
      </c>
      <c r="G1095" s="3">
        <f>DATE(2024,4,22)</f>
        <v>45404</v>
      </c>
      <c r="H1095">
        <v>967899765</v>
      </c>
      <c r="I1095" t="s">
        <v>20</v>
      </c>
      <c r="K1095" t="s">
        <v>21</v>
      </c>
      <c r="L1095" t="s">
        <v>22</v>
      </c>
      <c r="M1095" t="s">
        <v>23</v>
      </c>
      <c r="N1095" t="s">
        <v>23</v>
      </c>
      <c r="O1095" t="s">
        <v>24</v>
      </c>
      <c r="P1095" s="8" t="s">
        <v>1585</v>
      </c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</row>
    <row r="1096" spans="1:51" x14ac:dyDescent="0.2">
      <c r="A1096" s="6" t="s">
        <v>17</v>
      </c>
      <c r="B1096" t="s">
        <v>312</v>
      </c>
      <c r="C1096" t="s">
        <v>313</v>
      </c>
      <c r="D1096" t="s">
        <v>1586</v>
      </c>
      <c r="E1096" s="2">
        <v>498</v>
      </c>
      <c r="F1096" s="3">
        <f>DATE(2024,5,14)</f>
        <v>45426</v>
      </c>
      <c r="G1096" s="3">
        <f>DATE(2024,5,14)</f>
        <v>45426</v>
      </c>
      <c r="H1096">
        <v>967899766</v>
      </c>
      <c r="I1096" t="s">
        <v>20</v>
      </c>
      <c r="K1096" t="s">
        <v>21</v>
      </c>
      <c r="L1096" t="s">
        <v>22</v>
      </c>
      <c r="M1096" t="s">
        <v>23</v>
      </c>
      <c r="N1096" t="s">
        <v>23</v>
      </c>
      <c r="O1096" t="s">
        <v>24</v>
      </c>
      <c r="P1096" s="8" t="s">
        <v>1587</v>
      </c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</row>
    <row r="1097" spans="1:51" x14ac:dyDescent="0.2">
      <c r="A1097" s="6" t="s">
        <v>17</v>
      </c>
      <c r="B1097" t="s">
        <v>191</v>
      </c>
      <c r="C1097" t="s">
        <v>192</v>
      </c>
      <c r="D1097" t="s">
        <v>1588</v>
      </c>
      <c r="E1097" s="2">
        <v>13538.22</v>
      </c>
      <c r="F1097" s="3">
        <f>DATE(2024,5,6)</f>
        <v>45418</v>
      </c>
      <c r="G1097" s="3">
        <f>DATE(2024,5,6)</f>
        <v>45418</v>
      </c>
      <c r="H1097">
        <v>967899767</v>
      </c>
      <c r="I1097" t="s">
        <v>20</v>
      </c>
      <c r="K1097" t="s">
        <v>21</v>
      </c>
      <c r="L1097" t="s">
        <v>22</v>
      </c>
      <c r="M1097" t="s">
        <v>23</v>
      </c>
      <c r="N1097" t="s">
        <v>23</v>
      </c>
      <c r="O1097" t="s">
        <v>24</v>
      </c>
      <c r="P1097" s="8" t="s">
        <v>1589</v>
      </c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</row>
    <row r="1098" spans="1:51" hidden="1" x14ac:dyDescent="0.2">
      <c r="A1098" s="6"/>
      <c r="E1098" s="2"/>
      <c r="F1098" s="3"/>
      <c r="G1098" s="3"/>
      <c r="P1098" s="8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</row>
    <row r="1099" spans="1:51" hidden="1" x14ac:dyDescent="0.2">
      <c r="A1099" s="6"/>
      <c r="E1099" s="2"/>
      <c r="F1099" s="3"/>
      <c r="G1099" s="3"/>
      <c r="P1099" s="8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</row>
    <row r="1100" spans="1:51" x14ac:dyDescent="0.2">
      <c r="A1100" s="6" t="s">
        <v>17</v>
      </c>
      <c r="B1100" t="s">
        <v>655</v>
      </c>
      <c r="C1100" t="s">
        <v>656</v>
      </c>
      <c r="D1100" t="s">
        <v>1590</v>
      </c>
      <c r="E1100" s="2">
        <v>854.58</v>
      </c>
      <c r="F1100" s="3">
        <f>DATE(2024,4,30)</f>
        <v>45412</v>
      </c>
      <c r="G1100" s="3">
        <f>DATE(2024,4,30)</f>
        <v>45412</v>
      </c>
      <c r="H1100">
        <v>967899770</v>
      </c>
      <c r="I1100" t="s">
        <v>20</v>
      </c>
      <c r="K1100" t="s">
        <v>21</v>
      </c>
      <c r="L1100" t="s">
        <v>22</v>
      </c>
      <c r="M1100" t="s">
        <v>23</v>
      </c>
      <c r="N1100" t="s">
        <v>23</v>
      </c>
      <c r="O1100" t="s">
        <v>24</v>
      </c>
      <c r="P1100" s="8" t="s">
        <v>1591</v>
      </c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</row>
    <row r="1101" spans="1:51" x14ac:dyDescent="0.2">
      <c r="A1101" s="6" t="s">
        <v>17</v>
      </c>
      <c r="B1101" t="s">
        <v>104</v>
      </c>
      <c r="C1101" t="s">
        <v>105</v>
      </c>
      <c r="D1101" t="s">
        <v>1592</v>
      </c>
      <c r="E1101" s="2">
        <v>419.62</v>
      </c>
      <c r="F1101" s="3">
        <f>DATE(2024,4,18)</f>
        <v>45400</v>
      </c>
      <c r="G1101" s="3">
        <f>DATE(2024,4,18)</f>
        <v>45400</v>
      </c>
      <c r="H1101">
        <v>967899771</v>
      </c>
      <c r="I1101" t="s">
        <v>20</v>
      </c>
      <c r="K1101" t="s">
        <v>21</v>
      </c>
      <c r="L1101" t="s">
        <v>22</v>
      </c>
      <c r="M1101" t="s">
        <v>23</v>
      </c>
      <c r="N1101" t="s">
        <v>23</v>
      </c>
      <c r="O1101" t="s">
        <v>24</v>
      </c>
      <c r="P1101" s="8" t="s">
        <v>1593</v>
      </c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</row>
    <row r="1102" spans="1:51" x14ac:dyDescent="0.2">
      <c r="A1102" s="6" t="s">
        <v>17</v>
      </c>
      <c r="B1102" t="s">
        <v>191</v>
      </c>
      <c r="C1102" t="s">
        <v>192</v>
      </c>
      <c r="D1102" t="s">
        <v>1594</v>
      </c>
      <c r="E1102" s="2">
        <v>850</v>
      </c>
      <c r="F1102" s="3">
        <f>DATE(2024,4,23)</f>
        <v>45405</v>
      </c>
      <c r="G1102" s="3">
        <f>DATE(2024,4,23)</f>
        <v>45405</v>
      </c>
      <c r="H1102">
        <v>967899772</v>
      </c>
      <c r="I1102" t="s">
        <v>20</v>
      </c>
      <c r="K1102" t="s">
        <v>21</v>
      </c>
      <c r="L1102" t="s">
        <v>22</v>
      </c>
      <c r="M1102" t="s">
        <v>23</v>
      </c>
      <c r="N1102" t="s">
        <v>23</v>
      </c>
      <c r="O1102" t="s">
        <v>24</v>
      </c>
      <c r="P1102" s="8" t="s">
        <v>1595</v>
      </c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</row>
    <row r="1103" spans="1:51" hidden="1" x14ac:dyDescent="0.2">
      <c r="A1103" s="6"/>
      <c r="E1103" s="2"/>
      <c r="F1103" s="3"/>
      <c r="G1103" s="3"/>
      <c r="P1103" s="8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</row>
    <row r="1104" spans="1:51" x14ac:dyDescent="0.2">
      <c r="A1104" s="6" t="s">
        <v>17</v>
      </c>
      <c r="B1104" t="s">
        <v>363</v>
      </c>
      <c r="C1104" t="s">
        <v>364</v>
      </c>
      <c r="D1104" t="s">
        <v>1596</v>
      </c>
      <c r="E1104" s="2">
        <v>165</v>
      </c>
      <c r="F1104" s="3">
        <f>DATE(2024,5,2)</f>
        <v>45414</v>
      </c>
      <c r="G1104" s="3">
        <f>DATE(2024,5,2)</f>
        <v>45414</v>
      </c>
      <c r="H1104">
        <v>967899774</v>
      </c>
      <c r="I1104" t="s">
        <v>20</v>
      </c>
      <c r="K1104" t="s">
        <v>21</v>
      </c>
      <c r="L1104" t="s">
        <v>22</v>
      </c>
      <c r="M1104" t="s">
        <v>23</v>
      </c>
      <c r="N1104" t="s">
        <v>23</v>
      </c>
      <c r="O1104" t="s">
        <v>24</v>
      </c>
      <c r="P1104" s="8" t="s">
        <v>1597</v>
      </c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</row>
    <row r="1105" spans="1:51" x14ac:dyDescent="0.2">
      <c r="A1105" s="6" t="s">
        <v>17</v>
      </c>
      <c r="B1105" t="s">
        <v>110</v>
      </c>
      <c r="C1105" t="s">
        <v>111</v>
      </c>
      <c r="D1105" t="s">
        <v>1598</v>
      </c>
      <c r="E1105" s="2">
        <v>179.64</v>
      </c>
      <c r="F1105" s="3">
        <f>DATE(2024,5,28)</f>
        <v>45440</v>
      </c>
      <c r="G1105" s="3">
        <f>DATE(2024,5,28)</f>
        <v>45440</v>
      </c>
      <c r="H1105">
        <v>967899775</v>
      </c>
      <c r="I1105" t="s">
        <v>20</v>
      </c>
      <c r="K1105" t="s">
        <v>21</v>
      </c>
      <c r="L1105" t="s">
        <v>22</v>
      </c>
      <c r="M1105" t="s">
        <v>23</v>
      </c>
      <c r="N1105" t="s">
        <v>23</v>
      </c>
      <c r="O1105" t="s">
        <v>24</v>
      </c>
      <c r="P1105" s="8" t="s">
        <v>1599</v>
      </c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</row>
    <row r="1106" spans="1:51" x14ac:dyDescent="0.2">
      <c r="A1106" s="6" t="s">
        <v>17</v>
      </c>
      <c r="B1106" t="s">
        <v>30</v>
      </c>
      <c r="C1106" t="s">
        <v>31</v>
      </c>
      <c r="D1106" t="s">
        <v>1600</v>
      </c>
      <c r="E1106" s="2">
        <v>3829.92</v>
      </c>
      <c r="F1106" s="3">
        <f>DATE(2024,5,3)</f>
        <v>45415</v>
      </c>
      <c r="G1106" s="3">
        <f>DATE(2024,5,3)</f>
        <v>45415</v>
      </c>
      <c r="H1106">
        <v>967899776</v>
      </c>
      <c r="I1106" t="s">
        <v>20</v>
      </c>
      <c r="K1106" t="s">
        <v>21</v>
      </c>
      <c r="L1106" t="s">
        <v>22</v>
      </c>
      <c r="M1106" t="s">
        <v>23</v>
      </c>
      <c r="N1106" t="s">
        <v>23</v>
      </c>
      <c r="O1106" t="s">
        <v>24</v>
      </c>
      <c r="P1106" s="8" t="s">
        <v>1601</v>
      </c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</row>
    <row r="1107" spans="1:51" hidden="1" x14ac:dyDescent="0.2">
      <c r="A1107" s="6"/>
      <c r="E1107" s="2"/>
      <c r="F1107" s="3"/>
      <c r="G1107" s="3"/>
      <c r="P1107" s="8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</row>
    <row r="1108" spans="1:51" hidden="1" x14ac:dyDescent="0.2">
      <c r="A1108" s="6"/>
      <c r="E1108" s="2"/>
      <c r="F1108" s="3"/>
      <c r="G1108" s="3"/>
      <c r="P1108" s="8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</row>
    <row r="1109" spans="1:51" x14ac:dyDescent="0.2">
      <c r="A1109" s="6" t="s">
        <v>17</v>
      </c>
      <c r="B1109" t="s">
        <v>80</v>
      </c>
      <c r="C1109" t="s">
        <v>81</v>
      </c>
      <c r="D1109" t="s">
        <v>1602</v>
      </c>
      <c r="E1109" s="2">
        <v>437.1</v>
      </c>
      <c r="F1109" s="3">
        <f>DATE(2024,6,5)</f>
        <v>45448</v>
      </c>
      <c r="G1109" s="3">
        <f>DATE(2024,6,5)</f>
        <v>45448</v>
      </c>
      <c r="H1109">
        <v>967899779</v>
      </c>
      <c r="I1109" t="s">
        <v>20</v>
      </c>
      <c r="K1109" t="s">
        <v>21</v>
      </c>
      <c r="L1109" t="s">
        <v>22</v>
      </c>
      <c r="M1109" t="s">
        <v>23</v>
      </c>
      <c r="N1109" t="s">
        <v>23</v>
      </c>
      <c r="O1109" t="s">
        <v>24</v>
      </c>
      <c r="P1109" s="8" t="s">
        <v>1603</v>
      </c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</row>
    <row r="1110" spans="1:51" x14ac:dyDescent="0.2">
      <c r="A1110" s="6" t="s">
        <v>17</v>
      </c>
      <c r="B1110" t="s">
        <v>611</v>
      </c>
      <c r="C1110" t="s">
        <v>612</v>
      </c>
      <c r="D1110" t="s">
        <v>1604</v>
      </c>
      <c r="E1110" s="2">
        <v>1314</v>
      </c>
      <c r="F1110" s="3">
        <f>DATE(2024,5,14)</f>
        <v>45426</v>
      </c>
      <c r="G1110" s="3">
        <f>DATE(2024,5,14)</f>
        <v>45426</v>
      </c>
      <c r="H1110">
        <v>967899780</v>
      </c>
      <c r="I1110" t="s">
        <v>20</v>
      </c>
      <c r="K1110" t="s">
        <v>21</v>
      </c>
      <c r="L1110" t="s">
        <v>22</v>
      </c>
      <c r="M1110" t="s">
        <v>23</v>
      </c>
      <c r="N1110" t="s">
        <v>23</v>
      </c>
      <c r="O1110" t="s">
        <v>24</v>
      </c>
      <c r="P1110" s="8" t="s">
        <v>1605</v>
      </c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</row>
    <row r="1111" spans="1:51" x14ac:dyDescent="0.2">
      <c r="A1111" s="6" t="s">
        <v>17</v>
      </c>
      <c r="B1111" t="s">
        <v>363</v>
      </c>
      <c r="C1111" t="s">
        <v>364</v>
      </c>
      <c r="D1111" t="s">
        <v>1606</v>
      </c>
      <c r="E1111" s="2">
        <v>450</v>
      </c>
      <c r="F1111" s="3">
        <f>DATE(2024,5,2)</f>
        <v>45414</v>
      </c>
      <c r="G1111" s="3">
        <f>DATE(2024,5,2)</f>
        <v>45414</v>
      </c>
      <c r="H1111">
        <v>967899781</v>
      </c>
      <c r="I1111" t="s">
        <v>20</v>
      </c>
      <c r="K1111" t="s">
        <v>21</v>
      </c>
      <c r="L1111" t="s">
        <v>22</v>
      </c>
      <c r="M1111" t="s">
        <v>23</v>
      </c>
      <c r="N1111" t="s">
        <v>23</v>
      </c>
      <c r="O1111" t="s">
        <v>24</v>
      </c>
      <c r="P1111" s="8" t="s">
        <v>1607</v>
      </c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</row>
    <row r="1112" spans="1:51" x14ac:dyDescent="0.2">
      <c r="A1112" s="6" t="s">
        <v>17</v>
      </c>
      <c r="B1112" t="s">
        <v>57</v>
      </c>
      <c r="C1112" t="s">
        <v>58</v>
      </c>
      <c r="D1112" t="s">
        <v>1608</v>
      </c>
      <c r="E1112" s="2">
        <v>188.54</v>
      </c>
      <c r="F1112" s="3">
        <f>DATE(2024,6,3)</f>
        <v>45446</v>
      </c>
      <c r="G1112" s="3">
        <f>DATE(2024,6,3)</f>
        <v>45446</v>
      </c>
      <c r="H1112">
        <v>967899782</v>
      </c>
      <c r="I1112" t="s">
        <v>20</v>
      </c>
      <c r="K1112" t="s">
        <v>21</v>
      </c>
      <c r="L1112" t="s">
        <v>22</v>
      </c>
      <c r="M1112" t="s">
        <v>23</v>
      </c>
      <c r="N1112" t="s">
        <v>23</v>
      </c>
      <c r="O1112" t="s">
        <v>24</v>
      </c>
      <c r="P1112" s="8" t="s">
        <v>1609</v>
      </c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</row>
    <row r="1113" spans="1:51" x14ac:dyDescent="0.2">
      <c r="A1113" s="6" t="s">
        <v>17</v>
      </c>
      <c r="B1113" t="s">
        <v>144</v>
      </c>
      <c r="C1113" t="s">
        <v>145</v>
      </c>
      <c r="D1113" t="s">
        <v>1610</v>
      </c>
      <c r="E1113" s="2">
        <v>118</v>
      </c>
      <c r="F1113" s="3">
        <f>DATE(2024,6,13)</f>
        <v>45456</v>
      </c>
      <c r="G1113" s="3">
        <f>DATE(2024,6,13)</f>
        <v>45456</v>
      </c>
      <c r="H1113">
        <v>967899783</v>
      </c>
      <c r="I1113" t="s">
        <v>51</v>
      </c>
      <c r="K1113" t="s">
        <v>21</v>
      </c>
      <c r="L1113" t="s">
        <v>22</v>
      </c>
      <c r="M1113" t="s">
        <v>23</v>
      </c>
      <c r="N1113" t="s">
        <v>23</v>
      </c>
      <c r="O1113" t="s">
        <v>24</v>
      </c>
      <c r="P1113" s="8" t="s">
        <v>1611</v>
      </c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</row>
    <row r="1114" spans="1:51" x14ac:dyDescent="0.2">
      <c r="A1114" s="6" t="s">
        <v>17</v>
      </c>
      <c r="B1114" t="s">
        <v>674</v>
      </c>
      <c r="C1114" t="s">
        <v>675</v>
      </c>
      <c r="D1114" t="s">
        <v>676</v>
      </c>
      <c r="E1114" s="2">
        <v>39.74</v>
      </c>
      <c r="F1114" s="3">
        <f>DATE(2024,6,18)</f>
        <v>45461</v>
      </c>
      <c r="G1114" s="3">
        <f>DATE(2024,6,18)</f>
        <v>45461</v>
      </c>
      <c r="H1114">
        <v>967899784</v>
      </c>
      <c r="I1114" t="s">
        <v>51</v>
      </c>
      <c r="K1114" t="s">
        <v>21</v>
      </c>
      <c r="L1114" t="s">
        <v>22</v>
      </c>
      <c r="M1114" t="s">
        <v>23</v>
      </c>
      <c r="N1114" t="s">
        <v>23</v>
      </c>
      <c r="O1114" t="s">
        <v>24</v>
      </c>
      <c r="P1114" s="8" t="s">
        <v>1612</v>
      </c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</row>
    <row r="1115" spans="1:51" x14ac:dyDescent="0.2">
      <c r="A1115" s="6" t="s">
        <v>17</v>
      </c>
      <c r="B1115" t="s">
        <v>44</v>
      </c>
      <c r="C1115" t="s">
        <v>45</v>
      </c>
      <c r="D1115" t="s">
        <v>831</v>
      </c>
      <c r="E1115" s="2">
        <v>85.54</v>
      </c>
      <c r="F1115" s="3">
        <f>DATE(2024,7,1)</f>
        <v>45474</v>
      </c>
      <c r="G1115" s="3">
        <f>DATE(2024,7,1)</f>
        <v>45474</v>
      </c>
      <c r="H1115">
        <v>967899785</v>
      </c>
      <c r="I1115" t="s">
        <v>51</v>
      </c>
      <c r="K1115" t="s">
        <v>21</v>
      </c>
      <c r="L1115" t="s">
        <v>22</v>
      </c>
      <c r="M1115" t="s">
        <v>23</v>
      </c>
      <c r="N1115" t="s">
        <v>23</v>
      </c>
      <c r="O1115" t="s">
        <v>24</v>
      </c>
      <c r="P1115" s="8" t="s">
        <v>1613</v>
      </c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</row>
    <row r="1116" spans="1:51" x14ac:dyDescent="0.2">
      <c r="A1116" s="6" t="s">
        <v>17</v>
      </c>
      <c r="B1116" t="s">
        <v>100</v>
      </c>
      <c r="C1116" t="s">
        <v>101</v>
      </c>
      <c r="D1116" t="s">
        <v>1614</v>
      </c>
      <c r="E1116" s="2">
        <v>2.8</v>
      </c>
      <c r="F1116" s="3">
        <f>DATE(2024,6,6)</f>
        <v>45449</v>
      </c>
      <c r="G1116" s="3">
        <f>DATE(2024,6,6)</f>
        <v>45449</v>
      </c>
      <c r="H1116">
        <v>967899786</v>
      </c>
      <c r="I1116" t="s">
        <v>51</v>
      </c>
      <c r="K1116" t="s">
        <v>21</v>
      </c>
      <c r="L1116" t="s">
        <v>22</v>
      </c>
      <c r="M1116" t="s">
        <v>23</v>
      </c>
      <c r="N1116" t="s">
        <v>23</v>
      </c>
      <c r="O1116" t="s">
        <v>24</v>
      </c>
      <c r="P1116" s="8" t="s">
        <v>1615</v>
      </c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</row>
    <row r="1117" spans="1:51" x14ac:dyDescent="0.2">
      <c r="A1117" s="6" t="s">
        <v>17</v>
      </c>
      <c r="B1117" t="s">
        <v>44</v>
      </c>
      <c r="C1117" t="s">
        <v>45</v>
      </c>
      <c r="D1117" t="s">
        <v>1616</v>
      </c>
      <c r="E1117" s="2">
        <v>71.2</v>
      </c>
      <c r="F1117" s="3">
        <f>DATE(2024,6,24)</f>
        <v>45467</v>
      </c>
      <c r="G1117" s="3">
        <f>DATE(2024,6,24)</f>
        <v>45467</v>
      </c>
      <c r="H1117">
        <v>967899787</v>
      </c>
      <c r="I1117" t="s">
        <v>51</v>
      </c>
      <c r="K1117" t="s">
        <v>21</v>
      </c>
      <c r="L1117" t="s">
        <v>22</v>
      </c>
      <c r="M1117" t="s">
        <v>23</v>
      </c>
      <c r="N1117" t="s">
        <v>23</v>
      </c>
      <c r="O1117" t="s">
        <v>24</v>
      </c>
      <c r="P1117" s="8" t="s">
        <v>1617</v>
      </c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</row>
    <row r="1118" spans="1:51" x14ac:dyDescent="0.2">
      <c r="A1118" s="6" t="s">
        <v>17</v>
      </c>
      <c r="B1118" t="s">
        <v>144</v>
      </c>
      <c r="C1118" t="s">
        <v>145</v>
      </c>
      <c r="D1118" t="s">
        <v>1618</v>
      </c>
      <c r="E1118" s="2">
        <v>186.52</v>
      </c>
      <c r="F1118" s="3">
        <f>DATE(2024,6,9)</f>
        <v>45452</v>
      </c>
      <c r="G1118" s="3">
        <f>DATE(2024,6,9)</f>
        <v>45452</v>
      </c>
      <c r="H1118">
        <v>967899788</v>
      </c>
      <c r="I1118" t="s">
        <v>51</v>
      </c>
      <c r="K1118" t="s">
        <v>21</v>
      </c>
      <c r="L1118" t="s">
        <v>22</v>
      </c>
      <c r="M1118" t="s">
        <v>23</v>
      </c>
      <c r="N1118" t="s">
        <v>23</v>
      </c>
      <c r="O1118" t="s">
        <v>24</v>
      </c>
      <c r="P1118" s="8" t="s">
        <v>1619</v>
      </c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</row>
    <row r="1119" spans="1:51" x14ac:dyDescent="0.2">
      <c r="A1119" s="6" t="s">
        <v>17</v>
      </c>
      <c r="B1119" t="s">
        <v>110</v>
      </c>
      <c r="C1119" t="s">
        <v>111</v>
      </c>
      <c r="D1119" t="s">
        <v>1620</v>
      </c>
      <c r="E1119" s="2">
        <v>6.99</v>
      </c>
      <c r="F1119" s="3">
        <f>DATE(2024,6,15)</f>
        <v>45458</v>
      </c>
      <c r="G1119" s="3">
        <f>DATE(2024,6,15)</f>
        <v>45458</v>
      </c>
      <c r="H1119">
        <v>967899789</v>
      </c>
      <c r="I1119" t="s">
        <v>51</v>
      </c>
      <c r="K1119" t="s">
        <v>21</v>
      </c>
      <c r="L1119" t="s">
        <v>22</v>
      </c>
      <c r="M1119" t="s">
        <v>23</v>
      </c>
      <c r="N1119" t="s">
        <v>23</v>
      </c>
      <c r="O1119" t="s">
        <v>24</v>
      </c>
      <c r="P1119" s="8" t="s">
        <v>1621</v>
      </c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</row>
    <row r="1120" spans="1:51" x14ac:dyDescent="0.2">
      <c r="A1120" s="6" t="s">
        <v>17</v>
      </c>
      <c r="B1120" t="s">
        <v>44</v>
      </c>
      <c r="C1120" t="s">
        <v>45</v>
      </c>
      <c r="D1120" t="s">
        <v>831</v>
      </c>
      <c r="E1120" s="2">
        <v>61.64</v>
      </c>
      <c r="F1120" s="3">
        <f>DATE(2024,7,2)</f>
        <v>45475</v>
      </c>
      <c r="G1120" s="3">
        <f>DATE(2024,7,2)</f>
        <v>45475</v>
      </c>
      <c r="H1120">
        <v>967899790</v>
      </c>
      <c r="I1120" t="s">
        <v>51</v>
      </c>
      <c r="K1120" t="s">
        <v>21</v>
      </c>
      <c r="L1120" t="s">
        <v>22</v>
      </c>
      <c r="M1120" t="s">
        <v>23</v>
      </c>
      <c r="N1120" t="s">
        <v>23</v>
      </c>
      <c r="O1120" t="s">
        <v>24</v>
      </c>
      <c r="P1120" s="8" t="s">
        <v>1622</v>
      </c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</row>
    <row r="1121" spans="1:51" x14ac:dyDescent="0.2">
      <c r="A1121" s="6" t="s">
        <v>17</v>
      </c>
      <c r="B1121" t="s">
        <v>44</v>
      </c>
      <c r="C1121" t="s">
        <v>45</v>
      </c>
      <c r="D1121" t="s">
        <v>831</v>
      </c>
      <c r="E1121" s="2">
        <v>61.64</v>
      </c>
      <c r="F1121" s="3">
        <f>DATE(2024,7,2)</f>
        <v>45475</v>
      </c>
      <c r="G1121" s="3">
        <f>DATE(2024,7,2)</f>
        <v>45475</v>
      </c>
      <c r="H1121">
        <v>967899791</v>
      </c>
      <c r="I1121" t="s">
        <v>51</v>
      </c>
      <c r="K1121" t="s">
        <v>21</v>
      </c>
      <c r="L1121" t="s">
        <v>22</v>
      </c>
      <c r="M1121" t="s">
        <v>23</v>
      </c>
      <c r="N1121" t="s">
        <v>23</v>
      </c>
      <c r="O1121" t="s">
        <v>24</v>
      </c>
      <c r="P1121" s="8" t="s">
        <v>1623</v>
      </c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</row>
    <row r="1122" spans="1:51" x14ac:dyDescent="0.2">
      <c r="A1122" s="6" t="s">
        <v>17</v>
      </c>
      <c r="B1122" t="s">
        <v>144</v>
      </c>
      <c r="C1122" t="s">
        <v>145</v>
      </c>
      <c r="D1122" t="s">
        <v>750</v>
      </c>
      <c r="E1122" s="2">
        <v>91</v>
      </c>
      <c r="F1122" s="3">
        <f>DATE(2024,6,9)</f>
        <v>45452</v>
      </c>
      <c r="G1122" s="3">
        <f>DATE(2024,6,9)</f>
        <v>45452</v>
      </c>
      <c r="H1122">
        <v>967899792</v>
      </c>
      <c r="I1122" t="s">
        <v>51</v>
      </c>
      <c r="K1122" t="s">
        <v>21</v>
      </c>
      <c r="L1122" t="s">
        <v>22</v>
      </c>
      <c r="M1122" t="s">
        <v>23</v>
      </c>
      <c r="N1122" t="s">
        <v>23</v>
      </c>
      <c r="O1122" t="s">
        <v>24</v>
      </c>
      <c r="P1122" s="8" t="s">
        <v>1624</v>
      </c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</row>
    <row r="1123" spans="1:51" x14ac:dyDescent="0.2">
      <c r="A1123" s="6" t="s">
        <v>17</v>
      </c>
      <c r="B1123" t="s">
        <v>367</v>
      </c>
      <c r="C1123" t="s">
        <v>368</v>
      </c>
      <c r="D1123" t="s">
        <v>1625</v>
      </c>
      <c r="E1123" s="2">
        <v>69.989999999999995</v>
      </c>
      <c r="F1123" s="3">
        <f>DATE(2024,7,1)</f>
        <v>45474</v>
      </c>
      <c r="G1123" s="3">
        <f>DATE(2024,7,1)</f>
        <v>45474</v>
      </c>
      <c r="H1123">
        <v>967899793</v>
      </c>
      <c r="I1123" t="s">
        <v>51</v>
      </c>
      <c r="K1123" t="s">
        <v>21</v>
      </c>
      <c r="L1123" t="s">
        <v>22</v>
      </c>
      <c r="M1123" t="s">
        <v>23</v>
      </c>
      <c r="N1123" t="s">
        <v>23</v>
      </c>
      <c r="O1123" t="s">
        <v>24</v>
      </c>
      <c r="P1123" s="8" t="s">
        <v>1626</v>
      </c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</row>
    <row r="1124" spans="1:51" x14ac:dyDescent="0.2">
      <c r="A1124" s="6" t="s">
        <v>17</v>
      </c>
      <c r="B1124" t="s">
        <v>26</v>
      </c>
      <c r="C1124" t="s">
        <v>27</v>
      </c>
      <c r="D1124" t="s">
        <v>230</v>
      </c>
      <c r="E1124" s="2">
        <v>5.99</v>
      </c>
      <c r="F1124" s="3">
        <f>DATE(2024,6,20)</f>
        <v>45463</v>
      </c>
      <c r="G1124" s="3">
        <f>DATE(2024,6,20)</f>
        <v>45463</v>
      </c>
      <c r="H1124">
        <v>967899794</v>
      </c>
      <c r="I1124" t="s">
        <v>51</v>
      </c>
      <c r="K1124" t="s">
        <v>21</v>
      </c>
      <c r="L1124" t="s">
        <v>22</v>
      </c>
      <c r="M1124" t="s">
        <v>23</v>
      </c>
      <c r="N1124" t="s">
        <v>23</v>
      </c>
      <c r="O1124" t="s">
        <v>24</v>
      </c>
      <c r="P1124" s="8" t="s">
        <v>1627</v>
      </c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</row>
    <row r="1125" spans="1:51" x14ac:dyDescent="0.2">
      <c r="A1125" s="6" t="s">
        <v>17</v>
      </c>
      <c r="B1125" t="s">
        <v>100</v>
      </c>
      <c r="C1125" t="s">
        <v>101</v>
      </c>
      <c r="D1125" t="s">
        <v>283</v>
      </c>
      <c r="E1125" s="2">
        <v>111.91</v>
      </c>
      <c r="F1125" s="3">
        <f>DATE(2024,6,12)</f>
        <v>45455</v>
      </c>
      <c r="G1125" s="3">
        <f>DATE(2024,6,12)</f>
        <v>45455</v>
      </c>
      <c r="H1125">
        <v>967899795</v>
      </c>
      <c r="I1125" t="s">
        <v>51</v>
      </c>
      <c r="K1125" t="s">
        <v>21</v>
      </c>
      <c r="L1125" t="s">
        <v>22</v>
      </c>
      <c r="M1125" t="s">
        <v>23</v>
      </c>
      <c r="N1125" t="s">
        <v>23</v>
      </c>
      <c r="O1125" t="s">
        <v>24</v>
      </c>
      <c r="P1125" s="8" t="s">
        <v>1628</v>
      </c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</row>
    <row r="1126" spans="1:51" x14ac:dyDescent="0.2">
      <c r="A1126" s="6" t="s">
        <v>17</v>
      </c>
      <c r="B1126" t="s">
        <v>26</v>
      </c>
      <c r="C1126" t="s">
        <v>27</v>
      </c>
      <c r="D1126" t="s">
        <v>1629</v>
      </c>
      <c r="E1126" s="2">
        <v>36.18</v>
      </c>
      <c r="F1126" s="3">
        <f>DATE(2024,6,20)</f>
        <v>45463</v>
      </c>
      <c r="G1126" s="3">
        <f>DATE(2024,6,20)</f>
        <v>45463</v>
      </c>
      <c r="H1126">
        <v>967899796</v>
      </c>
      <c r="I1126" t="s">
        <v>51</v>
      </c>
      <c r="K1126" t="s">
        <v>21</v>
      </c>
      <c r="L1126" t="s">
        <v>22</v>
      </c>
      <c r="M1126" t="s">
        <v>23</v>
      </c>
      <c r="N1126" t="s">
        <v>23</v>
      </c>
      <c r="O1126" t="s">
        <v>24</v>
      </c>
      <c r="P1126" s="8" t="s">
        <v>1630</v>
      </c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</row>
    <row r="1127" spans="1:51" x14ac:dyDescent="0.2">
      <c r="A1127" s="6" t="s">
        <v>17</v>
      </c>
      <c r="B1127" t="s">
        <v>44</v>
      </c>
      <c r="C1127" t="s">
        <v>45</v>
      </c>
      <c r="D1127" t="s">
        <v>831</v>
      </c>
      <c r="E1127" s="2">
        <v>61.64</v>
      </c>
      <c r="F1127" s="3">
        <f>DATE(2024,7,2)</f>
        <v>45475</v>
      </c>
      <c r="G1127" s="3">
        <f>DATE(2024,7,2)</f>
        <v>45475</v>
      </c>
      <c r="H1127">
        <v>967899797</v>
      </c>
      <c r="I1127" t="s">
        <v>51</v>
      </c>
      <c r="K1127" t="s">
        <v>21</v>
      </c>
      <c r="L1127" t="s">
        <v>22</v>
      </c>
      <c r="M1127" t="s">
        <v>23</v>
      </c>
      <c r="N1127" t="s">
        <v>23</v>
      </c>
      <c r="O1127" t="s">
        <v>24</v>
      </c>
      <c r="P1127" s="8" t="s">
        <v>1631</v>
      </c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</row>
    <row r="1128" spans="1:51" x14ac:dyDescent="0.2">
      <c r="A1128" s="6" t="s">
        <v>17</v>
      </c>
      <c r="B1128" t="s">
        <v>100</v>
      </c>
      <c r="C1128" t="s">
        <v>101</v>
      </c>
      <c r="D1128" t="s">
        <v>102</v>
      </c>
      <c r="E1128" s="2">
        <v>100.59</v>
      </c>
      <c r="F1128" s="3">
        <f>DATE(2024,6,18)</f>
        <v>45461</v>
      </c>
      <c r="G1128" s="3">
        <f>DATE(2024,6,18)</f>
        <v>45461</v>
      </c>
      <c r="H1128">
        <v>967899798</v>
      </c>
      <c r="I1128" t="s">
        <v>51</v>
      </c>
      <c r="K1128" t="s">
        <v>21</v>
      </c>
      <c r="L1128" t="s">
        <v>22</v>
      </c>
      <c r="M1128" t="s">
        <v>23</v>
      </c>
      <c r="N1128" t="s">
        <v>23</v>
      </c>
      <c r="O1128" t="s">
        <v>24</v>
      </c>
      <c r="P1128" s="8" t="s">
        <v>1632</v>
      </c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</row>
    <row r="1129" spans="1:51" x14ac:dyDescent="0.2">
      <c r="A1129" s="6" t="s">
        <v>17</v>
      </c>
      <c r="B1129" t="s">
        <v>34</v>
      </c>
      <c r="C1129" t="s">
        <v>35</v>
      </c>
      <c r="D1129" t="s">
        <v>228</v>
      </c>
      <c r="E1129" s="2">
        <v>40</v>
      </c>
      <c r="F1129" s="3">
        <f>DATE(2024,6,20)</f>
        <v>45463</v>
      </c>
      <c r="G1129" s="3">
        <f>DATE(2024,6,20)</f>
        <v>45463</v>
      </c>
      <c r="H1129">
        <v>967899799</v>
      </c>
      <c r="I1129" t="s">
        <v>51</v>
      </c>
      <c r="K1129" t="s">
        <v>21</v>
      </c>
      <c r="L1129" t="s">
        <v>22</v>
      </c>
      <c r="M1129" t="s">
        <v>23</v>
      </c>
      <c r="N1129" t="s">
        <v>23</v>
      </c>
      <c r="O1129" t="s">
        <v>24</v>
      </c>
      <c r="P1129" s="8" t="s">
        <v>1633</v>
      </c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</row>
    <row r="1130" spans="1:51" x14ac:dyDescent="0.2">
      <c r="A1130" s="6" t="s">
        <v>17</v>
      </c>
      <c r="B1130" t="s">
        <v>144</v>
      </c>
      <c r="C1130" t="s">
        <v>145</v>
      </c>
      <c r="D1130" t="s">
        <v>1634</v>
      </c>
      <c r="E1130" s="2">
        <v>35.5</v>
      </c>
      <c r="F1130" s="3">
        <f>DATE(2024,6,6)</f>
        <v>45449</v>
      </c>
      <c r="G1130" s="3">
        <f>DATE(2024,6,6)</f>
        <v>45449</v>
      </c>
      <c r="H1130">
        <v>967899800</v>
      </c>
      <c r="I1130" t="s">
        <v>51</v>
      </c>
      <c r="K1130" t="s">
        <v>21</v>
      </c>
      <c r="L1130" t="s">
        <v>22</v>
      </c>
      <c r="M1130" t="s">
        <v>23</v>
      </c>
      <c r="N1130" t="s">
        <v>23</v>
      </c>
      <c r="O1130" t="s">
        <v>24</v>
      </c>
      <c r="P1130" s="8" t="s">
        <v>1635</v>
      </c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</row>
    <row r="1131" spans="1:51" x14ac:dyDescent="0.2">
      <c r="A1131" s="6" t="s">
        <v>17</v>
      </c>
      <c r="B1131" t="s">
        <v>26</v>
      </c>
      <c r="C1131" t="s">
        <v>27</v>
      </c>
      <c r="D1131" t="s">
        <v>730</v>
      </c>
      <c r="E1131" s="2">
        <v>88.93</v>
      </c>
      <c r="F1131" s="3">
        <f>DATE(2024,6,6)</f>
        <v>45449</v>
      </c>
      <c r="G1131" s="3">
        <f>DATE(2024,6,6)</f>
        <v>45449</v>
      </c>
      <c r="H1131">
        <v>967899801</v>
      </c>
      <c r="I1131" t="s">
        <v>51</v>
      </c>
      <c r="K1131" t="s">
        <v>21</v>
      </c>
      <c r="L1131" t="s">
        <v>22</v>
      </c>
      <c r="M1131" t="s">
        <v>23</v>
      </c>
      <c r="N1131" t="s">
        <v>23</v>
      </c>
      <c r="O1131" t="s">
        <v>24</v>
      </c>
      <c r="P1131" s="8" t="s">
        <v>1636</v>
      </c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</row>
    <row r="1132" spans="1:51" x14ac:dyDescent="0.2">
      <c r="A1132" s="6" t="s">
        <v>17</v>
      </c>
      <c r="B1132" t="s">
        <v>144</v>
      </c>
      <c r="C1132" t="s">
        <v>145</v>
      </c>
      <c r="D1132" t="s">
        <v>1637</v>
      </c>
      <c r="E1132" s="2">
        <v>35</v>
      </c>
      <c r="F1132" s="3">
        <f>DATE(2024,6,7)</f>
        <v>45450</v>
      </c>
      <c r="G1132" s="3">
        <f>DATE(2024,6,7)</f>
        <v>45450</v>
      </c>
      <c r="H1132">
        <v>967899802</v>
      </c>
      <c r="I1132" t="s">
        <v>51</v>
      </c>
      <c r="K1132" t="s">
        <v>21</v>
      </c>
      <c r="L1132" t="s">
        <v>22</v>
      </c>
      <c r="M1132" t="s">
        <v>23</v>
      </c>
      <c r="N1132" t="s">
        <v>23</v>
      </c>
      <c r="O1132" t="s">
        <v>24</v>
      </c>
      <c r="P1132" s="8" t="s">
        <v>1638</v>
      </c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</row>
    <row r="1133" spans="1:51" x14ac:dyDescent="0.2">
      <c r="A1133" s="6" t="s">
        <v>17</v>
      </c>
      <c r="B1133" t="s">
        <v>367</v>
      </c>
      <c r="C1133" t="s">
        <v>368</v>
      </c>
      <c r="D1133" t="s">
        <v>1625</v>
      </c>
      <c r="E1133" s="2">
        <v>84.99</v>
      </c>
      <c r="F1133" s="3">
        <f>DATE(2024,7,1)</f>
        <v>45474</v>
      </c>
      <c r="G1133" s="3">
        <f>DATE(2024,7,1)</f>
        <v>45474</v>
      </c>
      <c r="H1133">
        <v>967899803</v>
      </c>
      <c r="I1133" t="s">
        <v>51</v>
      </c>
      <c r="K1133" t="s">
        <v>21</v>
      </c>
      <c r="L1133" t="s">
        <v>22</v>
      </c>
      <c r="M1133" t="s">
        <v>23</v>
      </c>
      <c r="N1133" t="s">
        <v>23</v>
      </c>
      <c r="O1133" t="s">
        <v>24</v>
      </c>
      <c r="P1133" s="8" t="s">
        <v>1639</v>
      </c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</row>
    <row r="1134" spans="1:51" x14ac:dyDescent="0.2">
      <c r="A1134" s="6" t="s">
        <v>17</v>
      </c>
      <c r="B1134" t="s">
        <v>34</v>
      </c>
      <c r="C1134" t="s">
        <v>35</v>
      </c>
      <c r="D1134" t="s">
        <v>1640</v>
      </c>
      <c r="E1134" s="2">
        <v>80</v>
      </c>
      <c r="F1134" s="3">
        <f>DATE(2024,6,20)</f>
        <v>45463</v>
      </c>
      <c r="G1134" s="3">
        <f>DATE(2024,6,20)</f>
        <v>45463</v>
      </c>
      <c r="H1134">
        <v>967899804</v>
      </c>
      <c r="I1134" t="s">
        <v>51</v>
      </c>
      <c r="K1134" t="s">
        <v>21</v>
      </c>
      <c r="L1134" t="s">
        <v>22</v>
      </c>
      <c r="M1134" t="s">
        <v>23</v>
      </c>
      <c r="N1134" t="s">
        <v>23</v>
      </c>
      <c r="O1134" t="s">
        <v>24</v>
      </c>
      <c r="P1134" s="8" t="s">
        <v>1641</v>
      </c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</row>
    <row r="1135" spans="1:51" x14ac:dyDescent="0.2">
      <c r="A1135" s="6" t="s">
        <v>17</v>
      </c>
      <c r="B1135" t="s">
        <v>44</v>
      </c>
      <c r="C1135" t="s">
        <v>45</v>
      </c>
      <c r="D1135" t="s">
        <v>831</v>
      </c>
      <c r="E1135" s="2">
        <v>61.64</v>
      </c>
      <c r="F1135" s="3">
        <f>DATE(2024,7,2)</f>
        <v>45475</v>
      </c>
      <c r="G1135" s="3">
        <f>DATE(2024,7,2)</f>
        <v>45475</v>
      </c>
      <c r="H1135">
        <v>967899805</v>
      </c>
      <c r="I1135" t="s">
        <v>51</v>
      </c>
      <c r="K1135" t="s">
        <v>21</v>
      </c>
      <c r="L1135" t="s">
        <v>22</v>
      </c>
      <c r="M1135" t="s">
        <v>23</v>
      </c>
      <c r="N1135" t="s">
        <v>23</v>
      </c>
      <c r="O1135" t="s">
        <v>24</v>
      </c>
      <c r="P1135" s="8" t="s">
        <v>1642</v>
      </c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</row>
    <row r="1136" spans="1:51" x14ac:dyDescent="0.2">
      <c r="A1136" s="6" t="s">
        <v>17</v>
      </c>
      <c r="B1136" t="s">
        <v>144</v>
      </c>
      <c r="C1136" t="s">
        <v>145</v>
      </c>
      <c r="D1136" t="s">
        <v>1643</v>
      </c>
      <c r="E1136" s="2">
        <v>77</v>
      </c>
      <c r="F1136" s="3">
        <f>DATE(2024,6,8)</f>
        <v>45451</v>
      </c>
      <c r="G1136" s="3">
        <f>DATE(2024,6,8)</f>
        <v>45451</v>
      </c>
      <c r="H1136">
        <v>967899806</v>
      </c>
      <c r="I1136" t="s">
        <v>51</v>
      </c>
      <c r="K1136" t="s">
        <v>21</v>
      </c>
      <c r="L1136" t="s">
        <v>22</v>
      </c>
      <c r="M1136" t="s">
        <v>23</v>
      </c>
      <c r="N1136" t="s">
        <v>23</v>
      </c>
      <c r="O1136" t="s">
        <v>24</v>
      </c>
      <c r="P1136" s="8" t="s">
        <v>1644</v>
      </c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</row>
    <row r="1137" spans="1:51" x14ac:dyDescent="0.2">
      <c r="A1137" s="6" t="s">
        <v>17</v>
      </c>
      <c r="B1137" t="s">
        <v>26</v>
      </c>
      <c r="C1137" t="s">
        <v>27</v>
      </c>
      <c r="D1137" t="s">
        <v>50</v>
      </c>
      <c r="E1137" s="2">
        <v>154.99</v>
      </c>
      <c r="F1137" s="3">
        <f>DATE(2024,7,1)</f>
        <v>45474</v>
      </c>
      <c r="G1137" s="3">
        <f>DATE(2024,7,1)</f>
        <v>45474</v>
      </c>
      <c r="H1137">
        <v>967899807</v>
      </c>
      <c r="I1137" t="s">
        <v>51</v>
      </c>
      <c r="K1137" t="s">
        <v>21</v>
      </c>
      <c r="L1137" t="s">
        <v>22</v>
      </c>
      <c r="M1137" t="s">
        <v>23</v>
      </c>
      <c r="N1137" t="s">
        <v>23</v>
      </c>
      <c r="O1137" t="s">
        <v>24</v>
      </c>
      <c r="P1137" s="8" t="s">
        <v>1645</v>
      </c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</row>
    <row r="1138" spans="1:51" x14ac:dyDescent="0.2">
      <c r="A1138" s="6" t="s">
        <v>17</v>
      </c>
      <c r="B1138" t="s">
        <v>144</v>
      </c>
      <c r="C1138" t="s">
        <v>145</v>
      </c>
      <c r="D1138" t="s">
        <v>1646</v>
      </c>
      <c r="E1138" s="2">
        <v>13.9</v>
      </c>
      <c r="F1138" s="3">
        <f>DATE(2024,6,24)</f>
        <v>45467</v>
      </c>
      <c r="G1138" s="3">
        <f>DATE(2024,6,24)</f>
        <v>45467</v>
      </c>
      <c r="H1138">
        <v>967899808</v>
      </c>
      <c r="I1138" t="s">
        <v>51</v>
      </c>
      <c r="K1138" t="s">
        <v>21</v>
      </c>
      <c r="L1138" t="s">
        <v>22</v>
      </c>
      <c r="M1138" t="s">
        <v>23</v>
      </c>
      <c r="N1138" t="s">
        <v>23</v>
      </c>
      <c r="O1138" t="s">
        <v>24</v>
      </c>
      <c r="P1138" s="8" t="s">
        <v>1647</v>
      </c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</row>
    <row r="1139" spans="1:51" x14ac:dyDescent="0.2">
      <c r="A1139" s="6" t="s">
        <v>17</v>
      </c>
      <c r="B1139" t="s">
        <v>44</v>
      </c>
      <c r="C1139" t="s">
        <v>45</v>
      </c>
      <c r="D1139" t="s">
        <v>1648</v>
      </c>
      <c r="E1139" s="2">
        <v>223.99</v>
      </c>
      <c r="F1139" s="3">
        <f>DATE(2024,6,11)</f>
        <v>45454</v>
      </c>
      <c r="G1139" s="3">
        <f>DATE(2024,6,11)</f>
        <v>45454</v>
      </c>
      <c r="H1139">
        <v>967899809</v>
      </c>
      <c r="I1139" t="s">
        <v>51</v>
      </c>
      <c r="K1139" t="s">
        <v>21</v>
      </c>
      <c r="L1139" t="s">
        <v>22</v>
      </c>
      <c r="M1139" t="s">
        <v>23</v>
      </c>
      <c r="N1139" t="s">
        <v>23</v>
      </c>
      <c r="O1139" t="s">
        <v>24</v>
      </c>
      <c r="P1139" s="8" t="s">
        <v>1649</v>
      </c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</row>
    <row r="1140" spans="1:51" x14ac:dyDescent="0.2">
      <c r="A1140" s="6" t="s">
        <v>17</v>
      </c>
      <c r="B1140" t="s">
        <v>26</v>
      </c>
      <c r="C1140" t="s">
        <v>27</v>
      </c>
      <c r="D1140" t="s">
        <v>1650</v>
      </c>
      <c r="E1140" s="2">
        <v>13.42</v>
      </c>
      <c r="F1140" s="3">
        <f>DATE(2024,7,2)</f>
        <v>45475</v>
      </c>
      <c r="G1140" s="3">
        <f>DATE(2024,7,2)</f>
        <v>45475</v>
      </c>
      <c r="H1140">
        <v>967899810</v>
      </c>
      <c r="I1140" t="s">
        <v>51</v>
      </c>
      <c r="K1140" t="s">
        <v>21</v>
      </c>
      <c r="L1140" t="s">
        <v>22</v>
      </c>
      <c r="M1140" t="s">
        <v>23</v>
      </c>
      <c r="N1140" t="s">
        <v>23</v>
      </c>
      <c r="O1140" t="s">
        <v>24</v>
      </c>
      <c r="P1140" s="8" t="s">
        <v>1651</v>
      </c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</row>
    <row r="1141" spans="1:51" x14ac:dyDescent="0.2">
      <c r="A1141" s="6" t="s">
        <v>17</v>
      </c>
      <c r="B1141" t="s">
        <v>144</v>
      </c>
      <c r="C1141" t="s">
        <v>145</v>
      </c>
      <c r="D1141" t="s">
        <v>1652</v>
      </c>
      <c r="E1141" s="2">
        <v>133</v>
      </c>
      <c r="F1141" s="3">
        <f>DATE(2024,6,7)</f>
        <v>45450</v>
      </c>
      <c r="G1141" s="3">
        <f>DATE(2024,6,7)</f>
        <v>45450</v>
      </c>
      <c r="H1141">
        <v>967899811</v>
      </c>
      <c r="I1141" t="s">
        <v>51</v>
      </c>
      <c r="K1141" t="s">
        <v>21</v>
      </c>
      <c r="L1141" t="s">
        <v>22</v>
      </c>
      <c r="M1141" t="s">
        <v>23</v>
      </c>
      <c r="N1141" t="s">
        <v>23</v>
      </c>
      <c r="O1141" t="s">
        <v>24</v>
      </c>
      <c r="P1141" s="8" t="s">
        <v>1653</v>
      </c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</row>
    <row r="1142" spans="1:51" x14ac:dyDescent="0.2">
      <c r="A1142" s="6" t="s">
        <v>17</v>
      </c>
      <c r="B1142" t="s">
        <v>44</v>
      </c>
      <c r="C1142" t="s">
        <v>45</v>
      </c>
      <c r="D1142" t="s">
        <v>831</v>
      </c>
      <c r="E1142" s="2">
        <v>74.97</v>
      </c>
      <c r="F1142" s="3">
        <f>DATE(2024,6,17)</f>
        <v>45460</v>
      </c>
      <c r="G1142" s="3">
        <f>DATE(2024,6,17)</f>
        <v>45460</v>
      </c>
      <c r="H1142">
        <v>967899812</v>
      </c>
      <c r="I1142" t="s">
        <v>51</v>
      </c>
      <c r="K1142" t="s">
        <v>21</v>
      </c>
      <c r="L1142" t="s">
        <v>22</v>
      </c>
      <c r="M1142" t="s">
        <v>23</v>
      </c>
      <c r="N1142" t="s">
        <v>23</v>
      </c>
      <c r="O1142" t="s">
        <v>24</v>
      </c>
      <c r="P1142" s="8" t="s">
        <v>1654</v>
      </c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</row>
    <row r="1143" spans="1:51" x14ac:dyDescent="0.2">
      <c r="A1143" s="6" t="s">
        <v>17</v>
      </c>
      <c r="B1143" t="s">
        <v>26</v>
      </c>
      <c r="C1143" t="s">
        <v>27</v>
      </c>
      <c r="D1143" t="s">
        <v>50</v>
      </c>
      <c r="E1143" s="2">
        <v>149.66999999999999</v>
      </c>
      <c r="F1143" s="3">
        <f>DATE(2024,6,1)</f>
        <v>45444</v>
      </c>
      <c r="G1143" s="3">
        <f>DATE(2024,6,1)</f>
        <v>45444</v>
      </c>
      <c r="H1143">
        <v>967899813</v>
      </c>
      <c r="I1143" t="s">
        <v>51</v>
      </c>
      <c r="K1143" t="s">
        <v>21</v>
      </c>
      <c r="L1143" t="s">
        <v>22</v>
      </c>
      <c r="M1143" t="s">
        <v>23</v>
      </c>
      <c r="N1143" t="s">
        <v>23</v>
      </c>
      <c r="O1143" t="s">
        <v>24</v>
      </c>
      <c r="P1143" s="8" t="s">
        <v>1655</v>
      </c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</row>
    <row r="1144" spans="1:51" x14ac:dyDescent="0.2">
      <c r="A1144" s="6" t="s">
        <v>17</v>
      </c>
      <c r="B1144" t="s">
        <v>44</v>
      </c>
      <c r="C1144" t="s">
        <v>45</v>
      </c>
      <c r="D1144" t="s">
        <v>1656</v>
      </c>
      <c r="E1144" s="2">
        <v>26.56</v>
      </c>
      <c r="F1144" s="3">
        <f>DATE(2024,6,17)</f>
        <v>45460</v>
      </c>
      <c r="G1144" s="3">
        <f>DATE(2024,6,17)</f>
        <v>45460</v>
      </c>
      <c r="H1144">
        <v>967899814</v>
      </c>
      <c r="I1144" t="s">
        <v>51</v>
      </c>
      <c r="K1144" t="s">
        <v>21</v>
      </c>
      <c r="L1144" t="s">
        <v>22</v>
      </c>
      <c r="M1144" t="s">
        <v>23</v>
      </c>
      <c r="N1144" t="s">
        <v>23</v>
      </c>
      <c r="O1144" t="s">
        <v>24</v>
      </c>
      <c r="P1144" s="8" t="s">
        <v>1657</v>
      </c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</row>
    <row r="1145" spans="1:51" x14ac:dyDescent="0.2">
      <c r="A1145" s="6" t="s">
        <v>17</v>
      </c>
      <c r="B1145" t="s">
        <v>100</v>
      </c>
      <c r="C1145" t="s">
        <v>101</v>
      </c>
      <c r="D1145" t="s">
        <v>1658</v>
      </c>
      <c r="E1145" s="2">
        <v>125.82</v>
      </c>
      <c r="F1145" s="3">
        <f>DATE(2024,6,18)</f>
        <v>45461</v>
      </c>
      <c r="G1145" s="3">
        <f>DATE(2024,6,18)</f>
        <v>45461</v>
      </c>
      <c r="H1145">
        <v>967899815</v>
      </c>
      <c r="I1145" t="s">
        <v>51</v>
      </c>
      <c r="K1145" t="s">
        <v>21</v>
      </c>
      <c r="L1145" t="s">
        <v>22</v>
      </c>
      <c r="M1145" t="s">
        <v>23</v>
      </c>
      <c r="N1145" t="s">
        <v>23</v>
      </c>
      <c r="O1145" t="s">
        <v>24</v>
      </c>
      <c r="P1145" s="8" t="s">
        <v>1659</v>
      </c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</row>
    <row r="1146" spans="1:51" x14ac:dyDescent="0.2">
      <c r="A1146" s="6" t="s">
        <v>17</v>
      </c>
      <c r="B1146" t="s">
        <v>44</v>
      </c>
      <c r="C1146" t="s">
        <v>45</v>
      </c>
      <c r="D1146" t="s">
        <v>831</v>
      </c>
      <c r="E1146" s="2">
        <v>61.64</v>
      </c>
      <c r="F1146" s="3">
        <f>DATE(2024,7,2)</f>
        <v>45475</v>
      </c>
      <c r="G1146" s="3">
        <f>DATE(2024,7,2)</f>
        <v>45475</v>
      </c>
      <c r="H1146">
        <v>967899816</v>
      </c>
      <c r="I1146" t="s">
        <v>51</v>
      </c>
      <c r="K1146" t="s">
        <v>21</v>
      </c>
      <c r="L1146" t="s">
        <v>22</v>
      </c>
      <c r="M1146" t="s">
        <v>23</v>
      </c>
      <c r="N1146" t="s">
        <v>23</v>
      </c>
      <c r="O1146" t="s">
        <v>24</v>
      </c>
      <c r="P1146" s="8" t="s">
        <v>1660</v>
      </c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</row>
    <row r="1147" spans="1:51" x14ac:dyDescent="0.2">
      <c r="A1147" s="6" t="s">
        <v>17</v>
      </c>
      <c r="B1147" t="s">
        <v>887</v>
      </c>
      <c r="C1147" t="s">
        <v>888</v>
      </c>
      <c r="D1147" t="s">
        <v>1661</v>
      </c>
      <c r="E1147" s="2">
        <v>111.93</v>
      </c>
      <c r="F1147" s="3">
        <f>DATE(2024,6,27)</f>
        <v>45470</v>
      </c>
      <c r="G1147" s="3">
        <f>DATE(2024,6,27)</f>
        <v>45470</v>
      </c>
      <c r="H1147">
        <v>967899817</v>
      </c>
      <c r="I1147" t="s">
        <v>51</v>
      </c>
      <c r="K1147" t="s">
        <v>21</v>
      </c>
      <c r="L1147" t="s">
        <v>22</v>
      </c>
      <c r="M1147" t="s">
        <v>23</v>
      </c>
      <c r="N1147" t="s">
        <v>23</v>
      </c>
      <c r="O1147" t="s">
        <v>24</v>
      </c>
      <c r="P1147" s="8" t="s">
        <v>1662</v>
      </c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</row>
    <row r="1148" spans="1:51" x14ac:dyDescent="0.2">
      <c r="A1148" s="6" t="s">
        <v>17</v>
      </c>
      <c r="B1148" t="s">
        <v>144</v>
      </c>
      <c r="C1148" t="s">
        <v>145</v>
      </c>
      <c r="D1148" t="s">
        <v>1646</v>
      </c>
      <c r="E1148" s="2">
        <v>14.88</v>
      </c>
      <c r="F1148" s="3">
        <f>DATE(2024,6,24)</f>
        <v>45467</v>
      </c>
      <c r="G1148" s="3">
        <f>DATE(2024,6,24)</f>
        <v>45467</v>
      </c>
      <c r="H1148">
        <v>967899818</v>
      </c>
      <c r="I1148" t="s">
        <v>51</v>
      </c>
      <c r="K1148" t="s">
        <v>21</v>
      </c>
      <c r="L1148" t="s">
        <v>22</v>
      </c>
      <c r="M1148" t="s">
        <v>23</v>
      </c>
      <c r="N1148" t="s">
        <v>23</v>
      </c>
      <c r="O1148" t="s">
        <v>24</v>
      </c>
      <c r="P1148" s="8" t="s">
        <v>1663</v>
      </c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</row>
    <row r="1149" spans="1:51" x14ac:dyDescent="0.2">
      <c r="A1149" s="6" t="s">
        <v>17</v>
      </c>
      <c r="B1149" t="s">
        <v>100</v>
      </c>
      <c r="C1149" t="s">
        <v>101</v>
      </c>
      <c r="D1149" t="s">
        <v>283</v>
      </c>
      <c r="E1149" s="2">
        <v>226.91</v>
      </c>
      <c r="F1149" s="3">
        <f>DATE(2024,6,28)</f>
        <v>45471</v>
      </c>
      <c r="G1149" s="3">
        <f>DATE(2024,6,28)</f>
        <v>45471</v>
      </c>
      <c r="H1149">
        <v>967899819</v>
      </c>
      <c r="I1149" t="s">
        <v>51</v>
      </c>
      <c r="K1149" t="s">
        <v>21</v>
      </c>
      <c r="L1149" t="s">
        <v>22</v>
      </c>
      <c r="M1149" t="s">
        <v>23</v>
      </c>
      <c r="N1149" t="s">
        <v>23</v>
      </c>
      <c r="O1149" t="s">
        <v>24</v>
      </c>
      <c r="P1149" s="8" t="s">
        <v>1664</v>
      </c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</row>
    <row r="1150" spans="1:51" x14ac:dyDescent="0.2">
      <c r="A1150" s="6" t="s">
        <v>17</v>
      </c>
      <c r="B1150" t="s">
        <v>100</v>
      </c>
      <c r="C1150" t="s">
        <v>101</v>
      </c>
      <c r="D1150" t="s">
        <v>283</v>
      </c>
      <c r="E1150" s="2">
        <v>261.18</v>
      </c>
      <c r="F1150" s="3">
        <f>DATE(2024,6,3)</f>
        <v>45446</v>
      </c>
      <c r="G1150" s="3">
        <f>DATE(2024,6,3)</f>
        <v>45446</v>
      </c>
      <c r="H1150">
        <v>967899820</v>
      </c>
      <c r="I1150" t="s">
        <v>51</v>
      </c>
      <c r="K1150" t="s">
        <v>21</v>
      </c>
      <c r="L1150" t="s">
        <v>22</v>
      </c>
      <c r="M1150" t="s">
        <v>23</v>
      </c>
      <c r="N1150" t="s">
        <v>23</v>
      </c>
      <c r="O1150" t="s">
        <v>24</v>
      </c>
      <c r="P1150" s="8" t="s">
        <v>1665</v>
      </c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</row>
    <row r="1151" spans="1:51" hidden="1" x14ac:dyDescent="0.2">
      <c r="A1151" s="6"/>
      <c r="E1151" s="2"/>
      <c r="F1151" s="3"/>
      <c r="G1151" s="3"/>
      <c r="P1151" s="8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</row>
    <row r="1152" spans="1:51" x14ac:dyDescent="0.2">
      <c r="A1152" s="6" t="s">
        <v>17</v>
      </c>
      <c r="B1152" t="s">
        <v>110</v>
      </c>
      <c r="C1152" t="s">
        <v>111</v>
      </c>
      <c r="D1152" t="s">
        <v>1666</v>
      </c>
      <c r="E1152" s="2">
        <v>3.04</v>
      </c>
      <c r="F1152" s="3">
        <f>DATE(2024,4,28)</f>
        <v>45410</v>
      </c>
      <c r="G1152" s="3">
        <f>DATE(2024,4,28)</f>
        <v>45410</v>
      </c>
      <c r="H1152">
        <v>968541424</v>
      </c>
      <c r="I1152" t="s">
        <v>73</v>
      </c>
      <c r="K1152" t="s">
        <v>21</v>
      </c>
      <c r="L1152" t="s">
        <v>22</v>
      </c>
      <c r="M1152" t="s">
        <v>23</v>
      </c>
      <c r="N1152" t="s">
        <v>23</v>
      </c>
      <c r="O1152" t="s">
        <v>24</v>
      </c>
      <c r="P1152" s="8" t="s">
        <v>1667</v>
      </c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</row>
    <row r="1153" spans="1:51" x14ac:dyDescent="0.2">
      <c r="A1153" s="6" t="s">
        <v>17</v>
      </c>
      <c r="B1153" t="s">
        <v>74</v>
      </c>
      <c r="C1153" t="s">
        <v>75</v>
      </c>
      <c r="D1153" t="s">
        <v>1668</v>
      </c>
      <c r="E1153" s="2">
        <v>269.57</v>
      </c>
      <c r="F1153" s="3">
        <f>DATE(2024,6,5)</f>
        <v>45448</v>
      </c>
      <c r="G1153" s="3">
        <f>DATE(2024,6,5)</f>
        <v>45448</v>
      </c>
      <c r="H1153">
        <v>968541425</v>
      </c>
      <c r="I1153" t="s">
        <v>73</v>
      </c>
      <c r="K1153" t="s">
        <v>21</v>
      </c>
      <c r="L1153" t="s">
        <v>22</v>
      </c>
      <c r="M1153" t="s">
        <v>23</v>
      </c>
      <c r="N1153" t="s">
        <v>23</v>
      </c>
      <c r="O1153" t="s">
        <v>24</v>
      </c>
      <c r="P1153" s="8" t="s">
        <v>1669</v>
      </c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</row>
    <row r="1154" spans="1:51" hidden="1" x14ac:dyDescent="0.2">
      <c r="A1154" s="6"/>
      <c r="E1154" s="2"/>
      <c r="F1154" s="3"/>
      <c r="G1154" s="3"/>
      <c r="P1154" s="8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</row>
    <row r="1155" spans="1:51" hidden="1" x14ac:dyDescent="0.2">
      <c r="A1155" s="6"/>
      <c r="E1155" s="2"/>
      <c r="F1155" s="3"/>
      <c r="G1155" s="3"/>
      <c r="P1155" s="8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</row>
    <row r="1156" spans="1:51" hidden="1" x14ac:dyDescent="0.2">
      <c r="A1156" s="6"/>
      <c r="E1156" s="2"/>
      <c r="F1156" s="3"/>
      <c r="G1156" s="3"/>
      <c r="P1156" s="8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</row>
    <row r="1157" spans="1:51" x14ac:dyDescent="0.2">
      <c r="A1157" s="6" t="s">
        <v>17</v>
      </c>
      <c r="B1157" t="s">
        <v>110</v>
      </c>
      <c r="C1157" t="s">
        <v>111</v>
      </c>
      <c r="D1157" t="s">
        <v>1670</v>
      </c>
      <c r="E1157" s="2">
        <v>0.24</v>
      </c>
      <c r="F1157" s="3">
        <f>DATE(2024,6,5)</f>
        <v>45448</v>
      </c>
      <c r="G1157" s="3">
        <f>DATE(2024,6,5)</f>
        <v>45448</v>
      </c>
      <c r="H1157">
        <v>968541429</v>
      </c>
      <c r="I1157" t="s">
        <v>73</v>
      </c>
      <c r="K1157" t="s">
        <v>21</v>
      </c>
      <c r="L1157" t="s">
        <v>22</v>
      </c>
      <c r="M1157" t="s">
        <v>23</v>
      </c>
      <c r="N1157" t="s">
        <v>23</v>
      </c>
      <c r="O1157" t="s">
        <v>24</v>
      </c>
      <c r="P1157" s="8" t="s">
        <v>1671</v>
      </c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</row>
    <row r="1158" spans="1:51" hidden="1" x14ac:dyDescent="0.2">
      <c r="A1158" s="6"/>
      <c r="E1158" s="2"/>
      <c r="F1158" s="3"/>
      <c r="G1158" s="3"/>
      <c r="P1158" s="8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</row>
    <row r="1159" spans="1:51" hidden="1" x14ac:dyDescent="0.2">
      <c r="A1159" s="6"/>
      <c r="E1159" s="2"/>
      <c r="F1159" s="3"/>
      <c r="G1159" s="3"/>
      <c r="P1159" s="8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</row>
    <row r="1160" spans="1:51" x14ac:dyDescent="0.2">
      <c r="A1160" s="6" t="s">
        <v>17</v>
      </c>
      <c r="B1160" t="s">
        <v>18</v>
      </c>
      <c r="C1160" t="s">
        <v>18</v>
      </c>
      <c r="D1160" t="s">
        <v>1672</v>
      </c>
      <c r="E1160" s="2">
        <v>30.23</v>
      </c>
      <c r="F1160" s="3">
        <f>DATE(2024,5,13)</f>
        <v>45425</v>
      </c>
      <c r="G1160" s="3">
        <f>DATE(2024,5,13)</f>
        <v>45425</v>
      </c>
      <c r="H1160">
        <v>968541432</v>
      </c>
      <c r="I1160" t="s">
        <v>73</v>
      </c>
      <c r="K1160" t="s">
        <v>21</v>
      </c>
      <c r="L1160" t="s">
        <v>22</v>
      </c>
      <c r="M1160" t="s">
        <v>23</v>
      </c>
      <c r="N1160" t="s">
        <v>23</v>
      </c>
      <c r="O1160" t="s">
        <v>24</v>
      </c>
      <c r="P1160" s="8" t="s">
        <v>1673</v>
      </c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</row>
    <row r="1161" spans="1:51" hidden="1" x14ac:dyDescent="0.2">
      <c r="A1161" s="6"/>
      <c r="E1161" s="2"/>
      <c r="F1161" s="3"/>
      <c r="G1161" s="3"/>
      <c r="P1161" s="8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</row>
    <row r="1162" spans="1:51" hidden="1" x14ac:dyDescent="0.2">
      <c r="A1162" s="6"/>
      <c r="E1162" s="2"/>
      <c r="F1162" s="3"/>
      <c r="G1162" s="3"/>
      <c r="P1162" s="8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</row>
    <row r="1163" spans="1:51" hidden="1" x14ac:dyDescent="0.2">
      <c r="A1163" s="6"/>
      <c r="E1163" s="2"/>
      <c r="F1163" s="3"/>
      <c r="G1163" s="3"/>
      <c r="P1163" s="8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</row>
    <row r="1164" spans="1:51" hidden="1" x14ac:dyDescent="0.2">
      <c r="A1164" s="6"/>
      <c r="E1164" s="2"/>
      <c r="F1164" s="3"/>
      <c r="G1164" s="3"/>
      <c r="P1164" s="8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</row>
    <row r="1165" spans="1:51" hidden="1" x14ac:dyDescent="0.2">
      <c r="A1165" s="6"/>
      <c r="E1165" s="2"/>
      <c r="F1165" s="3"/>
      <c r="G1165" s="3"/>
      <c r="P1165" s="8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</row>
    <row r="1166" spans="1:51" x14ac:dyDescent="0.2">
      <c r="A1166" s="6" t="s">
        <v>17</v>
      </c>
      <c r="B1166" t="s">
        <v>74</v>
      </c>
      <c r="C1166" t="s">
        <v>75</v>
      </c>
      <c r="D1166" t="s">
        <v>1674</v>
      </c>
      <c r="E1166" s="2">
        <v>3579.86</v>
      </c>
      <c r="F1166" s="3">
        <f>DATE(2024,5,5)</f>
        <v>45417</v>
      </c>
      <c r="G1166" s="3">
        <f>DATE(2024,5,5)</f>
        <v>45417</v>
      </c>
      <c r="H1166">
        <v>968541438</v>
      </c>
      <c r="I1166" t="s">
        <v>73</v>
      </c>
      <c r="K1166" t="s">
        <v>21</v>
      </c>
      <c r="L1166" t="s">
        <v>22</v>
      </c>
      <c r="M1166" t="s">
        <v>23</v>
      </c>
      <c r="N1166" t="s">
        <v>23</v>
      </c>
      <c r="O1166" t="s">
        <v>24</v>
      </c>
      <c r="P1166" s="8" t="s">
        <v>1675</v>
      </c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</row>
    <row r="1167" spans="1:51" hidden="1" x14ac:dyDescent="0.2">
      <c r="A1167" s="6"/>
      <c r="E1167" s="2"/>
      <c r="F1167" s="3"/>
      <c r="G1167" s="3"/>
      <c r="P1167" s="8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</row>
    <row r="1168" spans="1:51" hidden="1" x14ac:dyDescent="0.2">
      <c r="A1168" s="6"/>
      <c r="E1168" s="2"/>
      <c r="F1168" s="3"/>
      <c r="G1168" s="3"/>
      <c r="P1168" s="8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</row>
    <row r="1169" spans="1:51" hidden="1" x14ac:dyDescent="0.2">
      <c r="A1169" s="6"/>
      <c r="E1169" s="2"/>
      <c r="F1169" s="3"/>
      <c r="G1169" s="3"/>
      <c r="P1169" s="8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</row>
    <row r="1170" spans="1:51" hidden="1" x14ac:dyDescent="0.2">
      <c r="A1170" s="6"/>
      <c r="E1170" s="2"/>
      <c r="F1170" s="3"/>
      <c r="G1170" s="3"/>
      <c r="P1170" s="8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</row>
    <row r="1171" spans="1:51" x14ac:dyDescent="0.2">
      <c r="A1171" s="6" t="s">
        <v>17</v>
      </c>
      <c r="B1171" t="s">
        <v>74</v>
      </c>
      <c r="C1171" t="s">
        <v>75</v>
      </c>
      <c r="D1171" t="s">
        <v>1676</v>
      </c>
      <c r="E1171" s="2">
        <v>3583.29</v>
      </c>
      <c r="F1171" s="3">
        <f>DATE(2024,6,5)</f>
        <v>45448</v>
      </c>
      <c r="G1171" s="3">
        <f>DATE(2024,6,5)</f>
        <v>45448</v>
      </c>
      <c r="H1171">
        <v>968541443</v>
      </c>
      <c r="I1171" t="s">
        <v>73</v>
      </c>
      <c r="K1171" t="s">
        <v>21</v>
      </c>
      <c r="L1171" t="s">
        <v>22</v>
      </c>
      <c r="M1171" t="s">
        <v>23</v>
      </c>
      <c r="N1171" t="s">
        <v>23</v>
      </c>
      <c r="O1171" t="s">
        <v>24</v>
      </c>
      <c r="P1171" s="8" t="s">
        <v>1677</v>
      </c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</row>
    <row r="1172" spans="1:51" hidden="1" x14ac:dyDescent="0.2">
      <c r="A1172" s="6"/>
      <c r="E1172" s="2"/>
      <c r="F1172" s="3"/>
      <c r="G1172" s="3"/>
      <c r="P1172" s="8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</row>
    <row r="1173" spans="1:51" hidden="1" x14ac:dyDescent="0.2">
      <c r="A1173" s="6"/>
      <c r="E1173" s="2"/>
      <c r="F1173" s="3"/>
      <c r="G1173" s="3"/>
      <c r="P1173" s="8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</row>
    <row r="1174" spans="1:51" x14ac:dyDescent="0.2">
      <c r="A1174" s="6" t="s">
        <v>17</v>
      </c>
      <c r="B1174" t="s">
        <v>110</v>
      </c>
      <c r="C1174" t="s">
        <v>111</v>
      </c>
      <c r="D1174" t="s">
        <v>1678</v>
      </c>
      <c r="E1174" s="2">
        <v>0.94</v>
      </c>
      <c r="F1174" s="3">
        <f>DATE(2024,5,18)</f>
        <v>45430</v>
      </c>
      <c r="G1174" s="3">
        <f>DATE(2024,5,18)</f>
        <v>45430</v>
      </c>
      <c r="H1174">
        <v>968541446</v>
      </c>
      <c r="I1174" t="s">
        <v>73</v>
      </c>
      <c r="K1174" t="s">
        <v>21</v>
      </c>
      <c r="L1174" t="s">
        <v>22</v>
      </c>
      <c r="M1174" t="s">
        <v>23</v>
      </c>
      <c r="N1174" t="s">
        <v>23</v>
      </c>
      <c r="O1174" t="s">
        <v>24</v>
      </c>
      <c r="P1174" s="8" t="s">
        <v>1679</v>
      </c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</row>
    <row r="1175" spans="1:51" hidden="1" x14ac:dyDescent="0.2">
      <c r="A1175" s="6"/>
      <c r="E1175" s="2"/>
      <c r="F1175" s="3"/>
      <c r="G1175" s="3"/>
      <c r="P1175" s="8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</row>
    <row r="1176" spans="1:51" hidden="1" x14ac:dyDescent="0.2">
      <c r="A1176" s="6"/>
      <c r="E1176" s="2"/>
      <c r="F1176" s="3"/>
      <c r="G1176" s="3"/>
      <c r="P1176" s="8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</row>
    <row r="1177" spans="1:51" x14ac:dyDescent="0.2">
      <c r="A1177" s="6" t="s">
        <v>17</v>
      </c>
      <c r="B1177" t="s">
        <v>110</v>
      </c>
      <c r="C1177" t="s">
        <v>111</v>
      </c>
      <c r="D1177" t="s">
        <v>1680</v>
      </c>
      <c r="E1177" s="2">
        <v>0.75</v>
      </c>
      <c r="F1177" s="3">
        <f>DATE(2024,5,26)</f>
        <v>45438</v>
      </c>
      <c r="G1177" s="3">
        <f>DATE(2024,5,26)</f>
        <v>45438</v>
      </c>
      <c r="H1177">
        <v>968541449</v>
      </c>
      <c r="I1177" t="s">
        <v>73</v>
      </c>
      <c r="K1177" t="s">
        <v>21</v>
      </c>
      <c r="L1177" t="s">
        <v>22</v>
      </c>
      <c r="M1177" t="s">
        <v>23</v>
      </c>
      <c r="N1177" t="s">
        <v>23</v>
      </c>
      <c r="O1177" t="s">
        <v>24</v>
      </c>
      <c r="P1177" s="8" t="s">
        <v>1681</v>
      </c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</row>
    <row r="1178" spans="1:51" hidden="1" x14ac:dyDescent="0.2">
      <c r="A1178" s="6"/>
      <c r="E1178" s="2"/>
      <c r="F1178" s="3"/>
      <c r="G1178" s="3"/>
      <c r="P1178" s="8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</row>
    <row r="1179" spans="1:51" hidden="1" x14ac:dyDescent="0.2">
      <c r="A1179" s="6"/>
      <c r="E1179" s="2"/>
      <c r="F1179" s="3"/>
      <c r="G1179" s="3"/>
      <c r="P1179" s="8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</row>
    <row r="1180" spans="1:51" hidden="1" x14ac:dyDescent="0.2">
      <c r="A1180" s="6"/>
      <c r="E1180" s="2"/>
      <c r="F1180" s="3"/>
      <c r="G1180" s="3"/>
      <c r="P1180" s="8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</row>
    <row r="1181" spans="1:51" hidden="1" x14ac:dyDescent="0.2">
      <c r="A1181" s="6"/>
      <c r="E1181" s="2"/>
      <c r="F1181" s="3"/>
      <c r="G1181" s="3"/>
      <c r="P1181" s="8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</row>
    <row r="1182" spans="1:51" hidden="1" x14ac:dyDescent="0.2">
      <c r="A1182" s="6"/>
      <c r="E1182" s="2"/>
      <c r="F1182" s="3"/>
      <c r="G1182" s="3"/>
      <c r="P1182" s="8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</row>
    <row r="1183" spans="1:51" hidden="1" x14ac:dyDescent="0.2">
      <c r="A1183" s="6"/>
      <c r="E1183" s="2"/>
      <c r="F1183" s="3"/>
      <c r="G1183" s="3"/>
      <c r="P1183" s="8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</row>
    <row r="1184" spans="1:51" hidden="1" x14ac:dyDescent="0.2">
      <c r="A1184" s="6"/>
      <c r="E1184" s="2"/>
      <c r="F1184" s="3"/>
      <c r="G1184" s="3"/>
      <c r="P1184" s="8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</row>
    <row r="1185" spans="1:51" hidden="1" x14ac:dyDescent="0.2">
      <c r="A1185" s="6"/>
      <c r="E1185" s="2"/>
      <c r="F1185" s="3"/>
      <c r="G1185" s="3"/>
      <c r="P1185" s="8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</row>
    <row r="1186" spans="1:51" x14ac:dyDescent="0.2">
      <c r="A1186" s="6" t="s">
        <v>17</v>
      </c>
      <c r="B1186" t="s">
        <v>18</v>
      </c>
      <c r="C1186" t="s">
        <v>18</v>
      </c>
      <c r="D1186" t="s">
        <v>189</v>
      </c>
      <c r="E1186" s="2">
        <v>55.24</v>
      </c>
      <c r="F1186" s="3">
        <f>DATE(2024,4,16)</f>
        <v>45398</v>
      </c>
      <c r="G1186" s="3">
        <f>DATE(2024,4,16)</f>
        <v>45398</v>
      </c>
      <c r="H1186">
        <v>968541458</v>
      </c>
      <c r="I1186" t="s">
        <v>73</v>
      </c>
      <c r="K1186" t="s">
        <v>21</v>
      </c>
      <c r="L1186" t="s">
        <v>22</v>
      </c>
      <c r="M1186" t="s">
        <v>23</v>
      </c>
      <c r="N1186" t="s">
        <v>23</v>
      </c>
      <c r="O1186" t="s">
        <v>24</v>
      </c>
      <c r="P1186" s="8" t="s">
        <v>1682</v>
      </c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</row>
    <row r="1187" spans="1:51" hidden="1" x14ac:dyDescent="0.2">
      <c r="A1187" s="6"/>
      <c r="E1187" s="2"/>
      <c r="F1187" s="3"/>
      <c r="G1187" s="3"/>
      <c r="P1187" s="8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</row>
    <row r="1188" spans="1:51" x14ac:dyDescent="0.2">
      <c r="A1188" s="6" t="s">
        <v>17</v>
      </c>
      <c r="B1188" t="s">
        <v>74</v>
      </c>
      <c r="C1188" t="s">
        <v>75</v>
      </c>
      <c r="D1188" t="s">
        <v>1683</v>
      </c>
      <c r="E1188" s="2">
        <v>273</v>
      </c>
      <c r="F1188" s="3">
        <f>DATE(2024,5,5)</f>
        <v>45417</v>
      </c>
      <c r="G1188" s="3">
        <f>DATE(2024,5,5)</f>
        <v>45417</v>
      </c>
      <c r="H1188">
        <v>968541460</v>
      </c>
      <c r="I1188" t="s">
        <v>73</v>
      </c>
      <c r="K1188" t="s">
        <v>21</v>
      </c>
      <c r="L1188" t="s">
        <v>22</v>
      </c>
      <c r="M1188" t="s">
        <v>23</v>
      </c>
      <c r="N1188" t="s">
        <v>23</v>
      </c>
      <c r="O1188" t="s">
        <v>24</v>
      </c>
      <c r="P1188" s="8" t="s">
        <v>1684</v>
      </c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</row>
    <row r="1189" spans="1:51" hidden="1" x14ac:dyDescent="0.2">
      <c r="A1189" s="6"/>
      <c r="E1189" s="2"/>
      <c r="F1189" s="3"/>
      <c r="G1189" s="3"/>
      <c r="P1189" s="8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</row>
    <row r="1190" spans="1:51" hidden="1" x14ac:dyDescent="0.2">
      <c r="A1190" s="6"/>
      <c r="E1190" s="2"/>
      <c r="F1190" s="3"/>
      <c r="G1190" s="3"/>
      <c r="P1190" s="8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</row>
    <row r="1191" spans="1:51" hidden="1" x14ac:dyDescent="0.2">
      <c r="A1191" s="6"/>
      <c r="E1191" s="2"/>
      <c r="F1191" s="3"/>
      <c r="G1191" s="3"/>
      <c r="P1191" s="8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</row>
    <row r="1192" spans="1:51" hidden="1" x14ac:dyDescent="0.2">
      <c r="A1192" s="6"/>
      <c r="E1192" s="2"/>
      <c r="F1192" s="3"/>
      <c r="G1192" s="3"/>
      <c r="P1192" s="8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</row>
    <row r="1193" spans="1:51" hidden="1" x14ac:dyDescent="0.2">
      <c r="A1193" s="6"/>
      <c r="E1193" s="2"/>
      <c r="F1193" s="3"/>
      <c r="G1193" s="3"/>
      <c r="P1193" s="8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</row>
    <row r="1194" spans="1:51" hidden="1" x14ac:dyDescent="0.2">
      <c r="A1194" s="6"/>
      <c r="E1194" s="2"/>
      <c r="F1194" s="3"/>
      <c r="G1194" s="3"/>
      <c r="P1194" s="8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</row>
    <row r="1195" spans="1:51" hidden="1" x14ac:dyDescent="0.2">
      <c r="A1195" s="6"/>
      <c r="E1195" s="2"/>
      <c r="F1195" s="3"/>
      <c r="G1195" s="3"/>
      <c r="P1195" s="8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</row>
    <row r="1196" spans="1:51" hidden="1" x14ac:dyDescent="0.2">
      <c r="A1196" s="6"/>
      <c r="E1196" s="2"/>
      <c r="F1196" s="3"/>
      <c r="G1196" s="3"/>
      <c r="P1196" s="8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</row>
    <row r="1197" spans="1:51" hidden="1" x14ac:dyDescent="0.2">
      <c r="A1197" s="6"/>
      <c r="E1197" s="2"/>
      <c r="F1197" s="3"/>
      <c r="G1197" s="3"/>
      <c r="P1197" s="8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</row>
    <row r="1198" spans="1:51" hidden="1" x14ac:dyDescent="0.2">
      <c r="A1198" s="6"/>
      <c r="E1198" s="2"/>
      <c r="F1198" s="3"/>
      <c r="G1198" s="3"/>
      <c r="P1198" s="8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</row>
    <row r="1199" spans="1:51" x14ac:dyDescent="0.2">
      <c r="A1199" s="6" t="s">
        <v>17</v>
      </c>
      <c r="B1199" t="s">
        <v>367</v>
      </c>
      <c r="C1199" t="s">
        <v>368</v>
      </c>
      <c r="D1199" t="s">
        <v>369</v>
      </c>
      <c r="E1199" s="2">
        <v>9.1999999999999993</v>
      </c>
      <c r="F1199" s="3">
        <f>DATE(2024,6,5)</f>
        <v>45448</v>
      </c>
      <c r="G1199" s="3">
        <f>DATE(2024,6,5)</f>
        <v>45448</v>
      </c>
      <c r="H1199">
        <v>968541471</v>
      </c>
      <c r="I1199" t="s">
        <v>73</v>
      </c>
      <c r="K1199" t="s">
        <v>21</v>
      </c>
      <c r="L1199" t="s">
        <v>22</v>
      </c>
      <c r="M1199" t="s">
        <v>23</v>
      </c>
      <c r="N1199" t="s">
        <v>23</v>
      </c>
      <c r="O1199" t="s">
        <v>24</v>
      </c>
      <c r="P1199" s="8" t="s">
        <v>1685</v>
      </c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</row>
    <row r="1200" spans="1:51" hidden="1" x14ac:dyDescent="0.2">
      <c r="A1200" s="6"/>
      <c r="E1200" s="2"/>
      <c r="F1200" s="3"/>
      <c r="G1200" s="3"/>
      <c r="P1200" s="8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</row>
    <row r="1201" spans="1:51" x14ac:dyDescent="0.2">
      <c r="A1201" s="6" t="s">
        <v>17</v>
      </c>
      <c r="B1201" t="s">
        <v>110</v>
      </c>
      <c r="C1201" t="s">
        <v>111</v>
      </c>
      <c r="D1201" t="s">
        <v>1686</v>
      </c>
      <c r="E1201" s="2">
        <v>1.36</v>
      </c>
      <c r="F1201" s="3">
        <f>DATE(2024,5,29)</f>
        <v>45441</v>
      </c>
      <c r="G1201" s="3">
        <f>DATE(2024,5,29)</f>
        <v>45441</v>
      </c>
      <c r="H1201">
        <v>968541473</v>
      </c>
      <c r="I1201" t="s">
        <v>73</v>
      </c>
      <c r="K1201" t="s">
        <v>21</v>
      </c>
      <c r="L1201" t="s">
        <v>22</v>
      </c>
      <c r="M1201" t="s">
        <v>23</v>
      </c>
      <c r="N1201" t="s">
        <v>23</v>
      </c>
      <c r="O1201" t="s">
        <v>24</v>
      </c>
      <c r="P1201" s="8" t="s">
        <v>1687</v>
      </c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</row>
    <row r="1202" spans="1:51" hidden="1" x14ac:dyDescent="0.2">
      <c r="A1202" s="6"/>
      <c r="E1202" s="2"/>
      <c r="F1202" s="3"/>
      <c r="G1202" s="3"/>
      <c r="P1202" s="8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</row>
    <row r="1203" spans="1:51" hidden="1" x14ac:dyDescent="0.2">
      <c r="A1203" s="6"/>
      <c r="E1203" s="2"/>
      <c r="F1203" s="3"/>
      <c r="G1203" s="3"/>
      <c r="P1203" s="8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</row>
    <row r="1204" spans="1:51" x14ac:dyDescent="0.2">
      <c r="A1204" s="6" t="s">
        <v>17</v>
      </c>
      <c r="B1204" t="s">
        <v>110</v>
      </c>
      <c r="C1204" t="s">
        <v>111</v>
      </c>
      <c r="D1204" t="s">
        <v>1688</v>
      </c>
      <c r="E1204" s="2">
        <v>1.25</v>
      </c>
      <c r="F1204" s="3">
        <f>DATE(2024,6,2)</f>
        <v>45445</v>
      </c>
      <c r="G1204" s="3">
        <f>DATE(2024,6,2)</f>
        <v>45445</v>
      </c>
      <c r="H1204">
        <v>968541476</v>
      </c>
      <c r="I1204" t="s">
        <v>73</v>
      </c>
      <c r="K1204" t="s">
        <v>21</v>
      </c>
      <c r="L1204" t="s">
        <v>22</v>
      </c>
      <c r="M1204" t="s">
        <v>23</v>
      </c>
      <c r="N1204" t="s">
        <v>23</v>
      </c>
      <c r="O1204" t="s">
        <v>24</v>
      </c>
      <c r="P1204" s="8" t="s">
        <v>1689</v>
      </c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</row>
    <row r="1205" spans="1:51" hidden="1" x14ac:dyDescent="0.2">
      <c r="A1205" s="6"/>
      <c r="E1205" s="2"/>
      <c r="F1205" s="3"/>
      <c r="G1205" s="3"/>
      <c r="P1205" s="8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</row>
    <row r="1206" spans="1:51" hidden="1" x14ac:dyDescent="0.2">
      <c r="A1206" s="6"/>
      <c r="E1206" s="2"/>
      <c r="F1206" s="3"/>
      <c r="G1206" s="3"/>
      <c r="P1206" s="8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</row>
    <row r="1207" spans="1:51" hidden="1" x14ac:dyDescent="0.2">
      <c r="A1207" s="6"/>
      <c r="E1207" s="2"/>
      <c r="F1207" s="3"/>
      <c r="G1207" s="3"/>
      <c r="P1207" s="8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</row>
    <row r="1208" spans="1:51" hidden="1" x14ac:dyDescent="0.2">
      <c r="A1208" s="6"/>
      <c r="E1208" s="2"/>
      <c r="F1208" s="3"/>
      <c r="G1208" s="3"/>
      <c r="P1208" s="8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</row>
    <row r="1209" spans="1:51" hidden="1" x14ac:dyDescent="0.2">
      <c r="A1209" s="6"/>
      <c r="E1209" s="2"/>
      <c r="F1209" s="3"/>
      <c r="G1209" s="3"/>
      <c r="P1209" s="8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</row>
    <row r="1210" spans="1:51" hidden="1" x14ac:dyDescent="0.2">
      <c r="A1210" s="6"/>
      <c r="E1210" s="2"/>
      <c r="F1210" s="3"/>
      <c r="G1210" s="3"/>
      <c r="P1210" s="8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</row>
    <row r="1211" spans="1:51" hidden="1" x14ac:dyDescent="0.2">
      <c r="A1211" s="6"/>
      <c r="E1211" s="2"/>
      <c r="F1211" s="3"/>
      <c r="G1211" s="3"/>
      <c r="P1211" s="8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</row>
    <row r="1212" spans="1:51" x14ac:dyDescent="0.2">
      <c r="A1212" s="6" t="s">
        <v>17</v>
      </c>
      <c r="B1212" t="s">
        <v>18</v>
      </c>
      <c r="C1212" t="s">
        <v>18</v>
      </c>
      <c r="D1212" t="s">
        <v>1690</v>
      </c>
      <c r="E1212" s="2">
        <v>30.23</v>
      </c>
      <c r="F1212" s="3">
        <f>DATE(2024,4,10)</f>
        <v>45392</v>
      </c>
      <c r="G1212" s="3">
        <f>DATE(2024,4,10)</f>
        <v>45392</v>
      </c>
      <c r="H1212">
        <v>968541484</v>
      </c>
      <c r="I1212" t="s">
        <v>73</v>
      </c>
      <c r="K1212" t="s">
        <v>21</v>
      </c>
      <c r="L1212" t="s">
        <v>22</v>
      </c>
      <c r="M1212" t="s">
        <v>23</v>
      </c>
      <c r="N1212" t="s">
        <v>23</v>
      </c>
      <c r="O1212" t="s">
        <v>24</v>
      </c>
      <c r="P1212" s="8" t="s">
        <v>1691</v>
      </c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</row>
    <row r="1213" spans="1:51" x14ac:dyDescent="0.2">
      <c r="A1213" s="6" t="s">
        <v>17</v>
      </c>
      <c r="B1213" t="s">
        <v>18</v>
      </c>
      <c r="C1213" t="s">
        <v>18</v>
      </c>
      <c r="D1213" t="s">
        <v>86</v>
      </c>
      <c r="E1213" s="2">
        <v>12</v>
      </c>
      <c r="F1213" s="3">
        <f>DATE(2024,6,3)</f>
        <v>45446</v>
      </c>
      <c r="G1213" s="3">
        <f>DATE(2024,6,3)</f>
        <v>45446</v>
      </c>
      <c r="H1213">
        <v>968541485</v>
      </c>
      <c r="I1213" t="s">
        <v>73</v>
      </c>
      <c r="K1213" t="s">
        <v>21</v>
      </c>
      <c r="L1213" t="s">
        <v>22</v>
      </c>
      <c r="M1213" t="s">
        <v>23</v>
      </c>
      <c r="N1213" t="s">
        <v>23</v>
      </c>
      <c r="O1213" t="s">
        <v>24</v>
      </c>
      <c r="P1213" s="8" t="s">
        <v>1692</v>
      </c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</row>
    <row r="1214" spans="1:51" hidden="1" x14ac:dyDescent="0.2">
      <c r="A1214" s="6"/>
      <c r="E1214" s="2"/>
      <c r="F1214" s="3"/>
      <c r="G1214" s="3"/>
      <c r="P1214" s="8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</row>
    <row r="1215" spans="1:51" hidden="1" x14ac:dyDescent="0.2">
      <c r="A1215" s="6"/>
      <c r="E1215" s="2"/>
      <c r="F1215" s="3"/>
      <c r="G1215" s="3"/>
      <c r="P1215" s="8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</row>
    <row r="1216" spans="1:51" x14ac:dyDescent="0.2">
      <c r="A1216" s="6" t="s">
        <v>17</v>
      </c>
      <c r="B1216" t="s">
        <v>18</v>
      </c>
      <c r="C1216" t="s">
        <v>18</v>
      </c>
      <c r="D1216" t="s">
        <v>189</v>
      </c>
      <c r="E1216" s="2">
        <v>55.24</v>
      </c>
      <c r="F1216" s="3">
        <f>DATE(2024,6,17)</f>
        <v>45460</v>
      </c>
      <c r="G1216" s="3">
        <f>DATE(2024,6,17)</f>
        <v>45460</v>
      </c>
      <c r="H1216">
        <v>968541488</v>
      </c>
      <c r="I1216" t="s">
        <v>73</v>
      </c>
      <c r="K1216" t="s">
        <v>21</v>
      </c>
      <c r="L1216" t="s">
        <v>22</v>
      </c>
      <c r="M1216" t="s">
        <v>23</v>
      </c>
      <c r="N1216" t="s">
        <v>23</v>
      </c>
      <c r="O1216" t="s">
        <v>24</v>
      </c>
      <c r="P1216" s="8" t="s">
        <v>1693</v>
      </c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</row>
    <row r="1217" spans="1:51" hidden="1" x14ac:dyDescent="0.2">
      <c r="A1217" s="6"/>
      <c r="E1217" s="2"/>
      <c r="F1217" s="3"/>
      <c r="G1217" s="3"/>
      <c r="P1217" s="8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</row>
    <row r="1218" spans="1:51" hidden="1" x14ac:dyDescent="0.2">
      <c r="A1218" s="6"/>
      <c r="E1218" s="2"/>
      <c r="F1218" s="3"/>
      <c r="G1218" s="3"/>
      <c r="P1218" s="8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</row>
    <row r="1219" spans="1:51" hidden="1" x14ac:dyDescent="0.2">
      <c r="A1219" s="6"/>
      <c r="E1219" s="2"/>
      <c r="F1219" s="3"/>
      <c r="G1219" s="3"/>
      <c r="P1219" s="8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</row>
    <row r="1220" spans="1:51" hidden="1" x14ac:dyDescent="0.2">
      <c r="A1220" s="6"/>
      <c r="E1220" s="2"/>
      <c r="F1220" s="3"/>
      <c r="G1220" s="3"/>
      <c r="P1220" s="8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</row>
    <row r="1221" spans="1:51" hidden="1" x14ac:dyDescent="0.2">
      <c r="A1221" s="6"/>
      <c r="E1221" s="2"/>
      <c r="F1221" s="3"/>
      <c r="G1221" s="3"/>
      <c r="P1221" s="8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</row>
    <row r="1222" spans="1:51" hidden="1" x14ac:dyDescent="0.2">
      <c r="A1222" s="6"/>
      <c r="E1222" s="2"/>
      <c r="F1222" s="3"/>
      <c r="G1222" s="3"/>
      <c r="P1222" s="8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</row>
    <row r="1223" spans="1:51" x14ac:dyDescent="0.2">
      <c r="A1223" s="6" t="s">
        <v>17</v>
      </c>
      <c r="B1223" t="s">
        <v>367</v>
      </c>
      <c r="C1223" t="s">
        <v>368</v>
      </c>
      <c r="D1223" t="s">
        <v>1694</v>
      </c>
      <c r="E1223" s="2">
        <v>1.55</v>
      </c>
      <c r="F1223" s="3">
        <f>DATE(2024,7,3)</f>
        <v>45476</v>
      </c>
      <c r="G1223" s="3">
        <f>DATE(2024,7,3)</f>
        <v>45476</v>
      </c>
      <c r="H1223">
        <v>968541495</v>
      </c>
      <c r="I1223" t="s">
        <v>73</v>
      </c>
      <c r="K1223" t="s">
        <v>21</v>
      </c>
      <c r="L1223" t="s">
        <v>22</v>
      </c>
      <c r="M1223" t="s">
        <v>23</v>
      </c>
      <c r="N1223" t="s">
        <v>23</v>
      </c>
      <c r="O1223" t="s">
        <v>24</v>
      </c>
      <c r="P1223" s="8" t="s">
        <v>1695</v>
      </c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</row>
    <row r="1224" spans="1:51" hidden="1" x14ac:dyDescent="0.2">
      <c r="A1224" s="6"/>
      <c r="E1224" s="2"/>
      <c r="F1224" s="3"/>
      <c r="G1224" s="3"/>
      <c r="P1224" s="8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</row>
    <row r="1225" spans="1:51" x14ac:dyDescent="0.2">
      <c r="A1225" s="6" t="s">
        <v>17</v>
      </c>
      <c r="B1225" t="s">
        <v>363</v>
      </c>
      <c r="C1225" t="s">
        <v>364</v>
      </c>
      <c r="D1225" t="s">
        <v>1696</v>
      </c>
      <c r="E1225" s="2">
        <v>18.600000000000001</v>
      </c>
      <c r="F1225" s="3">
        <f>DATE(2024,6,7)</f>
        <v>45450</v>
      </c>
      <c r="G1225" s="3">
        <f>DATE(2024,6,7)</f>
        <v>45450</v>
      </c>
      <c r="H1225">
        <v>968541497</v>
      </c>
      <c r="I1225" t="s">
        <v>73</v>
      </c>
      <c r="K1225" t="s">
        <v>21</v>
      </c>
      <c r="L1225" t="s">
        <v>22</v>
      </c>
      <c r="M1225" t="s">
        <v>23</v>
      </c>
      <c r="N1225" t="s">
        <v>23</v>
      </c>
      <c r="O1225" t="s">
        <v>24</v>
      </c>
      <c r="P1225" s="8" t="s">
        <v>1697</v>
      </c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</row>
    <row r="1226" spans="1:51" hidden="1" x14ac:dyDescent="0.2">
      <c r="A1226" s="6"/>
      <c r="E1226" s="2"/>
      <c r="F1226" s="3"/>
      <c r="G1226" s="3"/>
      <c r="P1226" s="8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</row>
    <row r="1227" spans="1:51" x14ac:dyDescent="0.2">
      <c r="A1227" s="6" t="s">
        <v>17</v>
      </c>
      <c r="B1227" t="s">
        <v>367</v>
      </c>
      <c r="C1227" t="s">
        <v>368</v>
      </c>
      <c r="D1227" t="s">
        <v>369</v>
      </c>
      <c r="E1227" s="2">
        <v>8</v>
      </c>
      <c r="F1227" s="3">
        <f>DATE(2024,4,9)</f>
        <v>45391</v>
      </c>
      <c r="G1227" s="3">
        <f>DATE(2024,4,9)</f>
        <v>45391</v>
      </c>
      <c r="H1227">
        <v>968541499</v>
      </c>
      <c r="I1227" t="s">
        <v>73</v>
      </c>
      <c r="K1227" t="s">
        <v>21</v>
      </c>
      <c r="L1227" t="s">
        <v>22</v>
      </c>
      <c r="M1227" t="s">
        <v>23</v>
      </c>
      <c r="N1227" t="s">
        <v>23</v>
      </c>
      <c r="O1227" t="s">
        <v>24</v>
      </c>
      <c r="P1227" s="8" t="s">
        <v>1698</v>
      </c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</row>
    <row r="1228" spans="1:51" x14ac:dyDescent="0.2">
      <c r="A1228" s="6" t="s">
        <v>17</v>
      </c>
      <c r="B1228" t="s">
        <v>18</v>
      </c>
      <c r="C1228" t="s">
        <v>18</v>
      </c>
      <c r="D1228" t="s">
        <v>86</v>
      </c>
      <c r="E1228" s="2">
        <v>12</v>
      </c>
      <c r="F1228" s="3">
        <f>DATE(2024,5,2)</f>
        <v>45414</v>
      </c>
      <c r="G1228" s="3">
        <f>DATE(2024,5,2)</f>
        <v>45414</v>
      </c>
      <c r="H1228">
        <v>968541500</v>
      </c>
      <c r="I1228" t="s">
        <v>73</v>
      </c>
      <c r="K1228" t="s">
        <v>21</v>
      </c>
      <c r="L1228" t="s">
        <v>22</v>
      </c>
      <c r="M1228" t="s">
        <v>23</v>
      </c>
      <c r="N1228" t="s">
        <v>23</v>
      </c>
      <c r="O1228" t="s">
        <v>24</v>
      </c>
      <c r="P1228" s="8" t="s">
        <v>1699</v>
      </c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</row>
    <row r="1229" spans="1:51" hidden="1" x14ac:dyDescent="0.2">
      <c r="A1229" s="6"/>
      <c r="E1229" s="2"/>
      <c r="F1229" s="3"/>
      <c r="G1229" s="3"/>
      <c r="P1229" s="8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</row>
    <row r="1230" spans="1:51" hidden="1" x14ac:dyDescent="0.2">
      <c r="A1230" s="6"/>
      <c r="E1230" s="2"/>
      <c r="F1230" s="3"/>
      <c r="G1230" s="3"/>
      <c r="P1230" s="8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</row>
    <row r="1231" spans="1:51" hidden="1" x14ac:dyDescent="0.2">
      <c r="A1231" s="6"/>
      <c r="E1231" s="2"/>
      <c r="F1231" s="3"/>
      <c r="G1231" s="3"/>
      <c r="P1231" s="8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</row>
    <row r="1232" spans="1:51" x14ac:dyDescent="0.2">
      <c r="A1232" s="6" t="s">
        <v>17</v>
      </c>
      <c r="B1232" t="s">
        <v>110</v>
      </c>
      <c r="C1232" t="s">
        <v>111</v>
      </c>
      <c r="D1232" t="s">
        <v>1700</v>
      </c>
      <c r="E1232" s="2">
        <v>1.24</v>
      </c>
      <c r="F1232" s="3">
        <f>DATE(2024,5,24)</f>
        <v>45436</v>
      </c>
      <c r="G1232" s="3">
        <f>DATE(2024,5,24)</f>
        <v>45436</v>
      </c>
      <c r="H1232">
        <v>968541504</v>
      </c>
      <c r="I1232" t="s">
        <v>73</v>
      </c>
      <c r="K1232" t="s">
        <v>21</v>
      </c>
      <c r="L1232" t="s">
        <v>22</v>
      </c>
      <c r="M1232" t="s">
        <v>23</v>
      </c>
      <c r="N1232" t="s">
        <v>23</v>
      </c>
      <c r="O1232" t="s">
        <v>24</v>
      </c>
      <c r="P1232" s="8" t="s">
        <v>1701</v>
      </c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</row>
    <row r="1233" spans="1:51" hidden="1" x14ac:dyDescent="0.2">
      <c r="A1233" s="6"/>
      <c r="E1233" s="2"/>
      <c r="F1233" s="3"/>
      <c r="G1233" s="3"/>
      <c r="P1233" s="8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</row>
    <row r="1234" spans="1:51" x14ac:dyDescent="0.2">
      <c r="A1234" s="6" t="s">
        <v>17</v>
      </c>
      <c r="B1234" t="s">
        <v>110</v>
      </c>
      <c r="C1234" t="s">
        <v>111</v>
      </c>
      <c r="D1234" t="s">
        <v>1702</v>
      </c>
      <c r="E1234" s="2">
        <v>0.77</v>
      </c>
      <c r="F1234" s="3">
        <f>DATE(2024,6,12)</f>
        <v>45455</v>
      </c>
      <c r="G1234" s="3">
        <f>DATE(2024,6,12)</f>
        <v>45455</v>
      </c>
      <c r="H1234">
        <v>968541506</v>
      </c>
      <c r="I1234" t="s">
        <v>73</v>
      </c>
      <c r="K1234" t="s">
        <v>21</v>
      </c>
      <c r="L1234" t="s">
        <v>22</v>
      </c>
      <c r="M1234" t="s">
        <v>23</v>
      </c>
      <c r="N1234" t="s">
        <v>23</v>
      </c>
      <c r="O1234" t="s">
        <v>24</v>
      </c>
      <c r="P1234" s="8" t="s">
        <v>1703</v>
      </c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</row>
    <row r="1235" spans="1:51" hidden="1" x14ac:dyDescent="0.2">
      <c r="A1235" s="6"/>
      <c r="E1235" s="2"/>
      <c r="F1235" s="3"/>
      <c r="G1235" s="3"/>
      <c r="P1235" s="8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</row>
    <row r="1236" spans="1:51" hidden="1" x14ac:dyDescent="0.2">
      <c r="A1236" s="6"/>
      <c r="E1236" s="2"/>
      <c r="F1236" s="3"/>
      <c r="G1236" s="3"/>
      <c r="P1236" s="8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</row>
    <row r="1237" spans="1:51" x14ac:dyDescent="0.2">
      <c r="A1237" s="6" t="s">
        <v>17</v>
      </c>
      <c r="B1237" t="s">
        <v>110</v>
      </c>
      <c r="C1237" t="s">
        <v>111</v>
      </c>
      <c r="D1237" t="s">
        <v>1704</v>
      </c>
      <c r="E1237" s="2">
        <v>2.57</v>
      </c>
      <c r="F1237" s="3">
        <f>DATE(2024,5,23)</f>
        <v>45435</v>
      </c>
      <c r="G1237" s="3">
        <f>DATE(2024,5,23)</f>
        <v>45435</v>
      </c>
      <c r="H1237">
        <v>968541509</v>
      </c>
      <c r="I1237" t="s">
        <v>73</v>
      </c>
      <c r="K1237" t="s">
        <v>21</v>
      </c>
      <c r="L1237" t="s">
        <v>22</v>
      </c>
      <c r="M1237" t="s">
        <v>23</v>
      </c>
      <c r="N1237" t="s">
        <v>23</v>
      </c>
      <c r="O1237" t="s">
        <v>24</v>
      </c>
      <c r="P1237" s="8" t="s">
        <v>1705</v>
      </c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</row>
    <row r="1238" spans="1:51" hidden="1" x14ac:dyDescent="0.2">
      <c r="A1238" s="6"/>
      <c r="E1238" s="2"/>
      <c r="F1238" s="3"/>
      <c r="G1238" s="3"/>
      <c r="P1238" s="8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</row>
    <row r="1239" spans="1:51" x14ac:dyDescent="0.2">
      <c r="A1239" s="6" t="s">
        <v>17</v>
      </c>
      <c r="B1239" t="s">
        <v>110</v>
      </c>
      <c r="C1239" t="s">
        <v>111</v>
      </c>
      <c r="D1239" t="s">
        <v>1706</v>
      </c>
      <c r="E1239" s="2">
        <v>0.97</v>
      </c>
      <c r="F1239" s="3">
        <f>DATE(2024,6,7)</f>
        <v>45450</v>
      </c>
      <c r="G1239" s="3">
        <f>DATE(2024,6,7)</f>
        <v>45450</v>
      </c>
      <c r="H1239">
        <v>968541511</v>
      </c>
      <c r="I1239" t="s">
        <v>73</v>
      </c>
      <c r="K1239" t="s">
        <v>21</v>
      </c>
      <c r="L1239" t="s">
        <v>22</v>
      </c>
      <c r="M1239" t="s">
        <v>23</v>
      </c>
      <c r="N1239" t="s">
        <v>23</v>
      </c>
      <c r="O1239" t="s">
        <v>24</v>
      </c>
      <c r="P1239" s="8" t="s">
        <v>1707</v>
      </c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</row>
    <row r="1240" spans="1:51" hidden="1" x14ac:dyDescent="0.2">
      <c r="A1240" s="6"/>
      <c r="E1240" s="2"/>
      <c r="F1240" s="3"/>
      <c r="G1240" s="3"/>
      <c r="P1240" s="8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</row>
    <row r="1241" spans="1:51" hidden="1" x14ac:dyDescent="0.2">
      <c r="A1241" s="6"/>
      <c r="E1241" s="2"/>
      <c r="F1241" s="3"/>
      <c r="G1241" s="3"/>
      <c r="P1241" s="8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</row>
    <row r="1242" spans="1:51" x14ac:dyDescent="0.2">
      <c r="A1242" s="6" t="s">
        <v>17</v>
      </c>
      <c r="B1242" t="s">
        <v>367</v>
      </c>
      <c r="C1242" t="s">
        <v>368</v>
      </c>
      <c r="D1242" t="s">
        <v>369</v>
      </c>
      <c r="E1242" s="2">
        <v>4.8</v>
      </c>
      <c r="F1242" s="3">
        <f>DATE(2024,6,10)</f>
        <v>45453</v>
      </c>
      <c r="G1242" s="3">
        <f>DATE(2024,6,10)</f>
        <v>45453</v>
      </c>
      <c r="H1242">
        <v>968541514</v>
      </c>
      <c r="I1242" t="s">
        <v>73</v>
      </c>
      <c r="K1242" t="s">
        <v>21</v>
      </c>
      <c r="L1242" t="s">
        <v>22</v>
      </c>
      <c r="M1242" t="s">
        <v>23</v>
      </c>
      <c r="N1242" t="s">
        <v>23</v>
      </c>
      <c r="O1242" t="s">
        <v>24</v>
      </c>
      <c r="P1242" s="8" t="s">
        <v>1708</v>
      </c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</row>
    <row r="1243" spans="1:51" hidden="1" x14ac:dyDescent="0.2">
      <c r="A1243" s="6"/>
      <c r="E1243" s="2"/>
      <c r="F1243" s="3"/>
      <c r="G1243" s="3"/>
      <c r="P1243" s="8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</row>
    <row r="1244" spans="1:51" x14ac:dyDescent="0.2">
      <c r="A1244" s="6" t="s">
        <v>17</v>
      </c>
      <c r="B1244" t="s">
        <v>110</v>
      </c>
      <c r="C1244" t="s">
        <v>111</v>
      </c>
      <c r="D1244" t="s">
        <v>1709</v>
      </c>
      <c r="E1244" s="2">
        <v>5.61</v>
      </c>
      <c r="F1244" s="3">
        <f>DATE(2024,6,25)</f>
        <v>45468</v>
      </c>
      <c r="G1244" s="3">
        <f>DATE(2024,6,25)</f>
        <v>45468</v>
      </c>
      <c r="H1244">
        <v>968541516</v>
      </c>
      <c r="I1244" t="s">
        <v>73</v>
      </c>
      <c r="K1244" t="s">
        <v>21</v>
      </c>
      <c r="L1244" t="s">
        <v>22</v>
      </c>
      <c r="M1244" t="s">
        <v>23</v>
      </c>
      <c r="N1244" t="s">
        <v>23</v>
      </c>
      <c r="O1244" t="s">
        <v>24</v>
      </c>
      <c r="P1244" s="8" t="s">
        <v>1710</v>
      </c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</row>
    <row r="1245" spans="1:51" hidden="1" x14ac:dyDescent="0.2">
      <c r="A1245" s="6"/>
      <c r="E1245" s="2"/>
      <c r="F1245" s="3"/>
      <c r="G1245" s="3"/>
      <c r="P1245" s="8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</row>
    <row r="1246" spans="1:51" hidden="1" x14ac:dyDescent="0.2">
      <c r="A1246" s="6"/>
      <c r="E1246" s="2"/>
      <c r="F1246" s="3"/>
      <c r="G1246" s="3"/>
      <c r="P1246" s="8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</row>
    <row r="1247" spans="1:51" hidden="1" x14ac:dyDescent="0.2">
      <c r="A1247" s="6"/>
      <c r="E1247" s="2"/>
      <c r="F1247" s="3"/>
      <c r="G1247" s="3"/>
      <c r="P1247" s="8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</row>
    <row r="1248" spans="1:51" hidden="1" x14ac:dyDescent="0.2">
      <c r="A1248" s="6"/>
      <c r="E1248" s="2"/>
      <c r="F1248" s="3"/>
      <c r="G1248" s="3"/>
      <c r="P1248" s="8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</row>
    <row r="1249" spans="1:51" hidden="1" x14ac:dyDescent="0.2">
      <c r="A1249" s="6"/>
      <c r="E1249" s="2"/>
      <c r="F1249" s="3"/>
      <c r="G1249" s="3"/>
      <c r="P1249" s="8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</row>
    <row r="1250" spans="1:51" hidden="1" x14ac:dyDescent="0.2">
      <c r="A1250" s="6"/>
      <c r="E1250" s="2"/>
      <c r="F1250" s="3"/>
      <c r="G1250" s="3"/>
      <c r="P1250" s="8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</row>
    <row r="1251" spans="1:51" hidden="1" x14ac:dyDescent="0.2">
      <c r="A1251" s="6"/>
      <c r="E1251" s="2"/>
      <c r="F1251" s="3"/>
      <c r="G1251" s="3"/>
      <c r="P1251" s="8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</row>
    <row r="1252" spans="1:51" hidden="1" x14ac:dyDescent="0.2">
      <c r="A1252" s="6"/>
      <c r="E1252" s="2"/>
      <c r="F1252" s="3"/>
      <c r="G1252" s="3"/>
      <c r="P1252" s="8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</row>
    <row r="1253" spans="1:51" hidden="1" x14ac:dyDescent="0.2">
      <c r="A1253" s="6"/>
      <c r="E1253" s="2"/>
      <c r="F1253" s="3"/>
      <c r="G1253" s="3"/>
      <c r="P1253" s="8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</row>
    <row r="1254" spans="1:51" hidden="1" x14ac:dyDescent="0.2">
      <c r="A1254" s="6"/>
      <c r="E1254" s="2"/>
      <c r="F1254" s="3"/>
      <c r="G1254" s="3"/>
      <c r="P1254" s="8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</row>
    <row r="1255" spans="1:51" hidden="1" x14ac:dyDescent="0.2">
      <c r="A1255" s="6"/>
      <c r="E1255" s="2"/>
      <c r="F1255" s="3"/>
      <c r="G1255" s="3"/>
      <c r="P1255" s="8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</row>
    <row r="1256" spans="1:51" hidden="1" x14ac:dyDescent="0.2">
      <c r="A1256" s="6"/>
      <c r="E1256" s="2"/>
      <c r="F1256" s="3"/>
      <c r="G1256" s="3"/>
      <c r="P1256" s="8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</row>
    <row r="1257" spans="1:51" x14ac:dyDescent="0.2">
      <c r="A1257" s="6" t="s">
        <v>17</v>
      </c>
      <c r="B1257" t="s">
        <v>110</v>
      </c>
      <c r="C1257" t="s">
        <v>111</v>
      </c>
      <c r="D1257" t="s">
        <v>1711</v>
      </c>
      <c r="E1257" s="2">
        <v>1.03</v>
      </c>
      <c r="F1257" s="3">
        <f>DATE(2024,5,21)</f>
        <v>45433</v>
      </c>
      <c r="G1257" s="3">
        <f>DATE(2024,5,21)</f>
        <v>45433</v>
      </c>
      <c r="H1257">
        <v>968541529</v>
      </c>
      <c r="I1257" t="s">
        <v>73</v>
      </c>
      <c r="K1257" t="s">
        <v>21</v>
      </c>
      <c r="L1257" t="s">
        <v>22</v>
      </c>
      <c r="M1257" t="s">
        <v>23</v>
      </c>
      <c r="N1257" t="s">
        <v>23</v>
      </c>
      <c r="O1257" t="s">
        <v>24</v>
      </c>
      <c r="P1257" s="8" t="s">
        <v>1712</v>
      </c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</row>
    <row r="1258" spans="1:51" hidden="1" x14ac:dyDescent="0.2">
      <c r="A1258" s="6"/>
      <c r="E1258" s="2"/>
      <c r="F1258" s="3"/>
      <c r="G1258" s="3"/>
      <c r="P1258" s="8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</row>
    <row r="1259" spans="1:51" x14ac:dyDescent="0.2">
      <c r="A1259" s="6" t="s">
        <v>17</v>
      </c>
      <c r="B1259" t="s">
        <v>363</v>
      </c>
      <c r="C1259" t="s">
        <v>364</v>
      </c>
      <c r="D1259" t="s">
        <v>1713</v>
      </c>
      <c r="E1259" s="2">
        <v>18.600000000000001</v>
      </c>
      <c r="F1259" s="3">
        <f>DATE(2024,7,4)</f>
        <v>45477</v>
      </c>
      <c r="G1259" s="3">
        <f>DATE(2024,7,4)</f>
        <v>45477</v>
      </c>
      <c r="H1259">
        <v>968541531</v>
      </c>
      <c r="I1259" t="s">
        <v>73</v>
      </c>
      <c r="K1259" t="s">
        <v>21</v>
      </c>
      <c r="L1259" t="s">
        <v>22</v>
      </c>
      <c r="M1259" t="s">
        <v>23</v>
      </c>
      <c r="N1259" t="s">
        <v>23</v>
      </c>
      <c r="O1259" t="s">
        <v>24</v>
      </c>
      <c r="P1259" s="8" t="s">
        <v>1714</v>
      </c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</row>
    <row r="1260" spans="1:51" x14ac:dyDescent="0.2">
      <c r="A1260" s="6" t="s">
        <v>17</v>
      </c>
      <c r="B1260" t="s">
        <v>18</v>
      </c>
      <c r="C1260" t="s">
        <v>18</v>
      </c>
      <c r="D1260" t="s">
        <v>86</v>
      </c>
      <c r="E1260" s="2">
        <v>12</v>
      </c>
      <c r="F1260" s="3">
        <f>DATE(2024,7,1)</f>
        <v>45474</v>
      </c>
      <c r="G1260" s="3">
        <f>DATE(2024,7,1)</f>
        <v>45474</v>
      </c>
      <c r="H1260">
        <v>968541532</v>
      </c>
      <c r="I1260" t="s">
        <v>73</v>
      </c>
      <c r="K1260" t="s">
        <v>21</v>
      </c>
      <c r="L1260" t="s">
        <v>22</v>
      </c>
      <c r="M1260" t="s">
        <v>23</v>
      </c>
      <c r="N1260" t="s">
        <v>23</v>
      </c>
      <c r="O1260" t="s">
        <v>24</v>
      </c>
      <c r="P1260" s="8" t="s">
        <v>1715</v>
      </c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</row>
    <row r="1261" spans="1:51" hidden="1" x14ac:dyDescent="0.2">
      <c r="A1261" s="6"/>
      <c r="E1261" s="2"/>
      <c r="F1261" s="3"/>
      <c r="G1261" s="3"/>
      <c r="P1261" s="8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</row>
    <row r="1262" spans="1:51" x14ac:dyDescent="0.2">
      <c r="A1262" s="6" t="s">
        <v>17</v>
      </c>
      <c r="B1262" t="s">
        <v>367</v>
      </c>
      <c r="C1262" t="s">
        <v>368</v>
      </c>
      <c r="D1262" t="s">
        <v>1694</v>
      </c>
      <c r="E1262" s="2">
        <v>1.55</v>
      </c>
      <c r="F1262" s="3">
        <f>DATE(2024,6,13)</f>
        <v>45456</v>
      </c>
      <c r="G1262" s="3">
        <f>DATE(2024,6,13)</f>
        <v>45456</v>
      </c>
      <c r="H1262">
        <v>968541534</v>
      </c>
      <c r="I1262" t="s">
        <v>73</v>
      </c>
      <c r="K1262" t="s">
        <v>21</v>
      </c>
      <c r="L1262" t="s">
        <v>22</v>
      </c>
      <c r="M1262" t="s">
        <v>23</v>
      </c>
      <c r="N1262" t="s">
        <v>23</v>
      </c>
      <c r="O1262" t="s">
        <v>24</v>
      </c>
      <c r="P1262" s="8" t="s">
        <v>1716</v>
      </c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</row>
    <row r="1263" spans="1:51" x14ac:dyDescent="0.2">
      <c r="A1263" s="6" t="s">
        <v>17</v>
      </c>
      <c r="B1263" t="s">
        <v>110</v>
      </c>
      <c r="C1263" t="s">
        <v>111</v>
      </c>
      <c r="D1263" t="s">
        <v>1717</v>
      </c>
      <c r="E1263" s="2">
        <v>0.8</v>
      </c>
      <c r="F1263" s="3">
        <f>DATE(2024,4,12)</f>
        <v>45394</v>
      </c>
      <c r="G1263" s="3">
        <f>DATE(2024,4,12)</f>
        <v>45394</v>
      </c>
      <c r="H1263">
        <v>968541535</v>
      </c>
      <c r="I1263" t="s">
        <v>73</v>
      </c>
      <c r="K1263" t="s">
        <v>21</v>
      </c>
      <c r="L1263" t="s">
        <v>22</v>
      </c>
      <c r="M1263" t="s">
        <v>23</v>
      </c>
      <c r="N1263" t="s">
        <v>23</v>
      </c>
      <c r="O1263" t="s">
        <v>24</v>
      </c>
      <c r="P1263" s="8" t="s">
        <v>1718</v>
      </c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</row>
    <row r="1264" spans="1:51" hidden="1" x14ac:dyDescent="0.2">
      <c r="A1264" s="6"/>
      <c r="E1264" s="2"/>
      <c r="F1264" s="3"/>
      <c r="G1264" s="3"/>
      <c r="P1264" s="8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</row>
    <row r="1265" spans="1:51" hidden="1" x14ac:dyDescent="0.2">
      <c r="A1265" s="6"/>
      <c r="E1265" s="2"/>
      <c r="F1265" s="3"/>
      <c r="G1265" s="3"/>
      <c r="P1265" s="8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</row>
    <row r="1266" spans="1:51" hidden="1" x14ac:dyDescent="0.2">
      <c r="A1266" s="6"/>
      <c r="E1266" s="2"/>
      <c r="F1266" s="3"/>
      <c r="G1266" s="3"/>
      <c r="P1266" s="8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</row>
    <row r="1267" spans="1:51" hidden="1" x14ac:dyDescent="0.2">
      <c r="A1267" s="6"/>
      <c r="E1267" s="2"/>
      <c r="F1267" s="3"/>
      <c r="G1267" s="3"/>
      <c r="P1267" s="8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</row>
    <row r="1268" spans="1:51" hidden="1" x14ac:dyDescent="0.2">
      <c r="A1268" s="6"/>
      <c r="E1268" s="2"/>
      <c r="F1268" s="3"/>
      <c r="G1268" s="3"/>
      <c r="P1268" s="8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</row>
    <row r="1269" spans="1:51" hidden="1" x14ac:dyDescent="0.2">
      <c r="A1269" s="6"/>
      <c r="E1269" s="2"/>
      <c r="F1269" s="3"/>
      <c r="G1269" s="3"/>
      <c r="P1269" s="8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</row>
    <row r="1270" spans="1:51" hidden="1" x14ac:dyDescent="0.2">
      <c r="A1270" s="6"/>
      <c r="E1270" s="2"/>
      <c r="F1270" s="3"/>
      <c r="G1270" s="3"/>
      <c r="P1270" s="8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</row>
    <row r="1271" spans="1:51" hidden="1" x14ac:dyDescent="0.2">
      <c r="A1271" s="6"/>
      <c r="E1271" s="2"/>
      <c r="F1271" s="3"/>
      <c r="G1271" s="3"/>
      <c r="P1271" s="8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</row>
    <row r="1272" spans="1:51" hidden="1" x14ac:dyDescent="0.2">
      <c r="A1272" s="6"/>
      <c r="E1272" s="2"/>
      <c r="F1272" s="3"/>
      <c r="G1272" s="3"/>
      <c r="P1272" s="8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</row>
    <row r="1273" spans="1:51" x14ac:dyDescent="0.2">
      <c r="A1273" s="6" t="s">
        <v>17</v>
      </c>
      <c r="B1273" t="s">
        <v>18</v>
      </c>
      <c r="C1273" t="s">
        <v>18</v>
      </c>
      <c r="D1273" t="s">
        <v>189</v>
      </c>
      <c r="E1273" s="2">
        <v>55.24</v>
      </c>
      <c r="F1273" s="3">
        <f>DATE(2024,5,16)</f>
        <v>45428</v>
      </c>
      <c r="G1273" s="3">
        <f>DATE(2024,5,16)</f>
        <v>45428</v>
      </c>
      <c r="H1273">
        <v>968541545</v>
      </c>
      <c r="I1273" t="s">
        <v>73</v>
      </c>
      <c r="K1273" t="s">
        <v>21</v>
      </c>
      <c r="L1273" t="s">
        <v>22</v>
      </c>
      <c r="M1273" t="s">
        <v>23</v>
      </c>
      <c r="N1273" t="s">
        <v>23</v>
      </c>
      <c r="O1273" t="s">
        <v>24</v>
      </c>
      <c r="P1273" s="8" t="s">
        <v>1719</v>
      </c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</row>
    <row r="1274" spans="1:51" hidden="1" x14ac:dyDescent="0.2">
      <c r="A1274" s="6"/>
      <c r="E1274" s="2"/>
      <c r="F1274" s="3"/>
      <c r="G1274" s="3"/>
      <c r="P1274" s="8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</row>
    <row r="1275" spans="1:51" hidden="1" x14ac:dyDescent="0.2">
      <c r="A1275" s="6"/>
      <c r="E1275" s="2"/>
      <c r="F1275" s="3"/>
      <c r="G1275" s="3"/>
      <c r="P1275" s="8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</row>
    <row r="1276" spans="1:51" hidden="1" x14ac:dyDescent="0.2">
      <c r="A1276" s="6"/>
      <c r="E1276" s="2"/>
      <c r="F1276" s="3"/>
      <c r="G1276" s="3"/>
      <c r="P1276" s="8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</row>
    <row r="1277" spans="1:51" hidden="1" x14ac:dyDescent="0.2">
      <c r="A1277" s="6"/>
      <c r="E1277" s="2"/>
      <c r="F1277" s="3"/>
      <c r="G1277" s="3"/>
      <c r="P1277" s="8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</row>
    <row r="1278" spans="1:51" hidden="1" x14ac:dyDescent="0.2">
      <c r="A1278" s="6"/>
      <c r="E1278" s="2"/>
      <c r="F1278" s="3"/>
      <c r="G1278" s="3"/>
      <c r="P1278" s="8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</row>
    <row r="1279" spans="1:51" hidden="1" x14ac:dyDescent="0.2">
      <c r="A1279" s="6"/>
      <c r="E1279" s="2"/>
      <c r="F1279" s="3"/>
      <c r="G1279" s="3"/>
      <c r="P1279" s="8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</row>
    <row r="1280" spans="1:51" hidden="1" x14ac:dyDescent="0.2">
      <c r="A1280" s="6"/>
      <c r="E1280" s="2"/>
      <c r="F1280" s="3"/>
      <c r="G1280" s="3"/>
      <c r="P1280" s="8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</row>
    <row r="1281" spans="1:51" x14ac:dyDescent="0.2">
      <c r="A1281" s="6" t="s">
        <v>17</v>
      </c>
      <c r="B1281" t="s">
        <v>110</v>
      </c>
      <c r="C1281" t="s">
        <v>111</v>
      </c>
      <c r="D1281" t="s">
        <v>1720</v>
      </c>
      <c r="E1281" s="2">
        <v>0.43</v>
      </c>
      <c r="F1281" s="3">
        <f>DATE(2024,5,30)</f>
        <v>45442</v>
      </c>
      <c r="G1281" s="3">
        <f>DATE(2024,5,30)</f>
        <v>45442</v>
      </c>
      <c r="H1281">
        <v>968541553</v>
      </c>
      <c r="I1281" t="s">
        <v>73</v>
      </c>
      <c r="K1281" t="s">
        <v>21</v>
      </c>
      <c r="L1281" t="s">
        <v>22</v>
      </c>
      <c r="M1281" t="s">
        <v>23</v>
      </c>
      <c r="N1281" t="s">
        <v>23</v>
      </c>
      <c r="O1281" t="s">
        <v>24</v>
      </c>
      <c r="P1281" s="8" t="s">
        <v>1721</v>
      </c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</row>
    <row r="1282" spans="1:51" hidden="1" x14ac:dyDescent="0.2">
      <c r="A1282" s="6"/>
      <c r="E1282" s="2"/>
      <c r="F1282" s="3"/>
      <c r="G1282" s="3"/>
      <c r="P1282" s="8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</row>
    <row r="1283" spans="1:51" hidden="1" x14ac:dyDescent="0.2">
      <c r="A1283" s="6"/>
      <c r="E1283" s="2"/>
      <c r="F1283" s="3"/>
      <c r="G1283" s="3"/>
      <c r="P1283" s="8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</row>
    <row r="1284" spans="1:51" x14ac:dyDescent="0.2">
      <c r="A1284" s="6" t="s">
        <v>17</v>
      </c>
      <c r="B1284" t="s">
        <v>110</v>
      </c>
      <c r="C1284" t="s">
        <v>111</v>
      </c>
      <c r="D1284" t="s">
        <v>1722</v>
      </c>
      <c r="E1284" s="2">
        <v>4.0599999999999996</v>
      </c>
      <c r="F1284" s="3">
        <f>DATE(2024,4,5)</f>
        <v>45387</v>
      </c>
      <c r="G1284" s="3">
        <f>DATE(2024,4,5)</f>
        <v>45387</v>
      </c>
      <c r="H1284">
        <v>968541556</v>
      </c>
      <c r="I1284" t="s">
        <v>73</v>
      </c>
      <c r="K1284" t="s">
        <v>21</v>
      </c>
      <c r="L1284" t="s">
        <v>22</v>
      </c>
      <c r="M1284" t="s">
        <v>23</v>
      </c>
      <c r="N1284" t="s">
        <v>23</v>
      </c>
      <c r="O1284" t="s">
        <v>24</v>
      </c>
      <c r="P1284" s="8" t="s">
        <v>1723</v>
      </c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</row>
    <row r="1285" spans="1:51" x14ac:dyDescent="0.2">
      <c r="A1285" s="6" t="s">
        <v>17</v>
      </c>
      <c r="B1285" t="s">
        <v>110</v>
      </c>
      <c r="C1285" t="s">
        <v>111</v>
      </c>
      <c r="D1285" t="s">
        <v>1724</v>
      </c>
      <c r="E1285" s="2">
        <v>2.8</v>
      </c>
      <c r="F1285" s="3">
        <f>DATE(2024,6,27)</f>
        <v>45470</v>
      </c>
      <c r="G1285" s="3">
        <f>DATE(2024,6,27)</f>
        <v>45470</v>
      </c>
      <c r="H1285">
        <v>968541557</v>
      </c>
      <c r="I1285" t="s">
        <v>73</v>
      </c>
      <c r="K1285" t="s">
        <v>21</v>
      </c>
      <c r="L1285" t="s">
        <v>22</v>
      </c>
      <c r="M1285" t="s">
        <v>23</v>
      </c>
      <c r="N1285" t="s">
        <v>23</v>
      </c>
      <c r="O1285" t="s">
        <v>24</v>
      </c>
      <c r="P1285" s="8" t="s">
        <v>1725</v>
      </c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</row>
    <row r="1286" spans="1:51" hidden="1" x14ac:dyDescent="0.2">
      <c r="A1286" s="6"/>
      <c r="E1286" s="2"/>
      <c r="F1286" s="3"/>
      <c r="G1286" s="3"/>
      <c r="P1286" s="8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</row>
    <row r="1287" spans="1:51" x14ac:dyDescent="0.2">
      <c r="A1287" s="6" t="s">
        <v>17</v>
      </c>
      <c r="B1287" t="s">
        <v>110</v>
      </c>
      <c r="C1287" t="s">
        <v>111</v>
      </c>
      <c r="D1287" t="s">
        <v>1726</v>
      </c>
      <c r="E1287" s="2">
        <v>0.78</v>
      </c>
      <c r="F1287" s="3">
        <f>DATE(2024,5,27)</f>
        <v>45439</v>
      </c>
      <c r="G1287" s="3">
        <f>DATE(2024,5,27)</f>
        <v>45439</v>
      </c>
      <c r="H1287">
        <v>968541559</v>
      </c>
      <c r="I1287" t="s">
        <v>73</v>
      </c>
      <c r="K1287" t="s">
        <v>21</v>
      </c>
      <c r="L1287" t="s">
        <v>22</v>
      </c>
      <c r="M1287" t="s">
        <v>23</v>
      </c>
      <c r="N1287" t="s">
        <v>23</v>
      </c>
      <c r="O1287" t="s">
        <v>24</v>
      </c>
      <c r="P1287" s="8" t="s">
        <v>1727</v>
      </c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</row>
    <row r="1288" spans="1:51" hidden="1" x14ac:dyDescent="0.2">
      <c r="A1288" s="6"/>
      <c r="E1288" s="2"/>
      <c r="F1288" s="3"/>
      <c r="G1288" s="3"/>
      <c r="P1288" s="8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</row>
    <row r="1289" spans="1:51" hidden="1" x14ac:dyDescent="0.2">
      <c r="A1289" s="6"/>
      <c r="E1289" s="2"/>
      <c r="F1289" s="3"/>
      <c r="G1289" s="3"/>
      <c r="P1289" s="8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</row>
    <row r="1290" spans="1:51" hidden="1" x14ac:dyDescent="0.2">
      <c r="A1290" s="6"/>
      <c r="E1290" s="2"/>
      <c r="F1290" s="3"/>
      <c r="G1290" s="3"/>
      <c r="P1290" s="8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</row>
    <row r="1291" spans="1:51" x14ac:dyDescent="0.2">
      <c r="A1291" s="6" t="s">
        <v>17</v>
      </c>
      <c r="B1291" t="s">
        <v>110</v>
      </c>
      <c r="C1291" t="s">
        <v>111</v>
      </c>
      <c r="D1291" t="s">
        <v>1728</v>
      </c>
      <c r="E1291" s="2">
        <v>0.39</v>
      </c>
      <c r="F1291" s="3">
        <f>DATE(2024,4,24)</f>
        <v>45406</v>
      </c>
      <c r="G1291" s="3">
        <f>DATE(2024,4,24)</f>
        <v>45406</v>
      </c>
      <c r="H1291">
        <v>968541563</v>
      </c>
      <c r="I1291" t="s">
        <v>73</v>
      </c>
      <c r="K1291" t="s">
        <v>21</v>
      </c>
      <c r="L1291" t="s">
        <v>22</v>
      </c>
      <c r="M1291" t="s">
        <v>23</v>
      </c>
      <c r="N1291" t="s">
        <v>23</v>
      </c>
      <c r="O1291" t="s">
        <v>24</v>
      </c>
      <c r="P1291" s="8" t="s">
        <v>1729</v>
      </c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</row>
    <row r="1292" spans="1:51" hidden="1" x14ac:dyDescent="0.2">
      <c r="A1292" s="6"/>
      <c r="E1292" s="2"/>
      <c r="F1292" s="3"/>
      <c r="G1292" s="3"/>
      <c r="P1292" s="8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</row>
    <row r="1293" spans="1:51" hidden="1" x14ac:dyDescent="0.2">
      <c r="A1293" s="6"/>
      <c r="E1293" s="2"/>
      <c r="F1293" s="3"/>
      <c r="G1293" s="3"/>
      <c r="P1293" s="8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</row>
    <row r="1294" spans="1:51" hidden="1" x14ac:dyDescent="0.2">
      <c r="A1294" s="6"/>
      <c r="E1294" s="2"/>
      <c r="F1294" s="3"/>
      <c r="G1294" s="3"/>
      <c r="P1294" s="8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</row>
    <row r="1295" spans="1:51" hidden="1" x14ac:dyDescent="0.2">
      <c r="A1295" s="6"/>
      <c r="E1295" s="2"/>
      <c r="F1295" s="3"/>
      <c r="G1295" s="3"/>
      <c r="P1295" s="8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</row>
    <row r="1296" spans="1:51" hidden="1" x14ac:dyDescent="0.2">
      <c r="A1296" s="6"/>
      <c r="E1296" s="2"/>
      <c r="F1296" s="3"/>
      <c r="G1296" s="3"/>
      <c r="P1296" s="8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</row>
    <row r="1297" spans="1:51" hidden="1" x14ac:dyDescent="0.2">
      <c r="A1297" s="6"/>
      <c r="E1297" s="2"/>
      <c r="F1297" s="3"/>
      <c r="G1297" s="3"/>
      <c r="P1297" s="8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</row>
    <row r="1298" spans="1:51" hidden="1" x14ac:dyDescent="0.2">
      <c r="A1298" s="6"/>
      <c r="E1298" s="2"/>
      <c r="F1298" s="3"/>
      <c r="G1298" s="3"/>
      <c r="P1298" s="8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</row>
    <row r="1299" spans="1:51" hidden="1" x14ac:dyDescent="0.2">
      <c r="A1299" s="6"/>
      <c r="E1299" s="2"/>
      <c r="F1299" s="3"/>
      <c r="G1299" s="3"/>
      <c r="P1299" s="8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</row>
    <row r="1300" spans="1:51" hidden="1" x14ac:dyDescent="0.2">
      <c r="A1300" s="6"/>
      <c r="E1300" s="2"/>
      <c r="F1300" s="3"/>
      <c r="G1300" s="3"/>
      <c r="P1300" s="8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</row>
    <row r="1301" spans="1:51" hidden="1" x14ac:dyDescent="0.2">
      <c r="A1301" s="6"/>
      <c r="E1301" s="2"/>
      <c r="F1301" s="3"/>
      <c r="G1301" s="3"/>
      <c r="P1301" s="8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</row>
    <row r="1302" spans="1:51" x14ac:dyDescent="0.2">
      <c r="A1302" s="6" t="s">
        <v>17</v>
      </c>
      <c r="B1302" t="s">
        <v>18</v>
      </c>
      <c r="C1302" t="s">
        <v>18</v>
      </c>
      <c r="D1302" t="s">
        <v>1730</v>
      </c>
      <c r="E1302" s="2">
        <v>30.23</v>
      </c>
      <c r="F1302" s="3">
        <f>DATE(2024,6,12)</f>
        <v>45455</v>
      </c>
      <c r="G1302" s="3">
        <f>DATE(2024,6,12)</f>
        <v>45455</v>
      </c>
      <c r="H1302">
        <v>968541574</v>
      </c>
      <c r="I1302" t="s">
        <v>73</v>
      </c>
      <c r="K1302" t="s">
        <v>21</v>
      </c>
      <c r="L1302" t="s">
        <v>22</v>
      </c>
      <c r="M1302" t="s">
        <v>23</v>
      </c>
      <c r="N1302" t="s">
        <v>23</v>
      </c>
      <c r="O1302" t="s">
        <v>24</v>
      </c>
      <c r="P1302" s="8" t="s">
        <v>1731</v>
      </c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</row>
    <row r="1303" spans="1:51" hidden="1" x14ac:dyDescent="0.2">
      <c r="A1303" s="6"/>
      <c r="E1303" s="2"/>
      <c r="F1303" s="3"/>
      <c r="G1303" s="3"/>
      <c r="P1303" s="8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</row>
    <row r="1304" spans="1:51" x14ac:dyDescent="0.2">
      <c r="A1304" s="6" t="s">
        <v>17</v>
      </c>
      <c r="B1304" t="s">
        <v>110</v>
      </c>
      <c r="C1304" t="s">
        <v>111</v>
      </c>
      <c r="D1304" t="s">
        <v>1732</v>
      </c>
      <c r="E1304" s="2">
        <v>3.93</v>
      </c>
      <c r="F1304" s="3">
        <f>DATE(2024,4,16)</f>
        <v>45398</v>
      </c>
      <c r="G1304" s="3">
        <f>DATE(2024,4,16)</f>
        <v>45398</v>
      </c>
      <c r="H1304">
        <v>968541576</v>
      </c>
      <c r="I1304" t="s">
        <v>73</v>
      </c>
      <c r="K1304" t="s">
        <v>21</v>
      </c>
      <c r="L1304" t="s">
        <v>22</v>
      </c>
      <c r="M1304" t="s">
        <v>23</v>
      </c>
      <c r="N1304" t="s">
        <v>23</v>
      </c>
      <c r="O1304" t="s">
        <v>24</v>
      </c>
      <c r="P1304" s="8" t="s">
        <v>1733</v>
      </c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</row>
    <row r="1305" spans="1:51" x14ac:dyDescent="0.2">
      <c r="A1305" s="6" t="s">
        <v>17</v>
      </c>
      <c r="B1305" t="s">
        <v>363</v>
      </c>
      <c r="C1305" t="s">
        <v>364</v>
      </c>
      <c r="D1305" t="s">
        <v>1734</v>
      </c>
      <c r="E1305" s="2">
        <v>18.600000000000001</v>
      </c>
      <c r="F1305" s="3">
        <f>DATE(2024,5,6)</f>
        <v>45418</v>
      </c>
      <c r="G1305" s="3">
        <f>DATE(2024,5,6)</f>
        <v>45418</v>
      </c>
      <c r="H1305">
        <v>968541577</v>
      </c>
      <c r="I1305" t="s">
        <v>73</v>
      </c>
      <c r="K1305" t="s">
        <v>21</v>
      </c>
      <c r="L1305" t="s">
        <v>22</v>
      </c>
      <c r="M1305" t="s">
        <v>23</v>
      </c>
      <c r="N1305" t="s">
        <v>23</v>
      </c>
      <c r="O1305" t="s">
        <v>24</v>
      </c>
      <c r="P1305" s="8" t="s">
        <v>1735</v>
      </c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</row>
    <row r="1306" spans="1:51" hidden="1" x14ac:dyDescent="0.2">
      <c r="A1306" s="6"/>
      <c r="E1306" s="2"/>
      <c r="F1306" s="3"/>
      <c r="G1306" s="3"/>
      <c r="P1306" s="8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</row>
    <row r="1307" spans="1:51" hidden="1" x14ac:dyDescent="0.2">
      <c r="A1307" s="6"/>
      <c r="E1307" s="2"/>
      <c r="F1307" s="3"/>
      <c r="G1307" s="3"/>
      <c r="P1307" s="8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</row>
    <row r="1308" spans="1:51" hidden="1" x14ac:dyDescent="0.2">
      <c r="A1308" s="6"/>
      <c r="E1308" s="2"/>
      <c r="F1308" s="3"/>
      <c r="G1308" s="3"/>
      <c r="P1308" s="8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</row>
    <row r="1309" spans="1:51" x14ac:dyDescent="0.2">
      <c r="A1309" s="6" t="s">
        <v>17</v>
      </c>
      <c r="B1309" t="s">
        <v>110</v>
      </c>
      <c r="C1309" t="s">
        <v>111</v>
      </c>
      <c r="D1309" t="s">
        <v>1736</v>
      </c>
      <c r="E1309" s="2">
        <v>0.63</v>
      </c>
      <c r="F1309" s="3">
        <f>DATE(2024,4,27)</f>
        <v>45409</v>
      </c>
      <c r="G1309" s="3">
        <f>DATE(2024,4,27)</f>
        <v>45409</v>
      </c>
      <c r="H1309">
        <v>968541581</v>
      </c>
      <c r="I1309" t="s">
        <v>73</v>
      </c>
      <c r="K1309" t="s">
        <v>21</v>
      </c>
      <c r="L1309" t="s">
        <v>22</v>
      </c>
      <c r="M1309" t="s">
        <v>23</v>
      </c>
      <c r="N1309" t="s">
        <v>23</v>
      </c>
      <c r="O1309" t="s">
        <v>24</v>
      </c>
      <c r="P1309" s="8" t="s">
        <v>1737</v>
      </c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</row>
    <row r="1310" spans="1:51" x14ac:dyDescent="0.2">
      <c r="A1310" s="6" t="s">
        <v>17</v>
      </c>
      <c r="B1310" t="s">
        <v>110</v>
      </c>
      <c r="C1310" t="s">
        <v>111</v>
      </c>
      <c r="D1310" t="s">
        <v>1738</v>
      </c>
      <c r="E1310" s="2">
        <v>2.06</v>
      </c>
      <c r="F1310" s="3">
        <f>DATE(2024,4,9)</f>
        <v>45391</v>
      </c>
      <c r="G1310" s="3">
        <f>DATE(2024,4,9)</f>
        <v>45391</v>
      </c>
      <c r="H1310">
        <v>968541582</v>
      </c>
      <c r="I1310" t="s">
        <v>73</v>
      </c>
      <c r="K1310" t="s">
        <v>21</v>
      </c>
      <c r="L1310" t="s">
        <v>22</v>
      </c>
      <c r="M1310" t="s">
        <v>23</v>
      </c>
      <c r="N1310" t="s">
        <v>23</v>
      </c>
      <c r="O1310" t="s">
        <v>24</v>
      </c>
      <c r="P1310" s="8" t="s">
        <v>1739</v>
      </c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</row>
    <row r="1311" spans="1:51" hidden="1" x14ac:dyDescent="0.2">
      <c r="A1311" s="6"/>
      <c r="E1311" s="2"/>
      <c r="F1311" s="3"/>
      <c r="G1311" s="3"/>
      <c r="P1311" s="8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</row>
    <row r="1312" spans="1:51" hidden="1" x14ac:dyDescent="0.2">
      <c r="A1312" s="6"/>
      <c r="E1312" s="2"/>
      <c r="F1312" s="3"/>
      <c r="G1312" s="3"/>
      <c r="P1312" s="8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</row>
    <row r="1313" spans="1:51" hidden="1" x14ac:dyDescent="0.2">
      <c r="A1313" s="6"/>
      <c r="E1313" s="2"/>
      <c r="F1313" s="3"/>
      <c r="G1313" s="3"/>
      <c r="P1313" s="8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</row>
    <row r="1314" spans="1:51" hidden="1" x14ac:dyDescent="0.2">
      <c r="A1314" s="6"/>
      <c r="E1314" s="2"/>
      <c r="F1314" s="3"/>
      <c r="G1314" s="3"/>
      <c r="P1314" s="8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</row>
    <row r="1315" spans="1:51" hidden="1" x14ac:dyDescent="0.2">
      <c r="A1315" s="6"/>
      <c r="E1315" s="2"/>
      <c r="F1315" s="3"/>
      <c r="G1315" s="3"/>
      <c r="P1315" s="8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</row>
    <row r="1316" spans="1:51" hidden="1" x14ac:dyDescent="0.2">
      <c r="A1316" s="6"/>
      <c r="E1316" s="2"/>
      <c r="F1316" s="3"/>
      <c r="G1316" s="3"/>
      <c r="P1316" s="8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</row>
    <row r="1317" spans="1:51" hidden="1" x14ac:dyDescent="0.2">
      <c r="A1317" s="6"/>
      <c r="E1317" s="2"/>
      <c r="F1317" s="3"/>
      <c r="G1317" s="3"/>
      <c r="P1317" s="8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</row>
    <row r="1318" spans="1:51" hidden="1" x14ac:dyDescent="0.2">
      <c r="A1318" s="6"/>
      <c r="E1318" s="2"/>
      <c r="F1318" s="3"/>
      <c r="G1318" s="3"/>
      <c r="P1318" s="8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</row>
    <row r="1319" spans="1:51" x14ac:dyDescent="0.2">
      <c r="A1319" s="6" t="s">
        <v>17</v>
      </c>
      <c r="B1319" t="s">
        <v>74</v>
      </c>
      <c r="C1319" t="s">
        <v>75</v>
      </c>
      <c r="D1319" t="s">
        <v>1740</v>
      </c>
      <c r="E1319" s="2">
        <v>3586.72</v>
      </c>
      <c r="F1319" s="3">
        <f>DATE(2024,7,5)</f>
        <v>45478</v>
      </c>
      <c r="G1319" s="3">
        <f>DATE(2024,7,5)</f>
        <v>45478</v>
      </c>
      <c r="H1319">
        <v>971540059</v>
      </c>
      <c r="I1319" t="s">
        <v>73</v>
      </c>
      <c r="K1319" t="s">
        <v>21</v>
      </c>
      <c r="L1319" t="s">
        <v>22</v>
      </c>
      <c r="M1319" t="s">
        <v>23</v>
      </c>
      <c r="N1319" t="s">
        <v>23</v>
      </c>
      <c r="O1319" t="s">
        <v>24</v>
      </c>
      <c r="P1319" s="8" t="s">
        <v>1741</v>
      </c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</row>
    <row r="1320" spans="1:51" x14ac:dyDescent="0.2">
      <c r="A1320" s="6" t="s">
        <v>17</v>
      </c>
      <c r="B1320" t="s">
        <v>74</v>
      </c>
      <c r="C1320" t="s">
        <v>75</v>
      </c>
      <c r="D1320" t="s">
        <v>1742</v>
      </c>
      <c r="E1320" s="2">
        <v>266.14</v>
      </c>
      <c r="F1320" s="3">
        <f>DATE(2024,7,5)</f>
        <v>45478</v>
      </c>
      <c r="G1320" s="3">
        <f>DATE(2024,7,5)</f>
        <v>45478</v>
      </c>
      <c r="H1320">
        <v>971540060</v>
      </c>
      <c r="I1320" t="s">
        <v>73</v>
      </c>
      <c r="K1320" t="s">
        <v>21</v>
      </c>
      <c r="L1320" t="s">
        <v>22</v>
      </c>
      <c r="M1320" t="s">
        <v>23</v>
      </c>
      <c r="N1320" t="s">
        <v>23</v>
      </c>
      <c r="O1320" t="s">
        <v>24</v>
      </c>
      <c r="P1320" s="8" t="s">
        <v>1743</v>
      </c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</row>
    <row r="1321" spans="1:51" hidden="1" x14ac:dyDescent="0.2">
      <c r="A1321" s="6"/>
      <c r="E1321" s="2"/>
      <c r="F1321" s="3"/>
      <c r="G1321" s="3"/>
      <c r="P1321" s="8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</row>
    <row r="1322" spans="1:51" x14ac:dyDescent="0.2">
      <c r="A1322" s="6" t="s">
        <v>17</v>
      </c>
      <c r="B1322" t="s">
        <v>367</v>
      </c>
      <c r="C1322" t="s">
        <v>368</v>
      </c>
      <c r="D1322" t="s">
        <v>369</v>
      </c>
      <c r="E1322" s="2">
        <v>4.8</v>
      </c>
      <c r="F1322" s="3">
        <f t="shared" ref="F1321:G1323" si="71">DATE(2024,7,4)</f>
        <v>45477</v>
      </c>
      <c r="G1322" s="3">
        <f t="shared" si="71"/>
        <v>45477</v>
      </c>
      <c r="H1322">
        <v>971540062</v>
      </c>
      <c r="I1322" t="s">
        <v>73</v>
      </c>
      <c r="K1322" t="s">
        <v>21</v>
      </c>
      <c r="L1322" t="s">
        <v>22</v>
      </c>
      <c r="M1322" t="s">
        <v>23</v>
      </c>
      <c r="N1322" t="s">
        <v>23</v>
      </c>
      <c r="O1322" t="s">
        <v>24</v>
      </c>
      <c r="P1322" s="8" t="s">
        <v>1744</v>
      </c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</row>
    <row r="1323" spans="1:51" x14ac:dyDescent="0.2">
      <c r="A1323" s="6" t="s">
        <v>17</v>
      </c>
      <c r="B1323" t="s">
        <v>363</v>
      </c>
      <c r="C1323" t="s">
        <v>364</v>
      </c>
      <c r="D1323" t="s">
        <v>1745</v>
      </c>
      <c r="E1323" s="2">
        <v>285</v>
      </c>
      <c r="F1323" s="3">
        <f t="shared" si="71"/>
        <v>45477</v>
      </c>
      <c r="G1323" s="3">
        <f t="shared" si="71"/>
        <v>45477</v>
      </c>
      <c r="H1323">
        <v>971540923</v>
      </c>
      <c r="I1323" t="s">
        <v>20</v>
      </c>
      <c r="K1323" t="s">
        <v>21</v>
      </c>
      <c r="L1323" t="s">
        <v>22</v>
      </c>
      <c r="M1323" t="s">
        <v>23</v>
      </c>
      <c r="N1323" t="s">
        <v>23</v>
      </c>
      <c r="O1323" t="s">
        <v>24</v>
      </c>
      <c r="P1323" s="8" t="s">
        <v>1746</v>
      </c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</row>
    <row r="1324" spans="1:51" x14ac:dyDescent="0.2">
      <c r="A1324" s="6" t="s">
        <v>17</v>
      </c>
      <c r="B1324" t="s">
        <v>18</v>
      </c>
      <c r="C1324" t="s">
        <v>18</v>
      </c>
      <c r="D1324" t="s">
        <v>1747</v>
      </c>
      <c r="E1324" s="2">
        <v>325.11</v>
      </c>
      <c r="F1324" s="3">
        <f>DATE(2024,7,5)</f>
        <v>45478</v>
      </c>
      <c r="G1324" s="3">
        <f>DATE(2024,7,5)</f>
        <v>45478</v>
      </c>
      <c r="H1324">
        <v>971540924</v>
      </c>
      <c r="I1324" t="s">
        <v>20</v>
      </c>
      <c r="K1324" t="s">
        <v>21</v>
      </c>
      <c r="L1324" t="s">
        <v>22</v>
      </c>
      <c r="M1324" t="s">
        <v>23</v>
      </c>
      <c r="N1324" t="s">
        <v>23</v>
      </c>
      <c r="O1324" t="s">
        <v>24</v>
      </c>
      <c r="P1324" s="8" t="s">
        <v>1748</v>
      </c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</row>
    <row r="1325" spans="1:51" x14ac:dyDescent="0.2">
      <c r="A1325" s="6" t="s">
        <v>17</v>
      </c>
      <c r="B1325" t="s">
        <v>179</v>
      </c>
      <c r="C1325" t="s">
        <v>180</v>
      </c>
      <c r="D1325" t="s">
        <v>1749</v>
      </c>
      <c r="E1325" s="2">
        <v>280.63</v>
      </c>
      <c r="F1325" s="3">
        <f t="shared" ref="F1325:G1327" si="72">DATE(2024,7,3)</f>
        <v>45476</v>
      </c>
      <c r="G1325" s="3">
        <f t="shared" si="72"/>
        <v>45476</v>
      </c>
      <c r="H1325">
        <v>971540925</v>
      </c>
      <c r="I1325" t="s">
        <v>51</v>
      </c>
      <c r="K1325" t="s">
        <v>21</v>
      </c>
      <c r="L1325" t="s">
        <v>22</v>
      </c>
      <c r="M1325" t="s">
        <v>23</v>
      </c>
      <c r="N1325" t="s">
        <v>23</v>
      </c>
      <c r="O1325" t="s">
        <v>24</v>
      </c>
      <c r="P1325" s="8" t="s">
        <v>1750</v>
      </c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</row>
    <row r="1326" spans="1:51" x14ac:dyDescent="0.2">
      <c r="A1326" s="6" t="s">
        <v>17</v>
      </c>
      <c r="B1326" t="s">
        <v>144</v>
      </c>
      <c r="C1326" t="s">
        <v>145</v>
      </c>
      <c r="D1326" t="s">
        <v>454</v>
      </c>
      <c r="E1326" s="2">
        <v>404</v>
      </c>
      <c r="F1326" s="3">
        <f t="shared" si="72"/>
        <v>45476</v>
      </c>
      <c r="G1326" s="3">
        <f t="shared" si="72"/>
        <v>45476</v>
      </c>
      <c r="H1326">
        <v>971540926</v>
      </c>
      <c r="I1326" t="s">
        <v>51</v>
      </c>
      <c r="K1326" t="s">
        <v>21</v>
      </c>
      <c r="L1326" t="s">
        <v>22</v>
      </c>
      <c r="M1326" t="s">
        <v>23</v>
      </c>
      <c r="N1326" t="s">
        <v>23</v>
      </c>
      <c r="O1326" t="s">
        <v>24</v>
      </c>
      <c r="P1326" s="8" t="s">
        <v>1751</v>
      </c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</row>
    <row r="1327" spans="1:51" x14ac:dyDescent="0.2">
      <c r="A1327" s="6" t="s">
        <v>17</v>
      </c>
      <c r="B1327" t="s">
        <v>100</v>
      </c>
      <c r="C1327" t="s">
        <v>101</v>
      </c>
      <c r="D1327" t="s">
        <v>1658</v>
      </c>
      <c r="E1327" s="2">
        <v>33.86</v>
      </c>
      <c r="F1327" s="3">
        <f t="shared" si="72"/>
        <v>45476</v>
      </c>
      <c r="G1327" s="3">
        <f t="shared" si="72"/>
        <v>45476</v>
      </c>
      <c r="H1327">
        <v>971540927</v>
      </c>
      <c r="I1327" t="s">
        <v>51</v>
      </c>
      <c r="K1327" t="s">
        <v>21</v>
      </c>
      <c r="L1327" t="s">
        <v>22</v>
      </c>
      <c r="M1327" t="s">
        <v>23</v>
      </c>
      <c r="N1327" t="s">
        <v>23</v>
      </c>
      <c r="O1327" t="s">
        <v>24</v>
      </c>
      <c r="P1327" s="8" t="s">
        <v>1752</v>
      </c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</row>
    <row r="1328" spans="1:51" hidden="1" x14ac:dyDescent="0.2">
      <c r="A1328" s="6"/>
      <c r="E1328" s="2"/>
      <c r="F1328" s="3"/>
      <c r="G1328" s="3"/>
      <c r="P1328" s="8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</row>
    <row r="1329" spans="1:51" hidden="1" x14ac:dyDescent="0.2">
      <c r="A1329" s="6"/>
      <c r="E1329" s="2"/>
      <c r="F1329" s="3"/>
      <c r="G1329" s="3"/>
      <c r="P1329" s="8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</row>
    <row r="1330" spans="1:51" hidden="1" x14ac:dyDescent="0.2">
      <c r="A1330" s="6"/>
      <c r="E1330" s="2"/>
      <c r="F1330" s="3"/>
      <c r="G1330" s="3"/>
      <c r="P1330" s="8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</row>
    <row r="1331" spans="1:51" hidden="1" x14ac:dyDescent="0.2">
      <c r="A1331" s="6"/>
      <c r="E1331" s="2"/>
      <c r="F1331" s="3"/>
      <c r="G1331" s="3"/>
      <c r="P1331" s="8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</row>
    <row r="1332" spans="1:51" x14ac:dyDescent="0.2">
      <c r="A1332" s="6" t="s">
        <v>17</v>
      </c>
      <c r="B1332" t="s">
        <v>674</v>
      </c>
      <c r="C1332" t="s">
        <v>675</v>
      </c>
      <c r="D1332" t="s">
        <v>1753</v>
      </c>
      <c r="E1332" s="2">
        <v>586.70000000000005</v>
      </c>
      <c r="F1332" s="3">
        <f t="shared" ref="F1328:G1333" si="73">DATE(2024,7,5)</f>
        <v>45478</v>
      </c>
      <c r="G1332" s="3">
        <f t="shared" si="73"/>
        <v>45478</v>
      </c>
      <c r="H1332">
        <v>973292510</v>
      </c>
      <c r="I1332" t="s">
        <v>20</v>
      </c>
      <c r="K1332" t="s">
        <v>21</v>
      </c>
      <c r="L1332" t="s">
        <v>22</v>
      </c>
      <c r="M1332" t="s">
        <v>23</v>
      </c>
      <c r="N1332" t="s">
        <v>23</v>
      </c>
      <c r="O1332" t="s">
        <v>24</v>
      </c>
      <c r="P1332" s="8" t="s">
        <v>1754</v>
      </c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</row>
    <row r="1333" spans="1:51" x14ac:dyDescent="0.2">
      <c r="A1333" s="6" t="s">
        <v>17</v>
      </c>
      <c r="B1333" t="s">
        <v>80</v>
      </c>
      <c r="C1333" t="s">
        <v>81</v>
      </c>
      <c r="D1333" t="s">
        <v>1755</v>
      </c>
      <c r="E1333" s="2">
        <v>675</v>
      </c>
      <c r="F1333" s="3">
        <f t="shared" si="73"/>
        <v>45478</v>
      </c>
      <c r="G1333" s="3">
        <f t="shared" si="73"/>
        <v>45478</v>
      </c>
      <c r="H1333">
        <v>973292511</v>
      </c>
      <c r="I1333" t="s">
        <v>20</v>
      </c>
      <c r="K1333" t="s">
        <v>21</v>
      </c>
      <c r="L1333" t="s">
        <v>22</v>
      </c>
      <c r="M1333" t="s">
        <v>23</v>
      </c>
      <c r="N1333" t="s">
        <v>23</v>
      </c>
      <c r="O1333" t="s">
        <v>24</v>
      </c>
      <c r="P1333" s="8" t="s">
        <v>1756</v>
      </c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</row>
    <row r="1334" spans="1:51" x14ac:dyDescent="0.2">
      <c r="A1334" s="6" t="s">
        <v>17</v>
      </c>
      <c r="B1334" t="s">
        <v>61</v>
      </c>
      <c r="C1334" t="s">
        <v>62</v>
      </c>
      <c r="D1334" t="s">
        <v>1757</v>
      </c>
      <c r="E1334" s="2">
        <v>12</v>
      </c>
      <c r="F1334" s="3">
        <f>DATE(2024,7,6)</f>
        <v>45479</v>
      </c>
      <c r="G1334" s="3">
        <f>DATE(2024,7,6)</f>
        <v>45479</v>
      </c>
      <c r="H1334">
        <v>973292512</v>
      </c>
      <c r="I1334" t="s">
        <v>20</v>
      </c>
      <c r="K1334" t="s">
        <v>21</v>
      </c>
      <c r="L1334" t="s">
        <v>22</v>
      </c>
      <c r="M1334" t="s">
        <v>23</v>
      </c>
      <c r="N1334" t="s">
        <v>23</v>
      </c>
      <c r="O1334" t="s">
        <v>24</v>
      </c>
      <c r="P1334" s="8" t="s">
        <v>1758</v>
      </c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</row>
    <row r="1335" spans="1:51" x14ac:dyDescent="0.2">
      <c r="A1335" s="6" t="s">
        <v>17</v>
      </c>
      <c r="B1335" t="s">
        <v>80</v>
      </c>
      <c r="C1335" t="s">
        <v>81</v>
      </c>
      <c r="D1335" t="s">
        <v>1759</v>
      </c>
      <c r="E1335" s="2">
        <v>1649.83</v>
      </c>
      <c r="F1335" s="3">
        <f t="shared" ref="F1335:G1339" si="74">DATE(2024,7,5)</f>
        <v>45478</v>
      </c>
      <c r="G1335" s="3">
        <f t="shared" si="74"/>
        <v>45478</v>
      </c>
      <c r="H1335">
        <v>973292513</v>
      </c>
      <c r="I1335" t="s">
        <v>20</v>
      </c>
      <c r="K1335" t="s">
        <v>21</v>
      </c>
      <c r="L1335" t="s">
        <v>22</v>
      </c>
      <c r="M1335" t="s">
        <v>23</v>
      </c>
      <c r="N1335" t="s">
        <v>23</v>
      </c>
      <c r="O1335" t="s">
        <v>24</v>
      </c>
      <c r="P1335" s="8" t="s">
        <v>1760</v>
      </c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</row>
    <row r="1336" spans="1:51" x14ac:dyDescent="0.2">
      <c r="A1336" s="6" t="s">
        <v>17</v>
      </c>
      <c r="B1336" t="s">
        <v>363</v>
      </c>
      <c r="C1336" t="s">
        <v>364</v>
      </c>
      <c r="D1336" t="s">
        <v>1761</v>
      </c>
      <c r="E1336" s="2">
        <v>9</v>
      </c>
      <c r="F1336" s="3">
        <f t="shared" si="74"/>
        <v>45478</v>
      </c>
      <c r="G1336" s="3">
        <f t="shared" si="74"/>
        <v>45478</v>
      </c>
      <c r="H1336">
        <v>973292514</v>
      </c>
      <c r="I1336" t="s">
        <v>20</v>
      </c>
      <c r="K1336" t="s">
        <v>21</v>
      </c>
      <c r="L1336" t="s">
        <v>22</v>
      </c>
      <c r="M1336" t="s">
        <v>23</v>
      </c>
      <c r="N1336" t="s">
        <v>23</v>
      </c>
      <c r="O1336" t="s">
        <v>24</v>
      </c>
      <c r="P1336" s="8" t="s">
        <v>1762</v>
      </c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</row>
    <row r="1337" spans="1:51" x14ac:dyDescent="0.2">
      <c r="A1337" s="6" t="s">
        <v>17</v>
      </c>
      <c r="B1337" t="s">
        <v>44</v>
      </c>
      <c r="C1337" t="s">
        <v>45</v>
      </c>
      <c r="D1337" t="s">
        <v>1763</v>
      </c>
      <c r="E1337" s="2">
        <v>75.8</v>
      </c>
      <c r="F1337" s="3">
        <f t="shared" si="74"/>
        <v>45478</v>
      </c>
      <c r="G1337" s="3">
        <f t="shared" si="74"/>
        <v>45478</v>
      </c>
      <c r="H1337">
        <v>973292515</v>
      </c>
      <c r="I1337" t="s">
        <v>20</v>
      </c>
      <c r="K1337" t="s">
        <v>21</v>
      </c>
      <c r="L1337" t="s">
        <v>22</v>
      </c>
      <c r="M1337" t="s">
        <v>23</v>
      </c>
      <c r="N1337" t="s">
        <v>23</v>
      </c>
      <c r="O1337" t="s">
        <v>24</v>
      </c>
      <c r="P1337" s="8" t="s">
        <v>1764</v>
      </c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</row>
    <row r="1338" spans="1:51" hidden="1" x14ac:dyDescent="0.2">
      <c r="A1338" s="6"/>
      <c r="E1338" s="2"/>
      <c r="F1338" s="3"/>
      <c r="G1338" s="3"/>
      <c r="P1338" s="8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</row>
    <row r="1339" spans="1:51" x14ac:dyDescent="0.2">
      <c r="A1339" s="6" t="s">
        <v>17</v>
      </c>
      <c r="B1339" t="s">
        <v>1060</v>
      </c>
      <c r="C1339" t="s">
        <v>1061</v>
      </c>
      <c r="D1339" t="s">
        <v>1765</v>
      </c>
      <c r="E1339" s="2">
        <v>272.66000000000003</v>
      </c>
      <c r="F1339" s="3">
        <f t="shared" si="74"/>
        <v>45478</v>
      </c>
      <c r="G1339" s="3">
        <f t="shared" si="74"/>
        <v>45478</v>
      </c>
      <c r="H1339">
        <v>973292517</v>
      </c>
      <c r="I1339" t="s">
        <v>20</v>
      </c>
      <c r="K1339" t="s">
        <v>21</v>
      </c>
      <c r="L1339" t="s">
        <v>22</v>
      </c>
      <c r="M1339" t="s">
        <v>23</v>
      </c>
      <c r="N1339" t="s">
        <v>23</v>
      </c>
      <c r="O1339" t="s">
        <v>24</v>
      </c>
      <c r="P1339" s="8" t="s">
        <v>1766</v>
      </c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</row>
    <row r="1340" spans="1:51" x14ac:dyDescent="0.2">
      <c r="A1340" s="6" t="s">
        <v>17</v>
      </c>
      <c r="B1340" t="s">
        <v>26</v>
      </c>
      <c r="C1340" t="s">
        <v>27</v>
      </c>
      <c r="D1340" t="s">
        <v>71</v>
      </c>
      <c r="E1340" s="2">
        <v>13.05</v>
      </c>
      <c r="F1340" s="3">
        <f>DATE(2024,7,4)</f>
        <v>45477</v>
      </c>
      <c r="G1340" s="3">
        <f>DATE(2024,7,4)</f>
        <v>45477</v>
      </c>
      <c r="H1340">
        <v>973292518</v>
      </c>
      <c r="I1340" t="s">
        <v>51</v>
      </c>
      <c r="K1340" t="s">
        <v>21</v>
      </c>
      <c r="L1340" t="s">
        <v>22</v>
      </c>
      <c r="M1340" t="s">
        <v>23</v>
      </c>
      <c r="N1340" t="s">
        <v>23</v>
      </c>
      <c r="O1340" t="s">
        <v>24</v>
      </c>
      <c r="P1340" s="8" t="s">
        <v>1767</v>
      </c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</row>
    <row r="1341" spans="1:51" x14ac:dyDescent="0.2">
      <c r="A1341" s="6" t="s">
        <v>17</v>
      </c>
      <c r="B1341" t="s">
        <v>110</v>
      </c>
      <c r="C1341" t="s">
        <v>111</v>
      </c>
      <c r="D1341" t="s">
        <v>1768</v>
      </c>
      <c r="E1341" s="2">
        <v>1.76</v>
      </c>
      <c r="F1341" s="3">
        <f>DATE(2024,7,6)</f>
        <v>45479</v>
      </c>
      <c r="G1341" s="3">
        <f>DATE(2024,7,6)</f>
        <v>45479</v>
      </c>
      <c r="H1341">
        <v>974761435</v>
      </c>
      <c r="I1341" t="s">
        <v>73</v>
      </c>
      <c r="K1341" t="s">
        <v>21</v>
      </c>
      <c r="L1341" t="s">
        <v>22</v>
      </c>
      <c r="M1341" t="s">
        <v>23</v>
      </c>
      <c r="N1341" t="s">
        <v>23</v>
      </c>
      <c r="O1341" t="s">
        <v>24</v>
      </c>
      <c r="P1341" s="8" t="s">
        <v>1769</v>
      </c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</row>
    <row r="1342" spans="1:51" hidden="1" x14ac:dyDescent="0.2">
      <c r="A1342" s="6"/>
      <c r="E1342" s="2"/>
      <c r="F1342" s="3"/>
      <c r="G1342" s="3"/>
      <c r="P1342" s="8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</row>
    <row r="1343" spans="1:51" x14ac:dyDescent="0.2">
      <c r="A1343" s="6" t="s">
        <v>17</v>
      </c>
      <c r="B1343" t="s">
        <v>34</v>
      </c>
      <c r="C1343" t="s">
        <v>35</v>
      </c>
      <c r="D1343" t="s">
        <v>98</v>
      </c>
      <c r="E1343" s="2">
        <v>500</v>
      </c>
      <c r="F1343" s="3">
        <f>DATE(2024,7,8)</f>
        <v>45481</v>
      </c>
      <c r="G1343" s="3">
        <f>DATE(2024,7,8)</f>
        <v>45481</v>
      </c>
      <c r="H1343">
        <v>974768215</v>
      </c>
      <c r="I1343" t="s">
        <v>20</v>
      </c>
      <c r="K1343" t="s">
        <v>21</v>
      </c>
      <c r="L1343" t="s">
        <v>22</v>
      </c>
      <c r="M1343" t="s">
        <v>23</v>
      </c>
      <c r="N1343" t="s">
        <v>23</v>
      </c>
      <c r="O1343" t="s">
        <v>24</v>
      </c>
      <c r="P1343" s="8" t="s">
        <v>1770</v>
      </c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</row>
    <row r="1344" spans="1:51" hidden="1" x14ac:dyDescent="0.2">
      <c r="A1344" s="6"/>
      <c r="E1344" s="2"/>
      <c r="F1344" s="3"/>
      <c r="G1344" s="3"/>
      <c r="P1344" s="8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</row>
    <row r="1345" spans="1:51" x14ac:dyDescent="0.2">
      <c r="A1345" s="6" t="s">
        <v>17</v>
      </c>
      <c r="B1345" t="s">
        <v>44</v>
      </c>
      <c r="C1345" t="s">
        <v>45</v>
      </c>
      <c r="D1345" t="s">
        <v>1771</v>
      </c>
      <c r="E1345" s="2">
        <v>39.979999999999997</v>
      </c>
      <c r="F1345" s="3">
        <f>DATE(2024,7,5)</f>
        <v>45478</v>
      </c>
      <c r="G1345" s="3">
        <f>DATE(2024,7,5)</f>
        <v>45478</v>
      </c>
      <c r="H1345">
        <v>974768217</v>
      </c>
      <c r="I1345" t="s">
        <v>51</v>
      </c>
      <c r="K1345" t="s">
        <v>21</v>
      </c>
      <c r="L1345" t="s">
        <v>22</v>
      </c>
      <c r="M1345" t="s">
        <v>23</v>
      </c>
      <c r="N1345" t="s">
        <v>23</v>
      </c>
      <c r="O1345" t="s">
        <v>24</v>
      </c>
      <c r="P1345" s="8" t="s">
        <v>1772</v>
      </c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</row>
    <row r="1346" spans="1:51" hidden="1" x14ac:dyDescent="0.2">
      <c r="A1346" s="6"/>
      <c r="E1346" s="2"/>
      <c r="F1346" s="3"/>
      <c r="G1346" s="3"/>
      <c r="P1346" s="8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</row>
    <row r="1347" spans="1:51" hidden="1" x14ac:dyDescent="0.2">
      <c r="A1347" s="6"/>
      <c r="E1347" s="2"/>
      <c r="F1347" s="3"/>
      <c r="G1347" s="3"/>
      <c r="P1347" s="8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</row>
    <row r="1348" spans="1:51" x14ac:dyDescent="0.2">
      <c r="A1348" s="6" t="s">
        <v>17</v>
      </c>
      <c r="B1348" t="s">
        <v>30</v>
      </c>
      <c r="C1348" t="s">
        <v>31</v>
      </c>
      <c r="D1348" t="s">
        <v>1773</v>
      </c>
      <c r="E1348" s="2">
        <v>1156.0999999999999</v>
      </c>
      <c r="F1348" s="3">
        <f>DATE(2024,7,9)</f>
        <v>45482</v>
      </c>
      <c r="G1348" s="3">
        <f>DATE(2024,7,9)</f>
        <v>45482</v>
      </c>
      <c r="H1348">
        <v>978418053</v>
      </c>
      <c r="I1348" t="s">
        <v>20</v>
      </c>
      <c r="K1348" t="s">
        <v>21</v>
      </c>
      <c r="L1348" t="s">
        <v>22</v>
      </c>
      <c r="M1348" t="s">
        <v>23</v>
      </c>
      <c r="N1348" t="s">
        <v>23</v>
      </c>
      <c r="O1348" t="s">
        <v>24</v>
      </c>
      <c r="P1348" s="8" t="s">
        <v>1774</v>
      </c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</row>
    <row r="1349" spans="1:51" hidden="1" x14ac:dyDescent="0.2">
      <c r="A1349" s="6"/>
      <c r="E1349" s="2"/>
      <c r="F1349" s="3"/>
      <c r="G1349" s="3"/>
      <c r="P1349" s="8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</row>
    <row r="1350" spans="1:51" x14ac:dyDescent="0.2">
      <c r="A1350" s="6" t="s">
        <v>17</v>
      </c>
      <c r="B1350" t="s">
        <v>191</v>
      </c>
      <c r="C1350" t="s">
        <v>192</v>
      </c>
      <c r="D1350" t="s">
        <v>1775</v>
      </c>
      <c r="E1350" s="2">
        <v>269.67</v>
      </c>
      <c r="F1350" s="3">
        <f t="shared" ref="F1349:G1352" si="75">DATE(2024,7,8)</f>
        <v>45481</v>
      </c>
      <c r="G1350" s="3">
        <f t="shared" si="75"/>
        <v>45481</v>
      </c>
      <c r="H1350">
        <v>978418055</v>
      </c>
      <c r="I1350" t="s">
        <v>20</v>
      </c>
      <c r="K1350" t="s">
        <v>21</v>
      </c>
      <c r="L1350" t="s">
        <v>22</v>
      </c>
      <c r="M1350" t="s">
        <v>23</v>
      </c>
      <c r="N1350" t="s">
        <v>23</v>
      </c>
      <c r="O1350" t="s">
        <v>24</v>
      </c>
      <c r="P1350" s="8" t="s">
        <v>1776</v>
      </c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</row>
    <row r="1351" spans="1:51" x14ac:dyDescent="0.2">
      <c r="A1351" s="6" t="s">
        <v>17</v>
      </c>
      <c r="B1351" t="s">
        <v>57</v>
      </c>
      <c r="C1351" t="s">
        <v>58</v>
      </c>
      <c r="D1351" t="s">
        <v>1777</v>
      </c>
      <c r="E1351" s="2">
        <v>52.5</v>
      </c>
      <c r="F1351" s="3">
        <f t="shared" si="75"/>
        <v>45481</v>
      </c>
      <c r="G1351" s="3">
        <f t="shared" si="75"/>
        <v>45481</v>
      </c>
      <c r="H1351">
        <v>978418056</v>
      </c>
      <c r="I1351" t="s">
        <v>20</v>
      </c>
      <c r="K1351" t="s">
        <v>21</v>
      </c>
      <c r="L1351" t="s">
        <v>22</v>
      </c>
      <c r="M1351" t="s">
        <v>23</v>
      </c>
      <c r="N1351" t="s">
        <v>23</v>
      </c>
      <c r="O1351" t="s">
        <v>24</v>
      </c>
      <c r="P1351" s="8" t="s">
        <v>1778</v>
      </c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</row>
    <row r="1352" spans="1:51" hidden="1" x14ac:dyDescent="0.2">
      <c r="A1352" s="6"/>
      <c r="E1352" s="2"/>
      <c r="F1352" s="3"/>
      <c r="G1352" s="3"/>
      <c r="P1352" s="8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</row>
    <row r="1353" spans="1:51" x14ac:dyDescent="0.2">
      <c r="A1353" s="6" t="s">
        <v>17</v>
      </c>
      <c r="B1353" t="s">
        <v>30</v>
      </c>
      <c r="C1353" t="s">
        <v>31</v>
      </c>
      <c r="D1353" t="s">
        <v>1779</v>
      </c>
      <c r="E1353" s="2">
        <v>871.08</v>
      </c>
      <c r="F1353" s="3">
        <f>DATE(2024,7,9)</f>
        <v>45482</v>
      </c>
      <c r="G1353" s="3">
        <f>DATE(2024,7,9)</f>
        <v>45482</v>
      </c>
      <c r="H1353">
        <v>978418058</v>
      </c>
      <c r="I1353" t="s">
        <v>20</v>
      </c>
      <c r="K1353" t="s">
        <v>21</v>
      </c>
      <c r="L1353" t="s">
        <v>22</v>
      </c>
      <c r="M1353" t="s">
        <v>23</v>
      </c>
      <c r="N1353" t="s">
        <v>23</v>
      </c>
      <c r="O1353" t="s">
        <v>24</v>
      </c>
      <c r="P1353" s="8" t="s">
        <v>1780</v>
      </c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</row>
    <row r="1354" spans="1:51" hidden="1" x14ac:dyDescent="0.2">
      <c r="A1354" s="6"/>
      <c r="E1354" s="2"/>
      <c r="F1354" s="3"/>
      <c r="G1354" s="3"/>
      <c r="P1354" s="8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</row>
    <row r="1355" spans="1:51" x14ac:dyDescent="0.2">
      <c r="A1355" s="6" t="s">
        <v>17</v>
      </c>
      <c r="B1355" t="s">
        <v>44</v>
      </c>
      <c r="C1355" t="s">
        <v>45</v>
      </c>
      <c r="D1355" t="s">
        <v>690</v>
      </c>
      <c r="E1355" s="2">
        <v>49.91</v>
      </c>
      <c r="F1355" s="3">
        <f>DATE(2024,7,2)</f>
        <v>45475</v>
      </c>
      <c r="G1355" s="3">
        <f>DATE(2024,7,2)</f>
        <v>45475</v>
      </c>
      <c r="H1355">
        <v>978418682</v>
      </c>
      <c r="I1355" t="s">
        <v>51</v>
      </c>
      <c r="K1355" t="s">
        <v>21</v>
      </c>
      <c r="L1355" t="s">
        <v>22</v>
      </c>
      <c r="M1355" t="s">
        <v>23</v>
      </c>
      <c r="N1355" t="s">
        <v>23</v>
      </c>
      <c r="O1355" t="s">
        <v>24</v>
      </c>
      <c r="P1355" s="8" t="s">
        <v>1781</v>
      </c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</row>
    <row r="1356" spans="1:51" x14ac:dyDescent="0.2">
      <c r="A1356" s="6" t="s">
        <v>17</v>
      </c>
      <c r="B1356" t="s">
        <v>44</v>
      </c>
      <c r="C1356" t="s">
        <v>45</v>
      </c>
      <c r="D1356" t="s">
        <v>1782</v>
      </c>
      <c r="E1356" s="2">
        <v>19.95</v>
      </c>
      <c r="F1356" s="3">
        <f>DATE(2024,7,6)</f>
        <v>45479</v>
      </c>
      <c r="G1356" s="3">
        <f>DATE(2024,7,6)</f>
        <v>45479</v>
      </c>
      <c r="H1356">
        <v>978418683</v>
      </c>
      <c r="I1356" t="s">
        <v>51</v>
      </c>
      <c r="K1356" t="s">
        <v>21</v>
      </c>
      <c r="L1356" t="s">
        <v>22</v>
      </c>
      <c r="M1356" t="s">
        <v>23</v>
      </c>
      <c r="N1356" t="s">
        <v>23</v>
      </c>
      <c r="O1356" t="s">
        <v>24</v>
      </c>
      <c r="P1356" s="8" t="s">
        <v>1783</v>
      </c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</row>
    <row r="1357" spans="1:51" hidden="1" x14ac:dyDescent="0.2">
      <c r="A1357" s="6"/>
      <c r="E1357" s="2"/>
      <c r="F1357" s="3"/>
      <c r="G1357" s="3"/>
      <c r="P1357" s="8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</row>
    <row r="1358" spans="1:51" hidden="1" x14ac:dyDescent="0.2">
      <c r="A1358" s="6"/>
      <c r="E1358" s="2"/>
      <c r="F1358" s="3"/>
      <c r="G1358" s="3"/>
      <c r="P1358" s="8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</row>
    <row r="1359" spans="1:51" hidden="1" x14ac:dyDescent="0.2">
      <c r="A1359" s="6"/>
      <c r="E1359" s="2"/>
      <c r="F1359" s="3"/>
      <c r="G1359" s="3"/>
      <c r="P1359" s="8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</row>
    <row r="1360" spans="1:51" x14ac:dyDescent="0.2">
      <c r="A1360" s="6" t="s">
        <v>17</v>
      </c>
      <c r="B1360" t="s">
        <v>18</v>
      </c>
      <c r="C1360" t="s">
        <v>18</v>
      </c>
      <c r="D1360" t="s">
        <v>1784</v>
      </c>
      <c r="E1360" s="2">
        <v>2.3199999999999998</v>
      </c>
      <c r="F1360" s="3">
        <f t="shared" ref="F1359:G1365" si="76">DATE(2024,7,9)</f>
        <v>45482</v>
      </c>
      <c r="G1360" s="3">
        <f t="shared" si="76"/>
        <v>45482</v>
      </c>
      <c r="H1360">
        <v>981592970</v>
      </c>
      <c r="I1360" t="s">
        <v>20</v>
      </c>
      <c r="K1360" t="s">
        <v>21</v>
      </c>
      <c r="L1360" t="s">
        <v>22</v>
      </c>
      <c r="M1360" t="s">
        <v>23</v>
      </c>
      <c r="N1360" t="s">
        <v>23</v>
      </c>
      <c r="O1360" t="s">
        <v>24</v>
      </c>
      <c r="P1360" s="8" t="s">
        <v>1785</v>
      </c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</row>
    <row r="1361" spans="1:51" x14ac:dyDescent="0.2">
      <c r="A1361" s="6" t="s">
        <v>17</v>
      </c>
      <c r="B1361" t="s">
        <v>110</v>
      </c>
      <c r="C1361" t="s">
        <v>111</v>
      </c>
      <c r="D1361" t="s">
        <v>1786</v>
      </c>
      <c r="E1361" s="2">
        <v>958.56</v>
      </c>
      <c r="F1361" s="3">
        <f t="shared" si="76"/>
        <v>45482</v>
      </c>
      <c r="G1361" s="3">
        <f t="shared" si="76"/>
        <v>45482</v>
      </c>
      <c r="H1361">
        <v>981592971</v>
      </c>
      <c r="I1361" t="s">
        <v>20</v>
      </c>
      <c r="K1361" t="s">
        <v>21</v>
      </c>
      <c r="L1361" t="s">
        <v>22</v>
      </c>
      <c r="M1361" t="s">
        <v>23</v>
      </c>
      <c r="N1361" t="s">
        <v>23</v>
      </c>
      <c r="O1361" t="s">
        <v>24</v>
      </c>
      <c r="P1361" s="8" t="s">
        <v>1787</v>
      </c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</row>
    <row r="1362" spans="1:51" x14ac:dyDescent="0.2">
      <c r="A1362" s="6" t="s">
        <v>17</v>
      </c>
      <c r="B1362" t="s">
        <v>110</v>
      </c>
      <c r="C1362" t="s">
        <v>111</v>
      </c>
      <c r="D1362" t="s">
        <v>1788</v>
      </c>
      <c r="E1362" s="2">
        <v>173.77</v>
      </c>
      <c r="F1362" s="3">
        <f t="shared" si="76"/>
        <v>45482</v>
      </c>
      <c r="G1362" s="3">
        <f t="shared" si="76"/>
        <v>45482</v>
      </c>
      <c r="H1362">
        <v>981592972</v>
      </c>
      <c r="I1362" t="s">
        <v>20</v>
      </c>
      <c r="K1362" t="s">
        <v>21</v>
      </c>
      <c r="L1362" t="s">
        <v>22</v>
      </c>
      <c r="M1362" t="s">
        <v>23</v>
      </c>
      <c r="N1362" t="s">
        <v>23</v>
      </c>
      <c r="O1362" t="s">
        <v>24</v>
      </c>
      <c r="P1362" s="8" t="s">
        <v>1789</v>
      </c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</row>
    <row r="1363" spans="1:51" x14ac:dyDescent="0.2">
      <c r="A1363" s="6" t="s">
        <v>17</v>
      </c>
      <c r="B1363" t="s">
        <v>110</v>
      </c>
      <c r="C1363" t="s">
        <v>111</v>
      </c>
      <c r="D1363" t="s">
        <v>1790</v>
      </c>
      <c r="E1363" s="2">
        <v>517.87</v>
      </c>
      <c r="F1363" s="3">
        <f t="shared" si="76"/>
        <v>45482</v>
      </c>
      <c r="G1363" s="3">
        <f t="shared" si="76"/>
        <v>45482</v>
      </c>
      <c r="H1363">
        <v>981592973</v>
      </c>
      <c r="I1363" t="s">
        <v>20</v>
      </c>
      <c r="K1363" t="s">
        <v>21</v>
      </c>
      <c r="L1363" t="s">
        <v>22</v>
      </c>
      <c r="M1363" t="s">
        <v>23</v>
      </c>
      <c r="N1363" t="s">
        <v>23</v>
      </c>
      <c r="O1363" t="s">
        <v>24</v>
      </c>
      <c r="P1363" s="8" t="s">
        <v>1791</v>
      </c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</row>
    <row r="1364" spans="1:51" hidden="1" x14ac:dyDescent="0.2">
      <c r="A1364" s="6"/>
      <c r="E1364" s="2"/>
      <c r="F1364" s="3"/>
      <c r="G1364" s="3"/>
      <c r="P1364" s="8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</row>
    <row r="1365" spans="1:51" hidden="1" x14ac:dyDescent="0.2">
      <c r="A1365" s="6"/>
      <c r="E1365" s="2"/>
      <c r="F1365" s="3"/>
      <c r="G1365" s="3"/>
      <c r="P1365" s="8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</row>
    <row r="1366" spans="1:51" x14ac:dyDescent="0.2">
      <c r="A1366" s="6" t="s">
        <v>17</v>
      </c>
      <c r="B1366" t="s">
        <v>44</v>
      </c>
      <c r="C1366" t="s">
        <v>45</v>
      </c>
      <c r="D1366" t="s">
        <v>1792</v>
      </c>
      <c r="E1366" s="2">
        <v>49.26</v>
      </c>
      <c r="F1366" s="3">
        <f>DATE(2024,7,10)</f>
        <v>45483</v>
      </c>
      <c r="G1366" s="3">
        <f>DATE(2024,7,10)</f>
        <v>45483</v>
      </c>
      <c r="H1366">
        <v>981592976</v>
      </c>
      <c r="I1366" t="s">
        <v>20</v>
      </c>
      <c r="K1366" t="s">
        <v>21</v>
      </c>
      <c r="L1366" t="s">
        <v>22</v>
      </c>
      <c r="M1366" t="s">
        <v>23</v>
      </c>
      <c r="N1366" t="s">
        <v>23</v>
      </c>
      <c r="O1366" t="s">
        <v>24</v>
      </c>
      <c r="P1366" s="8" t="s">
        <v>1793</v>
      </c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</row>
    <row r="1367" spans="1:51" x14ac:dyDescent="0.2">
      <c r="A1367" s="6" t="s">
        <v>17</v>
      </c>
      <c r="B1367" t="s">
        <v>655</v>
      </c>
      <c r="C1367" t="s">
        <v>656</v>
      </c>
      <c r="D1367" t="s">
        <v>1794</v>
      </c>
      <c r="E1367" s="2">
        <v>1412</v>
      </c>
      <c r="F1367" s="3">
        <f>DATE(2024,7,10)</f>
        <v>45483</v>
      </c>
      <c r="G1367" s="3">
        <f>DATE(2024,7,10)</f>
        <v>45483</v>
      </c>
      <c r="H1367">
        <v>981592977</v>
      </c>
      <c r="I1367" t="s">
        <v>20</v>
      </c>
      <c r="K1367" t="s">
        <v>21</v>
      </c>
      <c r="L1367" t="s">
        <v>22</v>
      </c>
      <c r="M1367" t="s">
        <v>23</v>
      </c>
      <c r="N1367" t="s">
        <v>23</v>
      </c>
      <c r="O1367" t="s">
        <v>24</v>
      </c>
      <c r="P1367" s="8" t="s">
        <v>1795</v>
      </c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</row>
    <row r="1368" spans="1:51" x14ac:dyDescent="0.2">
      <c r="A1368" s="6" t="s">
        <v>17</v>
      </c>
      <c r="B1368" t="s">
        <v>44</v>
      </c>
      <c r="C1368" t="s">
        <v>45</v>
      </c>
      <c r="D1368" t="s">
        <v>831</v>
      </c>
      <c r="E1368" s="2">
        <v>61.64</v>
      </c>
      <c r="F1368" s="3">
        <f t="shared" ref="F1368:G1374" si="77">DATE(2024,7,8)</f>
        <v>45481</v>
      </c>
      <c r="G1368" s="3">
        <f t="shared" si="77"/>
        <v>45481</v>
      </c>
      <c r="H1368">
        <v>981592987</v>
      </c>
      <c r="I1368" t="s">
        <v>51</v>
      </c>
      <c r="K1368" t="s">
        <v>21</v>
      </c>
      <c r="L1368" t="s">
        <v>22</v>
      </c>
      <c r="M1368" t="s">
        <v>23</v>
      </c>
      <c r="N1368" t="s">
        <v>23</v>
      </c>
      <c r="O1368" t="s">
        <v>24</v>
      </c>
      <c r="P1368" s="8" t="s">
        <v>1796</v>
      </c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</row>
    <row r="1369" spans="1:51" x14ac:dyDescent="0.2">
      <c r="A1369" s="6" t="s">
        <v>17</v>
      </c>
      <c r="B1369" t="s">
        <v>44</v>
      </c>
      <c r="C1369" t="s">
        <v>45</v>
      </c>
      <c r="D1369" t="s">
        <v>831</v>
      </c>
      <c r="E1369" s="2">
        <v>61.64</v>
      </c>
      <c r="F1369" s="3">
        <f t="shared" si="77"/>
        <v>45481</v>
      </c>
      <c r="G1369" s="3">
        <f t="shared" si="77"/>
        <v>45481</v>
      </c>
      <c r="H1369">
        <v>981592988</v>
      </c>
      <c r="I1369" t="s">
        <v>51</v>
      </c>
      <c r="K1369" t="s">
        <v>21</v>
      </c>
      <c r="L1369" t="s">
        <v>22</v>
      </c>
      <c r="M1369" t="s">
        <v>23</v>
      </c>
      <c r="N1369" t="s">
        <v>23</v>
      </c>
      <c r="O1369" t="s">
        <v>24</v>
      </c>
      <c r="P1369" s="8" t="s">
        <v>1797</v>
      </c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</row>
    <row r="1370" spans="1:51" x14ac:dyDescent="0.2">
      <c r="A1370" s="6" t="s">
        <v>17</v>
      </c>
      <c r="B1370" t="s">
        <v>44</v>
      </c>
      <c r="C1370" t="s">
        <v>45</v>
      </c>
      <c r="D1370" t="s">
        <v>831</v>
      </c>
      <c r="E1370" s="2">
        <v>61.64</v>
      </c>
      <c r="F1370" s="3">
        <f t="shared" si="77"/>
        <v>45481</v>
      </c>
      <c r="G1370" s="3">
        <f t="shared" si="77"/>
        <v>45481</v>
      </c>
      <c r="H1370">
        <v>981592989</v>
      </c>
      <c r="I1370" t="s">
        <v>51</v>
      </c>
      <c r="K1370" t="s">
        <v>21</v>
      </c>
      <c r="L1370" t="s">
        <v>22</v>
      </c>
      <c r="M1370" t="s">
        <v>23</v>
      </c>
      <c r="N1370" t="s">
        <v>23</v>
      </c>
      <c r="O1370" t="s">
        <v>24</v>
      </c>
      <c r="P1370" s="8" t="s">
        <v>1798</v>
      </c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</row>
    <row r="1371" spans="1:51" x14ac:dyDescent="0.2">
      <c r="A1371" s="6" t="s">
        <v>17</v>
      </c>
      <c r="B1371" t="s">
        <v>44</v>
      </c>
      <c r="C1371" t="s">
        <v>45</v>
      </c>
      <c r="D1371" t="s">
        <v>831</v>
      </c>
      <c r="E1371" s="2">
        <v>61.64</v>
      </c>
      <c r="F1371" s="3">
        <f t="shared" si="77"/>
        <v>45481</v>
      </c>
      <c r="G1371" s="3">
        <f t="shared" si="77"/>
        <v>45481</v>
      </c>
      <c r="H1371">
        <v>981592990</v>
      </c>
      <c r="I1371" t="s">
        <v>51</v>
      </c>
      <c r="K1371" t="s">
        <v>21</v>
      </c>
      <c r="L1371" t="s">
        <v>22</v>
      </c>
      <c r="M1371" t="s">
        <v>23</v>
      </c>
      <c r="N1371" t="s">
        <v>23</v>
      </c>
      <c r="O1371" t="s">
        <v>24</v>
      </c>
      <c r="P1371" s="8" t="s">
        <v>1799</v>
      </c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</row>
    <row r="1372" spans="1:51" x14ac:dyDescent="0.2">
      <c r="A1372" s="6" t="s">
        <v>17</v>
      </c>
      <c r="B1372" t="s">
        <v>44</v>
      </c>
      <c r="C1372" t="s">
        <v>45</v>
      </c>
      <c r="D1372" t="s">
        <v>831</v>
      </c>
      <c r="E1372" s="2">
        <v>61.64</v>
      </c>
      <c r="F1372" s="3">
        <f t="shared" si="77"/>
        <v>45481</v>
      </c>
      <c r="G1372" s="3">
        <f t="shared" si="77"/>
        <v>45481</v>
      </c>
      <c r="H1372">
        <v>981592991</v>
      </c>
      <c r="I1372" t="s">
        <v>51</v>
      </c>
      <c r="K1372" t="s">
        <v>21</v>
      </c>
      <c r="L1372" t="s">
        <v>22</v>
      </c>
      <c r="M1372" t="s">
        <v>23</v>
      </c>
      <c r="N1372" t="s">
        <v>23</v>
      </c>
      <c r="O1372" t="s">
        <v>24</v>
      </c>
      <c r="P1372" s="8" t="s">
        <v>1800</v>
      </c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</row>
    <row r="1373" spans="1:51" x14ac:dyDescent="0.2">
      <c r="A1373" s="6" t="s">
        <v>17</v>
      </c>
      <c r="B1373" t="s">
        <v>44</v>
      </c>
      <c r="C1373" t="s">
        <v>45</v>
      </c>
      <c r="D1373" t="s">
        <v>831</v>
      </c>
      <c r="E1373" s="2">
        <v>61.64</v>
      </c>
      <c r="F1373" s="3">
        <f t="shared" si="77"/>
        <v>45481</v>
      </c>
      <c r="G1373" s="3">
        <f t="shared" si="77"/>
        <v>45481</v>
      </c>
      <c r="H1373">
        <v>981592992</v>
      </c>
      <c r="I1373" t="s">
        <v>51</v>
      </c>
      <c r="K1373" t="s">
        <v>21</v>
      </c>
      <c r="L1373" t="s">
        <v>22</v>
      </c>
      <c r="M1373" t="s">
        <v>23</v>
      </c>
      <c r="N1373" t="s">
        <v>23</v>
      </c>
      <c r="O1373" t="s">
        <v>24</v>
      </c>
      <c r="P1373" s="8" t="s">
        <v>1801</v>
      </c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</row>
    <row r="1374" spans="1:51" x14ac:dyDescent="0.2">
      <c r="A1374" s="6" t="s">
        <v>17</v>
      </c>
      <c r="B1374" t="s">
        <v>44</v>
      </c>
      <c r="C1374" t="s">
        <v>45</v>
      </c>
      <c r="D1374" t="s">
        <v>831</v>
      </c>
      <c r="E1374" s="2">
        <v>61.64</v>
      </c>
      <c r="F1374" s="3">
        <f t="shared" si="77"/>
        <v>45481</v>
      </c>
      <c r="G1374" s="3">
        <f t="shared" si="77"/>
        <v>45481</v>
      </c>
      <c r="H1374">
        <v>981592993</v>
      </c>
      <c r="I1374" t="s">
        <v>51</v>
      </c>
      <c r="K1374" t="s">
        <v>21</v>
      </c>
      <c r="L1374" t="s">
        <v>22</v>
      </c>
      <c r="M1374" t="s">
        <v>23</v>
      </c>
      <c r="N1374" t="s">
        <v>23</v>
      </c>
      <c r="O1374" t="s">
        <v>24</v>
      </c>
      <c r="P1374" s="8" t="s">
        <v>1802</v>
      </c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</row>
    <row r="1375" spans="1:51" x14ac:dyDescent="0.2">
      <c r="A1375" s="6" t="s">
        <v>17</v>
      </c>
      <c r="B1375" t="s">
        <v>110</v>
      </c>
      <c r="C1375" t="s">
        <v>111</v>
      </c>
      <c r="D1375" t="s">
        <v>1803</v>
      </c>
      <c r="E1375" s="2">
        <v>277.5</v>
      </c>
      <c r="F1375" s="3">
        <f t="shared" ref="F1375:G1380" si="78">DATE(2024,7,10)</f>
        <v>45483</v>
      </c>
      <c r="G1375" s="3">
        <f t="shared" si="78"/>
        <v>45483</v>
      </c>
      <c r="H1375">
        <v>981652566</v>
      </c>
      <c r="I1375" t="s">
        <v>113</v>
      </c>
      <c r="K1375" t="s">
        <v>21</v>
      </c>
      <c r="L1375" t="s">
        <v>22</v>
      </c>
      <c r="M1375" t="s">
        <v>23</v>
      </c>
      <c r="N1375" t="s">
        <v>23</v>
      </c>
      <c r="O1375" t="s">
        <v>24</v>
      </c>
      <c r="P1375" s="8" t="s">
        <v>1804</v>
      </c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</row>
    <row r="1376" spans="1:51" x14ac:dyDescent="0.2">
      <c r="A1376" s="6" t="s">
        <v>17</v>
      </c>
      <c r="B1376" t="s">
        <v>110</v>
      </c>
      <c r="C1376" t="s">
        <v>111</v>
      </c>
      <c r="D1376" t="s">
        <v>1805</v>
      </c>
      <c r="E1376" s="2">
        <v>1.1299999999999999</v>
      </c>
      <c r="F1376" s="3">
        <f t="shared" si="78"/>
        <v>45483</v>
      </c>
      <c r="G1376" s="3">
        <f t="shared" si="78"/>
        <v>45483</v>
      </c>
      <c r="H1376">
        <v>985566687</v>
      </c>
      <c r="I1376" t="s">
        <v>73</v>
      </c>
      <c r="K1376" t="s">
        <v>21</v>
      </c>
      <c r="L1376" t="s">
        <v>22</v>
      </c>
      <c r="M1376" t="s">
        <v>23</v>
      </c>
      <c r="N1376" t="s">
        <v>23</v>
      </c>
      <c r="O1376" t="s">
        <v>24</v>
      </c>
      <c r="P1376" s="8" t="s">
        <v>1806</v>
      </c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</row>
    <row r="1377" spans="1:51" hidden="1" x14ac:dyDescent="0.2">
      <c r="A1377" s="6"/>
      <c r="E1377" s="2"/>
      <c r="F1377" s="3"/>
      <c r="G1377" s="3"/>
      <c r="P1377" s="8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</row>
    <row r="1378" spans="1:51" hidden="1" x14ac:dyDescent="0.2">
      <c r="A1378" s="6"/>
      <c r="E1378" s="2"/>
      <c r="F1378" s="3"/>
      <c r="G1378" s="3"/>
      <c r="P1378" s="8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</row>
    <row r="1379" spans="1:51" x14ac:dyDescent="0.2">
      <c r="A1379" s="6" t="s">
        <v>17</v>
      </c>
      <c r="B1379" t="s">
        <v>18</v>
      </c>
      <c r="C1379" t="s">
        <v>18</v>
      </c>
      <c r="D1379" t="s">
        <v>1807</v>
      </c>
      <c r="E1379" s="2">
        <v>30.23</v>
      </c>
      <c r="F1379" s="3">
        <f t="shared" si="78"/>
        <v>45483</v>
      </c>
      <c r="G1379" s="3">
        <f t="shared" si="78"/>
        <v>45483</v>
      </c>
      <c r="H1379">
        <v>985566690</v>
      </c>
      <c r="I1379" t="s">
        <v>73</v>
      </c>
      <c r="K1379" t="s">
        <v>21</v>
      </c>
      <c r="L1379" t="s">
        <v>22</v>
      </c>
      <c r="M1379" t="s">
        <v>23</v>
      </c>
      <c r="N1379" t="s">
        <v>23</v>
      </c>
      <c r="O1379" t="s">
        <v>24</v>
      </c>
      <c r="P1379" s="8" t="s">
        <v>1808</v>
      </c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</row>
    <row r="1380" spans="1:51" hidden="1" x14ac:dyDescent="0.2">
      <c r="A1380" s="6"/>
      <c r="E1380" s="2"/>
      <c r="F1380" s="3"/>
      <c r="G1380" s="3"/>
      <c r="P1380" s="8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</row>
    <row r="1381" spans="1:51" hidden="1" x14ac:dyDescent="0.2">
      <c r="A1381" s="6"/>
      <c r="E1381" s="2"/>
      <c r="F1381" s="3"/>
      <c r="G1381" s="3"/>
      <c r="P1381" s="8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</row>
    <row r="1382" spans="1:51" x14ac:dyDescent="0.2">
      <c r="A1382" s="6" t="s">
        <v>17</v>
      </c>
      <c r="B1382" t="s">
        <v>251</v>
      </c>
      <c r="C1382" t="s">
        <v>252</v>
      </c>
      <c r="D1382" t="s">
        <v>1809</v>
      </c>
      <c r="E1382" s="2">
        <v>2332</v>
      </c>
      <c r="F1382" s="3">
        <f t="shared" ref="F1382:G1385" si="79">DATE(2024,7,10)</f>
        <v>45483</v>
      </c>
      <c r="G1382" s="3">
        <f t="shared" si="79"/>
        <v>45483</v>
      </c>
      <c r="H1382">
        <v>985568160</v>
      </c>
      <c r="I1382" t="s">
        <v>20</v>
      </c>
      <c r="K1382" t="s">
        <v>21</v>
      </c>
      <c r="L1382" t="s">
        <v>22</v>
      </c>
      <c r="M1382" t="s">
        <v>23</v>
      </c>
      <c r="N1382" t="s">
        <v>23</v>
      </c>
      <c r="O1382" t="s">
        <v>24</v>
      </c>
      <c r="P1382" s="8" t="s">
        <v>1810</v>
      </c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</row>
    <row r="1383" spans="1:51" x14ac:dyDescent="0.2">
      <c r="A1383" s="6" t="s">
        <v>17</v>
      </c>
      <c r="B1383" t="s">
        <v>115</v>
      </c>
      <c r="C1383" t="s">
        <v>116</v>
      </c>
      <c r="D1383" t="s">
        <v>1811</v>
      </c>
      <c r="E1383" s="2">
        <v>199.15</v>
      </c>
      <c r="F1383" s="3">
        <f t="shared" si="79"/>
        <v>45483</v>
      </c>
      <c r="G1383" s="3">
        <f t="shared" si="79"/>
        <v>45483</v>
      </c>
      <c r="H1383">
        <v>985568161</v>
      </c>
      <c r="I1383" t="s">
        <v>20</v>
      </c>
      <c r="K1383" t="s">
        <v>21</v>
      </c>
      <c r="L1383" t="s">
        <v>22</v>
      </c>
      <c r="M1383" t="s">
        <v>23</v>
      </c>
      <c r="N1383" t="s">
        <v>23</v>
      </c>
      <c r="O1383" t="s">
        <v>24</v>
      </c>
      <c r="P1383" s="8" t="s">
        <v>1812</v>
      </c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</row>
    <row r="1384" spans="1:51" x14ac:dyDescent="0.2">
      <c r="A1384" s="6" t="s">
        <v>17</v>
      </c>
      <c r="B1384" t="s">
        <v>137</v>
      </c>
      <c r="C1384" t="s">
        <v>138</v>
      </c>
      <c r="D1384" t="s">
        <v>1813</v>
      </c>
      <c r="E1384" s="2">
        <v>1067</v>
      </c>
      <c r="F1384" s="3">
        <f t="shared" si="79"/>
        <v>45483</v>
      </c>
      <c r="G1384" s="3">
        <f t="shared" si="79"/>
        <v>45483</v>
      </c>
      <c r="H1384">
        <v>985568162</v>
      </c>
      <c r="I1384" t="s">
        <v>20</v>
      </c>
      <c r="K1384" t="s">
        <v>21</v>
      </c>
      <c r="L1384" t="s">
        <v>22</v>
      </c>
      <c r="M1384" t="s">
        <v>23</v>
      </c>
      <c r="N1384" t="s">
        <v>23</v>
      </c>
      <c r="O1384" t="s">
        <v>24</v>
      </c>
      <c r="P1384" s="8" t="s">
        <v>1814</v>
      </c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</row>
    <row r="1385" spans="1:51" hidden="1" x14ac:dyDescent="0.2">
      <c r="A1385" s="6"/>
      <c r="E1385" s="2"/>
      <c r="F1385" s="3"/>
      <c r="G1385" s="3"/>
      <c r="P1385" s="8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</row>
    <row r="1386" spans="1:51" x14ac:dyDescent="0.2">
      <c r="A1386" s="6" t="s">
        <v>17</v>
      </c>
      <c r="B1386" t="s">
        <v>26</v>
      </c>
      <c r="C1386" t="s">
        <v>27</v>
      </c>
      <c r="D1386" t="s">
        <v>1815</v>
      </c>
      <c r="E1386" s="2">
        <v>30</v>
      </c>
      <c r="F1386" s="3">
        <f>DATE(2024,7,11)</f>
        <v>45484</v>
      </c>
      <c r="G1386" s="3">
        <f>DATE(2024,7,11)</f>
        <v>45484</v>
      </c>
      <c r="H1386">
        <v>985568164</v>
      </c>
      <c r="I1386" t="s">
        <v>20</v>
      </c>
      <c r="K1386" t="s">
        <v>21</v>
      </c>
      <c r="L1386" t="s">
        <v>22</v>
      </c>
      <c r="M1386" t="s">
        <v>23</v>
      </c>
      <c r="N1386" t="s">
        <v>23</v>
      </c>
      <c r="O1386" t="s">
        <v>24</v>
      </c>
      <c r="P1386" s="8" t="s">
        <v>1816</v>
      </c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</row>
    <row r="1387" spans="1:51" x14ac:dyDescent="0.2">
      <c r="A1387" s="6" t="s">
        <v>17</v>
      </c>
      <c r="B1387" t="s">
        <v>44</v>
      </c>
      <c r="C1387" t="s">
        <v>45</v>
      </c>
      <c r="D1387" t="s">
        <v>1817</v>
      </c>
      <c r="E1387" s="2">
        <v>80</v>
      </c>
      <c r="F1387" s="3">
        <f>DATE(2024,7,10)</f>
        <v>45483</v>
      </c>
      <c r="G1387" s="3">
        <f>DATE(2024,7,10)</f>
        <v>45483</v>
      </c>
      <c r="H1387">
        <v>985568165</v>
      </c>
      <c r="I1387" t="s">
        <v>20</v>
      </c>
      <c r="K1387" t="s">
        <v>21</v>
      </c>
      <c r="L1387" t="s">
        <v>22</v>
      </c>
      <c r="M1387" t="s">
        <v>23</v>
      </c>
      <c r="N1387" t="s">
        <v>23</v>
      </c>
      <c r="O1387" t="s">
        <v>24</v>
      </c>
      <c r="P1387" s="8" t="s">
        <v>1818</v>
      </c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</row>
    <row r="1388" spans="1:51" hidden="1" x14ac:dyDescent="0.2">
      <c r="A1388" s="6"/>
      <c r="E1388" s="2"/>
      <c r="F1388" s="3"/>
      <c r="G1388" s="3"/>
      <c r="P1388" s="8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</row>
    <row r="1389" spans="1:51" hidden="1" x14ac:dyDescent="0.2">
      <c r="A1389" s="6"/>
      <c r="E1389" s="2"/>
      <c r="F1389" s="3"/>
      <c r="G1389" s="3"/>
      <c r="P1389" s="8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</row>
    <row r="1390" spans="1:51" x14ac:dyDescent="0.2">
      <c r="A1390" s="6" t="s">
        <v>17</v>
      </c>
      <c r="B1390" t="s">
        <v>312</v>
      </c>
      <c r="C1390" t="s">
        <v>313</v>
      </c>
      <c r="D1390" t="s">
        <v>1819</v>
      </c>
      <c r="E1390" s="2">
        <v>394.74</v>
      </c>
      <c r="F1390" s="3">
        <f t="shared" ref="F1389:G1408" si="80">DATE(2024,7,10)</f>
        <v>45483</v>
      </c>
      <c r="G1390" s="3">
        <f t="shared" si="80"/>
        <v>45483</v>
      </c>
      <c r="H1390">
        <v>985568168</v>
      </c>
      <c r="I1390" t="s">
        <v>20</v>
      </c>
      <c r="K1390" t="s">
        <v>21</v>
      </c>
      <c r="L1390" t="s">
        <v>22</v>
      </c>
      <c r="M1390" t="s">
        <v>23</v>
      </c>
      <c r="N1390" t="s">
        <v>23</v>
      </c>
      <c r="O1390" t="s">
        <v>24</v>
      </c>
      <c r="P1390" s="8" t="s">
        <v>1820</v>
      </c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</row>
    <row r="1391" spans="1:51" hidden="1" x14ac:dyDescent="0.2">
      <c r="A1391" s="6"/>
      <c r="E1391" s="2"/>
      <c r="F1391" s="3"/>
      <c r="G1391" s="3"/>
      <c r="P1391" s="8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</row>
    <row r="1392" spans="1:51" x14ac:dyDescent="0.2">
      <c r="A1392" s="6" t="s">
        <v>17</v>
      </c>
      <c r="B1392" t="s">
        <v>611</v>
      </c>
      <c r="C1392" t="s">
        <v>612</v>
      </c>
      <c r="D1392" t="s">
        <v>1821</v>
      </c>
      <c r="E1392" s="2">
        <v>890.64</v>
      </c>
      <c r="F1392" s="3">
        <f t="shared" si="80"/>
        <v>45483</v>
      </c>
      <c r="G1392" s="3">
        <f t="shared" si="80"/>
        <v>45483</v>
      </c>
      <c r="H1392">
        <v>985568170</v>
      </c>
      <c r="I1392" t="s">
        <v>20</v>
      </c>
      <c r="K1392" t="s">
        <v>21</v>
      </c>
      <c r="L1392" t="s">
        <v>22</v>
      </c>
      <c r="M1392" t="s">
        <v>23</v>
      </c>
      <c r="N1392" t="s">
        <v>23</v>
      </c>
      <c r="O1392" t="s">
        <v>24</v>
      </c>
      <c r="P1392" s="8" t="s">
        <v>1822</v>
      </c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</row>
    <row r="1393" spans="1:51" x14ac:dyDescent="0.2">
      <c r="A1393" s="6" t="s">
        <v>17</v>
      </c>
      <c r="B1393" t="s">
        <v>65</v>
      </c>
      <c r="C1393" t="s">
        <v>66</v>
      </c>
      <c r="D1393" t="s">
        <v>1823</v>
      </c>
      <c r="E1393" s="2">
        <v>564.84</v>
      </c>
      <c r="F1393" s="3">
        <f t="shared" si="80"/>
        <v>45483</v>
      </c>
      <c r="G1393" s="3">
        <f t="shared" si="80"/>
        <v>45483</v>
      </c>
      <c r="H1393">
        <v>985568171</v>
      </c>
      <c r="I1393" t="s">
        <v>20</v>
      </c>
      <c r="K1393" t="s">
        <v>21</v>
      </c>
      <c r="L1393" t="s">
        <v>22</v>
      </c>
      <c r="M1393" t="s">
        <v>23</v>
      </c>
      <c r="N1393" t="s">
        <v>23</v>
      </c>
      <c r="O1393" t="s">
        <v>24</v>
      </c>
      <c r="P1393" s="8" t="s">
        <v>1824</v>
      </c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</row>
    <row r="1394" spans="1:51" hidden="1" x14ac:dyDescent="0.2">
      <c r="A1394" s="6"/>
      <c r="E1394" s="2"/>
      <c r="F1394" s="3"/>
      <c r="G1394" s="3"/>
      <c r="P1394" s="8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</row>
    <row r="1395" spans="1:51" x14ac:dyDescent="0.2">
      <c r="A1395" s="6" t="s">
        <v>17</v>
      </c>
      <c r="B1395" t="s">
        <v>611</v>
      </c>
      <c r="C1395" t="s">
        <v>612</v>
      </c>
      <c r="D1395" t="s">
        <v>1825</v>
      </c>
      <c r="E1395" s="2">
        <v>729.59</v>
      </c>
      <c r="F1395" s="3">
        <f t="shared" si="80"/>
        <v>45483</v>
      </c>
      <c r="G1395" s="3">
        <f t="shared" si="80"/>
        <v>45483</v>
      </c>
      <c r="H1395">
        <v>985568173</v>
      </c>
      <c r="I1395" t="s">
        <v>20</v>
      </c>
      <c r="K1395" t="s">
        <v>21</v>
      </c>
      <c r="L1395" t="s">
        <v>22</v>
      </c>
      <c r="M1395" t="s">
        <v>23</v>
      </c>
      <c r="N1395" t="s">
        <v>23</v>
      </c>
      <c r="O1395" t="s">
        <v>24</v>
      </c>
      <c r="P1395" s="8" t="s">
        <v>1826</v>
      </c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</row>
    <row r="1396" spans="1:51" x14ac:dyDescent="0.2">
      <c r="A1396" s="6" t="s">
        <v>17</v>
      </c>
      <c r="B1396" t="s">
        <v>1046</v>
      </c>
      <c r="C1396" t="s">
        <v>1047</v>
      </c>
      <c r="D1396" t="s">
        <v>1827</v>
      </c>
      <c r="E1396" s="2">
        <v>1686.24</v>
      </c>
      <c r="F1396" s="3">
        <f t="shared" si="80"/>
        <v>45483</v>
      </c>
      <c r="G1396" s="3">
        <f t="shared" si="80"/>
        <v>45483</v>
      </c>
      <c r="H1396">
        <v>985568174</v>
      </c>
      <c r="I1396" t="s">
        <v>20</v>
      </c>
      <c r="K1396" t="s">
        <v>21</v>
      </c>
      <c r="L1396" t="s">
        <v>22</v>
      </c>
      <c r="M1396" t="s">
        <v>23</v>
      </c>
      <c r="N1396" t="s">
        <v>23</v>
      </c>
      <c r="O1396" t="s">
        <v>24</v>
      </c>
      <c r="P1396" s="8" t="s">
        <v>1828</v>
      </c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</row>
    <row r="1397" spans="1:51" x14ac:dyDescent="0.2">
      <c r="A1397" s="6" t="s">
        <v>17</v>
      </c>
      <c r="B1397" t="s">
        <v>179</v>
      </c>
      <c r="C1397" t="s">
        <v>180</v>
      </c>
      <c r="D1397" t="s">
        <v>1829</v>
      </c>
      <c r="E1397" s="2">
        <v>698.01</v>
      </c>
      <c r="F1397" s="3">
        <f t="shared" si="80"/>
        <v>45483</v>
      </c>
      <c r="G1397" s="3">
        <f t="shared" si="80"/>
        <v>45483</v>
      </c>
      <c r="H1397">
        <v>985568175</v>
      </c>
      <c r="I1397" t="s">
        <v>20</v>
      </c>
      <c r="K1397" t="s">
        <v>21</v>
      </c>
      <c r="L1397" t="s">
        <v>22</v>
      </c>
      <c r="M1397" t="s">
        <v>23</v>
      </c>
      <c r="N1397" t="s">
        <v>23</v>
      </c>
      <c r="O1397" t="s">
        <v>24</v>
      </c>
      <c r="P1397" s="8" t="s">
        <v>1830</v>
      </c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</row>
    <row r="1398" spans="1:51" hidden="1" x14ac:dyDescent="0.2">
      <c r="A1398" s="6"/>
      <c r="E1398" s="2"/>
      <c r="F1398" s="3"/>
      <c r="G1398" s="3"/>
      <c r="P1398" s="8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</row>
    <row r="1399" spans="1:51" x14ac:dyDescent="0.2">
      <c r="A1399" s="6" t="s">
        <v>17</v>
      </c>
      <c r="B1399" t="s">
        <v>363</v>
      </c>
      <c r="C1399" t="s">
        <v>364</v>
      </c>
      <c r="D1399" t="s">
        <v>1831</v>
      </c>
      <c r="E1399" s="2">
        <v>967.5</v>
      </c>
      <c r="F1399" s="3">
        <f t="shared" si="80"/>
        <v>45483</v>
      </c>
      <c r="G1399" s="3">
        <f t="shared" si="80"/>
        <v>45483</v>
      </c>
      <c r="H1399">
        <v>985568177</v>
      </c>
      <c r="I1399" t="s">
        <v>20</v>
      </c>
      <c r="K1399" t="s">
        <v>21</v>
      </c>
      <c r="L1399" t="s">
        <v>22</v>
      </c>
      <c r="M1399" t="s">
        <v>23</v>
      </c>
      <c r="N1399" t="s">
        <v>23</v>
      </c>
      <c r="O1399" t="s">
        <v>24</v>
      </c>
      <c r="P1399" s="8" t="s">
        <v>1832</v>
      </c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</row>
    <row r="1400" spans="1:51" x14ac:dyDescent="0.2">
      <c r="A1400" s="6" t="s">
        <v>17</v>
      </c>
      <c r="B1400" t="s">
        <v>674</v>
      </c>
      <c r="C1400" t="s">
        <v>675</v>
      </c>
      <c r="D1400" t="s">
        <v>1833</v>
      </c>
      <c r="E1400" s="2">
        <v>3749.17</v>
      </c>
      <c r="F1400" s="3">
        <f t="shared" si="80"/>
        <v>45483</v>
      </c>
      <c r="G1400" s="3">
        <f t="shared" si="80"/>
        <v>45483</v>
      </c>
      <c r="H1400">
        <v>985568178</v>
      </c>
      <c r="I1400" t="s">
        <v>20</v>
      </c>
      <c r="K1400" t="s">
        <v>21</v>
      </c>
      <c r="L1400" t="s">
        <v>22</v>
      </c>
      <c r="M1400" t="s">
        <v>23</v>
      </c>
      <c r="N1400" t="s">
        <v>23</v>
      </c>
      <c r="O1400" t="s">
        <v>24</v>
      </c>
      <c r="P1400" s="8" t="s">
        <v>1834</v>
      </c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</row>
    <row r="1401" spans="1:51" hidden="1" x14ac:dyDescent="0.2">
      <c r="A1401" s="6"/>
      <c r="E1401" s="2"/>
      <c r="F1401" s="3"/>
      <c r="G1401" s="3"/>
      <c r="P1401" s="8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</row>
    <row r="1402" spans="1:51" x14ac:dyDescent="0.2">
      <c r="A1402" s="6" t="s">
        <v>17</v>
      </c>
      <c r="B1402" t="s">
        <v>887</v>
      </c>
      <c r="C1402" t="s">
        <v>888</v>
      </c>
      <c r="D1402" t="s">
        <v>1835</v>
      </c>
      <c r="E1402" s="2">
        <v>2138.88</v>
      </c>
      <c r="F1402" s="3">
        <f t="shared" si="80"/>
        <v>45483</v>
      </c>
      <c r="G1402" s="3">
        <f t="shared" si="80"/>
        <v>45483</v>
      </c>
      <c r="H1402">
        <v>985568180</v>
      </c>
      <c r="I1402" t="s">
        <v>20</v>
      </c>
      <c r="K1402" t="s">
        <v>21</v>
      </c>
      <c r="L1402" t="s">
        <v>22</v>
      </c>
      <c r="M1402" t="s">
        <v>23</v>
      </c>
      <c r="N1402" t="s">
        <v>23</v>
      </c>
      <c r="O1402" t="s">
        <v>24</v>
      </c>
      <c r="P1402" s="8" t="s">
        <v>1836</v>
      </c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</row>
    <row r="1403" spans="1:51" x14ac:dyDescent="0.2">
      <c r="A1403" s="6" t="s">
        <v>17</v>
      </c>
      <c r="B1403" t="s">
        <v>61</v>
      </c>
      <c r="C1403" t="s">
        <v>62</v>
      </c>
      <c r="D1403" t="s">
        <v>1837</v>
      </c>
      <c r="E1403" s="2">
        <v>324</v>
      </c>
      <c r="F1403" s="3">
        <f t="shared" si="80"/>
        <v>45483</v>
      </c>
      <c r="G1403" s="3">
        <f t="shared" si="80"/>
        <v>45483</v>
      </c>
      <c r="H1403">
        <v>985568181</v>
      </c>
      <c r="I1403" t="s">
        <v>20</v>
      </c>
      <c r="K1403" t="s">
        <v>21</v>
      </c>
      <c r="L1403" t="s">
        <v>22</v>
      </c>
      <c r="M1403" t="s">
        <v>23</v>
      </c>
      <c r="N1403" t="s">
        <v>23</v>
      </c>
      <c r="O1403" t="s">
        <v>24</v>
      </c>
      <c r="P1403" s="8" t="s">
        <v>1838</v>
      </c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</row>
    <row r="1404" spans="1:51" x14ac:dyDescent="0.2">
      <c r="A1404" s="6" t="s">
        <v>17</v>
      </c>
      <c r="B1404" t="s">
        <v>137</v>
      </c>
      <c r="C1404" t="s">
        <v>138</v>
      </c>
      <c r="D1404" t="s">
        <v>1839</v>
      </c>
      <c r="E1404" s="2">
        <v>118.8</v>
      </c>
      <c r="F1404" s="3">
        <f t="shared" si="80"/>
        <v>45483</v>
      </c>
      <c r="G1404" s="3">
        <f t="shared" si="80"/>
        <v>45483</v>
      </c>
      <c r="H1404">
        <v>985568182</v>
      </c>
      <c r="I1404" t="s">
        <v>20</v>
      </c>
      <c r="K1404" t="s">
        <v>21</v>
      </c>
      <c r="L1404" t="s">
        <v>22</v>
      </c>
      <c r="M1404" t="s">
        <v>23</v>
      </c>
      <c r="N1404" t="s">
        <v>23</v>
      </c>
      <c r="O1404" t="s">
        <v>24</v>
      </c>
      <c r="P1404" s="8" t="s">
        <v>1840</v>
      </c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</row>
    <row r="1405" spans="1:51" x14ac:dyDescent="0.2">
      <c r="A1405" s="6" t="s">
        <v>17</v>
      </c>
      <c r="B1405" t="s">
        <v>110</v>
      </c>
      <c r="C1405" t="s">
        <v>111</v>
      </c>
      <c r="D1405" t="s">
        <v>1841</v>
      </c>
      <c r="E1405" s="2">
        <v>245.52</v>
      </c>
      <c r="F1405" s="3">
        <f t="shared" si="80"/>
        <v>45483</v>
      </c>
      <c r="G1405" s="3">
        <f t="shared" si="80"/>
        <v>45483</v>
      </c>
      <c r="H1405">
        <v>985568183</v>
      </c>
      <c r="I1405" t="s">
        <v>20</v>
      </c>
      <c r="K1405" t="s">
        <v>21</v>
      </c>
      <c r="L1405" t="s">
        <v>22</v>
      </c>
      <c r="M1405" t="s">
        <v>23</v>
      </c>
      <c r="N1405" t="s">
        <v>23</v>
      </c>
      <c r="O1405" t="s">
        <v>24</v>
      </c>
      <c r="P1405" s="8" t="s">
        <v>1842</v>
      </c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</row>
    <row r="1406" spans="1:51" x14ac:dyDescent="0.2">
      <c r="A1406" s="6" t="s">
        <v>17</v>
      </c>
      <c r="B1406" t="s">
        <v>65</v>
      </c>
      <c r="C1406" t="s">
        <v>66</v>
      </c>
      <c r="D1406" t="s">
        <v>1843</v>
      </c>
      <c r="E1406" s="2">
        <v>148.80000000000001</v>
      </c>
      <c r="F1406" s="3">
        <f t="shared" si="80"/>
        <v>45483</v>
      </c>
      <c r="G1406" s="3">
        <f t="shared" si="80"/>
        <v>45483</v>
      </c>
      <c r="H1406">
        <v>985568184</v>
      </c>
      <c r="I1406" t="s">
        <v>20</v>
      </c>
      <c r="K1406" t="s">
        <v>21</v>
      </c>
      <c r="L1406" t="s">
        <v>22</v>
      </c>
      <c r="M1406" t="s">
        <v>23</v>
      </c>
      <c r="N1406" t="s">
        <v>23</v>
      </c>
      <c r="O1406" t="s">
        <v>24</v>
      </c>
      <c r="P1406" s="8" t="s">
        <v>1844</v>
      </c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</row>
    <row r="1407" spans="1:51" x14ac:dyDescent="0.2">
      <c r="A1407" s="6" t="s">
        <v>17</v>
      </c>
      <c r="B1407" t="s">
        <v>137</v>
      </c>
      <c r="C1407" t="s">
        <v>138</v>
      </c>
      <c r="D1407" t="s">
        <v>1845</v>
      </c>
      <c r="E1407" s="2">
        <v>180</v>
      </c>
      <c r="F1407" s="3">
        <f t="shared" si="80"/>
        <v>45483</v>
      </c>
      <c r="G1407" s="3">
        <f t="shared" si="80"/>
        <v>45483</v>
      </c>
      <c r="H1407">
        <v>985568185</v>
      </c>
      <c r="I1407" t="s">
        <v>20</v>
      </c>
      <c r="K1407" t="s">
        <v>21</v>
      </c>
      <c r="L1407" t="s">
        <v>22</v>
      </c>
      <c r="M1407" t="s">
        <v>23</v>
      </c>
      <c r="N1407" t="s">
        <v>23</v>
      </c>
      <c r="O1407" t="s">
        <v>24</v>
      </c>
      <c r="P1407" s="8" t="s">
        <v>1846</v>
      </c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</row>
    <row r="1408" spans="1:51" x14ac:dyDescent="0.2">
      <c r="A1408" s="6" t="s">
        <v>17</v>
      </c>
      <c r="B1408" t="s">
        <v>670</v>
      </c>
      <c r="C1408" t="s">
        <v>671</v>
      </c>
      <c r="D1408" t="s">
        <v>1847</v>
      </c>
      <c r="E1408" s="2">
        <v>2209</v>
      </c>
      <c r="F1408" s="3">
        <f t="shared" si="80"/>
        <v>45483</v>
      </c>
      <c r="G1408" s="3">
        <f t="shared" si="80"/>
        <v>45483</v>
      </c>
      <c r="H1408">
        <v>985613087</v>
      </c>
      <c r="I1408" t="s">
        <v>113</v>
      </c>
      <c r="K1408" t="s">
        <v>21</v>
      </c>
      <c r="L1408" t="s">
        <v>22</v>
      </c>
      <c r="M1408" t="s">
        <v>23</v>
      </c>
      <c r="N1408" t="s">
        <v>23</v>
      </c>
      <c r="O1408" t="s">
        <v>24</v>
      </c>
      <c r="P1408" s="8" t="s">
        <v>1848</v>
      </c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</row>
    <row r="1409" spans="1:51" x14ac:dyDescent="0.2">
      <c r="A1409" s="6" t="s">
        <v>17</v>
      </c>
      <c r="B1409" t="s">
        <v>104</v>
      </c>
      <c r="C1409" t="s">
        <v>105</v>
      </c>
      <c r="D1409" t="s">
        <v>1849</v>
      </c>
      <c r="E1409" s="2">
        <v>535.44000000000005</v>
      </c>
      <c r="F1409" s="3">
        <f t="shared" ref="F1409:G1412" si="81">DATE(2024,7,11)</f>
        <v>45484</v>
      </c>
      <c r="G1409" s="3">
        <f t="shared" si="81"/>
        <v>45484</v>
      </c>
      <c r="H1409">
        <v>989397716</v>
      </c>
      <c r="I1409" t="s">
        <v>20</v>
      </c>
      <c r="K1409" t="s">
        <v>21</v>
      </c>
      <c r="L1409" t="s">
        <v>22</v>
      </c>
      <c r="M1409" t="s">
        <v>23</v>
      </c>
      <c r="N1409" t="s">
        <v>23</v>
      </c>
      <c r="O1409" t="s">
        <v>24</v>
      </c>
      <c r="P1409" s="8" t="s">
        <v>1850</v>
      </c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</row>
    <row r="1410" spans="1:51" hidden="1" x14ac:dyDescent="0.2">
      <c r="A1410" s="6"/>
      <c r="E1410" s="2"/>
      <c r="F1410" s="3"/>
      <c r="G1410" s="3"/>
      <c r="P1410" s="8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</row>
    <row r="1411" spans="1:51" x14ac:dyDescent="0.2">
      <c r="A1411" s="6" t="s">
        <v>17</v>
      </c>
      <c r="B1411" t="s">
        <v>34</v>
      </c>
      <c r="C1411" t="s">
        <v>35</v>
      </c>
      <c r="D1411" t="s">
        <v>1851</v>
      </c>
      <c r="E1411" s="2">
        <v>143.30000000000001</v>
      </c>
      <c r="F1411" s="3">
        <f t="shared" si="81"/>
        <v>45484</v>
      </c>
      <c r="G1411" s="3">
        <f t="shared" si="81"/>
        <v>45484</v>
      </c>
      <c r="H1411">
        <v>989397718</v>
      </c>
      <c r="I1411" t="s">
        <v>20</v>
      </c>
      <c r="K1411" t="s">
        <v>21</v>
      </c>
      <c r="L1411" t="s">
        <v>22</v>
      </c>
      <c r="M1411" t="s">
        <v>23</v>
      </c>
      <c r="N1411" t="s">
        <v>23</v>
      </c>
      <c r="O1411" t="s">
        <v>24</v>
      </c>
      <c r="P1411" s="8" t="s">
        <v>1852</v>
      </c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</row>
    <row r="1412" spans="1:51" hidden="1" x14ac:dyDescent="0.2">
      <c r="A1412" s="6"/>
      <c r="E1412" s="2"/>
      <c r="F1412" s="3"/>
      <c r="G1412" s="3"/>
      <c r="P1412" s="8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</row>
    <row r="1413" spans="1:51" x14ac:dyDescent="0.2">
      <c r="A1413" s="6" t="s">
        <v>17</v>
      </c>
      <c r="B1413" t="s">
        <v>18</v>
      </c>
      <c r="C1413" t="s">
        <v>18</v>
      </c>
      <c r="D1413" t="s">
        <v>161</v>
      </c>
      <c r="E1413" s="2">
        <v>4.18</v>
      </c>
      <c r="F1413" s="3">
        <f>DATE(2024,7,1)</f>
        <v>45474</v>
      </c>
      <c r="G1413" s="3">
        <f>DATE(2024,7,1)</f>
        <v>45474</v>
      </c>
      <c r="H1413">
        <v>989458868</v>
      </c>
      <c r="I1413" t="s">
        <v>113</v>
      </c>
      <c r="K1413" t="s">
        <v>21</v>
      </c>
      <c r="L1413" t="s">
        <v>22</v>
      </c>
      <c r="M1413" t="s">
        <v>23</v>
      </c>
      <c r="N1413" t="s">
        <v>23</v>
      </c>
      <c r="O1413" t="s">
        <v>24</v>
      </c>
      <c r="P1413" s="8" t="s">
        <v>1853</v>
      </c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</row>
    <row r="1414" spans="1:51" hidden="1" x14ac:dyDescent="0.2">
      <c r="A1414" s="6"/>
      <c r="E1414" s="2"/>
      <c r="F1414" s="3"/>
      <c r="G1414" s="3"/>
      <c r="P1414" s="8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</row>
    <row r="1415" spans="1:51" hidden="1" x14ac:dyDescent="0.2">
      <c r="A1415" s="6"/>
      <c r="E1415" s="2"/>
      <c r="F1415" s="3"/>
      <c r="G1415" s="3"/>
      <c r="P1415" s="8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</row>
    <row r="1416" spans="1:51" hidden="1" x14ac:dyDescent="0.2">
      <c r="A1416" s="6"/>
      <c r="E1416" s="2"/>
      <c r="F1416" s="3"/>
      <c r="G1416" s="3"/>
      <c r="P1416" s="8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</row>
    <row r="1417" spans="1:51" hidden="1" x14ac:dyDescent="0.2">
      <c r="A1417" s="6"/>
      <c r="E1417" s="2"/>
      <c r="F1417" s="3"/>
      <c r="G1417" s="3"/>
      <c r="P1417" s="8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</row>
    <row r="1418" spans="1:51" x14ac:dyDescent="0.2">
      <c r="A1418" s="6" t="s">
        <v>17</v>
      </c>
      <c r="B1418" t="s">
        <v>110</v>
      </c>
      <c r="C1418" t="s">
        <v>111</v>
      </c>
      <c r="D1418" t="s">
        <v>1854</v>
      </c>
      <c r="E1418" s="2">
        <v>5.67</v>
      </c>
      <c r="F1418" s="3">
        <f>DATE(2024,7,11)</f>
        <v>45484</v>
      </c>
      <c r="G1418" s="3">
        <f>DATE(2024,7,11)</f>
        <v>45484</v>
      </c>
      <c r="H1418">
        <v>991561618</v>
      </c>
      <c r="I1418" t="s">
        <v>73</v>
      </c>
      <c r="K1418" t="s">
        <v>21</v>
      </c>
      <c r="L1418" t="s">
        <v>22</v>
      </c>
      <c r="M1418" t="s">
        <v>23</v>
      </c>
      <c r="N1418" t="s">
        <v>23</v>
      </c>
      <c r="O1418" t="s">
        <v>24</v>
      </c>
      <c r="P1418" s="8" t="s">
        <v>1855</v>
      </c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</row>
    <row r="1419" spans="1:51" hidden="1" x14ac:dyDescent="0.2">
      <c r="A1419" s="6"/>
      <c r="E1419" s="2"/>
      <c r="F1419" s="3"/>
      <c r="G1419" s="3"/>
      <c r="P1419" s="8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</row>
    <row r="1420" spans="1:51" hidden="1" x14ac:dyDescent="0.2">
      <c r="A1420" s="6"/>
      <c r="E1420" s="2"/>
      <c r="F1420" s="3"/>
      <c r="G1420" s="3"/>
      <c r="P1420" s="8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</row>
    <row r="1421" spans="1:51" x14ac:dyDescent="0.2">
      <c r="A1421" s="6" t="s">
        <v>17</v>
      </c>
      <c r="B1421" t="s">
        <v>110</v>
      </c>
      <c r="C1421" t="s">
        <v>111</v>
      </c>
      <c r="D1421" t="s">
        <v>1856</v>
      </c>
      <c r="E1421" s="2">
        <v>8.7899999999999991</v>
      </c>
      <c r="F1421" s="3">
        <f t="shared" ref="F1421:G1424" si="82">DATE(2024,7,12)</f>
        <v>45485</v>
      </c>
      <c r="G1421" s="3">
        <f t="shared" si="82"/>
        <v>45485</v>
      </c>
      <c r="H1421">
        <v>991561621</v>
      </c>
      <c r="I1421" t="s">
        <v>73</v>
      </c>
      <c r="K1421" t="s">
        <v>21</v>
      </c>
      <c r="L1421" t="s">
        <v>22</v>
      </c>
      <c r="M1421" t="s">
        <v>23</v>
      </c>
      <c r="N1421" t="s">
        <v>23</v>
      </c>
      <c r="O1421" t="s">
        <v>24</v>
      </c>
      <c r="P1421" s="8" t="s">
        <v>1857</v>
      </c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</row>
    <row r="1422" spans="1:51" x14ac:dyDescent="0.2">
      <c r="A1422" s="6" t="s">
        <v>17</v>
      </c>
      <c r="B1422" t="s">
        <v>191</v>
      </c>
      <c r="C1422" t="s">
        <v>192</v>
      </c>
      <c r="D1422" t="s">
        <v>1858</v>
      </c>
      <c r="E1422" s="2">
        <v>400</v>
      </c>
      <c r="F1422" s="3">
        <f t="shared" si="82"/>
        <v>45485</v>
      </c>
      <c r="G1422" s="3">
        <f t="shared" si="82"/>
        <v>45485</v>
      </c>
      <c r="H1422">
        <v>991687353</v>
      </c>
      <c r="I1422" t="s">
        <v>20</v>
      </c>
      <c r="K1422" t="s">
        <v>21</v>
      </c>
      <c r="L1422" t="s">
        <v>22</v>
      </c>
      <c r="M1422" t="s">
        <v>23</v>
      </c>
      <c r="N1422" t="s">
        <v>23</v>
      </c>
      <c r="O1422" t="s">
        <v>24</v>
      </c>
      <c r="P1422" s="8" t="s">
        <v>1859</v>
      </c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</row>
    <row r="1423" spans="1:51" x14ac:dyDescent="0.2">
      <c r="A1423" s="6" t="s">
        <v>17</v>
      </c>
      <c r="B1423" t="s">
        <v>34</v>
      </c>
      <c r="C1423" t="s">
        <v>35</v>
      </c>
      <c r="D1423" t="s">
        <v>1860</v>
      </c>
      <c r="E1423" s="2">
        <v>197</v>
      </c>
      <c r="F1423" s="3">
        <f t="shared" si="82"/>
        <v>45485</v>
      </c>
      <c r="G1423" s="3">
        <f t="shared" si="82"/>
        <v>45485</v>
      </c>
      <c r="H1423">
        <v>991687354</v>
      </c>
      <c r="I1423" t="s">
        <v>20</v>
      </c>
      <c r="K1423" t="s">
        <v>21</v>
      </c>
      <c r="L1423" t="s">
        <v>22</v>
      </c>
      <c r="M1423" t="s">
        <v>23</v>
      </c>
      <c r="N1423" t="s">
        <v>23</v>
      </c>
      <c r="O1423" t="s">
        <v>24</v>
      </c>
      <c r="P1423" s="8" t="s">
        <v>1861</v>
      </c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</row>
    <row r="1424" spans="1:51" x14ac:dyDescent="0.2">
      <c r="A1424" s="6" t="s">
        <v>17</v>
      </c>
      <c r="B1424" t="s">
        <v>80</v>
      </c>
      <c r="C1424" t="s">
        <v>81</v>
      </c>
      <c r="D1424" t="s">
        <v>1862</v>
      </c>
      <c r="E1424" s="2">
        <v>42</v>
      </c>
      <c r="F1424" s="3">
        <f t="shared" si="82"/>
        <v>45485</v>
      </c>
      <c r="G1424" s="3">
        <f t="shared" si="82"/>
        <v>45485</v>
      </c>
      <c r="H1424">
        <v>991687355</v>
      </c>
      <c r="I1424" t="s">
        <v>20</v>
      </c>
      <c r="K1424" t="s">
        <v>21</v>
      </c>
      <c r="L1424" t="s">
        <v>22</v>
      </c>
      <c r="M1424" t="s">
        <v>23</v>
      </c>
      <c r="N1424" t="s">
        <v>23</v>
      </c>
      <c r="O1424" t="s">
        <v>24</v>
      </c>
      <c r="P1424" s="8" t="s">
        <v>1863</v>
      </c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</row>
    <row r="1425" spans="1:51" x14ac:dyDescent="0.2">
      <c r="A1425" s="6" t="s">
        <v>17</v>
      </c>
      <c r="B1425" t="s">
        <v>65</v>
      </c>
      <c r="C1425" t="s">
        <v>66</v>
      </c>
      <c r="D1425" t="s">
        <v>1864</v>
      </c>
      <c r="E1425" s="2">
        <v>12</v>
      </c>
      <c r="F1425" s="3">
        <f>DATE(2024,7,13)</f>
        <v>45486</v>
      </c>
      <c r="G1425" s="3">
        <f>DATE(2024,7,13)</f>
        <v>45486</v>
      </c>
      <c r="H1425">
        <v>991687356</v>
      </c>
      <c r="I1425" t="s">
        <v>20</v>
      </c>
      <c r="K1425" t="s">
        <v>21</v>
      </c>
      <c r="L1425" t="s">
        <v>22</v>
      </c>
      <c r="M1425" t="s">
        <v>23</v>
      </c>
      <c r="N1425" t="s">
        <v>23</v>
      </c>
      <c r="O1425" t="s">
        <v>24</v>
      </c>
      <c r="P1425" s="8" t="s">
        <v>1865</v>
      </c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</row>
    <row r="1426" spans="1:51" x14ac:dyDescent="0.2">
      <c r="A1426" s="6" t="s">
        <v>17</v>
      </c>
      <c r="B1426" t="s">
        <v>887</v>
      </c>
      <c r="C1426" t="s">
        <v>888</v>
      </c>
      <c r="D1426" t="s">
        <v>1866</v>
      </c>
      <c r="E1426" s="2">
        <v>427.49</v>
      </c>
      <c r="F1426" s="3">
        <f>DATE(2024,7,11)</f>
        <v>45484</v>
      </c>
      <c r="G1426" s="3">
        <f>DATE(2024,7,11)</f>
        <v>45484</v>
      </c>
      <c r="H1426">
        <v>991687357</v>
      </c>
      <c r="I1426" t="s">
        <v>51</v>
      </c>
      <c r="K1426" t="s">
        <v>21</v>
      </c>
      <c r="L1426" t="s">
        <v>22</v>
      </c>
      <c r="M1426" t="s">
        <v>23</v>
      </c>
      <c r="N1426" t="s">
        <v>23</v>
      </c>
      <c r="O1426" t="s">
        <v>24</v>
      </c>
      <c r="P1426" s="8" t="s">
        <v>1867</v>
      </c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</row>
    <row r="1427" spans="1:51" x14ac:dyDescent="0.2">
      <c r="A1427" s="6" t="s">
        <v>17</v>
      </c>
      <c r="B1427" t="s">
        <v>1046</v>
      </c>
      <c r="C1427" t="s">
        <v>1047</v>
      </c>
      <c r="D1427" t="s">
        <v>1868</v>
      </c>
      <c r="E1427" s="2">
        <v>1606.21</v>
      </c>
      <c r="F1427" s="3">
        <f t="shared" ref="F1427:G1429" si="83">DATE(2024,7,15)</f>
        <v>45488</v>
      </c>
      <c r="G1427" s="3">
        <f t="shared" si="83"/>
        <v>45488</v>
      </c>
      <c r="H1427">
        <v>993575516</v>
      </c>
      <c r="I1427" t="s">
        <v>20</v>
      </c>
      <c r="K1427" t="s">
        <v>21</v>
      </c>
      <c r="L1427" t="s">
        <v>22</v>
      </c>
      <c r="M1427" t="s">
        <v>23</v>
      </c>
      <c r="N1427" t="s">
        <v>23</v>
      </c>
      <c r="O1427" t="s">
        <v>24</v>
      </c>
      <c r="P1427" s="8" t="s">
        <v>1869</v>
      </c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</row>
    <row r="1428" spans="1:51" x14ac:dyDescent="0.2">
      <c r="A1428" s="6" t="s">
        <v>17</v>
      </c>
      <c r="B1428" t="s">
        <v>137</v>
      </c>
      <c r="C1428" t="s">
        <v>138</v>
      </c>
      <c r="D1428" t="s">
        <v>1870</v>
      </c>
      <c r="E1428" s="2">
        <v>155.22</v>
      </c>
      <c r="F1428" s="3">
        <f t="shared" si="83"/>
        <v>45488</v>
      </c>
      <c r="G1428" s="3">
        <f t="shared" si="83"/>
        <v>45488</v>
      </c>
      <c r="H1428">
        <v>993575517</v>
      </c>
      <c r="I1428" t="s">
        <v>20</v>
      </c>
      <c r="K1428" t="s">
        <v>21</v>
      </c>
      <c r="L1428" t="s">
        <v>22</v>
      </c>
      <c r="M1428" t="s">
        <v>23</v>
      </c>
      <c r="N1428" t="s">
        <v>23</v>
      </c>
      <c r="O1428" t="s">
        <v>24</v>
      </c>
      <c r="P1428" s="8" t="s">
        <v>1871</v>
      </c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</row>
    <row r="1429" spans="1:51" x14ac:dyDescent="0.2">
      <c r="A1429" s="6" t="s">
        <v>17</v>
      </c>
      <c r="B1429" t="s">
        <v>179</v>
      </c>
      <c r="C1429" t="s">
        <v>180</v>
      </c>
      <c r="D1429" t="s">
        <v>1872</v>
      </c>
      <c r="E1429" s="2">
        <v>722.86</v>
      </c>
      <c r="F1429" s="3">
        <f t="shared" si="83"/>
        <v>45488</v>
      </c>
      <c r="G1429" s="3">
        <f t="shared" si="83"/>
        <v>45488</v>
      </c>
      <c r="H1429">
        <v>993575518</v>
      </c>
      <c r="I1429" t="s">
        <v>20</v>
      </c>
      <c r="K1429" t="s">
        <v>21</v>
      </c>
      <c r="L1429" t="s">
        <v>22</v>
      </c>
      <c r="M1429" t="s">
        <v>23</v>
      </c>
      <c r="N1429" t="s">
        <v>23</v>
      </c>
      <c r="O1429" t="s">
        <v>24</v>
      </c>
      <c r="P1429" s="8" t="s">
        <v>1873</v>
      </c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</row>
    <row r="1430" spans="1:51" x14ac:dyDescent="0.2">
      <c r="A1430" s="6" t="s">
        <v>17</v>
      </c>
      <c r="B1430" t="s">
        <v>887</v>
      </c>
      <c r="C1430" t="s">
        <v>888</v>
      </c>
      <c r="D1430" t="s">
        <v>1866</v>
      </c>
      <c r="E1430" s="2">
        <v>169.98</v>
      </c>
      <c r="F1430" s="3">
        <f>DATE(2024,7,12)</f>
        <v>45485</v>
      </c>
      <c r="G1430" s="3">
        <f>DATE(2024,7,12)</f>
        <v>45485</v>
      </c>
      <c r="H1430">
        <v>993575519</v>
      </c>
      <c r="I1430" t="s">
        <v>51</v>
      </c>
      <c r="K1430" t="s">
        <v>21</v>
      </c>
      <c r="L1430" t="s">
        <v>22</v>
      </c>
      <c r="M1430" t="s">
        <v>23</v>
      </c>
      <c r="N1430" t="s">
        <v>23</v>
      </c>
      <c r="O1430" t="s">
        <v>24</v>
      </c>
      <c r="P1430" s="8" t="s">
        <v>1874</v>
      </c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</row>
    <row r="1431" spans="1:51" x14ac:dyDescent="0.2">
      <c r="A1431" s="6" t="s">
        <v>17</v>
      </c>
      <c r="B1431" t="s">
        <v>44</v>
      </c>
      <c r="C1431" t="s">
        <v>45</v>
      </c>
      <c r="D1431" t="s">
        <v>690</v>
      </c>
      <c r="E1431" s="2">
        <v>120.24</v>
      </c>
      <c r="F1431" s="3">
        <f>DATE(2024,7,11)</f>
        <v>45484</v>
      </c>
      <c r="G1431" s="3">
        <f>DATE(2024,7,11)</f>
        <v>45484</v>
      </c>
      <c r="H1431">
        <v>993575520</v>
      </c>
      <c r="I1431" t="s">
        <v>51</v>
      </c>
      <c r="K1431" t="s">
        <v>21</v>
      </c>
      <c r="L1431" t="s">
        <v>22</v>
      </c>
      <c r="M1431" t="s">
        <v>23</v>
      </c>
      <c r="N1431" t="s">
        <v>23</v>
      </c>
      <c r="O1431" t="s">
        <v>24</v>
      </c>
      <c r="P1431" s="8" t="s">
        <v>1875</v>
      </c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</row>
    <row r="1432" spans="1:51" hidden="1" x14ac:dyDescent="0.2">
      <c r="A1432" s="6"/>
      <c r="E1432" s="2"/>
      <c r="F1432" s="3"/>
      <c r="G1432" s="3"/>
      <c r="P1432" s="8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</row>
    <row r="1433" spans="1:51" hidden="1" x14ac:dyDescent="0.2">
      <c r="A1433" s="6"/>
      <c r="E1433" s="2"/>
      <c r="F1433" s="3"/>
      <c r="G1433" s="3"/>
      <c r="P1433" s="8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</row>
    <row r="1434" spans="1:51" x14ac:dyDescent="0.2">
      <c r="A1434" s="6" t="s">
        <v>17</v>
      </c>
      <c r="B1434" t="s">
        <v>110</v>
      </c>
      <c r="C1434" t="s">
        <v>111</v>
      </c>
      <c r="D1434" t="s">
        <v>1876</v>
      </c>
      <c r="E1434" s="2">
        <v>5.14</v>
      </c>
      <c r="F1434" s="3">
        <f t="shared" ref="F1432:G1438" si="84">DATE(2024,7,15)</f>
        <v>45488</v>
      </c>
      <c r="G1434" s="3">
        <f t="shared" si="84"/>
        <v>45488</v>
      </c>
      <c r="H1434">
        <v>996553112</v>
      </c>
      <c r="I1434" t="s">
        <v>73</v>
      </c>
      <c r="K1434" t="s">
        <v>21</v>
      </c>
      <c r="L1434" t="s">
        <v>22</v>
      </c>
      <c r="M1434" t="s">
        <v>23</v>
      </c>
      <c r="N1434" t="s">
        <v>23</v>
      </c>
      <c r="O1434" t="s">
        <v>24</v>
      </c>
      <c r="P1434" s="8" t="s">
        <v>1877</v>
      </c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</row>
    <row r="1435" spans="1:51" hidden="1" x14ac:dyDescent="0.2">
      <c r="A1435" s="6"/>
      <c r="E1435" s="2"/>
      <c r="F1435" s="3"/>
      <c r="G1435" s="3"/>
      <c r="P1435" s="8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</row>
    <row r="1436" spans="1:51" hidden="1" x14ac:dyDescent="0.2">
      <c r="A1436" s="6"/>
      <c r="E1436" s="2"/>
      <c r="F1436" s="3"/>
      <c r="G1436" s="3"/>
      <c r="P1436" s="8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</row>
    <row r="1437" spans="1:51" hidden="1" x14ac:dyDescent="0.2">
      <c r="A1437" s="6"/>
      <c r="E1437" s="2"/>
      <c r="F1437" s="3"/>
      <c r="G1437" s="3"/>
      <c r="P1437" s="8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</row>
    <row r="1438" spans="1:51" x14ac:dyDescent="0.2">
      <c r="A1438" s="6" t="s">
        <v>17</v>
      </c>
      <c r="B1438" t="s">
        <v>57</v>
      </c>
      <c r="C1438" t="s">
        <v>58</v>
      </c>
      <c r="D1438" t="s">
        <v>1878</v>
      </c>
      <c r="E1438" s="2">
        <v>131.93</v>
      </c>
      <c r="F1438" s="3">
        <f t="shared" si="84"/>
        <v>45488</v>
      </c>
      <c r="G1438" s="3">
        <f t="shared" si="84"/>
        <v>45488</v>
      </c>
      <c r="H1438">
        <v>997922864</v>
      </c>
      <c r="I1438" t="s">
        <v>20</v>
      </c>
      <c r="K1438" t="s">
        <v>21</v>
      </c>
      <c r="L1438" t="s">
        <v>22</v>
      </c>
      <c r="M1438" t="s">
        <v>23</v>
      </c>
      <c r="N1438" t="s">
        <v>23</v>
      </c>
      <c r="O1438" t="s">
        <v>24</v>
      </c>
      <c r="P1438" s="8" t="s">
        <v>1879</v>
      </c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</row>
    <row r="1439" spans="1:51" x14ac:dyDescent="0.2">
      <c r="A1439" s="6" t="s">
        <v>17</v>
      </c>
      <c r="B1439" t="s">
        <v>104</v>
      </c>
      <c r="C1439" t="s">
        <v>105</v>
      </c>
      <c r="D1439" t="s">
        <v>1880</v>
      </c>
      <c r="E1439" s="2">
        <v>93.8</v>
      </c>
      <c r="F1439" s="3">
        <f>DATE(2024,7,14)</f>
        <v>45487</v>
      </c>
      <c r="G1439" s="3">
        <f>DATE(2024,7,14)</f>
        <v>45487</v>
      </c>
      <c r="H1439">
        <v>997922865</v>
      </c>
      <c r="I1439" t="s">
        <v>51</v>
      </c>
      <c r="K1439" t="s">
        <v>21</v>
      </c>
      <c r="L1439" t="s">
        <v>22</v>
      </c>
      <c r="M1439" t="s">
        <v>23</v>
      </c>
      <c r="N1439" t="s">
        <v>23</v>
      </c>
      <c r="O1439" t="s">
        <v>24</v>
      </c>
      <c r="P1439" s="8" t="s">
        <v>1881</v>
      </c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</row>
    <row r="1440" spans="1:51" x14ac:dyDescent="0.2">
      <c r="A1440" s="6" t="s">
        <v>17</v>
      </c>
      <c r="B1440" t="s">
        <v>34</v>
      </c>
      <c r="C1440" t="s">
        <v>35</v>
      </c>
      <c r="D1440" t="s">
        <v>228</v>
      </c>
      <c r="E1440" s="2">
        <v>40</v>
      </c>
      <c r="F1440" s="3">
        <f>DATE(2024,7,13)</f>
        <v>45486</v>
      </c>
      <c r="G1440" s="3">
        <f>DATE(2024,7,13)</f>
        <v>45486</v>
      </c>
      <c r="H1440">
        <v>997922866</v>
      </c>
      <c r="I1440" t="s">
        <v>51</v>
      </c>
      <c r="K1440" t="s">
        <v>21</v>
      </c>
      <c r="L1440" t="s">
        <v>22</v>
      </c>
      <c r="M1440" t="s">
        <v>23</v>
      </c>
      <c r="N1440" t="s">
        <v>23</v>
      </c>
      <c r="O1440" t="s">
        <v>24</v>
      </c>
      <c r="P1440" s="8" t="s">
        <v>1882</v>
      </c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</row>
    <row r="1441" spans="1:51" x14ac:dyDescent="0.2">
      <c r="A1441" s="6" t="s">
        <v>17</v>
      </c>
      <c r="B1441" t="s">
        <v>100</v>
      </c>
      <c r="C1441" t="s">
        <v>101</v>
      </c>
      <c r="D1441" t="s">
        <v>283</v>
      </c>
      <c r="E1441" s="2">
        <v>42.38</v>
      </c>
      <c r="F1441" s="3">
        <f>DATE(2024,7,13)</f>
        <v>45486</v>
      </c>
      <c r="G1441" s="3">
        <f>DATE(2024,7,13)</f>
        <v>45486</v>
      </c>
      <c r="H1441">
        <v>997922867</v>
      </c>
      <c r="I1441" t="s">
        <v>51</v>
      </c>
      <c r="K1441" t="s">
        <v>21</v>
      </c>
      <c r="L1441" t="s">
        <v>22</v>
      </c>
      <c r="M1441" t="s">
        <v>23</v>
      </c>
      <c r="N1441" t="s">
        <v>23</v>
      </c>
      <c r="O1441" t="s">
        <v>24</v>
      </c>
      <c r="P1441" s="8" t="s">
        <v>1883</v>
      </c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</row>
    <row r="1442" spans="1:51" x14ac:dyDescent="0.2">
      <c r="A1442" s="6" t="s">
        <v>17</v>
      </c>
      <c r="B1442" t="s">
        <v>44</v>
      </c>
      <c r="C1442" t="s">
        <v>45</v>
      </c>
      <c r="D1442" t="s">
        <v>1884</v>
      </c>
      <c r="E1442" s="2">
        <v>15.16</v>
      </c>
      <c r="F1442" s="3">
        <f>DATE(2024,7,14)</f>
        <v>45487</v>
      </c>
      <c r="G1442" s="3">
        <f>DATE(2024,7,14)</f>
        <v>45487</v>
      </c>
      <c r="H1442">
        <v>997922868</v>
      </c>
      <c r="I1442" t="s">
        <v>51</v>
      </c>
      <c r="K1442" t="s">
        <v>21</v>
      </c>
      <c r="L1442" t="s">
        <v>22</v>
      </c>
      <c r="M1442" t="s">
        <v>23</v>
      </c>
      <c r="N1442" t="s">
        <v>23</v>
      </c>
      <c r="O1442" t="s">
        <v>24</v>
      </c>
      <c r="P1442" s="8" t="s">
        <v>1885</v>
      </c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</row>
    <row r="1443" spans="1:51" hidden="1" x14ac:dyDescent="0.2">
      <c r="A1443" s="6"/>
      <c r="E1443" s="2"/>
      <c r="F1443" s="3"/>
      <c r="G1443" s="3"/>
      <c r="P1443" s="8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</row>
    <row r="1444" spans="1:51" hidden="1" x14ac:dyDescent="0.2">
      <c r="A1444" s="6"/>
      <c r="E1444" s="2"/>
      <c r="F1444" s="3"/>
      <c r="G1444" s="3"/>
      <c r="P1444" s="8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</row>
    <row r="1445" spans="1:51" x14ac:dyDescent="0.2">
      <c r="A1445" s="6" t="s">
        <v>17</v>
      </c>
      <c r="B1445" t="s">
        <v>18</v>
      </c>
      <c r="C1445" t="s">
        <v>18</v>
      </c>
      <c r="D1445" t="s">
        <v>189</v>
      </c>
      <c r="E1445" s="2">
        <v>55.24</v>
      </c>
      <c r="F1445" s="3">
        <f t="shared" ref="F1443:G1456" si="85">DATE(2024,7,16)</f>
        <v>45489</v>
      </c>
      <c r="G1445" s="3">
        <f t="shared" si="85"/>
        <v>45489</v>
      </c>
      <c r="H1445">
        <v>1001463247</v>
      </c>
      <c r="I1445" t="s">
        <v>73</v>
      </c>
      <c r="K1445" t="s">
        <v>21</v>
      </c>
      <c r="L1445" t="s">
        <v>22</v>
      </c>
      <c r="M1445" t="s">
        <v>23</v>
      </c>
      <c r="N1445" t="s">
        <v>23</v>
      </c>
      <c r="O1445" t="s">
        <v>24</v>
      </c>
      <c r="P1445" s="8" t="s">
        <v>1886</v>
      </c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</row>
    <row r="1446" spans="1:51" x14ac:dyDescent="0.2">
      <c r="A1446" s="6" t="s">
        <v>17</v>
      </c>
      <c r="B1446" t="s">
        <v>110</v>
      </c>
      <c r="C1446" t="s">
        <v>111</v>
      </c>
      <c r="D1446" t="s">
        <v>1887</v>
      </c>
      <c r="E1446" s="2">
        <v>249.84</v>
      </c>
      <c r="F1446" s="3">
        <f t="shared" si="85"/>
        <v>45489</v>
      </c>
      <c r="G1446" s="3">
        <f t="shared" si="85"/>
        <v>45489</v>
      </c>
      <c r="H1446">
        <v>1002231417</v>
      </c>
      <c r="I1446" t="s">
        <v>20</v>
      </c>
      <c r="K1446" t="s">
        <v>21</v>
      </c>
      <c r="L1446" t="s">
        <v>22</v>
      </c>
      <c r="M1446" t="s">
        <v>23</v>
      </c>
      <c r="N1446" t="s">
        <v>23</v>
      </c>
      <c r="O1446" t="s">
        <v>24</v>
      </c>
      <c r="P1446" s="8" t="s">
        <v>1888</v>
      </c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</row>
    <row r="1447" spans="1:51" x14ac:dyDescent="0.2">
      <c r="A1447" s="6" t="s">
        <v>17</v>
      </c>
      <c r="B1447" t="s">
        <v>312</v>
      </c>
      <c r="C1447" t="s">
        <v>313</v>
      </c>
      <c r="D1447" t="s">
        <v>1889</v>
      </c>
      <c r="E1447" s="2">
        <v>735</v>
      </c>
      <c r="F1447" s="3">
        <f t="shared" si="85"/>
        <v>45489</v>
      </c>
      <c r="G1447" s="3">
        <f t="shared" si="85"/>
        <v>45489</v>
      </c>
      <c r="H1447">
        <v>1002231418</v>
      </c>
      <c r="I1447" t="s">
        <v>20</v>
      </c>
      <c r="K1447" t="s">
        <v>21</v>
      </c>
      <c r="L1447" t="s">
        <v>22</v>
      </c>
      <c r="M1447" t="s">
        <v>23</v>
      </c>
      <c r="N1447" t="s">
        <v>23</v>
      </c>
      <c r="O1447" t="s">
        <v>24</v>
      </c>
      <c r="P1447" s="8" t="s">
        <v>1890</v>
      </c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</row>
    <row r="1448" spans="1:51" x14ac:dyDescent="0.2">
      <c r="A1448" s="6" t="s">
        <v>17</v>
      </c>
      <c r="B1448" t="s">
        <v>183</v>
      </c>
      <c r="C1448" t="s">
        <v>184</v>
      </c>
      <c r="D1448" t="s">
        <v>1891</v>
      </c>
      <c r="E1448" s="2">
        <v>12312</v>
      </c>
      <c r="F1448" s="3">
        <f t="shared" si="85"/>
        <v>45489</v>
      </c>
      <c r="G1448" s="3">
        <f t="shared" si="85"/>
        <v>45489</v>
      </c>
      <c r="H1448">
        <v>1002231419</v>
      </c>
      <c r="I1448" t="s">
        <v>20</v>
      </c>
      <c r="K1448" t="s">
        <v>21</v>
      </c>
      <c r="L1448" t="s">
        <v>22</v>
      </c>
      <c r="M1448" t="s">
        <v>23</v>
      </c>
      <c r="N1448" t="s">
        <v>23</v>
      </c>
      <c r="O1448" t="s">
        <v>24</v>
      </c>
      <c r="P1448" s="8" t="s">
        <v>1892</v>
      </c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</row>
    <row r="1449" spans="1:51" hidden="1" x14ac:dyDescent="0.2">
      <c r="A1449" s="6"/>
      <c r="E1449" s="2"/>
      <c r="F1449" s="3"/>
      <c r="G1449" s="3"/>
      <c r="P1449" s="8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</row>
    <row r="1450" spans="1:51" x14ac:dyDescent="0.2">
      <c r="A1450" s="6" t="s">
        <v>17</v>
      </c>
      <c r="B1450" t="s">
        <v>363</v>
      </c>
      <c r="C1450" t="s">
        <v>364</v>
      </c>
      <c r="D1450" t="s">
        <v>1893</v>
      </c>
      <c r="E1450" s="2">
        <v>720</v>
      </c>
      <c r="F1450" s="3">
        <f t="shared" si="85"/>
        <v>45489</v>
      </c>
      <c r="G1450" s="3">
        <f t="shared" si="85"/>
        <v>45489</v>
      </c>
      <c r="H1450">
        <v>1002231421</v>
      </c>
      <c r="I1450" t="s">
        <v>20</v>
      </c>
      <c r="K1450" t="s">
        <v>21</v>
      </c>
      <c r="L1450" t="s">
        <v>22</v>
      </c>
      <c r="M1450" t="s">
        <v>23</v>
      </c>
      <c r="N1450" t="s">
        <v>23</v>
      </c>
      <c r="O1450" t="s">
        <v>24</v>
      </c>
      <c r="P1450" s="8" t="s">
        <v>1894</v>
      </c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</row>
    <row r="1451" spans="1:51" x14ac:dyDescent="0.2">
      <c r="A1451" s="6" t="s">
        <v>17</v>
      </c>
      <c r="B1451" t="s">
        <v>312</v>
      </c>
      <c r="C1451" t="s">
        <v>313</v>
      </c>
      <c r="D1451" t="s">
        <v>1895</v>
      </c>
      <c r="E1451" s="2">
        <v>1728</v>
      </c>
      <c r="F1451" s="3">
        <f t="shared" si="85"/>
        <v>45489</v>
      </c>
      <c r="G1451" s="3">
        <f t="shared" si="85"/>
        <v>45489</v>
      </c>
      <c r="H1451">
        <v>1002231422</v>
      </c>
      <c r="I1451" t="s">
        <v>20</v>
      </c>
      <c r="K1451" t="s">
        <v>21</v>
      </c>
      <c r="L1451" t="s">
        <v>22</v>
      </c>
      <c r="M1451" t="s">
        <v>23</v>
      </c>
      <c r="N1451" t="s">
        <v>23</v>
      </c>
      <c r="O1451" t="s">
        <v>24</v>
      </c>
      <c r="P1451" s="8" t="s">
        <v>1896</v>
      </c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</row>
    <row r="1452" spans="1:51" hidden="1" x14ac:dyDescent="0.2">
      <c r="A1452" s="6"/>
      <c r="E1452" s="2"/>
      <c r="F1452" s="3"/>
      <c r="G1452" s="3"/>
      <c r="P1452" s="8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</row>
    <row r="1453" spans="1:51" x14ac:dyDescent="0.2">
      <c r="A1453" s="6" t="s">
        <v>17</v>
      </c>
      <c r="B1453" t="s">
        <v>674</v>
      </c>
      <c r="C1453" t="s">
        <v>675</v>
      </c>
      <c r="D1453" t="s">
        <v>1897</v>
      </c>
      <c r="E1453" s="2">
        <v>638.66999999999996</v>
      </c>
      <c r="F1453" s="3">
        <f t="shared" si="85"/>
        <v>45489</v>
      </c>
      <c r="G1453" s="3">
        <f t="shared" si="85"/>
        <v>45489</v>
      </c>
      <c r="H1453">
        <v>1002231424</v>
      </c>
      <c r="I1453" t="s">
        <v>20</v>
      </c>
      <c r="K1453" t="s">
        <v>21</v>
      </c>
      <c r="L1453" t="s">
        <v>22</v>
      </c>
      <c r="M1453" t="s">
        <v>23</v>
      </c>
      <c r="N1453" t="s">
        <v>23</v>
      </c>
      <c r="O1453" t="s">
        <v>24</v>
      </c>
      <c r="P1453" s="8" t="s">
        <v>1898</v>
      </c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</row>
    <row r="1454" spans="1:51" x14ac:dyDescent="0.2">
      <c r="A1454" s="6" t="s">
        <v>17</v>
      </c>
      <c r="B1454" t="s">
        <v>611</v>
      </c>
      <c r="C1454" t="s">
        <v>612</v>
      </c>
      <c r="D1454" t="s">
        <v>1899</v>
      </c>
      <c r="E1454" s="2">
        <v>720</v>
      </c>
      <c r="F1454" s="3">
        <f t="shared" si="85"/>
        <v>45489</v>
      </c>
      <c r="G1454" s="3">
        <f t="shared" si="85"/>
        <v>45489</v>
      </c>
      <c r="H1454">
        <v>1002231425</v>
      </c>
      <c r="I1454" t="s">
        <v>20</v>
      </c>
      <c r="K1454" t="s">
        <v>21</v>
      </c>
      <c r="L1454" t="s">
        <v>22</v>
      </c>
      <c r="M1454" t="s">
        <v>23</v>
      </c>
      <c r="N1454" t="s">
        <v>23</v>
      </c>
      <c r="O1454" t="s">
        <v>24</v>
      </c>
      <c r="P1454" s="8" t="s">
        <v>1900</v>
      </c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</row>
    <row r="1455" spans="1:51" x14ac:dyDescent="0.2">
      <c r="A1455" s="6" t="s">
        <v>17</v>
      </c>
      <c r="B1455" t="s">
        <v>61</v>
      </c>
      <c r="C1455" t="s">
        <v>62</v>
      </c>
      <c r="D1455" t="s">
        <v>1901</v>
      </c>
      <c r="E1455" s="2">
        <v>378</v>
      </c>
      <c r="F1455" s="3">
        <f t="shared" si="85"/>
        <v>45489</v>
      </c>
      <c r="G1455" s="3">
        <f t="shared" si="85"/>
        <v>45489</v>
      </c>
      <c r="H1455">
        <v>1002231426</v>
      </c>
      <c r="I1455" t="s">
        <v>20</v>
      </c>
      <c r="K1455" t="s">
        <v>21</v>
      </c>
      <c r="L1455" t="s">
        <v>22</v>
      </c>
      <c r="M1455" t="s">
        <v>23</v>
      </c>
      <c r="N1455" t="s">
        <v>23</v>
      </c>
      <c r="O1455" t="s">
        <v>24</v>
      </c>
      <c r="P1455" s="8" t="s">
        <v>1902</v>
      </c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</row>
    <row r="1456" spans="1:51" x14ac:dyDescent="0.2">
      <c r="A1456" s="6" t="s">
        <v>17</v>
      </c>
      <c r="B1456" t="s">
        <v>887</v>
      </c>
      <c r="C1456" t="s">
        <v>888</v>
      </c>
      <c r="D1456" t="s">
        <v>1903</v>
      </c>
      <c r="E1456" s="2">
        <v>549.48</v>
      </c>
      <c r="F1456" s="3">
        <f t="shared" si="85"/>
        <v>45489</v>
      </c>
      <c r="G1456" s="3">
        <f t="shared" si="85"/>
        <v>45489</v>
      </c>
      <c r="H1456">
        <v>1002231427</v>
      </c>
      <c r="I1456" t="s">
        <v>20</v>
      </c>
      <c r="K1456" t="s">
        <v>21</v>
      </c>
      <c r="L1456" t="s">
        <v>22</v>
      </c>
      <c r="M1456" t="s">
        <v>23</v>
      </c>
      <c r="N1456" t="s">
        <v>23</v>
      </c>
      <c r="O1456" t="s">
        <v>24</v>
      </c>
      <c r="P1456" s="8" t="s">
        <v>1904</v>
      </c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</row>
    <row r="1457" spans="1:51" x14ac:dyDescent="0.2">
      <c r="A1457" s="6" t="s">
        <v>17</v>
      </c>
      <c r="B1457" t="s">
        <v>44</v>
      </c>
      <c r="C1457" t="s">
        <v>45</v>
      </c>
      <c r="D1457" t="s">
        <v>1905</v>
      </c>
      <c r="E1457" s="2">
        <v>6.99</v>
      </c>
      <c r="F1457" s="3">
        <f t="shared" ref="F1457:G1459" si="86">DATE(2024,7,15)</f>
        <v>45488</v>
      </c>
      <c r="G1457" s="3">
        <f t="shared" si="86"/>
        <v>45488</v>
      </c>
      <c r="H1457">
        <v>1002231432</v>
      </c>
      <c r="I1457" t="s">
        <v>51</v>
      </c>
      <c r="K1457" t="s">
        <v>21</v>
      </c>
      <c r="L1457" t="s">
        <v>22</v>
      </c>
      <c r="M1457" t="s">
        <v>23</v>
      </c>
      <c r="N1457" t="s">
        <v>23</v>
      </c>
      <c r="O1457" t="s">
        <v>24</v>
      </c>
      <c r="P1457" s="8" t="s">
        <v>1906</v>
      </c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</row>
    <row r="1458" spans="1:51" x14ac:dyDescent="0.2">
      <c r="A1458" s="6" t="s">
        <v>17</v>
      </c>
      <c r="B1458" t="s">
        <v>44</v>
      </c>
      <c r="C1458" t="s">
        <v>45</v>
      </c>
      <c r="D1458" t="s">
        <v>1907</v>
      </c>
      <c r="E1458" s="2">
        <v>21.09</v>
      </c>
      <c r="F1458" s="3">
        <f t="shared" si="86"/>
        <v>45488</v>
      </c>
      <c r="G1458" s="3">
        <f t="shared" si="86"/>
        <v>45488</v>
      </c>
      <c r="H1458">
        <v>1002231433</v>
      </c>
      <c r="I1458" t="s">
        <v>51</v>
      </c>
      <c r="K1458" t="s">
        <v>21</v>
      </c>
      <c r="L1458" t="s">
        <v>22</v>
      </c>
      <c r="M1458" t="s">
        <v>23</v>
      </c>
      <c r="N1458" t="s">
        <v>23</v>
      </c>
      <c r="O1458" t="s">
        <v>24</v>
      </c>
      <c r="P1458" s="8" t="s">
        <v>1908</v>
      </c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</row>
    <row r="1459" spans="1:51" x14ac:dyDescent="0.2">
      <c r="A1459" s="6" t="s">
        <v>17</v>
      </c>
      <c r="B1459" t="s">
        <v>44</v>
      </c>
      <c r="C1459" t="s">
        <v>45</v>
      </c>
      <c r="D1459" t="s">
        <v>1909</v>
      </c>
      <c r="E1459" s="2">
        <v>30.99</v>
      </c>
      <c r="F1459" s="3">
        <f t="shared" si="86"/>
        <v>45488</v>
      </c>
      <c r="G1459" s="3">
        <f t="shared" si="86"/>
        <v>45488</v>
      </c>
      <c r="H1459">
        <v>1002231434</v>
      </c>
      <c r="I1459" t="s">
        <v>51</v>
      </c>
      <c r="K1459" t="s">
        <v>21</v>
      </c>
      <c r="L1459" t="s">
        <v>22</v>
      </c>
      <c r="M1459" t="s">
        <v>23</v>
      </c>
      <c r="N1459" t="s">
        <v>23</v>
      </c>
      <c r="O1459" t="s">
        <v>24</v>
      </c>
      <c r="P1459" s="8" t="s">
        <v>1910</v>
      </c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</row>
    <row r="1460" spans="1:51" hidden="1" x14ac:dyDescent="0.2">
      <c r="A1460" s="6"/>
      <c r="E1460" s="2"/>
      <c r="F1460" s="3"/>
      <c r="G1460" s="3"/>
      <c r="P1460" s="8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</row>
    <row r="1461" spans="1:51" hidden="1" x14ac:dyDescent="0.2">
      <c r="A1461" s="6"/>
      <c r="E1461" s="2"/>
      <c r="F1461" s="3"/>
      <c r="G1461" s="3"/>
      <c r="P1461" s="8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</row>
    <row r="1462" spans="1:51" hidden="1" x14ac:dyDescent="0.2">
      <c r="A1462" s="6"/>
      <c r="E1462" s="2"/>
      <c r="F1462" s="3"/>
      <c r="G1462" s="3"/>
      <c r="P1462" s="8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</row>
    <row r="1463" spans="1:51" x14ac:dyDescent="0.2">
      <c r="A1463" s="6" t="s">
        <v>17</v>
      </c>
      <c r="B1463" t="s">
        <v>223</v>
      </c>
      <c r="C1463" t="s">
        <v>223</v>
      </c>
      <c r="D1463" t="s">
        <v>1911</v>
      </c>
      <c r="E1463" s="2">
        <v>1366.3</v>
      </c>
      <c r="F1463" s="3">
        <f t="shared" ref="F1460:G1464" si="87">DATE(2024,7,17)</f>
        <v>45490</v>
      </c>
      <c r="G1463" s="3">
        <f t="shared" si="87"/>
        <v>45490</v>
      </c>
      <c r="H1463">
        <v>1006447695</v>
      </c>
      <c r="I1463" t="s">
        <v>20</v>
      </c>
      <c r="K1463" t="s">
        <v>21</v>
      </c>
      <c r="L1463" t="s">
        <v>22</v>
      </c>
      <c r="M1463" t="s">
        <v>23</v>
      </c>
      <c r="N1463" t="s">
        <v>23</v>
      </c>
      <c r="O1463" t="s">
        <v>24</v>
      </c>
      <c r="P1463" s="8" t="s">
        <v>1912</v>
      </c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</row>
    <row r="1464" spans="1:51" hidden="1" x14ac:dyDescent="0.2">
      <c r="A1464" s="6"/>
      <c r="E1464" s="2"/>
      <c r="F1464" s="3"/>
      <c r="G1464" s="3"/>
      <c r="P1464" s="8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</row>
    <row r="1465" spans="1:51" x14ac:dyDescent="0.2">
      <c r="A1465" s="6" t="s">
        <v>17</v>
      </c>
      <c r="B1465" t="s">
        <v>144</v>
      </c>
      <c r="C1465" t="s">
        <v>145</v>
      </c>
      <c r="D1465" t="s">
        <v>157</v>
      </c>
      <c r="E1465" s="2">
        <v>1.5</v>
      </c>
      <c r="F1465" s="3">
        <f>DATE(2024,7,15)</f>
        <v>45488</v>
      </c>
      <c r="G1465" s="3">
        <f>DATE(2024,7,15)</f>
        <v>45488</v>
      </c>
      <c r="H1465">
        <v>1006447702</v>
      </c>
      <c r="I1465" t="s">
        <v>51</v>
      </c>
      <c r="K1465" t="s">
        <v>21</v>
      </c>
      <c r="L1465" t="s">
        <v>22</v>
      </c>
      <c r="M1465" t="s">
        <v>23</v>
      </c>
      <c r="N1465" t="s">
        <v>23</v>
      </c>
      <c r="O1465" t="s">
        <v>24</v>
      </c>
      <c r="P1465" s="8" t="s">
        <v>1913</v>
      </c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</row>
    <row r="1466" spans="1:51" x14ac:dyDescent="0.2">
      <c r="A1466" s="6" t="s">
        <v>17</v>
      </c>
      <c r="B1466" t="s">
        <v>316</v>
      </c>
      <c r="C1466" t="s">
        <v>316</v>
      </c>
      <c r="D1466" t="s">
        <v>1914</v>
      </c>
      <c r="E1466" s="2">
        <v>92.83</v>
      </c>
      <c r="F1466" s="3">
        <f>DATE(2024,7,16)</f>
        <v>45489</v>
      </c>
      <c r="G1466" s="3">
        <f>DATE(2024,7,16)</f>
        <v>45489</v>
      </c>
      <c r="H1466">
        <v>1006447703</v>
      </c>
      <c r="I1466" t="s">
        <v>51</v>
      </c>
      <c r="K1466" t="s">
        <v>21</v>
      </c>
      <c r="L1466" t="s">
        <v>22</v>
      </c>
      <c r="M1466" t="s">
        <v>23</v>
      </c>
      <c r="N1466" t="s">
        <v>23</v>
      </c>
      <c r="O1466" t="s">
        <v>24</v>
      </c>
      <c r="P1466" s="8" t="s">
        <v>1915</v>
      </c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</row>
    <row r="1467" spans="1:51" hidden="1" x14ac:dyDescent="0.2">
      <c r="A1467" s="6"/>
      <c r="E1467" s="2"/>
      <c r="F1467" s="3"/>
      <c r="G1467" s="3"/>
      <c r="P1467" s="8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</row>
    <row r="1468" spans="1:51" hidden="1" x14ac:dyDescent="0.2">
      <c r="A1468" s="6"/>
      <c r="E1468" s="2"/>
      <c r="F1468" s="3"/>
      <c r="G1468" s="3"/>
      <c r="P1468" s="8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</row>
    <row r="1469" spans="1:51" hidden="1" x14ac:dyDescent="0.2">
      <c r="A1469" s="6"/>
      <c r="E1469" s="2"/>
      <c r="F1469" s="3"/>
      <c r="G1469" s="3"/>
      <c r="P1469" s="8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</row>
    <row r="1470" spans="1:51" hidden="1" x14ac:dyDescent="0.2">
      <c r="A1470" s="6"/>
      <c r="E1470" s="2"/>
      <c r="F1470" s="3"/>
      <c r="G1470" s="3"/>
      <c r="P1470" s="8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</row>
    <row r="1471" spans="1:51" x14ac:dyDescent="0.2">
      <c r="A1471" s="6" t="s">
        <v>17</v>
      </c>
      <c r="B1471" t="s">
        <v>104</v>
      </c>
      <c r="C1471" t="s">
        <v>105</v>
      </c>
      <c r="D1471" t="s">
        <v>1916</v>
      </c>
      <c r="E1471" s="2">
        <v>264.18</v>
      </c>
      <c r="F1471" s="3">
        <f t="shared" ref="F1467:G1474" si="88">DATE(2024,7,18)</f>
        <v>45491</v>
      </c>
      <c r="G1471" s="3">
        <f t="shared" si="88"/>
        <v>45491</v>
      </c>
      <c r="H1471">
        <v>1009812932</v>
      </c>
      <c r="I1471" t="s">
        <v>20</v>
      </c>
      <c r="K1471" t="s">
        <v>21</v>
      </c>
      <c r="L1471" t="s">
        <v>22</v>
      </c>
      <c r="M1471" t="s">
        <v>23</v>
      </c>
      <c r="N1471" t="s">
        <v>23</v>
      </c>
      <c r="O1471" t="s">
        <v>24</v>
      </c>
      <c r="P1471" s="8" t="s">
        <v>1917</v>
      </c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</row>
    <row r="1472" spans="1:51" hidden="1" x14ac:dyDescent="0.2">
      <c r="A1472" s="6"/>
      <c r="E1472" s="2"/>
      <c r="F1472" s="3"/>
      <c r="G1472" s="3"/>
      <c r="P1472" s="8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</row>
    <row r="1473" spans="1:51" hidden="1" x14ac:dyDescent="0.2">
      <c r="A1473" s="6"/>
      <c r="E1473" s="2"/>
      <c r="F1473" s="3"/>
      <c r="G1473" s="3"/>
      <c r="P1473" s="8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</row>
    <row r="1474" spans="1:51" hidden="1" x14ac:dyDescent="0.2">
      <c r="A1474" s="6"/>
      <c r="E1474" s="2"/>
      <c r="F1474" s="3"/>
      <c r="G1474" s="3"/>
      <c r="P1474" s="8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</row>
    <row r="1475" spans="1:51" hidden="1" x14ac:dyDescent="0.2">
      <c r="A1475" s="6"/>
      <c r="E1475" s="2"/>
      <c r="F1475" s="3"/>
      <c r="G1475" s="3"/>
      <c r="P1475" s="8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</row>
    <row r="1476" spans="1:51" hidden="1" x14ac:dyDescent="0.2">
      <c r="A1476" s="6"/>
      <c r="E1476" s="2"/>
      <c r="F1476" s="3"/>
      <c r="G1476" s="3"/>
      <c r="P1476" s="8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</row>
    <row r="1477" spans="1:51" hidden="1" x14ac:dyDescent="0.2">
      <c r="A1477" s="6"/>
      <c r="E1477" s="2"/>
      <c r="F1477" s="3"/>
      <c r="G1477" s="3"/>
      <c r="P1477" s="8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</row>
    <row r="1478" spans="1:51" hidden="1" x14ac:dyDescent="0.2">
      <c r="A1478" s="6"/>
      <c r="E1478" s="2"/>
      <c r="F1478" s="3"/>
      <c r="G1478" s="3"/>
      <c r="P1478" s="8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</row>
    <row r="1479" spans="1:51" x14ac:dyDescent="0.2">
      <c r="A1479" s="6" t="s">
        <v>17</v>
      </c>
      <c r="B1479" t="s">
        <v>26</v>
      </c>
      <c r="C1479" t="s">
        <v>27</v>
      </c>
      <c r="D1479" t="s">
        <v>1918</v>
      </c>
      <c r="E1479" s="2">
        <v>59.14</v>
      </c>
      <c r="F1479" s="3">
        <f t="shared" ref="F1475:G1479" si="89">DATE(2024,7,19)</f>
        <v>45492</v>
      </c>
      <c r="G1479" s="3">
        <f t="shared" si="89"/>
        <v>45492</v>
      </c>
      <c r="H1479">
        <v>1012170006</v>
      </c>
      <c r="I1479" t="s">
        <v>20</v>
      </c>
      <c r="K1479" t="s">
        <v>21</v>
      </c>
      <c r="L1479" t="s">
        <v>22</v>
      </c>
      <c r="M1479" t="s">
        <v>23</v>
      </c>
      <c r="N1479" t="s">
        <v>23</v>
      </c>
      <c r="O1479" t="s">
        <v>24</v>
      </c>
      <c r="P1479" s="8" t="s">
        <v>1919</v>
      </c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</row>
    <row r="1480" spans="1:51" x14ac:dyDescent="0.2">
      <c r="A1480" s="6" t="s">
        <v>17</v>
      </c>
      <c r="B1480" t="s">
        <v>110</v>
      </c>
      <c r="C1480" t="s">
        <v>111</v>
      </c>
      <c r="D1480" t="s">
        <v>1920</v>
      </c>
      <c r="E1480" s="2">
        <v>4.55</v>
      </c>
      <c r="F1480" s="3">
        <f>DATE(2024,7,20)</f>
        <v>45493</v>
      </c>
      <c r="G1480" s="3">
        <f>DATE(2024,7,20)</f>
        <v>45493</v>
      </c>
      <c r="H1480">
        <v>1013962034</v>
      </c>
      <c r="I1480" t="s">
        <v>73</v>
      </c>
      <c r="K1480" t="s">
        <v>21</v>
      </c>
      <c r="L1480" t="s">
        <v>22</v>
      </c>
      <c r="M1480" t="s">
        <v>23</v>
      </c>
      <c r="N1480" t="s">
        <v>23</v>
      </c>
      <c r="O1480" t="s">
        <v>24</v>
      </c>
      <c r="P1480" s="8" t="s">
        <v>1921</v>
      </c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</row>
    <row r="1481" spans="1:51" hidden="1" x14ac:dyDescent="0.2">
      <c r="A1481" s="6"/>
      <c r="E1481" s="2"/>
      <c r="F1481" s="3"/>
      <c r="G1481" s="3"/>
      <c r="P1481" s="8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</row>
    <row r="1482" spans="1:51" x14ac:dyDescent="0.2">
      <c r="A1482" s="6" t="s">
        <v>17</v>
      </c>
      <c r="B1482" t="s">
        <v>57</v>
      </c>
      <c r="C1482" t="s">
        <v>58</v>
      </c>
      <c r="D1482" t="s">
        <v>1922</v>
      </c>
      <c r="E1482" s="2">
        <v>80.400000000000006</v>
      </c>
      <c r="F1482" s="3">
        <f t="shared" ref="F1482:G1490" si="90">DATE(2024,7,22)</f>
        <v>45495</v>
      </c>
      <c r="G1482" s="3">
        <f t="shared" si="90"/>
        <v>45495</v>
      </c>
      <c r="H1482">
        <v>1014188240</v>
      </c>
      <c r="I1482" t="s">
        <v>20</v>
      </c>
      <c r="K1482" t="s">
        <v>21</v>
      </c>
      <c r="L1482" t="s">
        <v>22</v>
      </c>
      <c r="M1482" t="s">
        <v>23</v>
      </c>
      <c r="N1482" t="s">
        <v>23</v>
      </c>
      <c r="O1482" t="s">
        <v>24</v>
      </c>
      <c r="P1482" s="8" t="s">
        <v>1923</v>
      </c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</row>
    <row r="1483" spans="1:51" x14ac:dyDescent="0.2">
      <c r="A1483" s="6" t="s">
        <v>17</v>
      </c>
      <c r="B1483" t="s">
        <v>887</v>
      </c>
      <c r="C1483" t="s">
        <v>888</v>
      </c>
      <c r="D1483" t="s">
        <v>1924</v>
      </c>
      <c r="E1483" s="2">
        <v>397.17</v>
      </c>
      <c r="F1483" s="3">
        <f t="shared" si="90"/>
        <v>45495</v>
      </c>
      <c r="G1483" s="3">
        <f t="shared" si="90"/>
        <v>45495</v>
      </c>
      <c r="H1483">
        <v>1014188241</v>
      </c>
      <c r="I1483" t="s">
        <v>20</v>
      </c>
      <c r="K1483" t="s">
        <v>21</v>
      </c>
      <c r="L1483" t="s">
        <v>22</v>
      </c>
      <c r="M1483" t="s">
        <v>23</v>
      </c>
      <c r="N1483" t="s">
        <v>23</v>
      </c>
      <c r="O1483" t="s">
        <v>24</v>
      </c>
      <c r="P1483" s="8" t="s">
        <v>1925</v>
      </c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</row>
    <row r="1484" spans="1:51" x14ac:dyDescent="0.2">
      <c r="A1484" s="6" t="s">
        <v>17</v>
      </c>
      <c r="B1484" t="s">
        <v>674</v>
      </c>
      <c r="C1484" t="s">
        <v>675</v>
      </c>
      <c r="D1484" t="s">
        <v>1926</v>
      </c>
      <c r="E1484" s="2">
        <v>1876.26</v>
      </c>
      <c r="F1484" s="3">
        <f t="shared" si="90"/>
        <v>45495</v>
      </c>
      <c r="G1484" s="3">
        <f t="shared" si="90"/>
        <v>45495</v>
      </c>
      <c r="H1484">
        <v>1014188242</v>
      </c>
      <c r="I1484" t="s">
        <v>20</v>
      </c>
      <c r="K1484" t="s">
        <v>21</v>
      </c>
      <c r="L1484" t="s">
        <v>22</v>
      </c>
      <c r="M1484" t="s">
        <v>23</v>
      </c>
      <c r="N1484" t="s">
        <v>23</v>
      </c>
      <c r="O1484" t="s">
        <v>24</v>
      </c>
      <c r="P1484" s="8" t="s">
        <v>1927</v>
      </c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</row>
    <row r="1485" spans="1:51" x14ac:dyDescent="0.2">
      <c r="A1485" s="6" t="s">
        <v>17</v>
      </c>
      <c r="B1485" t="s">
        <v>57</v>
      </c>
      <c r="C1485" t="s">
        <v>58</v>
      </c>
      <c r="D1485" t="s">
        <v>1928</v>
      </c>
      <c r="E1485" s="2">
        <v>96</v>
      </c>
      <c r="F1485" s="3">
        <f t="shared" si="90"/>
        <v>45495</v>
      </c>
      <c r="G1485" s="3">
        <f t="shared" si="90"/>
        <v>45495</v>
      </c>
      <c r="H1485">
        <v>1014188243</v>
      </c>
      <c r="I1485" t="s">
        <v>20</v>
      </c>
      <c r="K1485" t="s">
        <v>21</v>
      </c>
      <c r="L1485" t="s">
        <v>22</v>
      </c>
      <c r="M1485" t="s">
        <v>23</v>
      </c>
      <c r="N1485" t="s">
        <v>23</v>
      </c>
      <c r="O1485" t="s">
        <v>24</v>
      </c>
      <c r="P1485" s="8" t="s">
        <v>1929</v>
      </c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</row>
    <row r="1486" spans="1:51" x14ac:dyDescent="0.2">
      <c r="A1486" s="6" t="s">
        <v>17</v>
      </c>
      <c r="B1486" t="s">
        <v>57</v>
      </c>
      <c r="C1486" t="s">
        <v>58</v>
      </c>
      <c r="D1486" t="s">
        <v>1930</v>
      </c>
      <c r="E1486" s="2">
        <v>51.99</v>
      </c>
      <c r="F1486" s="3">
        <f t="shared" si="90"/>
        <v>45495</v>
      </c>
      <c r="G1486" s="3">
        <f t="shared" si="90"/>
        <v>45495</v>
      </c>
      <c r="H1486">
        <v>1014188244</v>
      </c>
      <c r="I1486" t="s">
        <v>20</v>
      </c>
      <c r="K1486" t="s">
        <v>21</v>
      </c>
      <c r="L1486" t="s">
        <v>22</v>
      </c>
      <c r="M1486" t="s">
        <v>23</v>
      </c>
      <c r="N1486" t="s">
        <v>23</v>
      </c>
      <c r="O1486" t="s">
        <v>24</v>
      </c>
      <c r="P1486" s="8" t="s">
        <v>1931</v>
      </c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</row>
    <row r="1487" spans="1:51" x14ac:dyDescent="0.2">
      <c r="A1487" s="6" t="s">
        <v>17</v>
      </c>
      <c r="B1487" t="s">
        <v>887</v>
      </c>
      <c r="C1487" t="s">
        <v>888</v>
      </c>
      <c r="D1487" t="s">
        <v>1932</v>
      </c>
      <c r="E1487" s="2">
        <v>76.78</v>
      </c>
      <c r="F1487" s="3">
        <f t="shared" si="90"/>
        <v>45495</v>
      </c>
      <c r="G1487" s="3">
        <f t="shared" si="90"/>
        <v>45495</v>
      </c>
      <c r="H1487">
        <v>1014188245</v>
      </c>
      <c r="I1487" t="s">
        <v>20</v>
      </c>
      <c r="K1487" t="s">
        <v>21</v>
      </c>
      <c r="L1487" t="s">
        <v>22</v>
      </c>
      <c r="M1487" t="s">
        <v>23</v>
      </c>
      <c r="N1487" t="s">
        <v>23</v>
      </c>
      <c r="O1487" t="s">
        <v>24</v>
      </c>
      <c r="P1487" s="8" t="s">
        <v>1933</v>
      </c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</row>
    <row r="1488" spans="1:51" x14ac:dyDescent="0.2">
      <c r="A1488" s="6" t="s">
        <v>17</v>
      </c>
      <c r="B1488" t="s">
        <v>1060</v>
      </c>
      <c r="C1488" t="s">
        <v>1061</v>
      </c>
      <c r="D1488" t="s">
        <v>1934</v>
      </c>
      <c r="E1488" s="2">
        <v>129.19999999999999</v>
      </c>
      <c r="F1488" s="3">
        <f t="shared" si="90"/>
        <v>45495</v>
      </c>
      <c r="G1488" s="3">
        <f t="shared" si="90"/>
        <v>45495</v>
      </c>
      <c r="H1488">
        <v>1014188246</v>
      </c>
      <c r="I1488" t="s">
        <v>20</v>
      </c>
      <c r="K1488" t="s">
        <v>21</v>
      </c>
      <c r="L1488" t="s">
        <v>22</v>
      </c>
      <c r="M1488" t="s">
        <v>23</v>
      </c>
      <c r="N1488" t="s">
        <v>23</v>
      </c>
      <c r="O1488" t="s">
        <v>24</v>
      </c>
      <c r="P1488" s="8" t="s">
        <v>1935</v>
      </c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</row>
    <row r="1489" spans="1:51" x14ac:dyDescent="0.2">
      <c r="A1489" s="6" t="s">
        <v>17</v>
      </c>
      <c r="B1489" t="s">
        <v>57</v>
      </c>
      <c r="C1489" t="s">
        <v>58</v>
      </c>
      <c r="D1489" t="s">
        <v>1936</v>
      </c>
      <c r="E1489" s="2">
        <v>72.95</v>
      </c>
      <c r="F1489" s="3">
        <f t="shared" si="90"/>
        <v>45495</v>
      </c>
      <c r="G1489" s="3">
        <f t="shared" si="90"/>
        <v>45495</v>
      </c>
      <c r="H1489">
        <v>1014188247</v>
      </c>
      <c r="I1489" t="s">
        <v>20</v>
      </c>
      <c r="K1489" t="s">
        <v>21</v>
      </c>
      <c r="L1489" t="s">
        <v>22</v>
      </c>
      <c r="M1489" t="s">
        <v>23</v>
      </c>
      <c r="N1489" t="s">
        <v>23</v>
      </c>
      <c r="O1489" t="s">
        <v>24</v>
      </c>
      <c r="P1489" s="8" t="s">
        <v>1937</v>
      </c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</row>
    <row r="1490" spans="1:51" x14ac:dyDescent="0.2">
      <c r="A1490" s="6" t="s">
        <v>17</v>
      </c>
      <c r="B1490" t="s">
        <v>655</v>
      </c>
      <c r="C1490" t="s">
        <v>656</v>
      </c>
      <c r="D1490" t="s">
        <v>1938</v>
      </c>
      <c r="E1490" s="2">
        <v>2865.42</v>
      </c>
      <c r="F1490" s="3">
        <f t="shared" si="90"/>
        <v>45495</v>
      </c>
      <c r="G1490" s="3">
        <f t="shared" si="90"/>
        <v>45495</v>
      </c>
      <c r="H1490">
        <v>1014188248</v>
      </c>
      <c r="I1490" t="s">
        <v>20</v>
      </c>
      <c r="K1490" t="s">
        <v>21</v>
      </c>
      <c r="L1490" t="s">
        <v>22</v>
      </c>
      <c r="M1490" t="s">
        <v>23</v>
      </c>
      <c r="N1490" t="s">
        <v>23</v>
      </c>
      <c r="O1490" t="s">
        <v>24</v>
      </c>
      <c r="P1490" s="8" t="s">
        <v>1939</v>
      </c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</row>
    <row r="1491" spans="1:51" x14ac:dyDescent="0.2">
      <c r="A1491" s="6" t="s">
        <v>17</v>
      </c>
      <c r="B1491" t="s">
        <v>179</v>
      </c>
      <c r="C1491" t="s">
        <v>180</v>
      </c>
      <c r="D1491" t="s">
        <v>1940</v>
      </c>
      <c r="E1491" s="2">
        <v>50.54</v>
      </c>
      <c r="F1491" s="3">
        <f>DATE(2024,7,19)</f>
        <v>45492</v>
      </c>
      <c r="G1491" s="3">
        <f>DATE(2024,7,19)</f>
        <v>45492</v>
      </c>
      <c r="H1491">
        <v>1014188250</v>
      </c>
      <c r="I1491" t="s">
        <v>51</v>
      </c>
      <c r="K1491" t="s">
        <v>21</v>
      </c>
      <c r="L1491" t="s">
        <v>22</v>
      </c>
      <c r="M1491" t="s">
        <v>23</v>
      </c>
      <c r="N1491" t="s">
        <v>23</v>
      </c>
      <c r="O1491" t="s">
        <v>24</v>
      </c>
      <c r="P1491" s="8" t="s">
        <v>1941</v>
      </c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</row>
    <row r="1492" spans="1:51" x14ac:dyDescent="0.2">
      <c r="A1492" s="6" t="s">
        <v>17</v>
      </c>
      <c r="B1492" t="s">
        <v>100</v>
      </c>
      <c r="C1492" t="s">
        <v>101</v>
      </c>
      <c r="D1492" t="s">
        <v>1658</v>
      </c>
      <c r="E1492" s="2">
        <v>58.58</v>
      </c>
      <c r="F1492" s="3">
        <f>DATE(2024,7,19)</f>
        <v>45492</v>
      </c>
      <c r="G1492" s="3">
        <f>DATE(2024,7,19)</f>
        <v>45492</v>
      </c>
      <c r="H1492">
        <v>1014188251</v>
      </c>
      <c r="I1492" t="s">
        <v>51</v>
      </c>
      <c r="K1492" t="s">
        <v>21</v>
      </c>
      <c r="L1492" t="s">
        <v>22</v>
      </c>
      <c r="M1492" t="s">
        <v>23</v>
      </c>
      <c r="N1492" t="s">
        <v>23</v>
      </c>
      <c r="O1492" t="s">
        <v>24</v>
      </c>
      <c r="P1492" s="8" t="s">
        <v>1942</v>
      </c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</row>
    <row r="1493" spans="1:51" hidden="1" x14ac:dyDescent="0.2">
      <c r="A1493" s="6"/>
      <c r="E1493" s="2"/>
      <c r="F1493" s="3"/>
      <c r="G1493" s="3"/>
      <c r="P1493" s="8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</row>
    <row r="1494" spans="1:51" hidden="1" x14ac:dyDescent="0.2">
      <c r="A1494" s="6"/>
      <c r="E1494" s="2"/>
      <c r="F1494" s="3"/>
      <c r="G1494" s="3"/>
      <c r="P1494" s="8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</row>
    <row r="1495" spans="1:51" hidden="1" x14ac:dyDescent="0.2">
      <c r="A1495" s="6"/>
      <c r="E1495" s="2"/>
      <c r="F1495" s="3"/>
      <c r="G1495" s="3"/>
      <c r="P1495" s="8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</row>
    <row r="1496" spans="1:51" x14ac:dyDescent="0.2">
      <c r="A1496" s="6" t="s">
        <v>17</v>
      </c>
      <c r="B1496" t="s">
        <v>110</v>
      </c>
      <c r="C1496" t="s">
        <v>111</v>
      </c>
      <c r="D1496" t="s">
        <v>1943</v>
      </c>
      <c r="E1496" s="2">
        <v>2.21</v>
      </c>
      <c r="F1496" s="3">
        <f>DATE(2024,7,21)</f>
        <v>45494</v>
      </c>
      <c r="G1496" s="3">
        <f>DATE(2024,7,21)</f>
        <v>45494</v>
      </c>
      <c r="H1496">
        <v>1017456916</v>
      </c>
      <c r="I1496" t="s">
        <v>73</v>
      </c>
      <c r="K1496" t="s">
        <v>21</v>
      </c>
      <c r="L1496" t="s">
        <v>22</v>
      </c>
      <c r="M1496" t="s">
        <v>23</v>
      </c>
      <c r="N1496" t="s">
        <v>23</v>
      </c>
      <c r="O1496" t="s">
        <v>24</v>
      </c>
      <c r="P1496" s="8" t="s">
        <v>1944</v>
      </c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</row>
    <row r="1497" spans="1:51" hidden="1" x14ac:dyDescent="0.2">
      <c r="A1497" s="6"/>
      <c r="E1497" s="2"/>
      <c r="F1497" s="3"/>
      <c r="G1497" s="3"/>
      <c r="P1497" s="8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</row>
    <row r="1498" spans="1:51" x14ac:dyDescent="0.2">
      <c r="A1498" s="6" t="s">
        <v>17</v>
      </c>
      <c r="B1498" t="s">
        <v>110</v>
      </c>
      <c r="C1498" t="s">
        <v>111</v>
      </c>
      <c r="D1498" t="s">
        <v>1945</v>
      </c>
      <c r="E1498" s="2">
        <v>1.63</v>
      </c>
      <c r="F1498" s="3">
        <f t="shared" ref="F1497:G1508" si="91">DATE(2024,7,22)</f>
        <v>45495</v>
      </c>
      <c r="G1498" s="3">
        <f t="shared" si="91"/>
        <v>45495</v>
      </c>
      <c r="H1498">
        <v>1017456918</v>
      </c>
      <c r="I1498" t="s">
        <v>73</v>
      </c>
      <c r="K1498" t="s">
        <v>21</v>
      </c>
      <c r="L1498" t="s">
        <v>22</v>
      </c>
      <c r="M1498" t="s">
        <v>23</v>
      </c>
      <c r="N1498" t="s">
        <v>23</v>
      </c>
      <c r="O1498" t="s">
        <v>24</v>
      </c>
      <c r="P1498" s="8" t="s">
        <v>1946</v>
      </c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</row>
    <row r="1499" spans="1:51" hidden="1" x14ac:dyDescent="0.2">
      <c r="A1499" s="6"/>
      <c r="E1499" s="2"/>
      <c r="F1499" s="3"/>
      <c r="G1499" s="3"/>
      <c r="P1499" s="8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</row>
    <row r="1500" spans="1:51" hidden="1" x14ac:dyDescent="0.2">
      <c r="A1500" s="6"/>
      <c r="E1500" s="2"/>
      <c r="F1500" s="3"/>
      <c r="G1500" s="3"/>
      <c r="P1500" s="8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</row>
    <row r="1501" spans="1:51" hidden="1" x14ac:dyDescent="0.2">
      <c r="A1501" s="6"/>
      <c r="E1501" s="2"/>
      <c r="F1501" s="3"/>
      <c r="G1501" s="3"/>
      <c r="P1501" s="8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</row>
    <row r="1502" spans="1:51" x14ac:dyDescent="0.2">
      <c r="A1502" s="6" t="s">
        <v>17</v>
      </c>
      <c r="B1502" t="s">
        <v>179</v>
      </c>
      <c r="C1502" t="s">
        <v>180</v>
      </c>
      <c r="D1502" t="s">
        <v>1947</v>
      </c>
      <c r="E1502" s="2">
        <v>995.88</v>
      </c>
      <c r="F1502" s="3">
        <f t="shared" si="91"/>
        <v>45495</v>
      </c>
      <c r="G1502" s="3">
        <f t="shared" si="91"/>
        <v>45495</v>
      </c>
      <c r="H1502">
        <v>1018876284</v>
      </c>
      <c r="I1502" t="s">
        <v>20</v>
      </c>
      <c r="K1502" t="s">
        <v>21</v>
      </c>
      <c r="L1502" t="s">
        <v>22</v>
      </c>
      <c r="M1502" t="s">
        <v>23</v>
      </c>
      <c r="N1502" t="s">
        <v>23</v>
      </c>
      <c r="O1502" t="s">
        <v>24</v>
      </c>
      <c r="P1502" s="8" t="s">
        <v>1948</v>
      </c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</row>
    <row r="1503" spans="1:51" x14ac:dyDescent="0.2">
      <c r="A1503" s="6" t="s">
        <v>17</v>
      </c>
      <c r="B1503" t="s">
        <v>104</v>
      </c>
      <c r="C1503" t="s">
        <v>105</v>
      </c>
      <c r="D1503" t="s">
        <v>1949</v>
      </c>
      <c r="E1503" s="2">
        <v>1154.6199999999999</v>
      </c>
      <c r="F1503" s="3">
        <f t="shared" si="91"/>
        <v>45495</v>
      </c>
      <c r="G1503" s="3">
        <f t="shared" si="91"/>
        <v>45495</v>
      </c>
      <c r="H1503">
        <v>1018876285</v>
      </c>
      <c r="I1503" t="s">
        <v>20</v>
      </c>
      <c r="K1503" t="s">
        <v>21</v>
      </c>
      <c r="L1503" t="s">
        <v>22</v>
      </c>
      <c r="M1503" t="s">
        <v>23</v>
      </c>
      <c r="N1503" t="s">
        <v>23</v>
      </c>
      <c r="O1503" t="s">
        <v>24</v>
      </c>
      <c r="P1503" s="8" t="s">
        <v>1950</v>
      </c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</row>
    <row r="1504" spans="1:51" hidden="1" x14ac:dyDescent="0.2">
      <c r="A1504" s="6"/>
      <c r="E1504" s="2"/>
      <c r="F1504" s="3"/>
      <c r="G1504" s="3"/>
      <c r="P1504" s="8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</row>
    <row r="1505" spans="1:51" x14ac:dyDescent="0.2">
      <c r="A1505" s="6" t="s">
        <v>17</v>
      </c>
      <c r="B1505" t="s">
        <v>611</v>
      </c>
      <c r="C1505" t="s">
        <v>612</v>
      </c>
      <c r="D1505" t="s">
        <v>1951</v>
      </c>
      <c r="E1505" s="2">
        <v>524.34</v>
      </c>
      <c r="F1505" s="3">
        <f t="shared" si="91"/>
        <v>45495</v>
      </c>
      <c r="G1505" s="3">
        <f t="shared" si="91"/>
        <v>45495</v>
      </c>
      <c r="H1505">
        <v>1018876287</v>
      </c>
      <c r="I1505" t="s">
        <v>20</v>
      </c>
      <c r="K1505" t="s">
        <v>21</v>
      </c>
      <c r="L1505" t="s">
        <v>22</v>
      </c>
      <c r="M1505" t="s">
        <v>23</v>
      </c>
      <c r="N1505" t="s">
        <v>23</v>
      </c>
      <c r="O1505" t="s">
        <v>24</v>
      </c>
      <c r="P1505" s="8" t="s">
        <v>1952</v>
      </c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</row>
    <row r="1506" spans="1:51" x14ac:dyDescent="0.2">
      <c r="A1506" s="6" t="s">
        <v>17</v>
      </c>
      <c r="B1506" t="s">
        <v>34</v>
      </c>
      <c r="C1506" t="s">
        <v>35</v>
      </c>
      <c r="D1506" t="s">
        <v>1953</v>
      </c>
      <c r="E1506" s="2">
        <v>1393.84</v>
      </c>
      <c r="F1506" s="3">
        <f t="shared" si="91"/>
        <v>45495</v>
      </c>
      <c r="G1506" s="3">
        <f t="shared" si="91"/>
        <v>45495</v>
      </c>
      <c r="H1506">
        <v>1018876288</v>
      </c>
      <c r="I1506" t="s">
        <v>20</v>
      </c>
      <c r="K1506" t="s">
        <v>21</v>
      </c>
      <c r="L1506" t="s">
        <v>22</v>
      </c>
      <c r="M1506" t="s">
        <v>23</v>
      </c>
      <c r="N1506" t="s">
        <v>23</v>
      </c>
      <c r="O1506" t="s">
        <v>24</v>
      </c>
      <c r="P1506" s="8" t="s">
        <v>1954</v>
      </c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</row>
    <row r="1507" spans="1:51" x14ac:dyDescent="0.2">
      <c r="A1507" s="6" t="s">
        <v>17</v>
      </c>
      <c r="B1507" t="s">
        <v>137</v>
      </c>
      <c r="C1507" t="s">
        <v>138</v>
      </c>
      <c r="D1507" t="s">
        <v>1955</v>
      </c>
      <c r="E1507" s="2">
        <v>585</v>
      </c>
      <c r="F1507" s="3">
        <f t="shared" si="91"/>
        <v>45495</v>
      </c>
      <c r="G1507" s="3">
        <f t="shared" si="91"/>
        <v>45495</v>
      </c>
      <c r="H1507">
        <v>1018876289</v>
      </c>
      <c r="I1507" t="s">
        <v>20</v>
      </c>
      <c r="K1507" t="s">
        <v>21</v>
      </c>
      <c r="L1507" t="s">
        <v>22</v>
      </c>
      <c r="M1507" t="s">
        <v>23</v>
      </c>
      <c r="N1507" t="s">
        <v>23</v>
      </c>
      <c r="O1507" t="s">
        <v>24</v>
      </c>
      <c r="P1507" s="8" t="s">
        <v>1956</v>
      </c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</row>
    <row r="1508" spans="1:51" x14ac:dyDescent="0.2">
      <c r="A1508" s="6" t="s">
        <v>17</v>
      </c>
      <c r="B1508" t="s">
        <v>104</v>
      </c>
      <c r="C1508" t="s">
        <v>105</v>
      </c>
      <c r="D1508" t="s">
        <v>1957</v>
      </c>
      <c r="E1508" s="2">
        <v>1182.72</v>
      </c>
      <c r="F1508" s="3">
        <f t="shared" si="91"/>
        <v>45495</v>
      </c>
      <c r="G1508" s="3">
        <f t="shared" si="91"/>
        <v>45495</v>
      </c>
      <c r="H1508">
        <v>1018876290</v>
      </c>
      <c r="I1508" t="s">
        <v>20</v>
      </c>
      <c r="K1508" t="s">
        <v>21</v>
      </c>
      <c r="L1508" t="s">
        <v>22</v>
      </c>
      <c r="M1508" t="s">
        <v>23</v>
      </c>
      <c r="N1508" t="s">
        <v>23</v>
      </c>
      <c r="O1508" t="s">
        <v>24</v>
      </c>
      <c r="P1508" s="8" t="s">
        <v>1958</v>
      </c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</row>
    <row r="1509" spans="1:51" x14ac:dyDescent="0.2">
      <c r="A1509" s="6" t="s">
        <v>17</v>
      </c>
      <c r="B1509" t="s">
        <v>26</v>
      </c>
      <c r="C1509" t="s">
        <v>27</v>
      </c>
      <c r="D1509" t="s">
        <v>230</v>
      </c>
      <c r="E1509" s="2">
        <v>5.99</v>
      </c>
      <c r="F1509" s="3">
        <f>DATE(2024,7,20)</f>
        <v>45493</v>
      </c>
      <c r="G1509" s="3">
        <f>DATE(2024,7,20)</f>
        <v>45493</v>
      </c>
      <c r="H1509">
        <v>1018876291</v>
      </c>
      <c r="I1509" t="s">
        <v>51</v>
      </c>
      <c r="K1509" t="s">
        <v>21</v>
      </c>
      <c r="L1509" t="s">
        <v>22</v>
      </c>
      <c r="M1509" t="s">
        <v>23</v>
      </c>
      <c r="N1509" t="s">
        <v>23</v>
      </c>
      <c r="O1509" t="s">
        <v>24</v>
      </c>
      <c r="P1509" s="8" t="s">
        <v>1959</v>
      </c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</row>
    <row r="1510" spans="1:51" hidden="1" x14ac:dyDescent="0.2">
      <c r="A1510" s="6"/>
      <c r="E1510" s="2"/>
      <c r="F1510" s="3"/>
      <c r="G1510" s="3"/>
      <c r="P1510" s="8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</row>
    <row r="1511" spans="1:51" hidden="1" x14ac:dyDescent="0.2">
      <c r="A1511" s="6"/>
      <c r="E1511" s="2"/>
      <c r="F1511" s="3"/>
      <c r="G1511" s="3"/>
      <c r="P1511" s="8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</row>
    <row r="1512" spans="1:51" hidden="1" x14ac:dyDescent="0.2">
      <c r="A1512" s="6"/>
      <c r="E1512" s="2"/>
      <c r="F1512" s="3"/>
      <c r="G1512" s="3"/>
      <c r="P1512" s="8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</row>
    <row r="1513" spans="1:51" x14ac:dyDescent="0.2">
      <c r="A1513" s="6" t="s">
        <v>17</v>
      </c>
      <c r="B1513" t="s">
        <v>110</v>
      </c>
      <c r="C1513" t="s">
        <v>111</v>
      </c>
      <c r="D1513" t="s">
        <v>1960</v>
      </c>
      <c r="E1513" s="2">
        <v>1.05</v>
      </c>
      <c r="F1513" s="3">
        <f t="shared" ref="F1510:G1514" si="92">DATE(2024,7,23)</f>
        <v>45496</v>
      </c>
      <c r="G1513" s="3">
        <f t="shared" si="92"/>
        <v>45496</v>
      </c>
      <c r="H1513">
        <v>1022452617</v>
      </c>
      <c r="I1513" t="s">
        <v>73</v>
      </c>
      <c r="K1513" t="s">
        <v>21</v>
      </c>
      <c r="L1513" t="s">
        <v>22</v>
      </c>
      <c r="M1513" t="s">
        <v>23</v>
      </c>
      <c r="N1513" t="s">
        <v>23</v>
      </c>
      <c r="O1513" t="s">
        <v>24</v>
      </c>
      <c r="P1513" s="8" t="s">
        <v>1961</v>
      </c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</row>
    <row r="1514" spans="1:51" hidden="1" x14ac:dyDescent="0.2">
      <c r="A1514" s="6"/>
      <c r="E1514" s="2"/>
      <c r="F1514" s="3"/>
      <c r="G1514" s="3"/>
      <c r="P1514" s="8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</row>
    <row r="1515" spans="1:51" x14ac:dyDescent="0.2">
      <c r="A1515" s="6" t="s">
        <v>17</v>
      </c>
      <c r="B1515" t="s">
        <v>223</v>
      </c>
      <c r="C1515" t="s">
        <v>223</v>
      </c>
      <c r="D1515" t="s">
        <v>1962</v>
      </c>
      <c r="E1515" s="2">
        <v>4606.6099999999997</v>
      </c>
      <c r="F1515" s="3">
        <f>DATE(2024,7,24)</f>
        <v>45497</v>
      </c>
      <c r="G1515" s="3">
        <f>DATE(2024,7,24)</f>
        <v>45497</v>
      </c>
      <c r="H1515">
        <v>1023088010</v>
      </c>
      <c r="I1515" t="s">
        <v>20</v>
      </c>
      <c r="K1515" t="s">
        <v>21</v>
      </c>
      <c r="L1515" t="s">
        <v>22</v>
      </c>
      <c r="M1515" t="s">
        <v>23</v>
      </c>
      <c r="N1515" t="s">
        <v>23</v>
      </c>
      <c r="O1515" t="s">
        <v>24</v>
      </c>
      <c r="P1515" s="8" t="s">
        <v>1963</v>
      </c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</row>
    <row r="1516" spans="1:51" hidden="1" x14ac:dyDescent="0.2">
      <c r="A1516" s="6"/>
      <c r="E1516" s="2"/>
      <c r="F1516" s="3"/>
      <c r="G1516" s="3"/>
      <c r="P1516" s="8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</row>
    <row r="1517" spans="1:51" x14ac:dyDescent="0.2">
      <c r="A1517" s="6" t="s">
        <v>17</v>
      </c>
      <c r="B1517" t="s">
        <v>115</v>
      </c>
      <c r="C1517" t="s">
        <v>116</v>
      </c>
      <c r="D1517" t="s">
        <v>1964</v>
      </c>
      <c r="E1517" s="2">
        <v>400.31</v>
      </c>
      <c r="F1517" s="3">
        <f>DATE(2024,7,24)</f>
        <v>45497</v>
      </c>
      <c r="G1517" s="3">
        <f>DATE(2024,7,24)</f>
        <v>45497</v>
      </c>
      <c r="H1517">
        <v>1023088012</v>
      </c>
      <c r="I1517" t="s">
        <v>20</v>
      </c>
      <c r="K1517" t="s">
        <v>21</v>
      </c>
      <c r="L1517" t="s">
        <v>22</v>
      </c>
      <c r="M1517" t="s">
        <v>23</v>
      </c>
      <c r="N1517" t="s">
        <v>23</v>
      </c>
      <c r="O1517" t="s">
        <v>24</v>
      </c>
      <c r="P1517" s="8" t="s">
        <v>1965</v>
      </c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</row>
    <row r="1518" spans="1:51" hidden="1" x14ac:dyDescent="0.2">
      <c r="A1518" s="6"/>
      <c r="E1518" s="2"/>
      <c r="F1518" s="3"/>
      <c r="G1518" s="3"/>
      <c r="P1518" s="8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</row>
    <row r="1519" spans="1:51" x14ac:dyDescent="0.2">
      <c r="A1519" s="6" t="s">
        <v>17</v>
      </c>
      <c r="B1519" t="s">
        <v>110</v>
      </c>
      <c r="C1519" t="s">
        <v>111</v>
      </c>
      <c r="D1519" t="s">
        <v>1966</v>
      </c>
      <c r="E1519" s="2">
        <v>978.12</v>
      </c>
      <c r="F1519" s="3">
        <f t="shared" ref="F1518:G1525" si="93">DATE(2024,7,23)</f>
        <v>45496</v>
      </c>
      <c r="G1519" s="3">
        <f t="shared" si="93"/>
        <v>45496</v>
      </c>
      <c r="H1519">
        <v>1023088014</v>
      </c>
      <c r="I1519" t="s">
        <v>20</v>
      </c>
      <c r="K1519" t="s">
        <v>21</v>
      </c>
      <c r="L1519" t="s">
        <v>22</v>
      </c>
      <c r="M1519" t="s">
        <v>23</v>
      </c>
      <c r="N1519" t="s">
        <v>23</v>
      </c>
      <c r="O1519" t="s">
        <v>24</v>
      </c>
      <c r="P1519" s="8" t="s">
        <v>1967</v>
      </c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</row>
    <row r="1520" spans="1:51" x14ac:dyDescent="0.2">
      <c r="A1520" s="6" t="s">
        <v>17</v>
      </c>
      <c r="B1520" t="s">
        <v>232</v>
      </c>
      <c r="C1520" t="s">
        <v>233</v>
      </c>
      <c r="D1520" t="s">
        <v>1968</v>
      </c>
      <c r="E1520" s="2">
        <v>1054</v>
      </c>
      <c r="F1520" s="3">
        <f t="shared" si="93"/>
        <v>45496</v>
      </c>
      <c r="G1520" s="3">
        <f t="shared" si="93"/>
        <v>45496</v>
      </c>
      <c r="H1520">
        <v>1023088015</v>
      </c>
      <c r="I1520" t="s">
        <v>20</v>
      </c>
      <c r="K1520" t="s">
        <v>21</v>
      </c>
      <c r="L1520" t="s">
        <v>22</v>
      </c>
      <c r="M1520" t="s">
        <v>23</v>
      </c>
      <c r="N1520" t="s">
        <v>23</v>
      </c>
      <c r="O1520" t="s">
        <v>24</v>
      </c>
      <c r="P1520" s="8" t="s">
        <v>1969</v>
      </c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</row>
    <row r="1521" spans="1:51" x14ac:dyDescent="0.2">
      <c r="A1521" s="6" t="s">
        <v>17</v>
      </c>
      <c r="B1521" t="s">
        <v>1046</v>
      </c>
      <c r="C1521" t="s">
        <v>1047</v>
      </c>
      <c r="D1521" t="s">
        <v>1970</v>
      </c>
      <c r="E1521" s="2">
        <v>1549.19</v>
      </c>
      <c r="F1521" s="3">
        <f t="shared" si="93"/>
        <v>45496</v>
      </c>
      <c r="G1521" s="3">
        <f t="shared" si="93"/>
        <v>45496</v>
      </c>
      <c r="H1521">
        <v>1023088016</v>
      </c>
      <c r="I1521" t="s">
        <v>20</v>
      </c>
      <c r="K1521" t="s">
        <v>21</v>
      </c>
      <c r="L1521" t="s">
        <v>22</v>
      </c>
      <c r="M1521" t="s">
        <v>23</v>
      </c>
      <c r="N1521" t="s">
        <v>23</v>
      </c>
      <c r="O1521" t="s">
        <v>24</v>
      </c>
      <c r="P1521" s="8" t="s">
        <v>1971</v>
      </c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</row>
    <row r="1522" spans="1:51" hidden="1" x14ac:dyDescent="0.2">
      <c r="A1522" s="6"/>
      <c r="E1522" s="2"/>
      <c r="F1522" s="3"/>
      <c r="G1522" s="3"/>
      <c r="P1522" s="8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</row>
    <row r="1523" spans="1:51" x14ac:dyDescent="0.2">
      <c r="A1523" s="6" t="s">
        <v>17</v>
      </c>
      <c r="B1523" t="s">
        <v>363</v>
      </c>
      <c r="C1523" t="s">
        <v>364</v>
      </c>
      <c r="D1523" t="s">
        <v>1972</v>
      </c>
      <c r="E1523" s="2">
        <v>953</v>
      </c>
      <c r="F1523" s="3">
        <f t="shared" si="93"/>
        <v>45496</v>
      </c>
      <c r="G1523" s="3">
        <f t="shared" si="93"/>
        <v>45496</v>
      </c>
      <c r="H1523">
        <v>1023088018</v>
      </c>
      <c r="I1523" t="s">
        <v>20</v>
      </c>
      <c r="K1523" t="s">
        <v>21</v>
      </c>
      <c r="L1523" t="s">
        <v>22</v>
      </c>
      <c r="M1523" t="s">
        <v>23</v>
      </c>
      <c r="N1523" t="s">
        <v>23</v>
      </c>
      <c r="O1523" t="s">
        <v>24</v>
      </c>
      <c r="P1523" s="8" t="s">
        <v>1973</v>
      </c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</row>
    <row r="1524" spans="1:51" x14ac:dyDescent="0.2">
      <c r="A1524" s="6" t="s">
        <v>17</v>
      </c>
      <c r="B1524" t="s">
        <v>191</v>
      </c>
      <c r="C1524" t="s">
        <v>192</v>
      </c>
      <c r="D1524" t="s">
        <v>1974</v>
      </c>
      <c r="E1524" s="2">
        <v>500</v>
      </c>
      <c r="F1524" s="3">
        <f t="shared" si="93"/>
        <v>45496</v>
      </c>
      <c r="G1524" s="3">
        <f t="shared" si="93"/>
        <v>45496</v>
      </c>
      <c r="H1524">
        <v>1023088019</v>
      </c>
      <c r="I1524" t="s">
        <v>20</v>
      </c>
      <c r="K1524" t="s">
        <v>21</v>
      </c>
      <c r="L1524" t="s">
        <v>22</v>
      </c>
      <c r="M1524" t="s">
        <v>23</v>
      </c>
      <c r="N1524" t="s">
        <v>24</v>
      </c>
      <c r="O1524" t="s">
        <v>24</v>
      </c>
      <c r="P1524" s="8" t="s">
        <v>1975</v>
      </c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</row>
    <row r="1525" spans="1:51" x14ac:dyDescent="0.2">
      <c r="A1525" s="6" t="s">
        <v>17</v>
      </c>
      <c r="B1525" t="s">
        <v>191</v>
      </c>
      <c r="C1525" t="s">
        <v>192</v>
      </c>
      <c r="D1525" t="s">
        <v>1976</v>
      </c>
      <c r="E1525" s="2">
        <v>1000</v>
      </c>
      <c r="F1525" s="3">
        <f t="shared" si="93"/>
        <v>45496</v>
      </c>
      <c r="G1525" s="3">
        <f t="shared" si="93"/>
        <v>45496</v>
      </c>
      <c r="H1525">
        <v>1023088020</v>
      </c>
      <c r="I1525" t="s">
        <v>20</v>
      </c>
      <c r="K1525" t="s">
        <v>21</v>
      </c>
      <c r="L1525" t="s">
        <v>22</v>
      </c>
      <c r="M1525" t="s">
        <v>23</v>
      </c>
      <c r="N1525" t="s">
        <v>23</v>
      </c>
      <c r="O1525" t="s">
        <v>24</v>
      </c>
      <c r="P1525" s="8" t="s">
        <v>1977</v>
      </c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</row>
    <row r="1526" spans="1:51" x14ac:dyDescent="0.2">
      <c r="A1526" s="6" t="s">
        <v>17</v>
      </c>
      <c r="B1526" t="s">
        <v>163</v>
      </c>
      <c r="C1526" t="s">
        <v>164</v>
      </c>
      <c r="D1526" t="s">
        <v>1978</v>
      </c>
      <c r="E1526" s="2">
        <v>260.26</v>
      </c>
      <c r="F1526" s="3">
        <f>DATE(2024,7,22)</f>
        <v>45495</v>
      </c>
      <c r="G1526" s="3">
        <f>DATE(2024,7,22)</f>
        <v>45495</v>
      </c>
      <c r="H1526">
        <v>1023088040</v>
      </c>
      <c r="I1526" t="s">
        <v>51</v>
      </c>
      <c r="K1526" t="s">
        <v>21</v>
      </c>
      <c r="L1526" t="s">
        <v>22</v>
      </c>
      <c r="M1526" t="s">
        <v>23</v>
      </c>
      <c r="N1526" t="s">
        <v>23</v>
      </c>
      <c r="O1526" t="s">
        <v>24</v>
      </c>
      <c r="P1526" s="8" t="s">
        <v>1979</v>
      </c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</row>
    <row r="1527" spans="1:51" hidden="1" x14ac:dyDescent="0.2">
      <c r="A1527" s="6"/>
      <c r="E1527" s="2"/>
      <c r="F1527" s="3"/>
      <c r="G1527" s="3"/>
      <c r="P1527" s="8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</row>
    <row r="1528" spans="1:51" hidden="1" x14ac:dyDescent="0.2">
      <c r="A1528" s="6"/>
      <c r="E1528" s="2"/>
      <c r="F1528" s="3"/>
      <c r="G1528" s="3"/>
      <c r="P1528" s="8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</row>
    <row r="1529" spans="1:51" hidden="1" x14ac:dyDescent="0.2">
      <c r="A1529" s="6"/>
      <c r="E1529" s="2"/>
      <c r="F1529" s="3"/>
      <c r="G1529" s="3"/>
      <c r="P1529" s="8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</row>
    <row r="1530" spans="1:51" hidden="1" x14ac:dyDescent="0.2">
      <c r="A1530" s="6"/>
      <c r="E1530" s="2"/>
      <c r="F1530" s="3"/>
      <c r="G1530" s="3"/>
      <c r="P1530" s="8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</row>
    <row r="1531" spans="1:51" x14ac:dyDescent="0.2">
      <c r="A1531" s="6" t="s">
        <v>17</v>
      </c>
      <c r="B1531" t="s">
        <v>110</v>
      </c>
      <c r="C1531" t="s">
        <v>111</v>
      </c>
      <c r="D1531" t="s">
        <v>1980</v>
      </c>
      <c r="E1531" s="2">
        <v>0.4</v>
      </c>
      <c r="F1531" s="3">
        <f t="shared" ref="F1529:G1533" si="94">DATE(2024,7,24)</f>
        <v>45497</v>
      </c>
      <c r="G1531" s="3">
        <f t="shared" si="94"/>
        <v>45497</v>
      </c>
      <c r="H1531">
        <v>1026496216</v>
      </c>
      <c r="I1531" t="s">
        <v>73</v>
      </c>
      <c r="K1531" t="s">
        <v>21</v>
      </c>
      <c r="L1531" t="s">
        <v>22</v>
      </c>
      <c r="M1531" t="s">
        <v>23</v>
      </c>
      <c r="N1531" t="s">
        <v>23</v>
      </c>
      <c r="O1531" t="s">
        <v>24</v>
      </c>
      <c r="P1531" s="8" t="s">
        <v>1981</v>
      </c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</row>
    <row r="1532" spans="1:51" hidden="1" x14ac:dyDescent="0.2">
      <c r="A1532" s="6"/>
      <c r="E1532" s="2"/>
      <c r="F1532" s="3"/>
      <c r="G1532" s="3"/>
      <c r="P1532" s="8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</row>
    <row r="1533" spans="1:51" hidden="1" x14ac:dyDescent="0.2">
      <c r="A1533" s="6"/>
      <c r="E1533" s="2"/>
      <c r="F1533" s="3"/>
      <c r="G1533" s="3"/>
      <c r="P1533" s="8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</row>
    <row r="1534" spans="1:51" x14ac:dyDescent="0.2">
      <c r="A1534" s="6" t="s">
        <v>17</v>
      </c>
      <c r="B1534" t="s">
        <v>144</v>
      </c>
      <c r="C1534" t="s">
        <v>145</v>
      </c>
      <c r="D1534" t="s">
        <v>157</v>
      </c>
      <c r="E1534" s="2">
        <v>1.8</v>
      </c>
      <c r="F1534" s="3">
        <f>DATE(2024,7,22)</f>
        <v>45495</v>
      </c>
      <c r="G1534" s="3">
        <f>DATE(2024,7,22)</f>
        <v>45495</v>
      </c>
      <c r="H1534">
        <v>1026901972</v>
      </c>
      <c r="I1534" t="s">
        <v>51</v>
      </c>
      <c r="K1534" t="s">
        <v>21</v>
      </c>
      <c r="L1534" t="s">
        <v>22</v>
      </c>
      <c r="M1534" t="s">
        <v>23</v>
      </c>
      <c r="N1534" t="s">
        <v>23</v>
      </c>
      <c r="O1534" t="s">
        <v>24</v>
      </c>
      <c r="P1534" s="8" t="s">
        <v>1982</v>
      </c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</row>
    <row r="1535" spans="1:51" hidden="1" x14ac:dyDescent="0.2">
      <c r="A1535" s="6"/>
      <c r="E1535" s="2"/>
      <c r="F1535" s="3"/>
      <c r="G1535" s="3"/>
      <c r="P1535" s="8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</row>
    <row r="1536" spans="1:51" x14ac:dyDescent="0.2">
      <c r="A1536" s="6" t="s">
        <v>17</v>
      </c>
      <c r="B1536" t="s">
        <v>611</v>
      </c>
      <c r="C1536" t="s">
        <v>612</v>
      </c>
      <c r="D1536" t="s">
        <v>1983</v>
      </c>
      <c r="E1536" s="2">
        <v>300</v>
      </c>
      <c r="F1536" s="3">
        <f>DATE(2024,7,25)</f>
        <v>45498</v>
      </c>
      <c r="G1536" s="3">
        <f>DATE(2024,7,25)</f>
        <v>45498</v>
      </c>
      <c r="H1536">
        <v>1030376751</v>
      </c>
      <c r="I1536" t="s">
        <v>20</v>
      </c>
      <c r="K1536" t="s">
        <v>21</v>
      </c>
      <c r="L1536" t="s">
        <v>22</v>
      </c>
      <c r="M1536" t="s">
        <v>23</v>
      </c>
      <c r="N1536" t="s">
        <v>23</v>
      </c>
      <c r="O1536" t="s">
        <v>24</v>
      </c>
      <c r="P1536" s="8" t="s">
        <v>1984</v>
      </c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</row>
    <row r="1537" spans="1:51" x14ac:dyDescent="0.2">
      <c r="A1537" s="6" t="s">
        <v>17</v>
      </c>
      <c r="B1537" t="s">
        <v>57</v>
      </c>
      <c r="C1537" t="s">
        <v>58</v>
      </c>
      <c r="D1537" t="s">
        <v>1985</v>
      </c>
      <c r="E1537" s="2">
        <v>65.209999999999994</v>
      </c>
      <c r="F1537" s="3">
        <f>DATE(2024,7,26)</f>
        <v>45499</v>
      </c>
      <c r="G1537" s="3">
        <f>DATE(2024,7,26)</f>
        <v>45499</v>
      </c>
      <c r="H1537">
        <v>1030376752</v>
      </c>
      <c r="I1537" t="s">
        <v>20</v>
      </c>
      <c r="K1537" t="s">
        <v>21</v>
      </c>
      <c r="L1537" t="s">
        <v>22</v>
      </c>
      <c r="M1537" t="s">
        <v>23</v>
      </c>
      <c r="N1537" t="s">
        <v>23</v>
      </c>
      <c r="O1537" t="s">
        <v>24</v>
      </c>
      <c r="P1537" s="8" t="s">
        <v>1986</v>
      </c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</row>
    <row r="1538" spans="1:51" x14ac:dyDescent="0.2">
      <c r="A1538" s="6" t="s">
        <v>17</v>
      </c>
      <c r="B1538" t="s">
        <v>674</v>
      </c>
      <c r="C1538" t="s">
        <v>675</v>
      </c>
      <c r="D1538" t="s">
        <v>1987</v>
      </c>
      <c r="E1538" s="2">
        <v>451.68</v>
      </c>
      <c r="F1538" s="3">
        <f t="shared" ref="F1538:G1540" si="95">DATE(2024,7,25)</f>
        <v>45498</v>
      </c>
      <c r="G1538" s="3">
        <f t="shared" si="95"/>
        <v>45498</v>
      </c>
      <c r="H1538">
        <v>1030376753</v>
      </c>
      <c r="I1538" t="s">
        <v>20</v>
      </c>
      <c r="K1538" t="s">
        <v>21</v>
      </c>
      <c r="L1538" t="s">
        <v>22</v>
      </c>
      <c r="M1538" t="s">
        <v>23</v>
      </c>
      <c r="N1538" t="s">
        <v>23</v>
      </c>
      <c r="O1538" t="s">
        <v>24</v>
      </c>
      <c r="P1538" s="8" t="s">
        <v>1988</v>
      </c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</row>
    <row r="1539" spans="1:51" x14ac:dyDescent="0.2">
      <c r="A1539" s="6" t="s">
        <v>17</v>
      </c>
      <c r="B1539" t="s">
        <v>104</v>
      </c>
      <c r="C1539" t="s">
        <v>105</v>
      </c>
      <c r="D1539" t="s">
        <v>1989</v>
      </c>
      <c r="E1539" s="2">
        <v>359.02</v>
      </c>
      <c r="F1539" s="3">
        <f t="shared" si="95"/>
        <v>45498</v>
      </c>
      <c r="G1539" s="3">
        <f t="shared" si="95"/>
        <v>45498</v>
      </c>
      <c r="H1539">
        <v>1030376754</v>
      </c>
      <c r="I1539" t="s">
        <v>20</v>
      </c>
      <c r="K1539" t="s">
        <v>21</v>
      </c>
      <c r="L1539" t="s">
        <v>22</v>
      </c>
      <c r="M1539" t="s">
        <v>23</v>
      </c>
      <c r="N1539" t="s">
        <v>23</v>
      </c>
      <c r="O1539" t="s">
        <v>24</v>
      </c>
      <c r="P1539" s="8" t="s">
        <v>1990</v>
      </c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</row>
    <row r="1540" spans="1:51" x14ac:dyDescent="0.2">
      <c r="A1540" s="6" t="s">
        <v>17</v>
      </c>
      <c r="B1540" t="s">
        <v>261</v>
      </c>
      <c r="C1540" t="s">
        <v>262</v>
      </c>
      <c r="D1540" t="s">
        <v>1991</v>
      </c>
      <c r="E1540" s="2">
        <v>2612.85</v>
      </c>
      <c r="F1540" s="3">
        <f t="shared" si="95"/>
        <v>45498</v>
      </c>
      <c r="G1540" s="3">
        <f t="shared" si="95"/>
        <v>45498</v>
      </c>
      <c r="H1540">
        <v>1030376755</v>
      </c>
      <c r="I1540" t="s">
        <v>20</v>
      </c>
      <c r="K1540" t="s">
        <v>21</v>
      </c>
      <c r="L1540" t="s">
        <v>22</v>
      </c>
      <c r="M1540" t="s">
        <v>23</v>
      </c>
      <c r="N1540" t="s">
        <v>23</v>
      </c>
      <c r="O1540" t="s">
        <v>24</v>
      </c>
      <c r="P1540" s="8" t="s">
        <v>1992</v>
      </c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</row>
    <row r="1541" spans="1:51" x14ac:dyDescent="0.2">
      <c r="A1541" s="6" t="s">
        <v>17</v>
      </c>
      <c r="B1541" t="s">
        <v>61</v>
      </c>
      <c r="C1541" t="s">
        <v>62</v>
      </c>
      <c r="D1541" t="s">
        <v>1993</v>
      </c>
      <c r="E1541" s="2">
        <v>720</v>
      </c>
      <c r="F1541" s="3">
        <f>DATE(2024,7,26)</f>
        <v>45499</v>
      </c>
      <c r="G1541" s="3">
        <f>DATE(2024,7,26)</f>
        <v>45499</v>
      </c>
      <c r="H1541">
        <v>1030376756</v>
      </c>
      <c r="I1541" t="s">
        <v>20</v>
      </c>
      <c r="K1541" t="s">
        <v>21</v>
      </c>
      <c r="L1541" t="s">
        <v>22</v>
      </c>
      <c r="M1541" t="s">
        <v>23</v>
      </c>
      <c r="N1541" t="s">
        <v>23</v>
      </c>
      <c r="O1541" t="s">
        <v>24</v>
      </c>
      <c r="P1541" s="8" t="s">
        <v>1994</v>
      </c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</row>
    <row r="1542" spans="1:51" x14ac:dyDescent="0.2">
      <c r="A1542" s="6" t="s">
        <v>17</v>
      </c>
      <c r="B1542" t="s">
        <v>104</v>
      </c>
      <c r="C1542" t="s">
        <v>105</v>
      </c>
      <c r="D1542" t="s">
        <v>1995</v>
      </c>
      <c r="E1542" s="2">
        <v>249.12</v>
      </c>
      <c r="F1542" s="3">
        <f>DATE(2024,7,25)</f>
        <v>45498</v>
      </c>
      <c r="G1542" s="3">
        <f>DATE(2024,7,25)</f>
        <v>45498</v>
      </c>
      <c r="H1542">
        <v>1030376757</v>
      </c>
      <c r="I1542" t="s">
        <v>20</v>
      </c>
      <c r="K1542" t="s">
        <v>21</v>
      </c>
      <c r="L1542" t="s">
        <v>22</v>
      </c>
      <c r="M1542" t="s">
        <v>23</v>
      </c>
      <c r="N1542" t="s">
        <v>23</v>
      </c>
      <c r="O1542" t="s">
        <v>24</v>
      </c>
      <c r="P1542" s="8" t="s">
        <v>1996</v>
      </c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</row>
    <row r="1543" spans="1:51" x14ac:dyDescent="0.2">
      <c r="A1543" s="6" t="s">
        <v>17</v>
      </c>
      <c r="B1543" t="s">
        <v>104</v>
      </c>
      <c r="C1543" t="s">
        <v>105</v>
      </c>
      <c r="D1543" t="s">
        <v>1997</v>
      </c>
      <c r="E1543" s="2">
        <v>263.70999999999998</v>
      </c>
      <c r="F1543" s="3">
        <f>DATE(2024,7,26)</f>
        <v>45499</v>
      </c>
      <c r="G1543" s="3">
        <f>DATE(2024,7,26)</f>
        <v>45499</v>
      </c>
      <c r="H1543">
        <v>1030376758</v>
      </c>
      <c r="I1543" t="s">
        <v>20</v>
      </c>
      <c r="K1543" t="s">
        <v>21</v>
      </c>
      <c r="L1543" t="s">
        <v>22</v>
      </c>
      <c r="M1543" t="s">
        <v>23</v>
      </c>
      <c r="N1543" t="s">
        <v>23</v>
      </c>
      <c r="O1543" t="s">
        <v>24</v>
      </c>
      <c r="P1543" s="8" t="s">
        <v>1998</v>
      </c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</row>
    <row r="1544" spans="1:51" x14ac:dyDescent="0.2">
      <c r="A1544" s="6" t="s">
        <v>17</v>
      </c>
      <c r="B1544" t="s">
        <v>44</v>
      </c>
      <c r="C1544" t="s">
        <v>45</v>
      </c>
      <c r="D1544" t="s">
        <v>1999</v>
      </c>
      <c r="E1544" s="2">
        <v>10.08</v>
      </c>
      <c r="F1544" s="3">
        <f t="shared" ref="F1544:G1548" si="96">DATE(2024,7,24)</f>
        <v>45497</v>
      </c>
      <c r="G1544" s="3">
        <f t="shared" si="96"/>
        <v>45497</v>
      </c>
      <c r="H1544">
        <v>1030377562</v>
      </c>
      <c r="I1544" t="s">
        <v>51</v>
      </c>
      <c r="K1544" t="s">
        <v>21</v>
      </c>
      <c r="L1544" t="s">
        <v>22</v>
      </c>
      <c r="M1544" t="s">
        <v>23</v>
      </c>
      <c r="N1544" t="s">
        <v>23</v>
      </c>
      <c r="O1544" t="s">
        <v>24</v>
      </c>
      <c r="P1544" s="8" t="s">
        <v>2000</v>
      </c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</row>
    <row r="1545" spans="1:51" x14ac:dyDescent="0.2">
      <c r="A1545" s="6" t="s">
        <v>17</v>
      </c>
      <c r="B1545" t="s">
        <v>44</v>
      </c>
      <c r="C1545" t="s">
        <v>45</v>
      </c>
      <c r="D1545" t="s">
        <v>2001</v>
      </c>
      <c r="E1545" s="2">
        <v>12.36</v>
      </c>
      <c r="F1545" s="3">
        <f t="shared" si="96"/>
        <v>45497</v>
      </c>
      <c r="G1545" s="3">
        <f t="shared" si="96"/>
        <v>45497</v>
      </c>
      <c r="H1545">
        <v>1030377563</v>
      </c>
      <c r="I1545" t="s">
        <v>51</v>
      </c>
      <c r="K1545" t="s">
        <v>21</v>
      </c>
      <c r="L1545" t="s">
        <v>22</v>
      </c>
      <c r="M1545" t="s">
        <v>23</v>
      </c>
      <c r="N1545" t="s">
        <v>23</v>
      </c>
      <c r="O1545" t="s">
        <v>24</v>
      </c>
      <c r="P1545" s="8" t="s">
        <v>2002</v>
      </c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</row>
    <row r="1546" spans="1:51" x14ac:dyDescent="0.2">
      <c r="A1546" s="6" t="s">
        <v>17</v>
      </c>
      <c r="B1546" t="s">
        <v>44</v>
      </c>
      <c r="C1546" t="s">
        <v>45</v>
      </c>
      <c r="D1546" t="s">
        <v>2003</v>
      </c>
      <c r="E1546" s="2">
        <v>17.440000000000001</v>
      </c>
      <c r="F1546" s="3">
        <f t="shared" si="96"/>
        <v>45497</v>
      </c>
      <c r="G1546" s="3">
        <f t="shared" si="96"/>
        <v>45497</v>
      </c>
      <c r="H1546">
        <v>1030377564</v>
      </c>
      <c r="I1546" t="s">
        <v>51</v>
      </c>
      <c r="K1546" t="s">
        <v>21</v>
      </c>
      <c r="L1546" t="s">
        <v>22</v>
      </c>
      <c r="M1546" t="s">
        <v>23</v>
      </c>
      <c r="N1546" t="s">
        <v>23</v>
      </c>
      <c r="O1546" t="s">
        <v>24</v>
      </c>
      <c r="P1546" s="8" t="s">
        <v>2004</v>
      </c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</row>
    <row r="1547" spans="1:51" x14ac:dyDescent="0.2">
      <c r="A1547" s="6" t="s">
        <v>17</v>
      </c>
      <c r="B1547" t="s">
        <v>44</v>
      </c>
      <c r="C1547" t="s">
        <v>45</v>
      </c>
      <c r="D1547" t="s">
        <v>2005</v>
      </c>
      <c r="E1547" s="2">
        <v>42.74</v>
      </c>
      <c r="F1547" s="3">
        <f t="shared" si="96"/>
        <v>45497</v>
      </c>
      <c r="G1547" s="3">
        <f t="shared" si="96"/>
        <v>45497</v>
      </c>
      <c r="H1547">
        <v>1030377565</v>
      </c>
      <c r="I1547" t="s">
        <v>51</v>
      </c>
      <c r="K1547" t="s">
        <v>21</v>
      </c>
      <c r="L1547" t="s">
        <v>22</v>
      </c>
      <c r="M1547" t="s">
        <v>23</v>
      </c>
      <c r="N1547" t="s">
        <v>23</v>
      </c>
      <c r="O1547" t="s">
        <v>24</v>
      </c>
      <c r="P1547" s="8" t="s">
        <v>2006</v>
      </c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</row>
    <row r="1548" spans="1:51" x14ac:dyDescent="0.2">
      <c r="A1548" s="6" t="s">
        <v>17</v>
      </c>
      <c r="B1548" t="s">
        <v>316</v>
      </c>
      <c r="C1548" t="s">
        <v>316</v>
      </c>
      <c r="D1548" t="s">
        <v>2007</v>
      </c>
      <c r="E1548" s="2">
        <v>28.5</v>
      </c>
      <c r="F1548" s="3">
        <f t="shared" si="96"/>
        <v>45497</v>
      </c>
      <c r="G1548" s="3">
        <f t="shared" si="96"/>
        <v>45497</v>
      </c>
      <c r="H1548">
        <v>1030377566</v>
      </c>
      <c r="I1548" t="s">
        <v>51</v>
      </c>
      <c r="K1548" t="s">
        <v>21</v>
      </c>
      <c r="L1548" t="s">
        <v>22</v>
      </c>
      <c r="M1548" t="s">
        <v>23</v>
      </c>
      <c r="N1548" t="s">
        <v>23</v>
      </c>
      <c r="O1548" t="s">
        <v>24</v>
      </c>
      <c r="P1548" s="8" t="s">
        <v>2008</v>
      </c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</row>
    <row r="1549" spans="1:51" hidden="1" x14ac:dyDescent="0.2">
      <c r="A1549" s="6"/>
      <c r="E1549" s="2"/>
      <c r="F1549" s="3"/>
      <c r="G1549" s="3"/>
      <c r="P1549" s="8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</row>
    <row r="1550" spans="1:51" hidden="1" x14ac:dyDescent="0.2">
      <c r="A1550" s="6"/>
      <c r="E1550" s="2"/>
      <c r="F1550" s="3"/>
      <c r="G1550" s="3"/>
      <c r="P1550" s="8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</row>
    <row r="1551" spans="1:51" hidden="1" x14ac:dyDescent="0.2">
      <c r="A1551" s="6"/>
      <c r="E1551" s="2"/>
      <c r="F1551" s="3"/>
      <c r="G1551" s="3"/>
      <c r="P1551" s="8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</row>
    <row r="1552" spans="1:51" hidden="1" x14ac:dyDescent="0.2">
      <c r="A1552" s="6"/>
      <c r="E1552" s="2"/>
      <c r="F1552" s="3"/>
      <c r="G1552" s="3"/>
      <c r="P1552" s="8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</row>
    <row r="1553" spans="1:51" hidden="1" x14ac:dyDescent="0.2">
      <c r="A1553" s="6"/>
      <c r="E1553" s="2"/>
      <c r="F1553" s="3"/>
      <c r="G1553" s="3"/>
      <c r="P1553" s="8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</row>
    <row r="1554" spans="1:51" hidden="1" x14ac:dyDescent="0.2">
      <c r="A1554" s="6"/>
      <c r="E1554" s="2"/>
      <c r="F1554" s="3"/>
      <c r="G1554" s="3"/>
      <c r="P1554" s="8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</row>
    <row r="1555" spans="1:51" x14ac:dyDescent="0.2">
      <c r="A1555" s="6" t="s">
        <v>17</v>
      </c>
      <c r="B1555" t="s">
        <v>44</v>
      </c>
      <c r="C1555" t="s">
        <v>45</v>
      </c>
      <c r="D1555" t="s">
        <v>1782</v>
      </c>
      <c r="E1555" s="2">
        <v>126.6</v>
      </c>
      <c r="F1555" s="3">
        <f t="shared" ref="F1555:G1558" si="97">DATE(2024,7,25)</f>
        <v>45498</v>
      </c>
      <c r="G1555" s="3">
        <f t="shared" si="97"/>
        <v>45498</v>
      </c>
      <c r="H1555">
        <v>1033040958</v>
      </c>
      <c r="I1555" t="s">
        <v>51</v>
      </c>
      <c r="K1555" t="s">
        <v>21</v>
      </c>
      <c r="L1555" t="s">
        <v>22</v>
      </c>
      <c r="M1555" t="s">
        <v>23</v>
      </c>
      <c r="N1555" t="s">
        <v>23</v>
      </c>
      <c r="O1555" t="s">
        <v>24</v>
      </c>
      <c r="P1555" s="8" t="s">
        <v>2009</v>
      </c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</row>
    <row r="1556" spans="1:51" x14ac:dyDescent="0.2">
      <c r="A1556" s="6" t="s">
        <v>17</v>
      </c>
      <c r="B1556" t="s">
        <v>100</v>
      </c>
      <c r="C1556" t="s">
        <v>101</v>
      </c>
      <c r="D1556" t="s">
        <v>1658</v>
      </c>
      <c r="E1556" s="2">
        <v>213.67</v>
      </c>
      <c r="F1556" s="3">
        <f t="shared" si="97"/>
        <v>45498</v>
      </c>
      <c r="G1556" s="3">
        <f t="shared" si="97"/>
        <v>45498</v>
      </c>
      <c r="H1556">
        <v>1033040959</v>
      </c>
      <c r="I1556" t="s">
        <v>51</v>
      </c>
      <c r="K1556" t="s">
        <v>21</v>
      </c>
      <c r="L1556" t="s">
        <v>22</v>
      </c>
      <c r="M1556" t="s">
        <v>23</v>
      </c>
      <c r="N1556" t="s">
        <v>23</v>
      </c>
      <c r="O1556" t="s">
        <v>24</v>
      </c>
      <c r="P1556" s="8" t="s">
        <v>2010</v>
      </c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</row>
    <row r="1557" spans="1:51" x14ac:dyDescent="0.2">
      <c r="A1557" s="6" t="s">
        <v>17</v>
      </c>
      <c r="B1557" t="s">
        <v>44</v>
      </c>
      <c r="C1557" t="s">
        <v>45</v>
      </c>
      <c r="D1557" t="s">
        <v>2011</v>
      </c>
      <c r="E1557" s="2">
        <v>231.3</v>
      </c>
      <c r="F1557" s="3">
        <f t="shared" si="97"/>
        <v>45498</v>
      </c>
      <c r="G1557" s="3">
        <f t="shared" si="97"/>
        <v>45498</v>
      </c>
      <c r="H1557">
        <v>1033040960</v>
      </c>
      <c r="I1557" t="s">
        <v>51</v>
      </c>
      <c r="K1557" t="s">
        <v>21</v>
      </c>
      <c r="L1557" t="s">
        <v>22</v>
      </c>
      <c r="M1557" t="s">
        <v>23</v>
      </c>
      <c r="N1557" t="s">
        <v>23</v>
      </c>
      <c r="O1557" t="s">
        <v>24</v>
      </c>
      <c r="P1557" s="8" t="s">
        <v>2012</v>
      </c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</row>
    <row r="1558" spans="1:51" x14ac:dyDescent="0.2">
      <c r="A1558" s="6" t="s">
        <v>17</v>
      </c>
      <c r="B1558" t="s">
        <v>104</v>
      </c>
      <c r="C1558" t="s">
        <v>105</v>
      </c>
      <c r="D1558" t="s">
        <v>2013</v>
      </c>
      <c r="E1558" s="2">
        <v>100.13</v>
      </c>
      <c r="F1558" s="3">
        <f t="shared" si="97"/>
        <v>45498</v>
      </c>
      <c r="G1558" s="3">
        <f t="shared" si="97"/>
        <v>45498</v>
      </c>
      <c r="H1558">
        <v>1033040961</v>
      </c>
      <c r="I1558" t="s">
        <v>51</v>
      </c>
      <c r="K1558" t="s">
        <v>21</v>
      </c>
      <c r="L1558" t="s">
        <v>22</v>
      </c>
      <c r="M1558" t="s">
        <v>23</v>
      </c>
      <c r="N1558" t="s">
        <v>23</v>
      </c>
      <c r="O1558" t="s">
        <v>24</v>
      </c>
      <c r="P1558" s="8" t="s">
        <v>2014</v>
      </c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</row>
    <row r="1559" spans="1:51" x14ac:dyDescent="0.2">
      <c r="A1559" s="6" t="s">
        <v>17</v>
      </c>
      <c r="B1559" t="s">
        <v>110</v>
      </c>
      <c r="C1559" t="s">
        <v>111</v>
      </c>
      <c r="D1559" t="s">
        <v>2015</v>
      </c>
      <c r="E1559" s="2">
        <v>1.31</v>
      </c>
      <c r="F1559" s="3">
        <f>DATE(2024,7,27)</f>
        <v>45500</v>
      </c>
      <c r="G1559" s="3">
        <f>DATE(2024,7,27)</f>
        <v>45500</v>
      </c>
      <c r="H1559">
        <v>1034872406</v>
      </c>
      <c r="I1559" t="s">
        <v>73</v>
      </c>
      <c r="K1559" t="s">
        <v>21</v>
      </c>
      <c r="L1559" t="s">
        <v>22</v>
      </c>
      <c r="M1559" t="s">
        <v>23</v>
      </c>
      <c r="N1559" t="s">
        <v>23</v>
      </c>
      <c r="O1559" t="s">
        <v>24</v>
      </c>
      <c r="P1559" s="8" t="s">
        <v>2016</v>
      </c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</row>
    <row r="1560" spans="1:51" hidden="1" x14ac:dyDescent="0.2">
      <c r="A1560" s="6"/>
      <c r="E1560" s="2"/>
      <c r="F1560" s="3"/>
      <c r="G1560" s="3"/>
      <c r="P1560" s="8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</row>
    <row r="1561" spans="1:51" x14ac:dyDescent="0.2">
      <c r="A1561" s="6" t="s">
        <v>17</v>
      </c>
      <c r="B1561" t="s">
        <v>1060</v>
      </c>
      <c r="C1561" t="s">
        <v>1061</v>
      </c>
      <c r="D1561" t="s">
        <v>2017</v>
      </c>
      <c r="E1561" s="2">
        <v>155.58000000000001</v>
      </c>
      <c r="F1561" s="3">
        <f>DATE(2024,7,29)</f>
        <v>45502</v>
      </c>
      <c r="G1561" s="3">
        <f>DATE(2024,7,29)</f>
        <v>45502</v>
      </c>
      <c r="H1561">
        <v>1035082208</v>
      </c>
      <c r="I1561" t="s">
        <v>20</v>
      </c>
      <c r="K1561" t="s">
        <v>21</v>
      </c>
      <c r="L1561" t="s">
        <v>22</v>
      </c>
      <c r="M1561" t="s">
        <v>23</v>
      </c>
      <c r="N1561" t="s">
        <v>23</v>
      </c>
      <c r="O1561" t="s">
        <v>24</v>
      </c>
      <c r="P1561" s="8" t="s">
        <v>2018</v>
      </c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</row>
    <row r="1562" spans="1:51" x14ac:dyDescent="0.2">
      <c r="A1562" s="6" t="s">
        <v>17</v>
      </c>
      <c r="B1562" t="s">
        <v>44</v>
      </c>
      <c r="C1562" t="s">
        <v>45</v>
      </c>
      <c r="D1562" t="s">
        <v>831</v>
      </c>
      <c r="E1562" s="2">
        <v>70.14</v>
      </c>
      <c r="F1562" s="3">
        <f>DATE(2024,7,25)</f>
        <v>45498</v>
      </c>
      <c r="G1562" s="3">
        <f>DATE(2024,7,25)</f>
        <v>45498</v>
      </c>
      <c r="H1562">
        <v>1035082211</v>
      </c>
      <c r="I1562" t="s">
        <v>51</v>
      </c>
      <c r="K1562" t="s">
        <v>21</v>
      </c>
      <c r="L1562" t="s">
        <v>22</v>
      </c>
      <c r="M1562" t="s">
        <v>23</v>
      </c>
      <c r="N1562" t="s">
        <v>23</v>
      </c>
      <c r="O1562" t="s">
        <v>24</v>
      </c>
      <c r="P1562" s="8" t="s">
        <v>2019</v>
      </c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</row>
    <row r="1563" spans="1:51" x14ac:dyDescent="0.2">
      <c r="A1563" s="6" t="s">
        <v>17</v>
      </c>
      <c r="B1563" t="s">
        <v>887</v>
      </c>
      <c r="C1563" t="s">
        <v>888</v>
      </c>
      <c r="D1563" t="s">
        <v>1866</v>
      </c>
      <c r="E1563" s="2">
        <v>44.97</v>
      </c>
      <c r="F1563" s="3">
        <f>DATE(2024,7,26)</f>
        <v>45499</v>
      </c>
      <c r="G1563" s="3">
        <f>DATE(2024,7,26)</f>
        <v>45499</v>
      </c>
      <c r="H1563">
        <v>1035082212</v>
      </c>
      <c r="I1563" t="s">
        <v>51</v>
      </c>
      <c r="K1563" t="s">
        <v>21</v>
      </c>
      <c r="L1563" t="s">
        <v>22</v>
      </c>
      <c r="M1563" t="s">
        <v>23</v>
      </c>
      <c r="N1563" t="s">
        <v>23</v>
      </c>
      <c r="O1563" t="s">
        <v>24</v>
      </c>
      <c r="P1563" s="8" t="s">
        <v>2020</v>
      </c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</row>
    <row r="1564" spans="1:51" x14ac:dyDescent="0.2">
      <c r="A1564" s="6" t="s">
        <v>17</v>
      </c>
      <c r="B1564" t="s">
        <v>44</v>
      </c>
      <c r="C1564" t="s">
        <v>45</v>
      </c>
      <c r="D1564" t="s">
        <v>831</v>
      </c>
      <c r="E1564" s="2">
        <v>30.99</v>
      </c>
      <c r="F1564" s="3">
        <f>DATE(2024,7,25)</f>
        <v>45498</v>
      </c>
      <c r="G1564" s="3">
        <f>DATE(2024,7,25)</f>
        <v>45498</v>
      </c>
      <c r="H1564">
        <v>1035082213</v>
      </c>
      <c r="I1564" t="s">
        <v>51</v>
      </c>
      <c r="K1564" t="s">
        <v>21</v>
      </c>
      <c r="L1564" t="s">
        <v>22</v>
      </c>
      <c r="M1564" t="s">
        <v>23</v>
      </c>
      <c r="N1564" t="s">
        <v>23</v>
      </c>
      <c r="O1564" t="s">
        <v>24</v>
      </c>
      <c r="P1564" s="8" t="s">
        <v>2021</v>
      </c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</row>
    <row r="1565" spans="1:51" x14ac:dyDescent="0.2">
      <c r="A1565" s="6" t="s">
        <v>17</v>
      </c>
      <c r="B1565" t="s">
        <v>179</v>
      </c>
      <c r="C1565" t="s">
        <v>180</v>
      </c>
      <c r="D1565" t="s">
        <v>1940</v>
      </c>
      <c r="E1565" s="2">
        <v>25.4</v>
      </c>
      <c r="F1565" s="3">
        <f>DATE(2024,7,26)</f>
        <v>45499</v>
      </c>
      <c r="G1565" s="3">
        <f>DATE(2024,7,26)</f>
        <v>45499</v>
      </c>
      <c r="H1565">
        <v>1035082214</v>
      </c>
      <c r="I1565" t="s">
        <v>51</v>
      </c>
      <c r="K1565" t="s">
        <v>21</v>
      </c>
      <c r="L1565" t="s">
        <v>22</v>
      </c>
      <c r="M1565" t="s">
        <v>23</v>
      </c>
      <c r="N1565" t="s">
        <v>23</v>
      </c>
      <c r="O1565" t="s">
        <v>24</v>
      </c>
      <c r="P1565" s="8" t="s">
        <v>2022</v>
      </c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</row>
    <row r="1566" spans="1:51" hidden="1" x14ac:dyDescent="0.2">
      <c r="A1566" s="6"/>
      <c r="E1566" s="2"/>
      <c r="F1566" s="3"/>
      <c r="G1566" s="3"/>
      <c r="P1566" s="8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</row>
    <row r="1567" spans="1:51" hidden="1" x14ac:dyDescent="0.2">
      <c r="A1567" s="6"/>
      <c r="E1567" s="2"/>
      <c r="F1567" s="3"/>
      <c r="G1567" s="3"/>
      <c r="P1567" s="8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</row>
    <row r="1568" spans="1:51" x14ac:dyDescent="0.2">
      <c r="A1568" s="6" t="s">
        <v>17</v>
      </c>
      <c r="B1568" t="s">
        <v>363</v>
      </c>
      <c r="C1568" t="s">
        <v>364</v>
      </c>
      <c r="D1568" t="s">
        <v>2023</v>
      </c>
      <c r="E1568" s="2">
        <v>700</v>
      </c>
      <c r="F1568" s="3">
        <f t="shared" ref="F1566:G1569" si="98">DATE(2024,7,29)</f>
        <v>45502</v>
      </c>
      <c r="G1568" s="3">
        <f t="shared" si="98"/>
        <v>45502</v>
      </c>
      <c r="H1568">
        <v>1040402986</v>
      </c>
      <c r="I1568" t="s">
        <v>20</v>
      </c>
      <c r="K1568" t="s">
        <v>21</v>
      </c>
      <c r="L1568" t="s">
        <v>22</v>
      </c>
      <c r="M1568" t="s">
        <v>23</v>
      </c>
      <c r="N1568" t="s">
        <v>23</v>
      </c>
      <c r="O1568" t="s">
        <v>24</v>
      </c>
      <c r="P1568" s="8" t="s">
        <v>2024</v>
      </c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</row>
    <row r="1569" spans="1:51" hidden="1" x14ac:dyDescent="0.2">
      <c r="A1569" s="6"/>
      <c r="E1569" s="2"/>
      <c r="F1569" s="3"/>
      <c r="G1569" s="3"/>
      <c r="P1569" s="8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</row>
    <row r="1570" spans="1:51" x14ac:dyDescent="0.2">
      <c r="A1570" s="6" t="s">
        <v>17</v>
      </c>
      <c r="B1570" t="s">
        <v>100</v>
      </c>
      <c r="C1570" t="s">
        <v>101</v>
      </c>
      <c r="D1570" t="s">
        <v>2025</v>
      </c>
      <c r="E1570" s="2">
        <v>172.34</v>
      </c>
      <c r="F1570" s="3">
        <f>DATE(2024,7,30)</f>
        <v>45503</v>
      </c>
      <c r="G1570" s="3">
        <f>DATE(2024,7,30)</f>
        <v>45503</v>
      </c>
      <c r="H1570">
        <v>1040402988</v>
      </c>
      <c r="I1570" t="s">
        <v>20</v>
      </c>
      <c r="K1570" t="s">
        <v>21</v>
      </c>
      <c r="L1570" t="s">
        <v>22</v>
      </c>
      <c r="M1570" t="s">
        <v>23</v>
      </c>
      <c r="N1570" t="s">
        <v>23</v>
      </c>
      <c r="O1570" t="s">
        <v>24</v>
      </c>
      <c r="P1570" s="8" t="s">
        <v>2026</v>
      </c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</row>
    <row r="1571" spans="1:51" x14ac:dyDescent="0.2">
      <c r="A1571" s="6" t="s">
        <v>17</v>
      </c>
      <c r="B1571" t="s">
        <v>363</v>
      </c>
      <c r="C1571" t="s">
        <v>364</v>
      </c>
      <c r="D1571" t="s">
        <v>2027</v>
      </c>
      <c r="E1571" s="2">
        <v>720</v>
      </c>
      <c r="F1571" s="3">
        <f>DATE(2024,7,29)</f>
        <v>45502</v>
      </c>
      <c r="G1571" s="3">
        <f>DATE(2024,7,29)</f>
        <v>45502</v>
      </c>
      <c r="H1571">
        <v>1040402989</v>
      </c>
      <c r="I1571" t="s">
        <v>20</v>
      </c>
      <c r="K1571" t="s">
        <v>21</v>
      </c>
      <c r="L1571" t="s">
        <v>22</v>
      </c>
      <c r="M1571" t="s">
        <v>23</v>
      </c>
      <c r="N1571" t="s">
        <v>23</v>
      </c>
      <c r="O1571" t="s">
        <v>24</v>
      </c>
      <c r="P1571" s="8" t="s">
        <v>2028</v>
      </c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</row>
    <row r="1572" spans="1:51" x14ac:dyDescent="0.2">
      <c r="A1572" s="6" t="s">
        <v>17</v>
      </c>
      <c r="B1572" t="s">
        <v>34</v>
      </c>
      <c r="C1572" t="s">
        <v>35</v>
      </c>
      <c r="D1572" t="s">
        <v>2029</v>
      </c>
      <c r="E1572" s="2">
        <v>770.4</v>
      </c>
      <c r="F1572" s="3">
        <f>DATE(2024,7,29)</f>
        <v>45502</v>
      </c>
      <c r="G1572" s="3">
        <f>DATE(2024,7,29)</f>
        <v>45502</v>
      </c>
      <c r="H1572">
        <v>1040402990</v>
      </c>
      <c r="I1572" t="s">
        <v>20</v>
      </c>
      <c r="K1572" t="s">
        <v>21</v>
      </c>
      <c r="L1572" t="s">
        <v>22</v>
      </c>
      <c r="M1572" t="s">
        <v>23</v>
      </c>
      <c r="N1572" t="s">
        <v>23</v>
      </c>
      <c r="O1572" t="s">
        <v>24</v>
      </c>
      <c r="P1572" s="8" t="s">
        <v>2030</v>
      </c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</row>
    <row r="1573" spans="1:51" hidden="1" x14ac:dyDescent="0.2">
      <c r="A1573" s="6"/>
      <c r="E1573" s="2"/>
      <c r="F1573" s="3"/>
      <c r="G1573" s="3"/>
      <c r="P1573" s="8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</row>
    <row r="1574" spans="1:51" x14ac:dyDescent="0.2">
      <c r="A1574" s="6" t="s">
        <v>17</v>
      </c>
      <c r="B1574" t="s">
        <v>115</v>
      </c>
      <c r="C1574" t="s">
        <v>116</v>
      </c>
      <c r="D1574" t="s">
        <v>2031</v>
      </c>
      <c r="E1574" s="2">
        <v>70.8</v>
      </c>
      <c r="F1574" s="3">
        <f t="shared" ref="F1574:G1579" si="99">DATE(2024,7,29)</f>
        <v>45502</v>
      </c>
      <c r="G1574" s="3">
        <f t="shared" si="99"/>
        <v>45502</v>
      </c>
      <c r="H1574">
        <v>1040402992</v>
      </c>
      <c r="I1574" t="s">
        <v>20</v>
      </c>
      <c r="K1574" t="s">
        <v>21</v>
      </c>
      <c r="L1574" t="s">
        <v>22</v>
      </c>
      <c r="M1574" t="s">
        <v>23</v>
      </c>
      <c r="N1574" t="s">
        <v>23</v>
      </c>
      <c r="O1574" t="s">
        <v>24</v>
      </c>
      <c r="P1574" s="8" t="s">
        <v>2032</v>
      </c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</row>
    <row r="1575" spans="1:51" x14ac:dyDescent="0.2">
      <c r="A1575" s="6" t="s">
        <v>17</v>
      </c>
      <c r="B1575" t="s">
        <v>363</v>
      </c>
      <c r="C1575" t="s">
        <v>364</v>
      </c>
      <c r="D1575" t="s">
        <v>2033</v>
      </c>
      <c r="E1575" s="2">
        <v>325</v>
      </c>
      <c r="F1575" s="3">
        <f t="shared" si="99"/>
        <v>45502</v>
      </c>
      <c r="G1575" s="3">
        <f t="shared" si="99"/>
        <v>45502</v>
      </c>
      <c r="H1575">
        <v>1040402993</v>
      </c>
      <c r="I1575" t="s">
        <v>20</v>
      </c>
      <c r="K1575" t="s">
        <v>21</v>
      </c>
      <c r="L1575" t="s">
        <v>22</v>
      </c>
      <c r="M1575" t="s">
        <v>23</v>
      </c>
      <c r="N1575" t="s">
        <v>23</v>
      </c>
      <c r="O1575" t="s">
        <v>24</v>
      </c>
      <c r="P1575" s="8" t="s">
        <v>2034</v>
      </c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</row>
    <row r="1576" spans="1:51" hidden="1" x14ac:dyDescent="0.2">
      <c r="A1576" s="6"/>
      <c r="E1576" s="2"/>
      <c r="F1576" s="3"/>
      <c r="G1576" s="3"/>
      <c r="P1576" s="8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</row>
    <row r="1577" spans="1:51" x14ac:dyDescent="0.2">
      <c r="A1577" s="6" t="s">
        <v>17</v>
      </c>
      <c r="B1577" t="s">
        <v>363</v>
      </c>
      <c r="C1577" t="s">
        <v>364</v>
      </c>
      <c r="D1577" t="s">
        <v>2035</v>
      </c>
      <c r="E1577" s="2">
        <v>230</v>
      </c>
      <c r="F1577" s="3">
        <f t="shared" si="99"/>
        <v>45502</v>
      </c>
      <c r="G1577" s="3">
        <f t="shared" si="99"/>
        <v>45502</v>
      </c>
      <c r="H1577">
        <v>1040402995</v>
      </c>
      <c r="I1577" t="s">
        <v>20</v>
      </c>
      <c r="K1577" t="s">
        <v>21</v>
      </c>
      <c r="L1577" t="s">
        <v>22</v>
      </c>
      <c r="M1577" t="s">
        <v>23</v>
      </c>
      <c r="N1577" t="s">
        <v>23</v>
      </c>
      <c r="O1577" t="s">
        <v>24</v>
      </c>
      <c r="P1577" s="8" t="s">
        <v>2036</v>
      </c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</row>
    <row r="1578" spans="1:51" x14ac:dyDescent="0.2">
      <c r="A1578" s="6" t="s">
        <v>17</v>
      </c>
      <c r="B1578" t="s">
        <v>363</v>
      </c>
      <c r="C1578" t="s">
        <v>364</v>
      </c>
      <c r="D1578" t="s">
        <v>2037</v>
      </c>
      <c r="E1578" s="2">
        <v>720</v>
      </c>
      <c r="F1578" s="3">
        <f t="shared" si="99"/>
        <v>45502</v>
      </c>
      <c r="G1578" s="3">
        <f t="shared" si="99"/>
        <v>45502</v>
      </c>
      <c r="H1578">
        <v>1040402996</v>
      </c>
      <c r="I1578" t="s">
        <v>20</v>
      </c>
      <c r="K1578" t="s">
        <v>21</v>
      </c>
      <c r="L1578" t="s">
        <v>22</v>
      </c>
      <c r="M1578" t="s">
        <v>23</v>
      </c>
      <c r="N1578" t="s">
        <v>23</v>
      </c>
      <c r="O1578" t="s">
        <v>24</v>
      </c>
      <c r="P1578" s="8" t="s">
        <v>2038</v>
      </c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</row>
    <row r="1579" spans="1:51" hidden="1" x14ac:dyDescent="0.2">
      <c r="A1579" s="6"/>
      <c r="E1579" s="2"/>
      <c r="F1579" s="3"/>
      <c r="G1579" s="3"/>
      <c r="P1579" s="8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</row>
    <row r="1580" spans="1:51" x14ac:dyDescent="0.2">
      <c r="A1580" s="6" t="s">
        <v>17</v>
      </c>
      <c r="B1580" t="s">
        <v>655</v>
      </c>
      <c r="C1580" t="s">
        <v>656</v>
      </c>
      <c r="D1580" t="s">
        <v>2039</v>
      </c>
      <c r="E1580" s="2">
        <v>1179.71</v>
      </c>
      <c r="F1580" s="3">
        <f>DATE(2024,7,30)</f>
        <v>45503</v>
      </c>
      <c r="G1580" s="3">
        <f>DATE(2024,7,30)</f>
        <v>45503</v>
      </c>
      <c r="H1580">
        <v>1040402998</v>
      </c>
      <c r="I1580" t="s">
        <v>20</v>
      </c>
      <c r="K1580" t="s">
        <v>21</v>
      </c>
      <c r="L1580" t="s">
        <v>22</v>
      </c>
      <c r="M1580" t="s">
        <v>23</v>
      </c>
      <c r="N1580" t="s">
        <v>23</v>
      </c>
      <c r="O1580" t="s">
        <v>24</v>
      </c>
      <c r="P1580" s="8" t="s">
        <v>2040</v>
      </c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</row>
    <row r="1581" spans="1:51" x14ac:dyDescent="0.2">
      <c r="A1581" s="6" t="s">
        <v>17</v>
      </c>
      <c r="B1581" t="s">
        <v>363</v>
      </c>
      <c r="C1581" t="s">
        <v>364</v>
      </c>
      <c r="D1581" t="s">
        <v>2041</v>
      </c>
      <c r="E1581" s="2">
        <v>65</v>
      </c>
      <c r="F1581" s="3">
        <f t="shared" ref="F1581:G1583" si="100">DATE(2024,7,29)</f>
        <v>45502</v>
      </c>
      <c r="G1581" s="3">
        <f t="shared" si="100"/>
        <v>45502</v>
      </c>
      <c r="H1581">
        <v>1040402999</v>
      </c>
      <c r="I1581" t="s">
        <v>20</v>
      </c>
      <c r="K1581" t="s">
        <v>21</v>
      </c>
      <c r="L1581" t="s">
        <v>22</v>
      </c>
      <c r="M1581" t="s">
        <v>23</v>
      </c>
      <c r="N1581" t="s">
        <v>23</v>
      </c>
      <c r="O1581" t="s">
        <v>24</v>
      </c>
      <c r="P1581" s="8" t="s">
        <v>2042</v>
      </c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</row>
    <row r="1582" spans="1:51" x14ac:dyDescent="0.2">
      <c r="A1582" s="6" t="s">
        <v>17</v>
      </c>
      <c r="B1582" t="s">
        <v>363</v>
      </c>
      <c r="C1582" t="s">
        <v>364</v>
      </c>
      <c r="D1582" t="s">
        <v>2043</v>
      </c>
      <c r="E1582" s="2">
        <v>120</v>
      </c>
      <c r="F1582" s="3">
        <f t="shared" si="100"/>
        <v>45502</v>
      </c>
      <c r="G1582" s="3">
        <f t="shared" si="100"/>
        <v>45502</v>
      </c>
      <c r="H1582">
        <v>1040403000</v>
      </c>
      <c r="I1582" t="s">
        <v>20</v>
      </c>
      <c r="K1582" t="s">
        <v>21</v>
      </c>
      <c r="L1582" t="s">
        <v>22</v>
      </c>
      <c r="M1582" t="s">
        <v>23</v>
      </c>
      <c r="N1582" t="s">
        <v>23</v>
      </c>
      <c r="O1582" t="s">
        <v>24</v>
      </c>
      <c r="P1582" s="8" t="s">
        <v>2044</v>
      </c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</row>
    <row r="1583" spans="1:51" x14ac:dyDescent="0.2">
      <c r="A1583" s="6" t="s">
        <v>17</v>
      </c>
      <c r="B1583" t="s">
        <v>251</v>
      </c>
      <c r="C1583" t="s">
        <v>252</v>
      </c>
      <c r="D1583" t="s">
        <v>2045</v>
      </c>
      <c r="E1583" s="2">
        <v>699.24</v>
      </c>
      <c r="F1583" s="3">
        <f t="shared" si="100"/>
        <v>45502</v>
      </c>
      <c r="G1583" s="3">
        <f t="shared" si="100"/>
        <v>45502</v>
      </c>
      <c r="H1583">
        <v>1040403001</v>
      </c>
      <c r="I1583" t="s">
        <v>20</v>
      </c>
      <c r="K1583" t="s">
        <v>21</v>
      </c>
      <c r="L1583" t="s">
        <v>22</v>
      </c>
      <c r="M1583" t="s">
        <v>23</v>
      </c>
      <c r="N1583" t="s">
        <v>23</v>
      </c>
      <c r="O1583" t="s">
        <v>24</v>
      </c>
      <c r="P1583" s="8" t="s">
        <v>2046</v>
      </c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</row>
    <row r="1584" spans="1:51" x14ac:dyDescent="0.2">
      <c r="A1584" s="6" t="s">
        <v>17</v>
      </c>
      <c r="B1584" t="s">
        <v>674</v>
      </c>
      <c r="C1584" t="s">
        <v>675</v>
      </c>
      <c r="D1584" t="s">
        <v>2047</v>
      </c>
      <c r="E1584" s="2">
        <v>1714.58</v>
      </c>
      <c r="F1584" s="3">
        <f>DATE(2024,7,30)</f>
        <v>45503</v>
      </c>
      <c r="G1584" s="3">
        <f>DATE(2024,7,30)</f>
        <v>45503</v>
      </c>
      <c r="H1584">
        <v>1040403002</v>
      </c>
      <c r="I1584" t="s">
        <v>20</v>
      </c>
      <c r="K1584" t="s">
        <v>21</v>
      </c>
      <c r="L1584" t="s">
        <v>22</v>
      </c>
      <c r="M1584" t="s">
        <v>23</v>
      </c>
      <c r="N1584" t="s">
        <v>23</v>
      </c>
      <c r="O1584" t="s">
        <v>24</v>
      </c>
      <c r="P1584" s="8" t="s">
        <v>2048</v>
      </c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</row>
    <row r="1585" spans="1:51" x14ac:dyDescent="0.2">
      <c r="A1585" s="6" t="s">
        <v>17</v>
      </c>
      <c r="B1585" t="s">
        <v>179</v>
      </c>
      <c r="C1585" t="s">
        <v>180</v>
      </c>
      <c r="D1585" t="s">
        <v>2049</v>
      </c>
      <c r="E1585" s="2">
        <v>869.52</v>
      </c>
      <c r="F1585" s="3">
        <f>DATE(2024,7,29)</f>
        <v>45502</v>
      </c>
      <c r="G1585" s="3">
        <f>DATE(2024,7,29)</f>
        <v>45502</v>
      </c>
      <c r="H1585">
        <v>1040403003</v>
      </c>
      <c r="I1585" t="s">
        <v>20</v>
      </c>
      <c r="K1585" t="s">
        <v>21</v>
      </c>
      <c r="L1585" t="s">
        <v>22</v>
      </c>
      <c r="M1585" t="s">
        <v>23</v>
      </c>
      <c r="N1585" t="s">
        <v>23</v>
      </c>
      <c r="O1585" t="s">
        <v>24</v>
      </c>
      <c r="P1585" s="8" t="s">
        <v>2050</v>
      </c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</row>
    <row r="1586" spans="1:51" x14ac:dyDescent="0.2">
      <c r="A1586" s="6" t="s">
        <v>17</v>
      </c>
      <c r="B1586" t="s">
        <v>44</v>
      </c>
      <c r="C1586" t="s">
        <v>45</v>
      </c>
      <c r="D1586" t="s">
        <v>2051</v>
      </c>
      <c r="E1586" s="2">
        <v>67.650000000000006</v>
      </c>
      <c r="F1586" s="3">
        <f>DATE(2024,7,29)</f>
        <v>45502</v>
      </c>
      <c r="G1586" s="3">
        <f>DATE(2024,7,29)</f>
        <v>45502</v>
      </c>
      <c r="H1586">
        <v>1040403004</v>
      </c>
      <c r="I1586" t="s">
        <v>51</v>
      </c>
      <c r="K1586" t="s">
        <v>21</v>
      </c>
      <c r="L1586" t="s">
        <v>22</v>
      </c>
      <c r="M1586" t="s">
        <v>23</v>
      </c>
      <c r="N1586" t="s">
        <v>23</v>
      </c>
      <c r="O1586" t="s">
        <v>24</v>
      </c>
      <c r="P1586" s="8" t="s">
        <v>2052</v>
      </c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</row>
    <row r="1587" spans="1:51" x14ac:dyDescent="0.2">
      <c r="A1587" s="6" t="s">
        <v>17</v>
      </c>
      <c r="B1587" t="s">
        <v>179</v>
      </c>
      <c r="C1587" t="s">
        <v>180</v>
      </c>
      <c r="D1587" t="s">
        <v>1940</v>
      </c>
      <c r="E1587" s="2">
        <v>86.93</v>
      </c>
      <c r="F1587" s="3">
        <f>DATE(2024,7,27)</f>
        <v>45500</v>
      </c>
      <c r="G1587" s="3">
        <f>DATE(2024,7,27)</f>
        <v>45500</v>
      </c>
      <c r="H1587">
        <v>1040403005</v>
      </c>
      <c r="I1587" t="s">
        <v>51</v>
      </c>
      <c r="K1587" t="s">
        <v>21</v>
      </c>
      <c r="L1587" t="s">
        <v>22</v>
      </c>
      <c r="M1587" t="s">
        <v>23</v>
      </c>
      <c r="N1587" t="s">
        <v>23</v>
      </c>
      <c r="O1587" t="s">
        <v>24</v>
      </c>
      <c r="P1587" s="8" t="s">
        <v>2053</v>
      </c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</row>
    <row r="1588" spans="1:51" x14ac:dyDescent="0.2">
      <c r="A1588" s="6" t="s">
        <v>17</v>
      </c>
      <c r="B1588" t="s">
        <v>674</v>
      </c>
      <c r="C1588" t="s">
        <v>675</v>
      </c>
      <c r="D1588" t="s">
        <v>676</v>
      </c>
      <c r="E1588" s="2">
        <v>38.76</v>
      </c>
      <c r="F1588" s="3">
        <f>DATE(2024,7,27)</f>
        <v>45500</v>
      </c>
      <c r="G1588" s="3">
        <f>DATE(2024,7,27)</f>
        <v>45500</v>
      </c>
      <c r="H1588">
        <v>1040403006</v>
      </c>
      <c r="I1588" t="s">
        <v>51</v>
      </c>
      <c r="K1588" t="s">
        <v>21</v>
      </c>
      <c r="L1588" t="s">
        <v>22</v>
      </c>
      <c r="M1588" t="s">
        <v>23</v>
      </c>
      <c r="N1588" t="s">
        <v>23</v>
      </c>
      <c r="O1588" t="s">
        <v>24</v>
      </c>
      <c r="P1588" s="8" t="s">
        <v>2054</v>
      </c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</row>
    <row r="1589" spans="1:51" hidden="1" x14ac:dyDescent="0.2">
      <c r="A1589" s="6"/>
      <c r="E1589" s="2"/>
      <c r="F1589" s="3"/>
      <c r="G1589" s="3"/>
      <c r="P1589" s="8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</row>
    <row r="1590" spans="1:51" hidden="1" x14ac:dyDescent="0.2">
      <c r="A1590" s="6"/>
      <c r="E1590" s="2"/>
      <c r="F1590" s="3"/>
      <c r="G1590" s="3"/>
      <c r="P1590" s="8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</row>
    <row r="1591" spans="1:51" hidden="1" x14ac:dyDescent="0.2">
      <c r="A1591" s="6"/>
      <c r="E1591" s="2"/>
      <c r="F1591" s="3"/>
      <c r="G1591" s="3"/>
      <c r="P1591" s="8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</row>
    <row r="1592" spans="1:51" hidden="1" x14ac:dyDescent="0.2">
      <c r="A1592" s="6"/>
      <c r="E1592" s="2"/>
      <c r="F1592" s="3"/>
      <c r="G1592" s="3"/>
      <c r="P1592" s="8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</row>
    <row r="1593" spans="1:51" hidden="1" x14ac:dyDescent="0.2">
      <c r="A1593" s="6"/>
      <c r="E1593" s="2"/>
      <c r="F1593" s="3"/>
      <c r="G1593" s="3"/>
      <c r="P1593" s="8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</row>
    <row r="1594" spans="1:51" x14ac:dyDescent="0.2">
      <c r="A1594" s="6" t="s">
        <v>17</v>
      </c>
      <c r="B1594" t="s">
        <v>110</v>
      </c>
      <c r="C1594" t="s">
        <v>111</v>
      </c>
      <c r="D1594" t="s">
        <v>2055</v>
      </c>
      <c r="E1594" s="2">
        <v>2.64</v>
      </c>
      <c r="F1594" s="3">
        <f t="shared" ref="F1593:G1596" si="101">DATE(2024,7,30)</f>
        <v>45503</v>
      </c>
      <c r="G1594" s="3">
        <f t="shared" si="101"/>
        <v>45503</v>
      </c>
      <c r="H1594">
        <v>1044512161</v>
      </c>
      <c r="I1594" t="s">
        <v>73</v>
      </c>
      <c r="K1594" t="s">
        <v>21</v>
      </c>
      <c r="L1594" t="s">
        <v>22</v>
      </c>
      <c r="M1594" t="s">
        <v>23</v>
      </c>
      <c r="N1594" t="s">
        <v>23</v>
      </c>
      <c r="O1594" t="s">
        <v>24</v>
      </c>
      <c r="P1594" s="8" t="s">
        <v>2056</v>
      </c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</row>
    <row r="1595" spans="1:51" hidden="1" x14ac:dyDescent="0.2">
      <c r="A1595" s="6"/>
      <c r="E1595" s="2"/>
      <c r="F1595" s="3"/>
      <c r="G1595" s="3"/>
      <c r="P1595" s="8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</row>
    <row r="1596" spans="1:51" hidden="1" x14ac:dyDescent="0.2">
      <c r="A1596" s="6"/>
      <c r="E1596" s="2"/>
      <c r="F1596" s="3"/>
      <c r="G1596" s="3"/>
      <c r="P1596" s="8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</row>
    <row r="1597" spans="1:51" x14ac:dyDescent="0.2">
      <c r="A1597" s="6" t="s">
        <v>17</v>
      </c>
      <c r="B1597" t="s">
        <v>44</v>
      </c>
      <c r="C1597" t="s">
        <v>45</v>
      </c>
      <c r="D1597" t="s">
        <v>2057</v>
      </c>
      <c r="E1597" s="2">
        <v>69.319999999999993</v>
      </c>
      <c r="F1597" s="3">
        <f t="shared" ref="F1597:G1601" si="102">DATE(2024,7,31)</f>
        <v>45504</v>
      </c>
      <c r="G1597" s="3">
        <f t="shared" si="102"/>
        <v>45504</v>
      </c>
      <c r="H1597">
        <v>1045156126</v>
      </c>
      <c r="I1597" t="s">
        <v>20</v>
      </c>
      <c r="K1597" t="s">
        <v>21</v>
      </c>
      <c r="L1597" t="s">
        <v>22</v>
      </c>
      <c r="M1597" t="s">
        <v>23</v>
      </c>
      <c r="N1597" t="s">
        <v>23</v>
      </c>
      <c r="O1597" t="s">
        <v>24</v>
      </c>
      <c r="P1597" s="8" t="s">
        <v>2058</v>
      </c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</row>
    <row r="1598" spans="1:51" x14ac:dyDescent="0.2">
      <c r="A1598" s="6" t="s">
        <v>17</v>
      </c>
      <c r="B1598" t="s">
        <v>611</v>
      </c>
      <c r="C1598" t="s">
        <v>612</v>
      </c>
      <c r="D1598" t="s">
        <v>2059</v>
      </c>
      <c r="E1598" s="2">
        <v>2331.94</v>
      </c>
      <c r="F1598" s="3">
        <f t="shared" si="102"/>
        <v>45504</v>
      </c>
      <c r="G1598" s="3">
        <f t="shared" si="102"/>
        <v>45504</v>
      </c>
      <c r="H1598">
        <v>1045156127</v>
      </c>
      <c r="I1598" t="s">
        <v>20</v>
      </c>
      <c r="K1598" t="s">
        <v>21</v>
      </c>
      <c r="L1598" t="s">
        <v>22</v>
      </c>
      <c r="M1598" t="s">
        <v>23</v>
      </c>
      <c r="N1598" t="s">
        <v>23</v>
      </c>
      <c r="O1598" t="s">
        <v>24</v>
      </c>
      <c r="P1598" s="8" t="s">
        <v>2060</v>
      </c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</row>
    <row r="1599" spans="1:51" x14ac:dyDescent="0.2">
      <c r="A1599" s="6" t="s">
        <v>17</v>
      </c>
      <c r="B1599" t="s">
        <v>61</v>
      </c>
      <c r="C1599" t="s">
        <v>62</v>
      </c>
      <c r="D1599" t="s">
        <v>2061</v>
      </c>
      <c r="E1599" s="2">
        <v>778.5</v>
      </c>
      <c r="F1599" s="3">
        <f t="shared" si="102"/>
        <v>45504</v>
      </c>
      <c r="G1599" s="3">
        <f t="shared" si="102"/>
        <v>45504</v>
      </c>
      <c r="H1599">
        <v>1045156128</v>
      </c>
      <c r="I1599" t="s">
        <v>20</v>
      </c>
      <c r="K1599" t="s">
        <v>21</v>
      </c>
      <c r="L1599" t="s">
        <v>22</v>
      </c>
      <c r="M1599" t="s">
        <v>23</v>
      </c>
      <c r="N1599" t="s">
        <v>23</v>
      </c>
      <c r="O1599" t="s">
        <v>24</v>
      </c>
      <c r="P1599" s="8" t="s">
        <v>2062</v>
      </c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</row>
    <row r="1600" spans="1:51" x14ac:dyDescent="0.2">
      <c r="A1600" s="6" t="s">
        <v>17</v>
      </c>
      <c r="B1600" t="s">
        <v>887</v>
      </c>
      <c r="C1600" t="s">
        <v>888</v>
      </c>
      <c r="D1600" t="s">
        <v>2063</v>
      </c>
      <c r="E1600" s="2">
        <v>776.34</v>
      </c>
      <c r="F1600" s="3">
        <f t="shared" si="102"/>
        <v>45504</v>
      </c>
      <c r="G1600" s="3">
        <f t="shared" si="102"/>
        <v>45504</v>
      </c>
      <c r="H1600">
        <v>1045156129</v>
      </c>
      <c r="I1600" t="s">
        <v>20</v>
      </c>
      <c r="K1600" t="s">
        <v>21</v>
      </c>
      <c r="L1600" t="s">
        <v>22</v>
      </c>
      <c r="M1600" t="s">
        <v>23</v>
      </c>
      <c r="N1600" t="s">
        <v>23</v>
      </c>
      <c r="O1600" t="s">
        <v>24</v>
      </c>
      <c r="P1600" s="8" t="s">
        <v>2064</v>
      </c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</row>
    <row r="1601" spans="1:51" x14ac:dyDescent="0.2">
      <c r="A1601" s="6" t="s">
        <v>17</v>
      </c>
      <c r="B1601" t="s">
        <v>44</v>
      </c>
      <c r="C1601" t="s">
        <v>45</v>
      </c>
      <c r="D1601" t="s">
        <v>2065</v>
      </c>
      <c r="E1601" s="2">
        <v>566.76</v>
      </c>
      <c r="F1601" s="3">
        <f t="shared" si="102"/>
        <v>45504</v>
      </c>
      <c r="G1601" s="3">
        <f t="shared" si="102"/>
        <v>45504</v>
      </c>
      <c r="H1601">
        <v>1045156130</v>
      </c>
      <c r="I1601" t="s">
        <v>20</v>
      </c>
      <c r="K1601" t="s">
        <v>21</v>
      </c>
      <c r="L1601" t="s">
        <v>22</v>
      </c>
      <c r="M1601" t="s">
        <v>23</v>
      </c>
      <c r="N1601" t="s">
        <v>23</v>
      </c>
      <c r="O1601" t="s">
        <v>24</v>
      </c>
      <c r="P1601" s="8" t="s">
        <v>2066</v>
      </c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</row>
    <row r="1602" spans="1:51" hidden="1" x14ac:dyDescent="0.2">
      <c r="A1602" s="6"/>
      <c r="E1602" s="2"/>
      <c r="F1602" s="3"/>
      <c r="G1602" s="3"/>
      <c r="P1602" s="8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</row>
    <row r="1603" spans="1:51" hidden="1" x14ac:dyDescent="0.2">
      <c r="A1603" s="6"/>
      <c r="E1603" s="2"/>
      <c r="F1603" s="3"/>
      <c r="G1603" s="3"/>
      <c r="P1603" s="8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</row>
    <row r="1604" spans="1:51" hidden="1" x14ac:dyDescent="0.2">
      <c r="A1604" s="6"/>
      <c r="E1604" s="2"/>
      <c r="F1604" s="3"/>
      <c r="G1604" s="3"/>
      <c r="P1604" s="8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</row>
    <row r="1605" spans="1:51" x14ac:dyDescent="0.2">
      <c r="A1605" s="6" t="s">
        <v>17</v>
      </c>
      <c r="B1605" t="s">
        <v>44</v>
      </c>
      <c r="C1605" t="s">
        <v>45</v>
      </c>
      <c r="D1605" t="s">
        <v>2067</v>
      </c>
      <c r="E1605" s="2">
        <v>60</v>
      </c>
      <c r="F1605" s="3">
        <f t="shared" ref="F1602:G1605" si="103">DATE(2024,7,30)</f>
        <v>45503</v>
      </c>
      <c r="G1605" s="3">
        <f t="shared" si="103"/>
        <v>45503</v>
      </c>
      <c r="H1605">
        <v>1045156134</v>
      </c>
      <c r="I1605" t="s">
        <v>20</v>
      </c>
      <c r="K1605" t="s">
        <v>21</v>
      </c>
      <c r="L1605" t="s">
        <v>22</v>
      </c>
      <c r="M1605" t="s">
        <v>23</v>
      </c>
      <c r="N1605" t="s">
        <v>23</v>
      </c>
      <c r="O1605" t="s">
        <v>24</v>
      </c>
      <c r="P1605" s="8" t="s">
        <v>2068</v>
      </c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</row>
    <row r="1606" spans="1:51" x14ac:dyDescent="0.2">
      <c r="A1606" s="6" t="s">
        <v>17</v>
      </c>
      <c r="B1606" t="s">
        <v>44</v>
      </c>
      <c r="C1606" t="s">
        <v>45</v>
      </c>
      <c r="D1606" t="s">
        <v>2069</v>
      </c>
      <c r="E1606" s="2">
        <v>427.66</v>
      </c>
      <c r="F1606" s="3">
        <f>DATE(2024,7,31)</f>
        <v>45504</v>
      </c>
      <c r="G1606" s="3">
        <f>DATE(2024,7,31)</f>
        <v>45504</v>
      </c>
      <c r="H1606">
        <v>1045156135</v>
      </c>
      <c r="I1606" t="s">
        <v>20</v>
      </c>
      <c r="K1606" t="s">
        <v>21</v>
      </c>
      <c r="L1606" t="s">
        <v>22</v>
      </c>
      <c r="M1606" t="s">
        <v>23</v>
      </c>
      <c r="N1606" t="s">
        <v>23</v>
      </c>
      <c r="O1606" t="s">
        <v>24</v>
      </c>
      <c r="P1606" s="8" t="s">
        <v>2070</v>
      </c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</row>
    <row r="1607" spans="1:51" x14ac:dyDescent="0.2">
      <c r="A1607" s="6" t="s">
        <v>17</v>
      </c>
      <c r="B1607" t="s">
        <v>363</v>
      </c>
      <c r="C1607" t="s">
        <v>364</v>
      </c>
      <c r="D1607" t="s">
        <v>2071</v>
      </c>
      <c r="E1607" s="2">
        <v>413.2</v>
      </c>
      <c r="F1607" s="3">
        <f>DATE(2024,7,31)</f>
        <v>45504</v>
      </c>
      <c r="G1607" s="3">
        <f>DATE(2024,7,31)</f>
        <v>45504</v>
      </c>
      <c r="H1607">
        <v>1045156136</v>
      </c>
      <c r="I1607" t="s">
        <v>20</v>
      </c>
      <c r="K1607" t="s">
        <v>21</v>
      </c>
      <c r="L1607" t="s">
        <v>22</v>
      </c>
      <c r="M1607" t="s">
        <v>23</v>
      </c>
      <c r="N1607" t="s">
        <v>23</v>
      </c>
      <c r="O1607" t="s">
        <v>24</v>
      </c>
      <c r="P1607" s="8" t="s">
        <v>2072</v>
      </c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</row>
    <row r="1608" spans="1:51" x14ac:dyDescent="0.2">
      <c r="A1608" s="6" t="s">
        <v>17</v>
      </c>
      <c r="B1608" t="s">
        <v>26</v>
      </c>
      <c r="C1608" t="s">
        <v>27</v>
      </c>
      <c r="D1608" t="s">
        <v>2073</v>
      </c>
      <c r="E1608" s="2">
        <v>1120</v>
      </c>
      <c r="F1608" s="3">
        <f>DATE(2024,7,30)</f>
        <v>45503</v>
      </c>
      <c r="G1608" s="3">
        <f>DATE(2024,7,30)</f>
        <v>45503</v>
      </c>
      <c r="H1608">
        <v>1045156137</v>
      </c>
      <c r="I1608" t="s">
        <v>20</v>
      </c>
      <c r="K1608" t="s">
        <v>21</v>
      </c>
      <c r="L1608" t="s">
        <v>22</v>
      </c>
      <c r="M1608" t="s">
        <v>23</v>
      </c>
      <c r="N1608" t="s">
        <v>23</v>
      </c>
      <c r="O1608" t="s">
        <v>24</v>
      </c>
      <c r="P1608" s="8" t="s">
        <v>2074</v>
      </c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</row>
    <row r="1609" spans="1:51" x14ac:dyDescent="0.2">
      <c r="A1609" s="6" t="s">
        <v>17</v>
      </c>
      <c r="B1609" t="s">
        <v>44</v>
      </c>
      <c r="C1609" t="s">
        <v>45</v>
      </c>
      <c r="D1609" t="s">
        <v>2075</v>
      </c>
      <c r="E1609" s="2">
        <v>9.89</v>
      </c>
      <c r="F1609" s="3">
        <f>DATE(2024,7,29)</f>
        <v>45502</v>
      </c>
      <c r="G1609" s="3">
        <f>DATE(2024,7,29)</f>
        <v>45502</v>
      </c>
      <c r="H1609">
        <v>1045156138</v>
      </c>
      <c r="I1609" t="s">
        <v>51</v>
      </c>
      <c r="K1609" t="s">
        <v>21</v>
      </c>
      <c r="L1609" t="s">
        <v>22</v>
      </c>
      <c r="M1609" t="s">
        <v>23</v>
      </c>
      <c r="N1609" t="s">
        <v>23</v>
      </c>
      <c r="O1609" t="s">
        <v>24</v>
      </c>
      <c r="P1609" s="8" t="s">
        <v>2076</v>
      </c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</row>
    <row r="1610" spans="1:51" x14ac:dyDescent="0.2">
      <c r="A1610" s="6" t="s">
        <v>17</v>
      </c>
      <c r="B1610" t="s">
        <v>44</v>
      </c>
      <c r="C1610" t="s">
        <v>45</v>
      </c>
      <c r="D1610" t="s">
        <v>690</v>
      </c>
      <c r="E1610" s="2">
        <v>80.680000000000007</v>
      </c>
      <c r="F1610" s="3">
        <f>DATE(2024,7,26)</f>
        <v>45499</v>
      </c>
      <c r="G1610" s="3">
        <f>DATE(2024,7,26)</f>
        <v>45499</v>
      </c>
      <c r="H1610">
        <v>1045156139</v>
      </c>
      <c r="I1610" t="s">
        <v>51</v>
      </c>
      <c r="K1610" t="s">
        <v>21</v>
      </c>
      <c r="L1610" t="s">
        <v>22</v>
      </c>
      <c r="M1610" t="s">
        <v>23</v>
      </c>
      <c r="N1610" t="s">
        <v>23</v>
      </c>
      <c r="O1610" t="s">
        <v>24</v>
      </c>
      <c r="P1610" s="8" t="s">
        <v>2077</v>
      </c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</row>
    <row r="1611" spans="1:51" x14ac:dyDescent="0.2">
      <c r="A1611" s="6" t="s">
        <v>17</v>
      </c>
      <c r="B1611" t="s">
        <v>44</v>
      </c>
      <c r="C1611" t="s">
        <v>45</v>
      </c>
      <c r="D1611" t="s">
        <v>605</v>
      </c>
      <c r="E1611" s="2">
        <v>6</v>
      </c>
      <c r="F1611" s="3">
        <f>DATE(2024,7,29)</f>
        <v>45502</v>
      </c>
      <c r="G1611" s="3">
        <f>DATE(2024,7,29)</f>
        <v>45502</v>
      </c>
      <c r="H1611">
        <v>1045156140</v>
      </c>
      <c r="I1611" t="s">
        <v>51</v>
      </c>
      <c r="K1611" t="s">
        <v>21</v>
      </c>
      <c r="L1611" t="s">
        <v>22</v>
      </c>
      <c r="M1611" t="s">
        <v>23</v>
      </c>
      <c r="N1611" t="s">
        <v>23</v>
      </c>
      <c r="O1611" t="s">
        <v>24</v>
      </c>
      <c r="P1611" s="8" t="s">
        <v>2078</v>
      </c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</row>
    <row r="1612" spans="1:51" x14ac:dyDescent="0.2">
      <c r="A1612" s="6" t="s">
        <v>17</v>
      </c>
      <c r="B1612" t="s">
        <v>670</v>
      </c>
      <c r="C1612" t="s">
        <v>671</v>
      </c>
      <c r="D1612" t="s">
        <v>2079</v>
      </c>
      <c r="E1612" s="2">
        <v>352.8</v>
      </c>
      <c r="F1612" s="3">
        <f t="shared" ref="F1612:G1614" si="104">DATE(2024,7,30)</f>
        <v>45503</v>
      </c>
      <c r="G1612" s="3">
        <f t="shared" si="104"/>
        <v>45503</v>
      </c>
      <c r="H1612">
        <v>1045229186</v>
      </c>
      <c r="I1612" t="s">
        <v>113</v>
      </c>
      <c r="K1612" t="s">
        <v>21</v>
      </c>
      <c r="L1612" t="s">
        <v>22</v>
      </c>
      <c r="M1612" t="s">
        <v>23</v>
      </c>
      <c r="N1612" t="s">
        <v>23</v>
      </c>
      <c r="O1612" t="s">
        <v>24</v>
      </c>
      <c r="P1612" s="8" t="s">
        <v>2080</v>
      </c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</row>
    <row r="1613" spans="1:51" hidden="1" x14ac:dyDescent="0.2">
      <c r="A1613" s="6"/>
      <c r="E1613" s="2"/>
      <c r="F1613" s="3"/>
      <c r="G1613" s="3"/>
      <c r="P1613" s="8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</row>
    <row r="1614" spans="1:51" hidden="1" x14ac:dyDescent="0.2">
      <c r="A1614" s="6"/>
      <c r="E1614" s="2"/>
      <c r="F1614" s="3"/>
      <c r="G1614" s="3"/>
      <c r="P1614" s="8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</row>
    <row r="1615" spans="1:51" hidden="1" x14ac:dyDescent="0.2">
      <c r="A1615" s="6"/>
      <c r="E1615" s="2"/>
      <c r="F1615" s="3"/>
      <c r="G1615" s="3"/>
      <c r="P1615" s="8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</row>
    <row r="1616" spans="1:51" hidden="1" x14ac:dyDescent="0.2">
      <c r="A1616" s="6"/>
      <c r="E1616" s="2"/>
      <c r="F1616" s="3"/>
      <c r="G1616" s="3"/>
      <c r="P1616" s="8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</row>
    <row r="1617" spans="1:51" hidden="1" x14ac:dyDescent="0.2">
      <c r="A1617" s="6"/>
      <c r="E1617" s="2"/>
      <c r="F1617" s="3"/>
      <c r="G1617" s="3"/>
      <c r="P1617" s="8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</row>
    <row r="1618" spans="1:51" x14ac:dyDescent="0.2">
      <c r="A1618" s="6" t="s">
        <v>17</v>
      </c>
      <c r="B1618" t="s">
        <v>18</v>
      </c>
      <c r="C1618" t="s">
        <v>18</v>
      </c>
      <c r="D1618" t="s">
        <v>2081</v>
      </c>
      <c r="E1618" s="2">
        <v>12.92</v>
      </c>
      <c r="F1618" s="3">
        <f>DATE(2024,8,1)</f>
        <v>45505</v>
      </c>
      <c r="G1618" s="3">
        <f>DATE(2024,8,1)</f>
        <v>45505</v>
      </c>
      <c r="H1618">
        <v>1050153391</v>
      </c>
      <c r="I1618" t="s">
        <v>20</v>
      </c>
      <c r="K1618" t="s">
        <v>21</v>
      </c>
      <c r="L1618" t="s">
        <v>22</v>
      </c>
      <c r="M1618" t="s">
        <v>23</v>
      </c>
      <c r="N1618" t="s">
        <v>23</v>
      </c>
      <c r="O1618" t="s">
        <v>24</v>
      </c>
      <c r="P1618" s="8" t="s">
        <v>2082</v>
      </c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</row>
    <row r="1619" spans="1:51" x14ac:dyDescent="0.2">
      <c r="A1619" s="6" t="s">
        <v>17</v>
      </c>
      <c r="B1619" t="s">
        <v>30</v>
      </c>
      <c r="C1619" t="s">
        <v>31</v>
      </c>
      <c r="D1619" t="s">
        <v>2083</v>
      </c>
      <c r="E1619" s="2">
        <v>1313.46</v>
      </c>
      <c r="F1619" s="3">
        <f>DATE(2024,8,1)</f>
        <v>45505</v>
      </c>
      <c r="G1619" s="3">
        <f>DATE(2024,8,1)</f>
        <v>45505</v>
      </c>
      <c r="H1619">
        <v>1050153392</v>
      </c>
      <c r="I1619" t="s">
        <v>20</v>
      </c>
      <c r="K1619" t="s">
        <v>21</v>
      </c>
      <c r="L1619" t="s">
        <v>22</v>
      </c>
      <c r="M1619" t="s">
        <v>23</v>
      </c>
      <c r="N1619" t="s">
        <v>23</v>
      </c>
      <c r="O1619" t="s">
        <v>24</v>
      </c>
      <c r="P1619" s="8" t="s">
        <v>2084</v>
      </c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</row>
    <row r="1620" spans="1:51" hidden="1" x14ac:dyDescent="0.2">
      <c r="A1620" s="6"/>
      <c r="E1620" s="2"/>
      <c r="F1620" s="3"/>
      <c r="G1620" s="3"/>
      <c r="P1620" s="8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</row>
    <row r="1621" spans="1:51" hidden="1" x14ac:dyDescent="0.2">
      <c r="A1621" s="6"/>
      <c r="E1621" s="2"/>
      <c r="F1621" s="3"/>
      <c r="G1621" s="3"/>
      <c r="P1621" s="8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</row>
    <row r="1622" spans="1:51" x14ac:dyDescent="0.2">
      <c r="A1622" s="6" t="s">
        <v>17</v>
      </c>
      <c r="B1622" t="s">
        <v>104</v>
      </c>
      <c r="C1622" t="s">
        <v>105</v>
      </c>
      <c r="D1622" t="s">
        <v>2085</v>
      </c>
      <c r="E1622" s="2">
        <v>286.61</v>
      </c>
      <c r="F1622" s="3">
        <f>DATE(2024,8,1)</f>
        <v>45505</v>
      </c>
      <c r="G1622" s="3">
        <f>DATE(2024,8,1)</f>
        <v>45505</v>
      </c>
      <c r="H1622">
        <v>1050153395</v>
      </c>
      <c r="I1622" t="s">
        <v>20</v>
      </c>
      <c r="K1622" t="s">
        <v>21</v>
      </c>
      <c r="L1622" t="s">
        <v>22</v>
      </c>
      <c r="M1622" t="s">
        <v>23</v>
      </c>
      <c r="N1622" t="s">
        <v>23</v>
      </c>
      <c r="O1622" t="s">
        <v>24</v>
      </c>
      <c r="P1622" s="8" t="s">
        <v>2086</v>
      </c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</row>
    <row r="1623" spans="1:51" x14ac:dyDescent="0.2">
      <c r="A1623" s="6" t="s">
        <v>17</v>
      </c>
      <c r="B1623" t="s">
        <v>104</v>
      </c>
      <c r="C1623" t="s">
        <v>105</v>
      </c>
      <c r="D1623" t="s">
        <v>2087</v>
      </c>
      <c r="E1623" s="2">
        <v>214.95</v>
      </c>
      <c r="F1623" s="3">
        <f>DATE(2024,8,1)</f>
        <v>45505</v>
      </c>
      <c r="G1623" s="3">
        <f>DATE(2024,8,1)</f>
        <v>45505</v>
      </c>
      <c r="H1623">
        <v>1050153396</v>
      </c>
      <c r="I1623" t="s">
        <v>20</v>
      </c>
      <c r="K1623" t="s">
        <v>21</v>
      </c>
      <c r="L1623" t="s">
        <v>22</v>
      </c>
      <c r="M1623" t="s">
        <v>23</v>
      </c>
      <c r="N1623" t="s">
        <v>23</v>
      </c>
      <c r="O1623" t="s">
        <v>24</v>
      </c>
      <c r="P1623" s="8" t="s">
        <v>2088</v>
      </c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</row>
    <row r="1624" spans="1:51" hidden="1" x14ac:dyDescent="0.2">
      <c r="A1624" s="6"/>
      <c r="E1624" s="2"/>
      <c r="F1624" s="3"/>
      <c r="G1624" s="3"/>
      <c r="P1624" s="8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</row>
    <row r="1625" spans="1:51" x14ac:dyDescent="0.2">
      <c r="A1625" s="6" t="s">
        <v>17</v>
      </c>
      <c r="B1625" t="s">
        <v>65</v>
      </c>
      <c r="C1625" t="s">
        <v>66</v>
      </c>
      <c r="D1625" t="s">
        <v>2089</v>
      </c>
      <c r="E1625" s="2">
        <v>12</v>
      </c>
      <c r="F1625" s="3">
        <f>DATE(2024,7,30)</f>
        <v>45503</v>
      </c>
      <c r="G1625" s="3">
        <f>DATE(2024,7,30)</f>
        <v>45503</v>
      </c>
      <c r="H1625">
        <v>1050153405</v>
      </c>
      <c r="I1625" t="s">
        <v>51</v>
      </c>
      <c r="K1625" t="s">
        <v>21</v>
      </c>
      <c r="L1625" t="s">
        <v>22</v>
      </c>
      <c r="M1625" t="s">
        <v>23</v>
      </c>
      <c r="N1625" t="s">
        <v>23</v>
      </c>
      <c r="O1625" t="s">
        <v>24</v>
      </c>
      <c r="P1625" s="8" t="s">
        <v>2090</v>
      </c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</row>
    <row r="1626" spans="1:51" x14ac:dyDescent="0.2">
      <c r="A1626" s="6" t="s">
        <v>17</v>
      </c>
      <c r="B1626" t="s">
        <v>26</v>
      </c>
      <c r="C1626" t="s">
        <v>27</v>
      </c>
      <c r="D1626" t="s">
        <v>1650</v>
      </c>
      <c r="E1626" s="2">
        <v>3</v>
      </c>
      <c r="F1626" s="3">
        <f>DATE(2024,7,30)</f>
        <v>45503</v>
      </c>
      <c r="G1626" s="3">
        <f>DATE(2024,7,30)</f>
        <v>45503</v>
      </c>
      <c r="H1626">
        <v>1050153406</v>
      </c>
      <c r="I1626" t="s">
        <v>51</v>
      </c>
      <c r="K1626" t="s">
        <v>21</v>
      </c>
      <c r="L1626" t="s">
        <v>22</v>
      </c>
      <c r="M1626" t="s">
        <v>23</v>
      </c>
      <c r="N1626" t="s">
        <v>23</v>
      </c>
      <c r="O1626" t="s">
        <v>24</v>
      </c>
      <c r="P1626" s="8" t="s">
        <v>2091</v>
      </c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</row>
    <row r="1627" spans="1:51" hidden="1" x14ac:dyDescent="0.2">
      <c r="A1627" s="6"/>
      <c r="E1627" s="2"/>
      <c r="F1627" s="3"/>
      <c r="G1627" s="3"/>
      <c r="P1627" s="8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</row>
    <row r="1628" spans="1:51" hidden="1" x14ac:dyDescent="0.2">
      <c r="A1628" s="6"/>
      <c r="E1628" s="2"/>
      <c r="F1628" s="3"/>
      <c r="G1628" s="3"/>
      <c r="P1628" s="8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</row>
    <row r="1629" spans="1:51" x14ac:dyDescent="0.2">
      <c r="A1629" s="6" t="s">
        <v>17</v>
      </c>
      <c r="B1629" t="s">
        <v>18</v>
      </c>
      <c r="C1629" t="s">
        <v>18</v>
      </c>
      <c r="D1629" t="s">
        <v>86</v>
      </c>
      <c r="E1629" s="2">
        <v>12</v>
      </c>
      <c r="F1629" s="3">
        <f>DATE(2024,8,1)</f>
        <v>45505</v>
      </c>
      <c r="G1629" s="3">
        <f>DATE(2024,8,1)</f>
        <v>45505</v>
      </c>
      <c r="H1629">
        <v>1054111030</v>
      </c>
      <c r="I1629" t="s">
        <v>73</v>
      </c>
      <c r="K1629" t="s">
        <v>21</v>
      </c>
      <c r="L1629" t="s">
        <v>22</v>
      </c>
      <c r="M1629" t="s">
        <v>23</v>
      </c>
      <c r="N1629" t="s">
        <v>23</v>
      </c>
      <c r="O1629" t="s">
        <v>24</v>
      </c>
      <c r="P1629" s="8" t="s">
        <v>2092</v>
      </c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</row>
    <row r="1630" spans="1:51" x14ac:dyDescent="0.2">
      <c r="A1630" s="6" t="s">
        <v>17</v>
      </c>
      <c r="B1630" t="s">
        <v>34</v>
      </c>
      <c r="C1630" t="s">
        <v>35</v>
      </c>
      <c r="D1630" t="s">
        <v>2093</v>
      </c>
      <c r="E1630" s="2">
        <v>89</v>
      </c>
      <c r="F1630" s="3">
        <f>DATE(2024,8,2)</f>
        <v>45506</v>
      </c>
      <c r="G1630" s="3">
        <f>DATE(2024,8,2)</f>
        <v>45506</v>
      </c>
      <c r="H1630">
        <v>1054378157</v>
      </c>
      <c r="I1630" t="s">
        <v>20</v>
      </c>
      <c r="K1630" t="s">
        <v>21</v>
      </c>
      <c r="L1630" t="s">
        <v>22</v>
      </c>
      <c r="M1630" t="s">
        <v>23</v>
      </c>
      <c r="N1630" t="s">
        <v>23</v>
      </c>
      <c r="O1630" t="s">
        <v>24</v>
      </c>
      <c r="P1630" s="8" t="s">
        <v>2094</v>
      </c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</row>
    <row r="1631" spans="1:51" hidden="1" x14ac:dyDescent="0.2">
      <c r="A1631" s="6"/>
      <c r="E1631" s="2"/>
      <c r="F1631" s="3"/>
      <c r="G1631" s="3"/>
      <c r="P1631" s="8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</row>
    <row r="1632" spans="1:51" hidden="1" x14ac:dyDescent="0.2">
      <c r="A1632" s="6"/>
      <c r="E1632" s="2"/>
      <c r="F1632" s="3"/>
      <c r="G1632" s="3"/>
      <c r="P1632" s="8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</row>
    <row r="1633" spans="1:51" hidden="1" x14ac:dyDescent="0.2">
      <c r="A1633" s="6"/>
      <c r="E1633" s="2"/>
      <c r="F1633" s="3"/>
      <c r="G1633" s="3"/>
      <c r="P1633" s="8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</row>
    <row r="1634" spans="1:51" hidden="1" x14ac:dyDescent="0.2">
      <c r="A1634" s="6"/>
      <c r="E1634" s="2"/>
      <c r="F1634" s="3"/>
      <c r="G1634" s="3"/>
      <c r="P1634" s="8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</row>
    <row r="1635" spans="1:51" x14ac:dyDescent="0.2">
      <c r="A1635" s="6" t="s">
        <v>17</v>
      </c>
      <c r="B1635" t="s">
        <v>110</v>
      </c>
      <c r="C1635" t="s">
        <v>111</v>
      </c>
      <c r="D1635" t="s">
        <v>2095</v>
      </c>
      <c r="E1635" s="2">
        <v>1.63</v>
      </c>
      <c r="F1635" s="3">
        <f t="shared" ref="F1633:G1639" si="105">DATE(2024,8,2)</f>
        <v>45506</v>
      </c>
      <c r="G1635" s="3">
        <f t="shared" si="105"/>
        <v>45506</v>
      </c>
      <c r="H1635">
        <v>1057310466</v>
      </c>
      <c r="I1635" t="s">
        <v>73</v>
      </c>
      <c r="K1635" t="s">
        <v>21</v>
      </c>
      <c r="L1635" t="s">
        <v>22</v>
      </c>
      <c r="M1635" t="s">
        <v>23</v>
      </c>
      <c r="N1635" t="s">
        <v>23</v>
      </c>
      <c r="O1635" t="s">
        <v>24</v>
      </c>
      <c r="P1635" s="8" t="s">
        <v>2096</v>
      </c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</row>
    <row r="1636" spans="1:51" hidden="1" x14ac:dyDescent="0.2">
      <c r="A1636" s="6"/>
      <c r="E1636" s="2"/>
      <c r="F1636" s="3"/>
      <c r="G1636" s="3"/>
      <c r="P1636" s="8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</row>
    <row r="1637" spans="1:51" hidden="1" x14ac:dyDescent="0.2">
      <c r="A1637" s="6"/>
      <c r="E1637" s="2"/>
      <c r="F1637" s="3"/>
      <c r="G1637" s="3"/>
      <c r="P1637" s="8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</row>
    <row r="1638" spans="1:51" hidden="1" x14ac:dyDescent="0.2">
      <c r="A1638" s="6"/>
      <c r="E1638" s="2"/>
      <c r="F1638" s="3"/>
      <c r="G1638" s="3"/>
      <c r="P1638" s="8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</row>
    <row r="1639" spans="1:51" hidden="1" x14ac:dyDescent="0.2">
      <c r="A1639" s="6"/>
      <c r="E1639" s="2"/>
      <c r="F1639" s="3"/>
      <c r="G1639" s="3"/>
      <c r="P1639" s="8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</row>
    <row r="1640" spans="1:51" x14ac:dyDescent="0.2">
      <c r="A1640" s="6" t="s">
        <v>17</v>
      </c>
      <c r="B1640" t="s">
        <v>30</v>
      </c>
      <c r="C1640" t="s">
        <v>31</v>
      </c>
      <c r="D1640" t="s">
        <v>2097</v>
      </c>
      <c r="E1640" s="2">
        <v>3829.92</v>
      </c>
      <c r="F1640" s="3">
        <f>DATE(2024,8,3)</f>
        <v>45507</v>
      </c>
      <c r="G1640" s="3">
        <f>DATE(2024,8,3)</f>
        <v>45507</v>
      </c>
      <c r="H1640">
        <v>1057508813</v>
      </c>
      <c r="I1640" t="s">
        <v>20</v>
      </c>
      <c r="K1640" t="s">
        <v>21</v>
      </c>
      <c r="L1640" t="s">
        <v>22</v>
      </c>
      <c r="M1640" t="s">
        <v>23</v>
      </c>
      <c r="N1640" t="s">
        <v>23</v>
      </c>
      <c r="O1640" t="s">
        <v>24</v>
      </c>
      <c r="P1640" s="8" t="s">
        <v>2098</v>
      </c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</row>
    <row r="1641" spans="1:51" hidden="1" x14ac:dyDescent="0.2">
      <c r="A1641" s="6"/>
      <c r="E1641" s="2"/>
      <c r="F1641" s="3"/>
      <c r="G1641" s="3"/>
      <c r="P1641" s="8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</row>
    <row r="1642" spans="1:51" hidden="1" x14ac:dyDescent="0.2">
      <c r="A1642" s="6"/>
      <c r="E1642" s="2"/>
      <c r="F1642" s="3"/>
      <c r="G1642" s="3"/>
      <c r="P1642" s="8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</row>
    <row r="1643" spans="1:51" hidden="1" x14ac:dyDescent="0.2">
      <c r="A1643" s="6"/>
      <c r="E1643" s="2"/>
      <c r="F1643" s="3"/>
      <c r="G1643" s="3"/>
      <c r="P1643" s="8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</row>
    <row r="1644" spans="1:51" x14ac:dyDescent="0.2">
      <c r="A1644" s="6" t="s">
        <v>17</v>
      </c>
      <c r="B1644" t="s">
        <v>191</v>
      </c>
      <c r="C1644" t="s">
        <v>192</v>
      </c>
      <c r="D1644" t="s">
        <v>2099</v>
      </c>
      <c r="E1644" s="2">
        <v>1880.65</v>
      </c>
      <c r="F1644" s="3">
        <f t="shared" ref="F1641:G1646" si="106">DATE(2024,8,2)</f>
        <v>45506</v>
      </c>
      <c r="G1644" s="3">
        <f t="shared" si="106"/>
        <v>45506</v>
      </c>
      <c r="H1644">
        <v>1057508817</v>
      </c>
      <c r="I1644" t="s">
        <v>20</v>
      </c>
      <c r="K1644" t="s">
        <v>21</v>
      </c>
      <c r="L1644" t="s">
        <v>22</v>
      </c>
      <c r="M1644" t="s">
        <v>23</v>
      </c>
      <c r="N1644" t="s">
        <v>23</v>
      </c>
      <c r="O1644" t="s">
        <v>24</v>
      </c>
      <c r="P1644" s="8" t="s">
        <v>2100</v>
      </c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</row>
    <row r="1645" spans="1:51" x14ac:dyDescent="0.2">
      <c r="A1645" s="6" t="s">
        <v>17</v>
      </c>
      <c r="B1645" t="s">
        <v>191</v>
      </c>
      <c r="C1645" t="s">
        <v>192</v>
      </c>
      <c r="D1645" t="s">
        <v>2101</v>
      </c>
      <c r="E1645" s="2">
        <v>20506.98</v>
      </c>
      <c r="F1645" s="3">
        <f t="shared" si="106"/>
        <v>45506</v>
      </c>
      <c r="G1645" s="3">
        <f t="shared" si="106"/>
        <v>45506</v>
      </c>
      <c r="H1645">
        <v>1057508818</v>
      </c>
      <c r="I1645" t="s">
        <v>20</v>
      </c>
      <c r="K1645" t="s">
        <v>21</v>
      </c>
      <c r="L1645" t="s">
        <v>22</v>
      </c>
      <c r="M1645" t="s">
        <v>23</v>
      </c>
      <c r="N1645" t="s">
        <v>23</v>
      </c>
      <c r="O1645" t="s">
        <v>24</v>
      </c>
      <c r="P1645" s="8" t="s">
        <v>2102</v>
      </c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</row>
    <row r="1646" spans="1:51" hidden="1" x14ac:dyDescent="0.2">
      <c r="A1646" s="6"/>
      <c r="E1646" s="2"/>
      <c r="F1646" s="3"/>
      <c r="G1646" s="3"/>
      <c r="P1646" s="8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</row>
    <row r="1647" spans="1:51" x14ac:dyDescent="0.2">
      <c r="A1647" s="6" t="s">
        <v>17</v>
      </c>
      <c r="B1647" t="s">
        <v>26</v>
      </c>
      <c r="C1647" t="s">
        <v>27</v>
      </c>
      <c r="D1647" t="s">
        <v>50</v>
      </c>
      <c r="E1647" s="2">
        <v>155.04</v>
      </c>
      <c r="F1647" s="3">
        <f>DATE(2024,8,1)</f>
        <v>45505</v>
      </c>
      <c r="G1647" s="3">
        <f>DATE(2024,8,1)</f>
        <v>45505</v>
      </c>
      <c r="H1647">
        <v>1057508821</v>
      </c>
      <c r="I1647" t="s">
        <v>51</v>
      </c>
      <c r="K1647" t="s">
        <v>21</v>
      </c>
      <c r="L1647" t="s">
        <v>22</v>
      </c>
      <c r="M1647" t="s">
        <v>23</v>
      </c>
      <c r="N1647" t="s">
        <v>23</v>
      </c>
      <c r="O1647" t="s">
        <v>24</v>
      </c>
      <c r="P1647" s="8" t="s">
        <v>2103</v>
      </c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</row>
    <row r="1648" spans="1:51" x14ac:dyDescent="0.2">
      <c r="A1648" s="6" t="s">
        <v>17</v>
      </c>
      <c r="B1648" t="s">
        <v>100</v>
      </c>
      <c r="C1648" t="s">
        <v>101</v>
      </c>
      <c r="D1648" t="s">
        <v>283</v>
      </c>
      <c r="E1648" s="2">
        <v>87.37</v>
      </c>
      <c r="F1648" s="3">
        <f>DATE(2024,8,1)</f>
        <v>45505</v>
      </c>
      <c r="G1648" s="3">
        <f>DATE(2024,8,1)</f>
        <v>45505</v>
      </c>
      <c r="H1648">
        <v>1057508822</v>
      </c>
      <c r="I1648" t="s">
        <v>51</v>
      </c>
      <c r="K1648" t="s">
        <v>21</v>
      </c>
      <c r="L1648" t="s">
        <v>22</v>
      </c>
      <c r="M1648" t="s">
        <v>23</v>
      </c>
      <c r="N1648" t="s">
        <v>23</v>
      </c>
      <c r="O1648" t="s">
        <v>24</v>
      </c>
      <c r="P1648" s="8" t="s">
        <v>2104</v>
      </c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</row>
    <row r="1649" spans="1:51" hidden="1" x14ac:dyDescent="0.2">
      <c r="A1649" s="6"/>
      <c r="E1649" s="2"/>
      <c r="F1649" s="3"/>
      <c r="G1649" s="3"/>
      <c r="P1649" s="8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</row>
    <row r="1650" spans="1:51" x14ac:dyDescent="0.2">
      <c r="A1650" s="6" t="s">
        <v>17</v>
      </c>
      <c r="B1650" t="s">
        <v>18</v>
      </c>
      <c r="C1650" t="s">
        <v>18</v>
      </c>
      <c r="D1650" t="s">
        <v>2105</v>
      </c>
      <c r="E1650" s="2">
        <v>2.6</v>
      </c>
      <c r="F1650" s="3">
        <f>DATE(2024,8,5)</f>
        <v>45509</v>
      </c>
      <c r="G1650" s="3">
        <f>DATE(2024,8,5)</f>
        <v>45509</v>
      </c>
      <c r="H1650">
        <v>1060262298</v>
      </c>
      <c r="I1650" t="s">
        <v>20</v>
      </c>
      <c r="K1650" t="s">
        <v>21</v>
      </c>
      <c r="L1650" t="s">
        <v>22</v>
      </c>
      <c r="M1650" t="s">
        <v>23</v>
      </c>
      <c r="N1650" t="s">
        <v>23</v>
      </c>
      <c r="O1650" t="s">
        <v>24</v>
      </c>
      <c r="P1650" s="8" t="s">
        <v>2106</v>
      </c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</row>
    <row r="1651" spans="1:51" hidden="1" x14ac:dyDescent="0.2">
      <c r="A1651" s="6"/>
      <c r="E1651" s="2"/>
      <c r="F1651" s="3"/>
      <c r="G1651" s="3"/>
      <c r="P1651" s="8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</row>
    <row r="1652" spans="1:51" hidden="1" x14ac:dyDescent="0.2">
      <c r="A1652" s="6"/>
      <c r="E1652" s="2"/>
      <c r="F1652" s="3"/>
      <c r="G1652" s="3"/>
      <c r="P1652" s="8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</row>
    <row r="1653" spans="1:51" hidden="1" x14ac:dyDescent="0.2">
      <c r="A1653" s="6"/>
      <c r="E1653" s="2"/>
      <c r="F1653" s="3"/>
      <c r="G1653" s="3"/>
      <c r="P1653" s="8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</row>
    <row r="1654" spans="1:51" hidden="1" x14ac:dyDescent="0.2">
      <c r="A1654" s="6"/>
      <c r="E1654" s="2"/>
      <c r="F1654" s="3"/>
      <c r="G1654" s="3"/>
      <c r="P1654" s="8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</row>
    <row r="1655" spans="1:51" x14ac:dyDescent="0.2">
      <c r="A1655" s="6" t="s">
        <v>17</v>
      </c>
      <c r="B1655" t="s">
        <v>44</v>
      </c>
      <c r="C1655" t="s">
        <v>45</v>
      </c>
      <c r="D1655" t="s">
        <v>2107</v>
      </c>
      <c r="E1655" s="2">
        <v>40.5</v>
      </c>
      <c r="F1655" s="3">
        <f>DATE(2024,8,2)</f>
        <v>45506</v>
      </c>
      <c r="G1655" s="3">
        <f>DATE(2024,8,2)</f>
        <v>45506</v>
      </c>
      <c r="H1655">
        <v>1060262308</v>
      </c>
      <c r="I1655" t="s">
        <v>51</v>
      </c>
      <c r="K1655" t="s">
        <v>21</v>
      </c>
      <c r="L1655" t="s">
        <v>22</v>
      </c>
      <c r="M1655" t="s">
        <v>23</v>
      </c>
      <c r="N1655" t="s">
        <v>23</v>
      </c>
      <c r="O1655" t="s">
        <v>24</v>
      </c>
      <c r="P1655" s="8" t="s">
        <v>2108</v>
      </c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</row>
    <row r="1656" spans="1:51" x14ac:dyDescent="0.2">
      <c r="A1656" s="6" t="s">
        <v>17</v>
      </c>
      <c r="B1656" t="s">
        <v>44</v>
      </c>
      <c r="C1656" t="s">
        <v>45</v>
      </c>
      <c r="D1656" t="s">
        <v>2109</v>
      </c>
      <c r="E1656" s="2">
        <v>6.36</v>
      </c>
      <c r="F1656" s="3">
        <f>DATE(2024,8,2)</f>
        <v>45506</v>
      </c>
      <c r="G1656" s="3">
        <f>DATE(2024,8,2)</f>
        <v>45506</v>
      </c>
      <c r="H1656">
        <v>1060262309</v>
      </c>
      <c r="I1656" t="s">
        <v>51</v>
      </c>
      <c r="K1656" t="s">
        <v>21</v>
      </c>
      <c r="L1656" t="s">
        <v>22</v>
      </c>
      <c r="M1656" t="s">
        <v>23</v>
      </c>
      <c r="N1656" t="s">
        <v>23</v>
      </c>
      <c r="O1656" t="s">
        <v>24</v>
      </c>
      <c r="P1656" s="8" t="s">
        <v>2110</v>
      </c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</row>
    <row r="1657" spans="1:51" x14ac:dyDescent="0.2">
      <c r="A1657" s="6" t="s">
        <v>17</v>
      </c>
      <c r="B1657" t="s">
        <v>74</v>
      </c>
      <c r="C1657" t="s">
        <v>75</v>
      </c>
      <c r="D1657" t="s">
        <v>2111</v>
      </c>
      <c r="E1657" s="2">
        <v>3590.16</v>
      </c>
      <c r="F1657" s="3">
        <f t="shared" ref="F1657:G1673" si="107">DATE(2024,8,5)</f>
        <v>45509</v>
      </c>
      <c r="G1657" s="3">
        <f t="shared" si="107"/>
        <v>45509</v>
      </c>
      <c r="H1657">
        <v>1063643974</v>
      </c>
      <c r="I1657" t="s">
        <v>73</v>
      </c>
      <c r="K1657" t="s">
        <v>21</v>
      </c>
      <c r="L1657" t="s">
        <v>22</v>
      </c>
      <c r="M1657" t="s">
        <v>23</v>
      </c>
      <c r="N1657" t="s">
        <v>23</v>
      </c>
      <c r="O1657" t="s">
        <v>24</v>
      </c>
      <c r="P1657" s="8" t="s">
        <v>2112</v>
      </c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</row>
    <row r="1658" spans="1:51" hidden="1" x14ac:dyDescent="0.2">
      <c r="A1658" s="6"/>
      <c r="E1658" s="2"/>
      <c r="F1658" s="3"/>
      <c r="G1658" s="3"/>
      <c r="P1658" s="8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</row>
    <row r="1659" spans="1:51" x14ac:dyDescent="0.2">
      <c r="A1659" s="6" t="s">
        <v>17</v>
      </c>
      <c r="B1659" t="s">
        <v>74</v>
      </c>
      <c r="C1659" t="s">
        <v>75</v>
      </c>
      <c r="D1659" t="s">
        <v>2113</v>
      </c>
      <c r="E1659" s="2">
        <v>262.7</v>
      </c>
      <c r="F1659" s="3">
        <f t="shared" si="107"/>
        <v>45509</v>
      </c>
      <c r="G1659" s="3">
        <f t="shared" si="107"/>
        <v>45509</v>
      </c>
      <c r="H1659">
        <v>1063643976</v>
      </c>
      <c r="I1659" t="s">
        <v>73</v>
      </c>
      <c r="K1659" t="s">
        <v>21</v>
      </c>
      <c r="L1659" t="s">
        <v>22</v>
      </c>
      <c r="M1659" t="s">
        <v>23</v>
      </c>
      <c r="N1659" t="s">
        <v>23</v>
      </c>
      <c r="O1659" t="s">
        <v>24</v>
      </c>
      <c r="P1659" s="8" t="s">
        <v>2114</v>
      </c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</row>
    <row r="1660" spans="1:51" x14ac:dyDescent="0.2">
      <c r="A1660" s="6" t="s">
        <v>17</v>
      </c>
      <c r="B1660" t="s">
        <v>367</v>
      </c>
      <c r="C1660" t="s">
        <v>368</v>
      </c>
      <c r="D1660" t="s">
        <v>369</v>
      </c>
      <c r="E1660" s="2">
        <v>8.4</v>
      </c>
      <c r="F1660" s="3">
        <f t="shared" si="107"/>
        <v>45509</v>
      </c>
      <c r="G1660" s="3">
        <f t="shared" si="107"/>
        <v>45509</v>
      </c>
      <c r="H1660">
        <v>1063643977</v>
      </c>
      <c r="I1660" t="s">
        <v>73</v>
      </c>
      <c r="K1660" t="s">
        <v>21</v>
      </c>
      <c r="L1660" t="s">
        <v>22</v>
      </c>
      <c r="M1660" t="s">
        <v>23</v>
      </c>
      <c r="N1660" t="s">
        <v>23</v>
      </c>
      <c r="O1660" t="s">
        <v>24</v>
      </c>
      <c r="P1660" s="8" t="s">
        <v>2115</v>
      </c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</row>
    <row r="1661" spans="1:51" x14ac:dyDescent="0.2">
      <c r="A1661" s="6" t="s">
        <v>17</v>
      </c>
      <c r="B1661" t="s">
        <v>57</v>
      </c>
      <c r="C1661" t="s">
        <v>58</v>
      </c>
      <c r="D1661" t="s">
        <v>2116</v>
      </c>
      <c r="E1661" s="2">
        <v>52.5</v>
      </c>
      <c r="F1661" s="3">
        <f t="shared" si="107"/>
        <v>45509</v>
      </c>
      <c r="G1661" s="3">
        <f t="shared" si="107"/>
        <v>45509</v>
      </c>
      <c r="H1661">
        <v>1064675514</v>
      </c>
      <c r="I1661" t="s">
        <v>20</v>
      </c>
      <c r="K1661" t="s">
        <v>21</v>
      </c>
      <c r="L1661" t="s">
        <v>22</v>
      </c>
      <c r="M1661" t="s">
        <v>23</v>
      </c>
      <c r="N1661" t="s">
        <v>23</v>
      </c>
      <c r="O1661" t="s">
        <v>24</v>
      </c>
      <c r="P1661" s="8" t="s">
        <v>2117</v>
      </c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</row>
    <row r="1662" spans="1:51" hidden="1" x14ac:dyDescent="0.2">
      <c r="A1662" s="6"/>
      <c r="E1662" s="2"/>
      <c r="F1662" s="3"/>
      <c r="G1662" s="3"/>
      <c r="P1662" s="8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</row>
    <row r="1663" spans="1:51" x14ac:dyDescent="0.2">
      <c r="A1663" s="6" t="s">
        <v>17</v>
      </c>
      <c r="B1663" t="s">
        <v>57</v>
      </c>
      <c r="C1663" t="s">
        <v>58</v>
      </c>
      <c r="D1663" t="s">
        <v>2118</v>
      </c>
      <c r="E1663" s="2">
        <v>169.85</v>
      </c>
      <c r="F1663" s="3">
        <f t="shared" si="107"/>
        <v>45509</v>
      </c>
      <c r="G1663" s="3">
        <f t="shared" si="107"/>
        <v>45509</v>
      </c>
      <c r="H1663">
        <v>1064675516</v>
      </c>
      <c r="I1663" t="s">
        <v>20</v>
      </c>
      <c r="K1663" t="s">
        <v>21</v>
      </c>
      <c r="L1663" t="s">
        <v>22</v>
      </c>
      <c r="M1663" t="s">
        <v>23</v>
      </c>
      <c r="N1663" t="s">
        <v>23</v>
      </c>
      <c r="O1663" t="s">
        <v>24</v>
      </c>
      <c r="P1663" s="8" t="s">
        <v>2119</v>
      </c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</row>
    <row r="1664" spans="1:51" hidden="1" x14ac:dyDescent="0.2">
      <c r="A1664" s="6"/>
      <c r="E1664" s="2"/>
      <c r="F1664" s="3"/>
      <c r="G1664" s="3"/>
      <c r="P1664" s="8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</row>
    <row r="1665" spans="1:51" x14ac:dyDescent="0.2">
      <c r="A1665" s="6" t="s">
        <v>17</v>
      </c>
      <c r="B1665" t="s">
        <v>80</v>
      </c>
      <c r="C1665" t="s">
        <v>81</v>
      </c>
      <c r="D1665" t="s">
        <v>2120</v>
      </c>
      <c r="E1665" s="2">
        <v>1664.13</v>
      </c>
      <c r="F1665" s="3">
        <f t="shared" si="107"/>
        <v>45509</v>
      </c>
      <c r="G1665" s="3">
        <f t="shared" si="107"/>
        <v>45509</v>
      </c>
      <c r="H1665">
        <v>1064675518</v>
      </c>
      <c r="I1665" t="s">
        <v>20</v>
      </c>
      <c r="K1665" t="s">
        <v>21</v>
      </c>
      <c r="L1665" t="s">
        <v>22</v>
      </c>
      <c r="M1665" t="s">
        <v>23</v>
      </c>
      <c r="N1665" t="s">
        <v>23</v>
      </c>
      <c r="O1665" t="s">
        <v>24</v>
      </c>
      <c r="P1665" s="8" t="s">
        <v>2121</v>
      </c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</row>
    <row r="1666" spans="1:51" x14ac:dyDescent="0.2">
      <c r="A1666" s="6" t="s">
        <v>17</v>
      </c>
      <c r="B1666" t="s">
        <v>34</v>
      </c>
      <c r="C1666" t="s">
        <v>35</v>
      </c>
      <c r="D1666" t="s">
        <v>2122</v>
      </c>
      <c r="E1666" s="2">
        <v>102.16</v>
      </c>
      <c r="F1666" s="3">
        <f t="shared" si="107"/>
        <v>45509</v>
      </c>
      <c r="G1666" s="3">
        <f t="shared" si="107"/>
        <v>45509</v>
      </c>
      <c r="H1666">
        <v>1064675519</v>
      </c>
      <c r="I1666" t="s">
        <v>20</v>
      </c>
      <c r="K1666" t="s">
        <v>21</v>
      </c>
      <c r="L1666" t="s">
        <v>22</v>
      </c>
      <c r="M1666" t="s">
        <v>23</v>
      </c>
      <c r="N1666" t="s">
        <v>23</v>
      </c>
      <c r="O1666" t="s">
        <v>24</v>
      </c>
      <c r="P1666" s="8" t="s">
        <v>2123</v>
      </c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</row>
    <row r="1667" spans="1:51" hidden="1" x14ac:dyDescent="0.2">
      <c r="A1667" s="6"/>
      <c r="E1667" s="2"/>
      <c r="F1667" s="3"/>
      <c r="G1667" s="3"/>
      <c r="P1667" s="8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</row>
    <row r="1668" spans="1:51" hidden="1" x14ac:dyDescent="0.2">
      <c r="A1668" s="6"/>
      <c r="E1668" s="2"/>
      <c r="F1668" s="3"/>
      <c r="G1668" s="3"/>
      <c r="P1668" s="8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</row>
    <row r="1669" spans="1:51" x14ac:dyDescent="0.2">
      <c r="A1669" s="6" t="s">
        <v>17</v>
      </c>
      <c r="B1669" t="s">
        <v>80</v>
      </c>
      <c r="C1669" t="s">
        <v>81</v>
      </c>
      <c r="D1669" t="s">
        <v>2124</v>
      </c>
      <c r="E1669" s="2">
        <v>713.1</v>
      </c>
      <c r="F1669" s="3">
        <f t="shared" si="107"/>
        <v>45509</v>
      </c>
      <c r="G1669" s="3">
        <f t="shared" si="107"/>
        <v>45509</v>
      </c>
      <c r="H1669">
        <v>1064675522</v>
      </c>
      <c r="I1669" t="s">
        <v>20</v>
      </c>
      <c r="K1669" t="s">
        <v>21</v>
      </c>
      <c r="L1669" t="s">
        <v>22</v>
      </c>
      <c r="M1669" t="s">
        <v>23</v>
      </c>
      <c r="N1669" t="s">
        <v>23</v>
      </c>
      <c r="O1669" t="s">
        <v>24</v>
      </c>
      <c r="P1669" s="8" t="s">
        <v>2125</v>
      </c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</row>
    <row r="1670" spans="1:51" x14ac:dyDescent="0.2">
      <c r="A1670" s="6" t="s">
        <v>17</v>
      </c>
      <c r="B1670" t="s">
        <v>61</v>
      </c>
      <c r="C1670" t="s">
        <v>62</v>
      </c>
      <c r="D1670" t="s">
        <v>2126</v>
      </c>
      <c r="E1670" s="2">
        <v>9</v>
      </c>
      <c r="F1670" s="3">
        <f t="shared" si="107"/>
        <v>45509</v>
      </c>
      <c r="G1670" s="3">
        <f t="shared" si="107"/>
        <v>45509</v>
      </c>
      <c r="H1670">
        <v>1064675523</v>
      </c>
      <c r="I1670" t="s">
        <v>20</v>
      </c>
      <c r="K1670" t="s">
        <v>21</v>
      </c>
      <c r="L1670" t="s">
        <v>22</v>
      </c>
      <c r="M1670" t="s">
        <v>23</v>
      </c>
      <c r="N1670" t="s">
        <v>23</v>
      </c>
      <c r="O1670" t="s">
        <v>24</v>
      </c>
      <c r="P1670" s="8" t="s">
        <v>2127</v>
      </c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</row>
    <row r="1671" spans="1:51" hidden="1" x14ac:dyDescent="0.2">
      <c r="A1671" s="6"/>
      <c r="E1671" s="2"/>
      <c r="F1671" s="3"/>
      <c r="G1671" s="3"/>
      <c r="P1671" s="8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</row>
    <row r="1672" spans="1:51" hidden="1" x14ac:dyDescent="0.2">
      <c r="A1672" s="6"/>
      <c r="E1672" s="2"/>
      <c r="F1672" s="3"/>
      <c r="G1672" s="3"/>
      <c r="P1672" s="8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</row>
    <row r="1673" spans="1:51" hidden="1" x14ac:dyDescent="0.2">
      <c r="A1673" s="6"/>
      <c r="E1673" s="2"/>
      <c r="F1673" s="3"/>
      <c r="G1673" s="3"/>
      <c r="P1673" s="8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</row>
    <row r="1674" spans="1:51" hidden="1" x14ac:dyDescent="0.2">
      <c r="A1674" s="6"/>
      <c r="E1674" s="2"/>
      <c r="F1674" s="3"/>
      <c r="G1674" s="3"/>
      <c r="P1674" s="8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</row>
    <row r="1675" spans="1:51" x14ac:dyDescent="0.2">
      <c r="A1675" s="6" t="s">
        <v>17</v>
      </c>
      <c r="B1675" t="s">
        <v>363</v>
      </c>
      <c r="C1675" t="s">
        <v>364</v>
      </c>
      <c r="D1675" t="s">
        <v>2128</v>
      </c>
      <c r="E1675" s="2">
        <v>18.600000000000001</v>
      </c>
      <c r="F1675" s="3">
        <f t="shared" ref="F1674:G1684" si="108">DATE(2024,8,6)</f>
        <v>45510</v>
      </c>
      <c r="G1675" s="3">
        <f t="shared" si="108"/>
        <v>45510</v>
      </c>
      <c r="H1675">
        <v>1068595875</v>
      </c>
      <c r="I1675" t="s">
        <v>73</v>
      </c>
      <c r="K1675" t="s">
        <v>21</v>
      </c>
      <c r="L1675" t="s">
        <v>22</v>
      </c>
      <c r="M1675" t="s">
        <v>23</v>
      </c>
      <c r="N1675" t="s">
        <v>23</v>
      </c>
      <c r="O1675" t="s">
        <v>24</v>
      </c>
      <c r="P1675" s="8" t="s">
        <v>2129</v>
      </c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</row>
    <row r="1676" spans="1:51" hidden="1" x14ac:dyDescent="0.2">
      <c r="A1676" s="6"/>
      <c r="E1676" s="2"/>
      <c r="F1676" s="3"/>
      <c r="G1676" s="3"/>
      <c r="P1676" s="8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</row>
    <row r="1677" spans="1:51" x14ac:dyDescent="0.2">
      <c r="A1677" s="6" t="s">
        <v>17</v>
      </c>
      <c r="B1677" t="s">
        <v>44</v>
      </c>
      <c r="C1677" t="s">
        <v>45</v>
      </c>
      <c r="D1677" t="s">
        <v>2130</v>
      </c>
      <c r="E1677" s="2">
        <v>106.8</v>
      </c>
      <c r="F1677" s="3">
        <f t="shared" si="108"/>
        <v>45510</v>
      </c>
      <c r="G1677" s="3">
        <f t="shared" si="108"/>
        <v>45510</v>
      </c>
      <c r="H1677">
        <v>1069326677</v>
      </c>
      <c r="I1677" t="s">
        <v>20</v>
      </c>
      <c r="K1677" t="s">
        <v>21</v>
      </c>
      <c r="L1677" t="s">
        <v>22</v>
      </c>
      <c r="M1677" t="s">
        <v>23</v>
      </c>
      <c r="N1677" t="s">
        <v>23</v>
      </c>
      <c r="O1677" t="s">
        <v>24</v>
      </c>
      <c r="P1677" s="8" t="s">
        <v>2131</v>
      </c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</row>
    <row r="1678" spans="1:51" x14ac:dyDescent="0.2">
      <c r="A1678" s="6" t="s">
        <v>17</v>
      </c>
      <c r="B1678" t="s">
        <v>179</v>
      </c>
      <c r="C1678" t="s">
        <v>180</v>
      </c>
      <c r="D1678" t="s">
        <v>2132</v>
      </c>
      <c r="E1678" s="2">
        <v>309.47000000000003</v>
      </c>
      <c r="F1678" s="3">
        <f t="shared" si="108"/>
        <v>45510</v>
      </c>
      <c r="G1678" s="3">
        <f t="shared" si="108"/>
        <v>45510</v>
      </c>
      <c r="H1678">
        <v>1069326678</v>
      </c>
      <c r="I1678" t="s">
        <v>20</v>
      </c>
      <c r="K1678" t="s">
        <v>21</v>
      </c>
      <c r="L1678" t="s">
        <v>22</v>
      </c>
      <c r="M1678" t="s">
        <v>23</v>
      </c>
      <c r="N1678" t="s">
        <v>23</v>
      </c>
      <c r="O1678" t="s">
        <v>24</v>
      </c>
      <c r="P1678" s="8" t="s">
        <v>2133</v>
      </c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</row>
    <row r="1679" spans="1:51" x14ac:dyDescent="0.2">
      <c r="A1679" s="6" t="s">
        <v>17</v>
      </c>
      <c r="B1679" t="s">
        <v>34</v>
      </c>
      <c r="C1679" t="s">
        <v>35</v>
      </c>
      <c r="D1679" t="s">
        <v>2134</v>
      </c>
      <c r="E1679" s="2">
        <v>5017.3999999999996</v>
      </c>
      <c r="F1679" s="3">
        <f t="shared" si="108"/>
        <v>45510</v>
      </c>
      <c r="G1679" s="3">
        <f t="shared" si="108"/>
        <v>45510</v>
      </c>
      <c r="H1679">
        <v>1069326679</v>
      </c>
      <c r="I1679" t="s">
        <v>20</v>
      </c>
      <c r="K1679" t="s">
        <v>21</v>
      </c>
      <c r="L1679" t="s">
        <v>22</v>
      </c>
      <c r="M1679" t="s">
        <v>23</v>
      </c>
      <c r="N1679" t="s">
        <v>23</v>
      </c>
      <c r="O1679" t="s">
        <v>24</v>
      </c>
      <c r="P1679" s="8" t="s">
        <v>2135</v>
      </c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</row>
    <row r="1680" spans="1:51" x14ac:dyDescent="0.2">
      <c r="A1680" s="6" t="s">
        <v>17</v>
      </c>
      <c r="B1680" t="s">
        <v>179</v>
      </c>
      <c r="C1680" t="s">
        <v>180</v>
      </c>
      <c r="D1680" t="s">
        <v>2136</v>
      </c>
      <c r="E1680" s="2">
        <v>789.83</v>
      </c>
      <c r="F1680" s="3">
        <f t="shared" si="108"/>
        <v>45510</v>
      </c>
      <c r="G1680" s="3">
        <f t="shared" si="108"/>
        <v>45510</v>
      </c>
      <c r="H1680">
        <v>1069326680</v>
      </c>
      <c r="I1680" t="s">
        <v>20</v>
      </c>
      <c r="K1680" t="s">
        <v>21</v>
      </c>
      <c r="L1680" t="s">
        <v>22</v>
      </c>
      <c r="M1680" t="s">
        <v>23</v>
      </c>
      <c r="N1680" t="s">
        <v>23</v>
      </c>
      <c r="O1680" t="s">
        <v>24</v>
      </c>
      <c r="P1680" s="8" t="s">
        <v>2137</v>
      </c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</row>
    <row r="1681" spans="1:51" hidden="1" x14ac:dyDescent="0.2">
      <c r="A1681" s="6"/>
      <c r="E1681" s="2"/>
      <c r="F1681" s="3"/>
      <c r="G1681" s="3"/>
      <c r="P1681" s="8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</row>
    <row r="1682" spans="1:51" x14ac:dyDescent="0.2">
      <c r="A1682" s="6" t="s">
        <v>17</v>
      </c>
      <c r="B1682" t="s">
        <v>110</v>
      </c>
      <c r="C1682" t="s">
        <v>111</v>
      </c>
      <c r="D1682" t="s">
        <v>2138</v>
      </c>
      <c r="E1682" s="2">
        <v>740.52</v>
      </c>
      <c r="F1682" s="3">
        <f t="shared" si="108"/>
        <v>45510</v>
      </c>
      <c r="G1682" s="3">
        <f t="shared" si="108"/>
        <v>45510</v>
      </c>
      <c r="H1682">
        <v>1069326682</v>
      </c>
      <c r="I1682" t="s">
        <v>20</v>
      </c>
      <c r="K1682" t="s">
        <v>21</v>
      </c>
      <c r="L1682" t="s">
        <v>22</v>
      </c>
      <c r="M1682" t="s">
        <v>23</v>
      </c>
      <c r="N1682" t="s">
        <v>23</v>
      </c>
      <c r="O1682" t="s">
        <v>24</v>
      </c>
      <c r="P1682" s="8" t="s">
        <v>2139</v>
      </c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</row>
    <row r="1683" spans="1:51" x14ac:dyDescent="0.2">
      <c r="A1683" s="6" t="s">
        <v>17</v>
      </c>
      <c r="B1683" t="s">
        <v>261</v>
      </c>
      <c r="C1683" t="s">
        <v>262</v>
      </c>
      <c r="D1683" t="s">
        <v>2140</v>
      </c>
      <c r="E1683" s="2">
        <v>2537.09</v>
      </c>
      <c r="F1683" s="3">
        <f t="shared" si="108"/>
        <v>45510</v>
      </c>
      <c r="G1683" s="3">
        <f t="shared" si="108"/>
        <v>45510</v>
      </c>
      <c r="H1683">
        <v>1069326683</v>
      </c>
      <c r="I1683" t="s">
        <v>20</v>
      </c>
      <c r="K1683" t="s">
        <v>21</v>
      </c>
      <c r="L1683" t="s">
        <v>22</v>
      </c>
      <c r="M1683" t="s">
        <v>23</v>
      </c>
      <c r="N1683" t="s">
        <v>23</v>
      </c>
      <c r="O1683" t="s">
        <v>24</v>
      </c>
      <c r="P1683" s="8" t="s">
        <v>2141</v>
      </c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</row>
    <row r="1684" spans="1:51" x14ac:dyDescent="0.2">
      <c r="A1684" s="6" t="s">
        <v>17</v>
      </c>
      <c r="B1684" t="s">
        <v>110</v>
      </c>
      <c r="C1684" t="s">
        <v>111</v>
      </c>
      <c r="D1684" t="s">
        <v>2142</v>
      </c>
      <c r="E1684" s="2">
        <v>3085.78</v>
      </c>
      <c r="F1684" s="3">
        <f t="shared" si="108"/>
        <v>45510</v>
      </c>
      <c r="G1684" s="3">
        <f t="shared" si="108"/>
        <v>45510</v>
      </c>
      <c r="H1684">
        <v>1069326684</v>
      </c>
      <c r="I1684" t="s">
        <v>20</v>
      </c>
      <c r="K1684" t="s">
        <v>21</v>
      </c>
      <c r="L1684" t="s">
        <v>22</v>
      </c>
      <c r="M1684" t="s">
        <v>23</v>
      </c>
      <c r="N1684" t="s">
        <v>23</v>
      </c>
      <c r="O1684" t="s">
        <v>24</v>
      </c>
      <c r="P1684" s="8" t="s">
        <v>2143</v>
      </c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</row>
    <row r="1685" spans="1:51" x14ac:dyDescent="0.2">
      <c r="A1685" s="6" t="s">
        <v>17</v>
      </c>
      <c r="B1685" t="s">
        <v>34</v>
      </c>
      <c r="C1685" t="s">
        <v>35</v>
      </c>
      <c r="D1685" t="s">
        <v>98</v>
      </c>
      <c r="E1685" s="2">
        <v>500</v>
      </c>
      <c r="F1685" s="3">
        <f>DATE(2024,8,7)</f>
        <v>45511</v>
      </c>
      <c r="G1685" s="3">
        <f>DATE(2024,8,7)</f>
        <v>45511</v>
      </c>
      <c r="H1685">
        <v>1069326685</v>
      </c>
      <c r="I1685" t="s">
        <v>20</v>
      </c>
      <c r="K1685" t="s">
        <v>21</v>
      </c>
      <c r="L1685" t="s">
        <v>22</v>
      </c>
      <c r="M1685" t="s">
        <v>23</v>
      </c>
      <c r="N1685" t="s">
        <v>23</v>
      </c>
      <c r="O1685" t="s">
        <v>24</v>
      </c>
      <c r="P1685" s="8" t="s">
        <v>2144</v>
      </c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</row>
    <row r="1686" spans="1:51" x14ac:dyDescent="0.2">
      <c r="A1686" s="6" t="s">
        <v>17</v>
      </c>
      <c r="B1686" t="s">
        <v>44</v>
      </c>
      <c r="C1686" t="s">
        <v>45</v>
      </c>
      <c r="D1686" t="s">
        <v>2145</v>
      </c>
      <c r="E1686" s="2">
        <v>75</v>
      </c>
      <c r="F1686" s="3">
        <f t="shared" ref="F1686:G1691" si="109">DATE(2024,8,6)</f>
        <v>45510</v>
      </c>
      <c r="G1686" s="3">
        <f t="shared" si="109"/>
        <v>45510</v>
      </c>
      <c r="H1686">
        <v>1069326686</v>
      </c>
      <c r="I1686" t="s">
        <v>20</v>
      </c>
      <c r="K1686" t="s">
        <v>21</v>
      </c>
      <c r="L1686" t="s">
        <v>22</v>
      </c>
      <c r="M1686" t="s">
        <v>23</v>
      </c>
      <c r="N1686" t="s">
        <v>23</v>
      </c>
      <c r="O1686" t="s">
        <v>24</v>
      </c>
      <c r="P1686" s="8" t="s">
        <v>2146</v>
      </c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</row>
    <row r="1687" spans="1:51" x14ac:dyDescent="0.2">
      <c r="A1687" s="6" t="s">
        <v>17</v>
      </c>
      <c r="B1687" t="s">
        <v>110</v>
      </c>
      <c r="C1687" t="s">
        <v>111</v>
      </c>
      <c r="D1687" t="s">
        <v>2147</v>
      </c>
      <c r="E1687" s="2">
        <v>117.82</v>
      </c>
      <c r="F1687" s="3">
        <f t="shared" si="109"/>
        <v>45510</v>
      </c>
      <c r="G1687" s="3">
        <f t="shared" si="109"/>
        <v>45510</v>
      </c>
      <c r="H1687">
        <v>1069326687</v>
      </c>
      <c r="I1687" t="s">
        <v>20</v>
      </c>
      <c r="K1687" t="s">
        <v>21</v>
      </c>
      <c r="L1687" t="s">
        <v>22</v>
      </c>
      <c r="M1687" t="s">
        <v>23</v>
      </c>
      <c r="N1687" t="s">
        <v>23</v>
      </c>
      <c r="O1687" t="s">
        <v>24</v>
      </c>
      <c r="P1687" s="8" t="s">
        <v>2148</v>
      </c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</row>
    <row r="1688" spans="1:51" x14ac:dyDescent="0.2">
      <c r="A1688" s="6" t="s">
        <v>17</v>
      </c>
      <c r="B1688" t="s">
        <v>34</v>
      </c>
      <c r="C1688" t="s">
        <v>35</v>
      </c>
      <c r="D1688" t="s">
        <v>2149</v>
      </c>
      <c r="E1688" s="2">
        <v>211.1</v>
      </c>
      <c r="F1688" s="3">
        <f t="shared" si="109"/>
        <v>45510</v>
      </c>
      <c r="G1688" s="3">
        <f t="shared" si="109"/>
        <v>45510</v>
      </c>
      <c r="H1688">
        <v>1069326688</v>
      </c>
      <c r="I1688" t="s">
        <v>20</v>
      </c>
      <c r="K1688" t="s">
        <v>21</v>
      </c>
      <c r="L1688" t="s">
        <v>22</v>
      </c>
      <c r="M1688" t="s">
        <v>23</v>
      </c>
      <c r="N1688" t="s">
        <v>23</v>
      </c>
      <c r="O1688" t="s">
        <v>24</v>
      </c>
      <c r="P1688" s="8" t="s">
        <v>2150</v>
      </c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</row>
    <row r="1689" spans="1:51" x14ac:dyDescent="0.2">
      <c r="A1689" s="6" t="s">
        <v>17</v>
      </c>
      <c r="B1689" t="s">
        <v>110</v>
      </c>
      <c r="C1689" t="s">
        <v>111</v>
      </c>
      <c r="D1689" t="s">
        <v>2151</v>
      </c>
      <c r="E1689" s="2">
        <v>2908.35</v>
      </c>
      <c r="F1689" s="3">
        <f t="shared" si="109"/>
        <v>45510</v>
      </c>
      <c r="G1689" s="3">
        <f t="shared" si="109"/>
        <v>45510</v>
      </c>
      <c r="H1689">
        <v>1069326689</v>
      </c>
      <c r="I1689" t="s">
        <v>20</v>
      </c>
      <c r="K1689" t="s">
        <v>21</v>
      </c>
      <c r="L1689" t="s">
        <v>22</v>
      </c>
      <c r="M1689" t="s">
        <v>23</v>
      </c>
      <c r="N1689" t="s">
        <v>23</v>
      </c>
      <c r="O1689" t="s">
        <v>24</v>
      </c>
      <c r="P1689" s="8" t="s">
        <v>2152</v>
      </c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</row>
    <row r="1690" spans="1:51" x14ac:dyDescent="0.2">
      <c r="A1690" s="6" t="s">
        <v>17</v>
      </c>
      <c r="B1690" t="s">
        <v>137</v>
      </c>
      <c r="C1690" t="s">
        <v>138</v>
      </c>
      <c r="D1690" t="s">
        <v>2153</v>
      </c>
      <c r="E1690" s="2">
        <v>180</v>
      </c>
      <c r="F1690" s="3">
        <f t="shared" si="109"/>
        <v>45510</v>
      </c>
      <c r="G1690" s="3">
        <f t="shared" si="109"/>
        <v>45510</v>
      </c>
      <c r="H1690">
        <v>1069326690</v>
      </c>
      <c r="I1690" t="s">
        <v>20</v>
      </c>
      <c r="K1690" t="s">
        <v>21</v>
      </c>
      <c r="L1690" t="s">
        <v>22</v>
      </c>
      <c r="M1690" t="s">
        <v>23</v>
      </c>
      <c r="N1690" t="s">
        <v>23</v>
      </c>
      <c r="O1690" t="s">
        <v>24</v>
      </c>
      <c r="P1690" s="8" t="s">
        <v>2154</v>
      </c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</row>
    <row r="1691" spans="1:51" hidden="1" x14ac:dyDescent="0.2">
      <c r="A1691" s="6"/>
      <c r="E1691" s="2"/>
      <c r="F1691" s="3"/>
      <c r="G1691" s="3"/>
      <c r="P1691" s="8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</row>
    <row r="1692" spans="1:51" x14ac:dyDescent="0.2">
      <c r="A1692" s="6" t="s">
        <v>17</v>
      </c>
      <c r="B1692" t="s">
        <v>674</v>
      </c>
      <c r="C1692" t="s">
        <v>675</v>
      </c>
      <c r="D1692" t="s">
        <v>2155</v>
      </c>
      <c r="E1692" s="2">
        <v>1210.43</v>
      </c>
      <c r="F1692" s="3">
        <f>DATE(2024,8,7)</f>
        <v>45511</v>
      </c>
      <c r="G1692" s="3">
        <f>DATE(2024,8,7)</f>
        <v>45511</v>
      </c>
      <c r="H1692">
        <v>1069326692</v>
      </c>
      <c r="I1692" t="s">
        <v>20</v>
      </c>
      <c r="K1692" t="s">
        <v>21</v>
      </c>
      <c r="L1692" t="s">
        <v>22</v>
      </c>
      <c r="M1692" t="s">
        <v>23</v>
      </c>
      <c r="N1692" t="s">
        <v>23</v>
      </c>
      <c r="O1692" t="s">
        <v>24</v>
      </c>
      <c r="P1692" s="8" t="s">
        <v>2156</v>
      </c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</row>
    <row r="1693" spans="1:51" x14ac:dyDescent="0.2">
      <c r="A1693" s="6" t="s">
        <v>17</v>
      </c>
      <c r="B1693" t="s">
        <v>611</v>
      </c>
      <c r="C1693" t="s">
        <v>612</v>
      </c>
      <c r="D1693" t="s">
        <v>2157</v>
      </c>
      <c r="E1693" s="2">
        <v>864</v>
      </c>
      <c r="F1693" s="3">
        <f t="shared" ref="F1693:G1696" si="110">DATE(2024,8,6)</f>
        <v>45510</v>
      </c>
      <c r="G1693" s="3">
        <f t="shared" si="110"/>
        <v>45510</v>
      </c>
      <c r="H1693">
        <v>1069326693</v>
      </c>
      <c r="I1693" t="s">
        <v>20</v>
      </c>
      <c r="K1693" t="s">
        <v>21</v>
      </c>
      <c r="L1693" t="s">
        <v>22</v>
      </c>
      <c r="M1693" t="s">
        <v>23</v>
      </c>
      <c r="N1693" t="s">
        <v>23</v>
      </c>
      <c r="O1693" t="s">
        <v>24</v>
      </c>
      <c r="P1693" s="8" t="s">
        <v>2158</v>
      </c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</row>
    <row r="1694" spans="1:51" x14ac:dyDescent="0.2">
      <c r="A1694" s="6" t="s">
        <v>17</v>
      </c>
      <c r="B1694" t="s">
        <v>261</v>
      </c>
      <c r="C1694" t="s">
        <v>262</v>
      </c>
      <c r="D1694" t="s">
        <v>2159</v>
      </c>
      <c r="E1694" s="2">
        <v>1454.39</v>
      </c>
      <c r="F1694" s="3">
        <f t="shared" si="110"/>
        <v>45510</v>
      </c>
      <c r="G1694" s="3">
        <f t="shared" si="110"/>
        <v>45510</v>
      </c>
      <c r="H1694">
        <v>1069326694</v>
      </c>
      <c r="I1694" t="s">
        <v>20</v>
      </c>
      <c r="K1694" t="s">
        <v>21</v>
      </c>
      <c r="L1694" t="s">
        <v>22</v>
      </c>
      <c r="M1694" t="s">
        <v>23</v>
      </c>
      <c r="N1694" t="s">
        <v>23</v>
      </c>
      <c r="O1694" t="s">
        <v>24</v>
      </c>
      <c r="P1694" s="8" t="s">
        <v>2160</v>
      </c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</row>
    <row r="1695" spans="1:51" x14ac:dyDescent="0.2">
      <c r="A1695" s="6" t="s">
        <v>17</v>
      </c>
      <c r="B1695" t="s">
        <v>1046</v>
      </c>
      <c r="C1695" t="s">
        <v>1047</v>
      </c>
      <c r="D1695" t="s">
        <v>2161</v>
      </c>
      <c r="E1695" s="2">
        <v>1764.61</v>
      </c>
      <c r="F1695" s="3">
        <f t="shared" si="110"/>
        <v>45510</v>
      </c>
      <c r="G1695" s="3">
        <f t="shared" si="110"/>
        <v>45510</v>
      </c>
      <c r="H1695">
        <v>1069326695</v>
      </c>
      <c r="I1695" t="s">
        <v>20</v>
      </c>
      <c r="K1695" t="s">
        <v>21</v>
      </c>
      <c r="L1695" t="s">
        <v>22</v>
      </c>
      <c r="M1695" t="s">
        <v>23</v>
      </c>
      <c r="N1695" t="s">
        <v>23</v>
      </c>
      <c r="O1695" t="s">
        <v>24</v>
      </c>
      <c r="P1695" s="8" t="s">
        <v>2162</v>
      </c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</row>
    <row r="1696" spans="1:51" hidden="1" x14ac:dyDescent="0.2">
      <c r="A1696" s="6"/>
      <c r="E1696" s="2"/>
      <c r="F1696" s="3"/>
      <c r="G1696" s="3"/>
      <c r="P1696" s="8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</row>
    <row r="1697" spans="1:51" hidden="1" x14ac:dyDescent="0.2">
      <c r="A1697" s="6"/>
      <c r="E1697" s="2"/>
      <c r="F1697" s="3"/>
      <c r="G1697" s="3"/>
      <c r="P1697" s="8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</row>
    <row r="1698" spans="1:51" hidden="1" x14ac:dyDescent="0.2">
      <c r="A1698" s="6"/>
      <c r="E1698" s="2"/>
      <c r="F1698" s="3"/>
      <c r="G1698" s="3"/>
      <c r="P1698" s="8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</row>
    <row r="1699" spans="1:51" x14ac:dyDescent="0.2">
      <c r="A1699" s="6" t="s">
        <v>17</v>
      </c>
      <c r="B1699" t="s">
        <v>18</v>
      </c>
      <c r="C1699" t="s">
        <v>18</v>
      </c>
      <c r="D1699" t="s">
        <v>2163</v>
      </c>
      <c r="E1699" s="2">
        <v>2.3199999999999998</v>
      </c>
      <c r="F1699" s="3">
        <f t="shared" ref="F1697:G1704" si="111">DATE(2024,8,7)</f>
        <v>45511</v>
      </c>
      <c r="G1699" s="3">
        <f t="shared" si="111"/>
        <v>45511</v>
      </c>
      <c r="H1699">
        <v>1073698011</v>
      </c>
      <c r="I1699" t="s">
        <v>20</v>
      </c>
      <c r="K1699" t="s">
        <v>21</v>
      </c>
      <c r="L1699" t="s">
        <v>22</v>
      </c>
      <c r="M1699" t="s">
        <v>23</v>
      </c>
      <c r="N1699" t="s">
        <v>23</v>
      </c>
      <c r="O1699" t="s">
        <v>24</v>
      </c>
      <c r="P1699" s="8" t="s">
        <v>2164</v>
      </c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</row>
    <row r="1700" spans="1:51" hidden="1" x14ac:dyDescent="0.2">
      <c r="A1700" s="6"/>
      <c r="E1700" s="2"/>
      <c r="F1700" s="3"/>
      <c r="G1700" s="3"/>
      <c r="P1700" s="8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</row>
    <row r="1701" spans="1:51" hidden="1" x14ac:dyDescent="0.2">
      <c r="A1701" s="6"/>
      <c r="E1701" s="2"/>
      <c r="F1701" s="3"/>
      <c r="G1701" s="3"/>
      <c r="P1701" s="8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</row>
    <row r="1702" spans="1:51" hidden="1" x14ac:dyDescent="0.2">
      <c r="A1702" s="6"/>
      <c r="E1702" s="2"/>
      <c r="F1702" s="3"/>
      <c r="G1702" s="3"/>
      <c r="P1702" s="8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</row>
    <row r="1703" spans="1:51" x14ac:dyDescent="0.2">
      <c r="A1703" s="6" t="s">
        <v>17</v>
      </c>
      <c r="B1703" t="s">
        <v>34</v>
      </c>
      <c r="C1703" t="s">
        <v>35</v>
      </c>
      <c r="D1703" t="s">
        <v>2165</v>
      </c>
      <c r="E1703" s="2">
        <v>518.1</v>
      </c>
      <c r="F1703" s="3">
        <f t="shared" si="111"/>
        <v>45511</v>
      </c>
      <c r="G1703" s="3">
        <f t="shared" si="111"/>
        <v>45511</v>
      </c>
      <c r="H1703">
        <v>1073698015</v>
      </c>
      <c r="I1703" t="s">
        <v>20</v>
      </c>
      <c r="K1703" t="s">
        <v>21</v>
      </c>
      <c r="L1703" t="s">
        <v>22</v>
      </c>
      <c r="M1703" t="s">
        <v>23</v>
      </c>
      <c r="N1703" t="s">
        <v>23</v>
      </c>
      <c r="O1703" t="s">
        <v>24</v>
      </c>
      <c r="P1703" s="8" t="s">
        <v>2166</v>
      </c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</row>
    <row r="1704" spans="1:51" hidden="1" x14ac:dyDescent="0.2">
      <c r="A1704" s="6"/>
      <c r="E1704" s="2"/>
      <c r="F1704" s="3"/>
      <c r="G1704" s="3"/>
      <c r="P1704" s="8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</row>
    <row r="1705" spans="1:51" x14ac:dyDescent="0.2">
      <c r="A1705" s="6" t="s">
        <v>17</v>
      </c>
      <c r="B1705" t="s">
        <v>611</v>
      </c>
      <c r="C1705" t="s">
        <v>612</v>
      </c>
      <c r="D1705" t="s">
        <v>2167</v>
      </c>
      <c r="E1705" s="2">
        <v>162</v>
      </c>
      <c r="F1705" s="3">
        <f>DATE(2024,8,6)</f>
        <v>45510</v>
      </c>
      <c r="G1705" s="3">
        <f>DATE(2024,8,6)</f>
        <v>45510</v>
      </c>
      <c r="H1705">
        <v>1073698017</v>
      </c>
      <c r="I1705" t="s">
        <v>51</v>
      </c>
      <c r="K1705" t="s">
        <v>21</v>
      </c>
      <c r="L1705" t="s">
        <v>22</v>
      </c>
      <c r="M1705" t="s">
        <v>23</v>
      </c>
      <c r="N1705" t="s">
        <v>23</v>
      </c>
      <c r="O1705" t="s">
        <v>24</v>
      </c>
      <c r="P1705" s="8" t="s">
        <v>2168</v>
      </c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</row>
    <row r="1706" spans="1:51" x14ac:dyDescent="0.2">
      <c r="A1706" s="6" t="s">
        <v>17</v>
      </c>
      <c r="B1706" t="s">
        <v>100</v>
      </c>
      <c r="C1706" t="s">
        <v>101</v>
      </c>
      <c r="D1706" t="s">
        <v>1658</v>
      </c>
      <c r="E1706" s="2">
        <v>94.01</v>
      </c>
      <c r="F1706" s="3">
        <f>DATE(2024,8,6)</f>
        <v>45510</v>
      </c>
      <c r="G1706" s="3">
        <f>DATE(2024,8,6)</f>
        <v>45510</v>
      </c>
      <c r="H1706">
        <v>1073698018</v>
      </c>
      <c r="I1706" t="s">
        <v>51</v>
      </c>
      <c r="K1706" t="s">
        <v>21</v>
      </c>
      <c r="L1706" t="s">
        <v>22</v>
      </c>
      <c r="M1706" t="s">
        <v>23</v>
      </c>
      <c r="N1706" t="s">
        <v>23</v>
      </c>
      <c r="O1706" t="s">
        <v>24</v>
      </c>
      <c r="P1706" s="8" t="s">
        <v>2169</v>
      </c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</row>
    <row r="1707" spans="1:51" hidden="1" x14ac:dyDescent="0.2">
      <c r="A1707" s="6"/>
      <c r="E1707" s="2"/>
      <c r="F1707" s="3"/>
      <c r="G1707" s="3"/>
      <c r="P1707" s="8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</row>
    <row r="1708" spans="1:51" x14ac:dyDescent="0.2">
      <c r="A1708" s="6" t="s">
        <v>17</v>
      </c>
      <c r="B1708" t="s">
        <v>110</v>
      </c>
      <c r="C1708" t="s">
        <v>111</v>
      </c>
      <c r="D1708" t="s">
        <v>2170</v>
      </c>
      <c r="E1708" s="2">
        <v>46.4</v>
      </c>
      <c r="F1708" s="3">
        <f t="shared" ref="F1707:G1713" si="112">DATE(2024,8,8)</f>
        <v>45512</v>
      </c>
      <c r="G1708" s="3">
        <f t="shared" si="112"/>
        <v>45512</v>
      </c>
      <c r="H1708">
        <v>1076498367</v>
      </c>
      <c r="I1708" t="s">
        <v>73</v>
      </c>
      <c r="K1708" t="s">
        <v>21</v>
      </c>
      <c r="L1708" t="s">
        <v>22</v>
      </c>
      <c r="M1708" t="s">
        <v>23</v>
      </c>
      <c r="N1708" t="s">
        <v>23</v>
      </c>
      <c r="O1708" t="s">
        <v>24</v>
      </c>
      <c r="P1708" s="8" t="s">
        <v>2171</v>
      </c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</row>
    <row r="1709" spans="1:51" hidden="1" x14ac:dyDescent="0.2">
      <c r="A1709" s="6"/>
      <c r="E1709" s="2"/>
      <c r="F1709" s="3"/>
      <c r="G1709" s="3"/>
      <c r="P1709" s="8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</row>
    <row r="1710" spans="1:51" x14ac:dyDescent="0.2">
      <c r="A1710" s="6" t="s">
        <v>17</v>
      </c>
      <c r="B1710" t="s">
        <v>110</v>
      </c>
      <c r="C1710" t="s">
        <v>111</v>
      </c>
      <c r="D1710" t="s">
        <v>2170</v>
      </c>
      <c r="E1710" s="2">
        <v>34.799999999999997</v>
      </c>
      <c r="F1710" s="3">
        <f t="shared" si="112"/>
        <v>45512</v>
      </c>
      <c r="G1710" s="3">
        <f t="shared" si="112"/>
        <v>45512</v>
      </c>
      <c r="H1710">
        <v>1076498369</v>
      </c>
      <c r="I1710" t="s">
        <v>73</v>
      </c>
      <c r="K1710" t="s">
        <v>21</v>
      </c>
      <c r="L1710" t="s">
        <v>22</v>
      </c>
      <c r="M1710" t="s">
        <v>23</v>
      </c>
      <c r="N1710" t="s">
        <v>23</v>
      </c>
      <c r="O1710" t="s">
        <v>24</v>
      </c>
      <c r="P1710" s="8" t="s">
        <v>2172</v>
      </c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</row>
    <row r="1711" spans="1:51" hidden="1" x14ac:dyDescent="0.2">
      <c r="A1711" s="6"/>
      <c r="E1711" s="2"/>
      <c r="F1711" s="3"/>
      <c r="G1711" s="3"/>
      <c r="P1711" s="8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</row>
    <row r="1712" spans="1:51" x14ac:dyDescent="0.2">
      <c r="A1712" s="6" t="s">
        <v>17</v>
      </c>
      <c r="B1712" t="s">
        <v>110</v>
      </c>
      <c r="C1712" t="s">
        <v>111</v>
      </c>
      <c r="D1712" t="s">
        <v>2173</v>
      </c>
      <c r="E1712" s="2">
        <v>0.08</v>
      </c>
      <c r="F1712" s="3">
        <f t="shared" si="112"/>
        <v>45512</v>
      </c>
      <c r="G1712" s="3">
        <f t="shared" si="112"/>
        <v>45512</v>
      </c>
      <c r="H1712">
        <v>1076498371</v>
      </c>
      <c r="I1712" t="s">
        <v>73</v>
      </c>
      <c r="K1712" t="s">
        <v>21</v>
      </c>
      <c r="L1712" t="s">
        <v>22</v>
      </c>
      <c r="M1712" t="s">
        <v>23</v>
      </c>
      <c r="N1712" t="s">
        <v>23</v>
      </c>
      <c r="O1712" t="s">
        <v>24</v>
      </c>
      <c r="P1712" s="8" t="s">
        <v>2174</v>
      </c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</row>
    <row r="1713" spans="1:51" hidden="1" x14ac:dyDescent="0.2">
      <c r="A1713" s="6"/>
      <c r="E1713" s="2"/>
      <c r="F1713" s="3"/>
      <c r="G1713" s="3"/>
      <c r="P1713" s="8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</row>
    <row r="1714" spans="1:51" x14ac:dyDescent="0.2">
      <c r="A1714" s="6" t="s">
        <v>17</v>
      </c>
      <c r="B1714" t="s">
        <v>191</v>
      </c>
      <c r="C1714" t="s">
        <v>192</v>
      </c>
      <c r="D1714" t="s">
        <v>2175</v>
      </c>
      <c r="E1714" s="2">
        <v>27362.47</v>
      </c>
      <c r="F1714" s="3">
        <f t="shared" ref="F1714:G1717" si="113">DATE(2024,8,9)</f>
        <v>45513</v>
      </c>
      <c r="G1714" s="3">
        <f t="shared" si="113"/>
        <v>45513</v>
      </c>
      <c r="H1714">
        <v>1076781029</v>
      </c>
      <c r="I1714" t="s">
        <v>20</v>
      </c>
      <c r="K1714" t="s">
        <v>21</v>
      </c>
      <c r="L1714" t="s">
        <v>22</v>
      </c>
      <c r="M1714" t="s">
        <v>23</v>
      </c>
      <c r="N1714" t="s">
        <v>23</v>
      </c>
      <c r="O1714" t="s">
        <v>24</v>
      </c>
      <c r="P1714" s="8" t="s">
        <v>2176</v>
      </c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</row>
    <row r="1715" spans="1:51" x14ac:dyDescent="0.2">
      <c r="A1715" s="6" t="s">
        <v>17</v>
      </c>
      <c r="B1715" t="s">
        <v>30</v>
      </c>
      <c r="C1715" t="s">
        <v>31</v>
      </c>
      <c r="D1715" t="s">
        <v>2177</v>
      </c>
      <c r="E1715" s="2">
        <v>1156.0999999999999</v>
      </c>
      <c r="F1715" s="3">
        <f t="shared" si="113"/>
        <v>45513</v>
      </c>
      <c r="G1715" s="3">
        <f t="shared" si="113"/>
        <v>45513</v>
      </c>
      <c r="H1715">
        <v>1076781030</v>
      </c>
      <c r="I1715" t="s">
        <v>20</v>
      </c>
      <c r="K1715" t="s">
        <v>21</v>
      </c>
      <c r="L1715" t="s">
        <v>22</v>
      </c>
      <c r="M1715" t="s">
        <v>23</v>
      </c>
      <c r="N1715" t="s">
        <v>23</v>
      </c>
      <c r="O1715" t="s">
        <v>24</v>
      </c>
      <c r="P1715" s="8" t="s">
        <v>2178</v>
      </c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</row>
    <row r="1716" spans="1:51" x14ac:dyDescent="0.2">
      <c r="A1716" s="6" t="s">
        <v>17</v>
      </c>
      <c r="B1716" t="s">
        <v>655</v>
      </c>
      <c r="C1716" t="s">
        <v>656</v>
      </c>
      <c r="D1716" t="s">
        <v>2179</v>
      </c>
      <c r="E1716" s="2">
        <v>2301.0700000000002</v>
      </c>
      <c r="F1716" s="3">
        <f t="shared" si="113"/>
        <v>45513</v>
      </c>
      <c r="G1716" s="3">
        <f t="shared" si="113"/>
        <v>45513</v>
      </c>
      <c r="H1716">
        <v>1076781031</v>
      </c>
      <c r="I1716" t="s">
        <v>20</v>
      </c>
      <c r="K1716" t="s">
        <v>21</v>
      </c>
      <c r="L1716" t="s">
        <v>22</v>
      </c>
      <c r="M1716" t="s">
        <v>23</v>
      </c>
      <c r="N1716" t="s">
        <v>23</v>
      </c>
      <c r="O1716" t="s">
        <v>24</v>
      </c>
      <c r="P1716" s="8" t="s">
        <v>2180</v>
      </c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</row>
    <row r="1717" spans="1:51" x14ac:dyDescent="0.2">
      <c r="A1717" s="6" t="s">
        <v>17</v>
      </c>
      <c r="B1717" t="s">
        <v>30</v>
      </c>
      <c r="C1717" t="s">
        <v>31</v>
      </c>
      <c r="D1717" t="s">
        <v>2181</v>
      </c>
      <c r="E1717" s="2">
        <v>871.08</v>
      </c>
      <c r="F1717" s="3">
        <f t="shared" si="113"/>
        <v>45513</v>
      </c>
      <c r="G1717" s="3">
        <f t="shared" si="113"/>
        <v>45513</v>
      </c>
      <c r="H1717">
        <v>1076781032</v>
      </c>
      <c r="I1717" t="s">
        <v>20</v>
      </c>
      <c r="K1717" t="s">
        <v>21</v>
      </c>
      <c r="L1717" t="s">
        <v>22</v>
      </c>
      <c r="M1717" t="s">
        <v>23</v>
      </c>
      <c r="N1717" t="s">
        <v>23</v>
      </c>
      <c r="O1717" t="s">
        <v>24</v>
      </c>
      <c r="P1717" s="8" t="s">
        <v>2182</v>
      </c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</row>
    <row r="1718" spans="1:51" hidden="1" x14ac:dyDescent="0.2">
      <c r="A1718" s="6"/>
      <c r="E1718" s="2"/>
      <c r="F1718" s="3"/>
      <c r="G1718" s="3"/>
      <c r="P1718" s="8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</row>
    <row r="1719" spans="1:51" x14ac:dyDescent="0.2">
      <c r="A1719" s="6" t="s">
        <v>17</v>
      </c>
      <c r="B1719" t="s">
        <v>674</v>
      </c>
      <c r="C1719" t="s">
        <v>675</v>
      </c>
      <c r="D1719" t="s">
        <v>676</v>
      </c>
      <c r="E1719" s="2">
        <v>91.62</v>
      </c>
      <c r="F1719" s="3">
        <f>DATE(2024,8,6)</f>
        <v>45510</v>
      </c>
      <c r="G1719" s="3">
        <f>DATE(2024,8,6)</f>
        <v>45510</v>
      </c>
      <c r="H1719">
        <v>1076781034</v>
      </c>
      <c r="I1719" t="s">
        <v>51</v>
      </c>
      <c r="K1719" t="s">
        <v>21</v>
      </c>
      <c r="L1719" t="s">
        <v>22</v>
      </c>
      <c r="M1719" t="s">
        <v>23</v>
      </c>
      <c r="N1719" t="s">
        <v>23</v>
      </c>
      <c r="O1719" t="s">
        <v>24</v>
      </c>
      <c r="P1719" s="8" t="s">
        <v>2183</v>
      </c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</row>
    <row r="1720" spans="1:51" x14ac:dyDescent="0.2">
      <c r="A1720" s="6" t="s">
        <v>17</v>
      </c>
      <c r="B1720" t="s">
        <v>104</v>
      </c>
      <c r="C1720" t="s">
        <v>105</v>
      </c>
      <c r="D1720" t="s">
        <v>2184</v>
      </c>
      <c r="E1720" s="2">
        <v>53.4</v>
      </c>
      <c r="F1720" s="3">
        <f>DATE(2024,8,6)</f>
        <v>45510</v>
      </c>
      <c r="G1720" s="3">
        <f>DATE(2024,8,6)</f>
        <v>45510</v>
      </c>
      <c r="H1720">
        <v>1076781035</v>
      </c>
      <c r="I1720" t="s">
        <v>51</v>
      </c>
      <c r="K1720" t="s">
        <v>21</v>
      </c>
      <c r="L1720" t="s">
        <v>22</v>
      </c>
      <c r="M1720" t="s">
        <v>23</v>
      </c>
      <c r="N1720" t="s">
        <v>23</v>
      </c>
      <c r="O1720" t="s">
        <v>24</v>
      </c>
      <c r="P1720" s="8" t="s">
        <v>2185</v>
      </c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</row>
    <row r="1721" spans="1:51" hidden="1" x14ac:dyDescent="0.2">
      <c r="A1721" s="6"/>
      <c r="E1721" s="2"/>
      <c r="F1721" s="3"/>
      <c r="G1721" s="3"/>
      <c r="P1721" s="8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</row>
    <row r="1722" spans="1:51" hidden="1" x14ac:dyDescent="0.2">
      <c r="A1722" s="6"/>
      <c r="E1722" s="2"/>
      <c r="F1722" s="3"/>
      <c r="G1722" s="3"/>
      <c r="P1722" s="8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</row>
    <row r="1723" spans="1:51" hidden="1" x14ac:dyDescent="0.2">
      <c r="A1723" s="6"/>
      <c r="E1723" s="2"/>
      <c r="F1723" s="3"/>
      <c r="G1723" s="3"/>
      <c r="P1723" s="8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</row>
    <row r="1724" spans="1:51" x14ac:dyDescent="0.2">
      <c r="A1724" s="6" t="s">
        <v>17</v>
      </c>
      <c r="B1724" t="s">
        <v>110</v>
      </c>
      <c r="C1724" t="s">
        <v>111</v>
      </c>
      <c r="D1724" t="s">
        <v>2186</v>
      </c>
      <c r="E1724" s="2">
        <v>2.11</v>
      </c>
      <c r="F1724" s="3">
        <f t="shared" ref="F1722:G1732" si="114">DATE(2024,8,9)</f>
        <v>45513</v>
      </c>
      <c r="G1724" s="3">
        <f t="shared" si="114"/>
        <v>45513</v>
      </c>
      <c r="H1724">
        <v>1079671931</v>
      </c>
      <c r="I1724" t="s">
        <v>73</v>
      </c>
      <c r="K1724" t="s">
        <v>21</v>
      </c>
      <c r="L1724" t="s">
        <v>22</v>
      </c>
      <c r="M1724" t="s">
        <v>23</v>
      </c>
      <c r="N1724" t="s">
        <v>23</v>
      </c>
      <c r="O1724" t="s">
        <v>24</v>
      </c>
      <c r="P1724" s="8" t="s">
        <v>2187</v>
      </c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</row>
    <row r="1725" spans="1:51" hidden="1" x14ac:dyDescent="0.2">
      <c r="A1725" s="6"/>
      <c r="E1725" s="2"/>
      <c r="F1725" s="3"/>
      <c r="G1725" s="3"/>
      <c r="P1725" s="8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</row>
    <row r="1726" spans="1:51" hidden="1" x14ac:dyDescent="0.2">
      <c r="A1726" s="6"/>
      <c r="E1726" s="2"/>
      <c r="F1726" s="3"/>
      <c r="G1726" s="3"/>
      <c r="P1726" s="8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</row>
    <row r="1727" spans="1:51" hidden="1" x14ac:dyDescent="0.2">
      <c r="A1727" s="6"/>
      <c r="E1727" s="2"/>
      <c r="F1727" s="3"/>
      <c r="G1727" s="3"/>
      <c r="P1727" s="8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</row>
    <row r="1728" spans="1:51" x14ac:dyDescent="0.2">
      <c r="A1728" s="6" t="s">
        <v>17</v>
      </c>
      <c r="B1728" t="s">
        <v>18</v>
      </c>
      <c r="C1728" t="s">
        <v>18</v>
      </c>
      <c r="D1728" t="s">
        <v>2188</v>
      </c>
      <c r="E1728" s="2">
        <v>30.23</v>
      </c>
      <c r="F1728" s="3">
        <f t="shared" si="114"/>
        <v>45513</v>
      </c>
      <c r="G1728" s="3">
        <f t="shared" si="114"/>
        <v>45513</v>
      </c>
      <c r="H1728">
        <v>1079671935</v>
      </c>
      <c r="I1728" t="s">
        <v>73</v>
      </c>
      <c r="K1728" t="s">
        <v>21</v>
      </c>
      <c r="L1728" t="s">
        <v>22</v>
      </c>
      <c r="M1728" t="s">
        <v>23</v>
      </c>
      <c r="N1728" t="s">
        <v>23</v>
      </c>
      <c r="O1728" t="s">
        <v>24</v>
      </c>
      <c r="P1728" s="8" t="s">
        <v>2189</v>
      </c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</row>
    <row r="1729" spans="1:51" x14ac:dyDescent="0.2">
      <c r="A1729" s="6" t="s">
        <v>17</v>
      </c>
      <c r="B1729" t="s">
        <v>137</v>
      </c>
      <c r="C1729" t="s">
        <v>138</v>
      </c>
      <c r="D1729" t="s">
        <v>2190</v>
      </c>
      <c r="E1729" s="2">
        <v>118.8</v>
      </c>
      <c r="F1729" s="3">
        <f t="shared" si="114"/>
        <v>45513</v>
      </c>
      <c r="G1729" s="3">
        <f t="shared" si="114"/>
        <v>45513</v>
      </c>
      <c r="H1729">
        <v>1079866748</v>
      </c>
      <c r="I1729" t="s">
        <v>20</v>
      </c>
      <c r="K1729" t="s">
        <v>21</v>
      </c>
      <c r="L1729" t="s">
        <v>22</v>
      </c>
      <c r="M1729" t="s">
        <v>23</v>
      </c>
      <c r="N1729" t="s">
        <v>23</v>
      </c>
      <c r="O1729" t="s">
        <v>24</v>
      </c>
      <c r="P1729" s="8" t="s">
        <v>2191</v>
      </c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</row>
    <row r="1730" spans="1:51" hidden="1" x14ac:dyDescent="0.2">
      <c r="A1730" s="6"/>
      <c r="E1730" s="2"/>
      <c r="F1730" s="3"/>
      <c r="G1730" s="3"/>
      <c r="P1730" s="8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</row>
    <row r="1731" spans="1:51" x14ac:dyDescent="0.2">
      <c r="A1731" s="6" t="s">
        <v>17</v>
      </c>
      <c r="B1731" t="s">
        <v>674</v>
      </c>
      <c r="C1731" t="s">
        <v>675</v>
      </c>
      <c r="D1731" t="s">
        <v>2192</v>
      </c>
      <c r="E1731" s="2">
        <v>2509.46</v>
      </c>
      <c r="F1731" s="3">
        <f t="shared" si="114"/>
        <v>45513</v>
      </c>
      <c r="G1731" s="3">
        <f t="shared" si="114"/>
        <v>45513</v>
      </c>
      <c r="H1731">
        <v>1079866750</v>
      </c>
      <c r="I1731" t="s">
        <v>20</v>
      </c>
      <c r="K1731" t="s">
        <v>21</v>
      </c>
      <c r="L1731" t="s">
        <v>22</v>
      </c>
      <c r="M1731" t="s">
        <v>23</v>
      </c>
      <c r="N1731" t="s">
        <v>23</v>
      </c>
      <c r="O1731" t="s">
        <v>24</v>
      </c>
      <c r="P1731" s="8" t="s">
        <v>2193</v>
      </c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</row>
    <row r="1732" spans="1:51" x14ac:dyDescent="0.2">
      <c r="A1732" s="6" t="s">
        <v>17</v>
      </c>
      <c r="B1732" t="s">
        <v>44</v>
      </c>
      <c r="C1732" t="s">
        <v>45</v>
      </c>
      <c r="D1732" t="s">
        <v>2194</v>
      </c>
      <c r="E1732" s="2">
        <v>75.8</v>
      </c>
      <c r="F1732" s="3">
        <f t="shared" si="114"/>
        <v>45513</v>
      </c>
      <c r="G1732" s="3">
        <f t="shared" si="114"/>
        <v>45513</v>
      </c>
      <c r="H1732">
        <v>1079866751</v>
      </c>
      <c r="I1732" t="s">
        <v>20</v>
      </c>
      <c r="K1732" t="s">
        <v>21</v>
      </c>
      <c r="L1732" t="s">
        <v>22</v>
      </c>
      <c r="M1732" t="s">
        <v>23</v>
      </c>
      <c r="N1732" t="s">
        <v>23</v>
      </c>
      <c r="O1732" t="s">
        <v>24</v>
      </c>
      <c r="P1732" s="8" t="s">
        <v>2195</v>
      </c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</row>
    <row r="1733" spans="1:51" x14ac:dyDescent="0.2">
      <c r="A1733" s="6" t="s">
        <v>17</v>
      </c>
      <c r="B1733" t="s">
        <v>44</v>
      </c>
      <c r="C1733" t="s">
        <v>45</v>
      </c>
      <c r="D1733" t="s">
        <v>2196</v>
      </c>
      <c r="E1733" s="2">
        <v>66.09</v>
      </c>
      <c r="F1733" s="3">
        <f>DATE(2024,8,8)</f>
        <v>45512</v>
      </c>
      <c r="G1733" s="3">
        <f>DATE(2024,8,8)</f>
        <v>45512</v>
      </c>
      <c r="H1733">
        <v>1079866762</v>
      </c>
      <c r="I1733" t="s">
        <v>51</v>
      </c>
      <c r="K1733" t="s">
        <v>21</v>
      </c>
      <c r="L1733" t="s">
        <v>22</v>
      </c>
      <c r="M1733" t="s">
        <v>23</v>
      </c>
      <c r="N1733" t="s">
        <v>23</v>
      </c>
      <c r="O1733" t="s">
        <v>24</v>
      </c>
      <c r="P1733" s="8" t="s">
        <v>2197</v>
      </c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</row>
    <row r="1734" spans="1:51" x14ac:dyDescent="0.2">
      <c r="A1734" s="6" t="s">
        <v>17</v>
      </c>
      <c r="B1734" t="s">
        <v>44</v>
      </c>
      <c r="C1734" t="s">
        <v>45</v>
      </c>
      <c r="D1734" t="s">
        <v>2198</v>
      </c>
      <c r="E1734" s="2">
        <v>19.64</v>
      </c>
      <c r="F1734" s="3">
        <f>DATE(2024,8,9)</f>
        <v>45513</v>
      </c>
      <c r="G1734" s="3">
        <f>DATE(2024,8,9)</f>
        <v>45513</v>
      </c>
      <c r="H1734">
        <v>1079866763</v>
      </c>
      <c r="I1734" t="s">
        <v>51</v>
      </c>
      <c r="K1734" t="s">
        <v>21</v>
      </c>
      <c r="L1734" t="s">
        <v>22</v>
      </c>
      <c r="M1734" t="s">
        <v>23</v>
      </c>
      <c r="N1734" t="s">
        <v>23</v>
      </c>
      <c r="O1734" t="s">
        <v>24</v>
      </c>
      <c r="P1734" s="8" t="s">
        <v>2199</v>
      </c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</row>
    <row r="1735" spans="1:51" x14ac:dyDescent="0.2">
      <c r="A1735" s="6" t="s">
        <v>17</v>
      </c>
      <c r="B1735" t="s">
        <v>110</v>
      </c>
      <c r="C1735" t="s">
        <v>111</v>
      </c>
      <c r="D1735" t="s">
        <v>2200</v>
      </c>
      <c r="E1735" s="2">
        <v>60</v>
      </c>
      <c r="F1735" s="3">
        <f t="shared" ref="F1735:G1738" si="115">DATE(2024,8,10)</f>
        <v>45514</v>
      </c>
      <c r="G1735" s="3">
        <f t="shared" si="115"/>
        <v>45514</v>
      </c>
      <c r="H1735">
        <v>1079919783</v>
      </c>
      <c r="I1735" t="s">
        <v>113</v>
      </c>
      <c r="K1735" t="s">
        <v>21</v>
      </c>
      <c r="L1735" t="s">
        <v>22</v>
      </c>
      <c r="M1735" t="s">
        <v>23</v>
      </c>
      <c r="N1735" t="s">
        <v>23</v>
      </c>
      <c r="O1735" t="s">
        <v>24</v>
      </c>
      <c r="P1735" s="8" t="s">
        <v>2201</v>
      </c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</row>
    <row r="1736" spans="1:51" hidden="1" x14ac:dyDescent="0.2">
      <c r="A1736" s="6"/>
      <c r="E1736" s="2"/>
      <c r="F1736" s="3"/>
      <c r="G1736" s="3"/>
      <c r="P1736" s="8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</row>
    <row r="1737" spans="1:51" x14ac:dyDescent="0.2">
      <c r="A1737" s="6" t="s">
        <v>17</v>
      </c>
      <c r="B1737" t="s">
        <v>110</v>
      </c>
      <c r="C1737" t="s">
        <v>111</v>
      </c>
      <c r="D1737" t="s">
        <v>2202</v>
      </c>
      <c r="E1737" s="2">
        <v>0.79</v>
      </c>
      <c r="F1737" s="3">
        <f t="shared" si="115"/>
        <v>45514</v>
      </c>
      <c r="G1737" s="3">
        <f t="shared" si="115"/>
        <v>45514</v>
      </c>
      <c r="H1737">
        <v>1082149262</v>
      </c>
      <c r="I1737" t="s">
        <v>73</v>
      </c>
      <c r="K1737" t="s">
        <v>21</v>
      </c>
      <c r="L1737" t="s">
        <v>22</v>
      </c>
      <c r="M1737" t="s">
        <v>23</v>
      </c>
      <c r="N1737" t="s">
        <v>23</v>
      </c>
      <c r="O1737" t="s">
        <v>24</v>
      </c>
      <c r="P1737" s="8" t="s">
        <v>2203</v>
      </c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</row>
    <row r="1738" spans="1:51" hidden="1" x14ac:dyDescent="0.2">
      <c r="A1738" s="6"/>
      <c r="E1738" s="2"/>
      <c r="F1738" s="3"/>
      <c r="G1738" s="3"/>
      <c r="P1738" s="8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</row>
    <row r="1739" spans="1:51" hidden="1" x14ac:dyDescent="0.2">
      <c r="A1739" s="6"/>
      <c r="E1739" s="2"/>
      <c r="F1739" s="3"/>
      <c r="G1739" s="3"/>
      <c r="P1739" s="8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</row>
    <row r="1740" spans="1:51" hidden="1" x14ac:dyDescent="0.2">
      <c r="A1740" s="6"/>
      <c r="E1740" s="2"/>
      <c r="F1740" s="3"/>
      <c r="G1740" s="3"/>
      <c r="P1740" s="8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</row>
    <row r="1741" spans="1:51" hidden="1" x14ac:dyDescent="0.2">
      <c r="A1741" s="6"/>
      <c r="E1741" s="2"/>
      <c r="F1741" s="3"/>
      <c r="G1741" s="3"/>
      <c r="P1741" s="8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</row>
    <row r="1742" spans="1:51" hidden="1" x14ac:dyDescent="0.2">
      <c r="A1742" s="6"/>
      <c r="E1742" s="2"/>
      <c r="F1742" s="3"/>
      <c r="G1742" s="3"/>
      <c r="P1742" s="8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</row>
    <row r="1743" spans="1:51" hidden="1" x14ac:dyDescent="0.2">
      <c r="A1743" s="6"/>
      <c r="E1743" s="2"/>
      <c r="F1743" s="3"/>
      <c r="G1743" s="3"/>
      <c r="P1743" s="8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</row>
    <row r="1744" spans="1:51" hidden="1" x14ac:dyDescent="0.2">
      <c r="A1744" s="6"/>
      <c r="E1744" s="2"/>
      <c r="F1744" s="3"/>
      <c r="G1744" s="3"/>
      <c r="P1744" s="8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</row>
    <row r="1745" spans="1:51" hidden="1" x14ac:dyDescent="0.2">
      <c r="A1745" s="6"/>
      <c r="E1745" s="2"/>
      <c r="F1745" s="3"/>
      <c r="G1745" s="3"/>
      <c r="P1745" s="8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</row>
    <row r="1746" spans="1:51" x14ac:dyDescent="0.2">
      <c r="A1746" s="6" t="s">
        <v>17</v>
      </c>
      <c r="B1746" t="s">
        <v>44</v>
      </c>
      <c r="C1746" t="s">
        <v>45</v>
      </c>
      <c r="D1746" t="s">
        <v>2204</v>
      </c>
      <c r="E1746" s="2">
        <v>85.11</v>
      </c>
      <c r="F1746" s="3">
        <f t="shared" ref="F1746:G1748" si="116">DATE(2024,8,9)</f>
        <v>45513</v>
      </c>
      <c r="G1746" s="3">
        <f t="shared" si="116"/>
        <v>45513</v>
      </c>
      <c r="H1746">
        <v>1082468431</v>
      </c>
      <c r="I1746" t="s">
        <v>51</v>
      </c>
      <c r="K1746" t="s">
        <v>21</v>
      </c>
      <c r="L1746" t="s">
        <v>22</v>
      </c>
      <c r="M1746" t="s">
        <v>23</v>
      </c>
      <c r="N1746" t="s">
        <v>23</v>
      </c>
      <c r="O1746" t="s">
        <v>24</v>
      </c>
      <c r="P1746" s="8" t="s">
        <v>2205</v>
      </c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</row>
    <row r="1747" spans="1:51" x14ac:dyDescent="0.2">
      <c r="A1747" s="6" t="s">
        <v>17</v>
      </c>
      <c r="B1747" t="s">
        <v>100</v>
      </c>
      <c r="C1747" t="s">
        <v>101</v>
      </c>
      <c r="D1747" t="s">
        <v>1658</v>
      </c>
      <c r="E1747" s="2">
        <v>7.48</v>
      </c>
      <c r="F1747" s="3">
        <f t="shared" si="116"/>
        <v>45513</v>
      </c>
      <c r="G1747" s="3">
        <f t="shared" si="116"/>
        <v>45513</v>
      </c>
      <c r="H1747">
        <v>1082468432</v>
      </c>
      <c r="I1747" t="s">
        <v>51</v>
      </c>
      <c r="K1747" t="s">
        <v>21</v>
      </c>
      <c r="L1747" t="s">
        <v>22</v>
      </c>
      <c r="M1747" t="s">
        <v>23</v>
      </c>
      <c r="N1747" t="s">
        <v>23</v>
      </c>
      <c r="O1747" t="s">
        <v>24</v>
      </c>
      <c r="P1747" s="8" t="s">
        <v>2206</v>
      </c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</row>
    <row r="1748" spans="1:51" x14ac:dyDescent="0.2">
      <c r="A1748" s="6" t="s">
        <v>17</v>
      </c>
      <c r="B1748" t="s">
        <v>887</v>
      </c>
      <c r="C1748" t="s">
        <v>888</v>
      </c>
      <c r="D1748" t="s">
        <v>2207</v>
      </c>
      <c r="E1748" s="2">
        <v>65.400000000000006</v>
      </c>
      <c r="F1748" s="3">
        <f t="shared" si="116"/>
        <v>45513</v>
      </c>
      <c r="G1748" s="3">
        <f t="shared" si="116"/>
        <v>45513</v>
      </c>
      <c r="H1748">
        <v>1082468433</v>
      </c>
      <c r="I1748" t="s">
        <v>51</v>
      </c>
      <c r="K1748" t="s">
        <v>21</v>
      </c>
      <c r="L1748" t="s">
        <v>22</v>
      </c>
      <c r="M1748" t="s">
        <v>23</v>
      </c>
      <c r="N1748" t="s">
        <v>23</v>
      </c>
      <c r="O1748" t="s">
        <v>24</v>
      </c>
      <c r="P1748" s="8" t="s">
        <v>2208</v>
      </c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</row>
    <row r="1749" spans="1:51" hidden="1" x14ac:dyDescent="0.2">
      <c r="A1749" s="6"/>
      <c r="E1749" s="2"/>
      <c r="F1749" s="3"/>
      <c r="G1749" s="3"/>
      <c r="P1749" s="8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</row>
    <row r="1750" spans="1:51" hidden="1" x14ac:dyDescent="0.2">
      <c r="A1750" s="6"/>
      <c r="E1750" s="2"/>
      <c r="F1750" s="3"/>
      <c r="G1750" s="3"/>
      <c r="P1750" s="8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</row>
    <row r="1751" spans="1:51" x14ac:dyDescent="0.2">
      <c r="A1751" s="6" t="s">
        <v>17</v>
      </c>
      <c r="B1751" t="s">
        <v>1060</v>
      </c>
      <c r="C1751" t="s">
        <v>1061</v>
      </c>
      <c r="D1751" t="s">
        <v>2209</v>
      </c>
      <c r="E1751" s="2">
        <v>257.83999999999997</v>
      </c>
      <c r="F1751" s="3">
        <f t="shared" ref="F1749:G1756" si="117">DATE(2024,8,12)</f>
        <v>45516</v>
      </c>
      <c r="G1751" s="3">
        <f t="shared" si="117"/>
        <v>45516</v>
      </c>
      <c r="H1751">
        <v>1087652406</v>
      </c>
      <c r="I1751" t="s">
        <v>20</v>
      </c>
      <c r="K1751" t="s">
        <v>21</v>
      </c>
      <c r="L1751" t="s">
        <v>22</v>
      </c>
      <c r="M1751" t="s">
        <v>23</v>
      </c>
      <c r="N1751" t="s">
        <v>23</v>
      </c>
      <c r="O1751" t="s">
        <v>24</v>
      </c>
      <c r="P1751" s="8" t="s">
        <v>2210</v>
      </c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</row>
    <row r="1752" spans="1:51" x14ac:dyDescent="0.2">
      <c r="A1752" s="6" t="s">
        <v>17</v>
      </c>
      <c r="B1752" t="s">
        <v>34</v>
      </c>
      <c r="C1752" t="s">
        <v>35</v>
      </c>
      <c r="D1752" t="s">
        <v>2211</v>
      </c>
      <c r="E1752" s="2">
        <v>143.30000000000001</v>
      </c>
      <c r="F1752" s="3">
        <f t="shared" si="117"/>
        <v>45516</v>
      </c>
      <c r="G1752" s="3">
        <f t="shared" si="117"/>
        <v>45516</v>
      </c>
      <c r="H1752">
        <v>1087652407</v>
      </c>
      <c r="I1752" t="s">
        <v>20</v>
      </c>
      <c r="K1752" t="s">
        <v>21</v>
      </c>
      <c r="L1752" t="s">
        <v>22</v>
      </c>
      <c r="M1752" t="s">
        <v>23</v>
      </c>
      <c r="N1752" t="s">
        <v>23</v>
      </c>
      <c r="O1752" t="s">
        <v>24</v>
      </c>
      <c r="P1752" s="8" t="s">
        <v>2212</v>
      </c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</row>
    <row r="1753" spans="1:51" x14ac:dyDescent="0.2">
      <c r="A1753" s="6" t="s">
        <v>17</v>
      </c>
      <c r="B1753" t="s">
        <v>61</v>
      </c>
      <c r="C1753" t="s">
        <v>62</v>
      </c>
      <c r="D1753" t="s">
        <v>2213</v>
      </c>
      <c r="E1753" s="2">
        <v>324</v>
      </c>
      <c r="F1753" s="3">
        <f t="shared" si="117"/>
        <v>45516</v>
      </c>
      <c r="G1753" s="3">
        <f t="shared" si="117"/>
        <v>45516</v>
      </c>
      <c r="H1753">
        <v>1087652408</v>
      </c>
      <c r="I1753" t="s">
        <v>20</v>
      </c>
      <c r="K1753" t="s">
        <v>21</v>
      </c>
      <c r="L1753" t="s">
        <v>22</v>
      </c>
      <c r="M1753" t="s">
        <v>23</v>
      </c>
      <c r="N1753" t="s">
        <v>23</v>
      </c>
      <c r="O1753" t="s">
        <v>24</v>
      </c>
      <c r="P1753" s="8" t="s">
        <v>2214</v>
      </c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</row>
    <row r="1754" spans="1:51" x14ac:dyDescent="0.2">
      <c r="A1754" s="6" t="s">
        <v>17</v>
      </c>
      <c r="B1754" t="s">
        <v>175</v>
      </c>
      <c r="C1754" t="s">
        <v>176</v>
      </c>
      <c r="D1754" t="s">
        <v>2215</v>
      </c>
      <c r="E1754" s="2">
        <v>161.21</v>
      </c>
      <c r="F1754" s="3">
        <f t="shared" si="117"/>
        <v>45516</v>
      </c>
      <c r="G1754" s="3">
        <f t="shared" si="117"/>
        <v>45516</v>
      </c>
      <c r="H1754">
        <v>1087652409</v>
      </c>
      <c r="I1754" t="s">
        <v>20</v>
      </c>
      <c r="K1754" t="s">
        <v>21</v>
      </c>
      <c r="L1754" t="s">
        <v>22</v>
      </c>
      <c r="M1754" t="s">
        <v>23</v>
      </c>
      <c r="N1754" t="s">
        <v>23</v>
      </c>
      <c r="O1754" t="s">
        <v>24</v>
      </c>
      <c r="P1754" s="8" t="s">
        <v>2216</v>
      </c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</row>
    <row r="1755" spans="1:51" hidden="1" x14ac:dyDescent="0.2">
      <c r="A1755" s="6"/>
      <c r="E1755" s="2"/>
      <c r="F1755" s="3"/>
      <c r="G1755" s="3"/>
      <c r="P1755" s="8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</row>
    <row r="1756" spans="1:51" hidden="1" x14ac:dyDescent="0.2">
      <c r="A1756" s="6"/>
      <c r="E1756" s="2"/>
      <c r="F1756" s="3"/>
      <c r="G1756" s="3"/>
      <c r="P1756" s="8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</row>
    <row r="1757" spans="1:51" x14ac:dyDescent="0.2">
      <c r="A1757" s="6" t="s">
        <v>17</v>
      </c>
      <c r="B1757" t="s">
        <v>61</v>
      </c>
      <c r="C1757" t="s">
        <v>62</v>
      </c>
      <c r="D1757" t="s">
        <v>2217</v>
      </c>
      <c r="E1757" s="2">
        <v>720</v>
      </c>
      <c r="F1757" s="3">
        <f t="shared" ref="F1757:G1759" si="118">DATE(2024,8,13)</f>
        <v>45517</v>
      </c>
      <c r="G1757" s="3">
        <f t="shared" si="118"/>
        <v>45517</v>
      </c>
      <c r="H1757">
        <v>1087652412</v>
      </c>
      <c r="I1757" t="s">
        <v>20</v>
      </c>
      <c r="K1757" t="s">
        <v>21</v>
      </c>
      <c r="L1757" t="s">
        <v>22</v>
      </c>
      <c r="M1757" t="s">
        <v>23</v>
      </c>
      <c r="N1757" t="s">
        <v>23</v>
      </c>
      <c r="O1757" t="s">
        <v>24</v>
      </c>
      <c r="P1757" s="8" t="s">
        <v>2218</v>
      </c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</row>
    <row r="1758" spans="1:51" x14ac:dyDescent="0.2">
      <c r="A1758" s="6" t="s">
        <v>17</v>
      </c>
      <c r="B1758" t="s">
        <v>34</v>
      </c>
      <c r="C1758" t="s">
        <v>35</v>
      </c>
      <c r="D1758" t="s">
        <v>2219</v>
      </c>
      <c r="E1758" s="2">
        <v>197</v>
      </c>
      <c r="F1758" s="3">
        <f t="shared" si="118"/>
        <v>45517</v>
      </c>
      <c r="G1758" s="3">
        <f t="shared" si="118"/>
        <v>45517</v>
      </c>
      <c r="H1758">
        <v>1087652413</v>
      </c>
      <c r="I1758" t="s">
        <v>20</v>
      </c>
      <c r="K1758" t="s">
        <v>21</v>
      </c>
      <c r="L1758" t="s">
        <v>22</v>
      </c>
      <c r="M1758" t="s">
        <v>23</v>
      </c>
      <c r="N1758" t="s">
        <v>23</v>
      </c>
      <c r="O1758" t="s">
        <v>24</v>
      </c>
      <c r="P1758" s="8" t="s">
        <v>2220</v>
      </c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</row>
    <row r="1759" spans="1:51" x14ac:dyDescent="0.2">
      <c r="A1759" s="6" t="s">
        <v>17</v>
      </c>
      <c r="B1759" t="s">
        <v>26</v>
      </c>
      <c r="C1759" t="s">
        <v>27</v>
      </c>
      <c r="D1759" t="s">
        <v>2221</v>
      </c>
      <c r="E1759" s="2">
        <v>30</v>
      </c>
      <c r="F1759" s="3">
        <f t="shared" si="118"/>
        <v>45517</v>
      </c>
      <c r="G1759" s="3">
        <f t="shared" si="118"/>
        <v>45517</v>
      </c>
      <c r="H1759">
        <v>1087652414</v>
      </c>
      <c r="I1759" t="s">
        <v>20</v>
      </c>
      <c r="K1759" t="s">
        <v>21</v>
      </c>
      <c r="L1759" t="s">
        <v>22</v>
      </c>
      <c r="M1759" t="s">
        <v>23</v>
      </c>
      <c r="N1759" t="s">
        <v>23</v>
      </c>
      <c r="O1759" t="s">
        <v>24</v>
      </c>
      <c r="P1759" s="8" t="s">
        <v>2222</v>
      </c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</row>
    <row r="1760" spans="1:51" hidden="1" x14ac:dyDescent="0.2">
      <c r="A1760" s="6"/>
      <c r="E1760" s="2"/>
      <c r="F1760" s="3"/>
      <c r="G1760" s="3"/>
      <c r="P1760" s="8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</row>
    <row r="1761" spans="1:51" x14ac:dyDescent="0.2">
      <c r="A1761" s="6" t="s">
        <v>17</v>
      </c>
      <c r="B1761" t="s">
        <v>104</v>
      </c>
      <c r="C1761" t="s">
        <v>105</v>
      </c>
      <c r="D1761" t="s">
        <v>2223</v>
      </c>
      <c r="E1761" s="2">
        <v>87.98</v>
      </c>
      <c r="F1761" s="3">
        <f t="shared" ref="F1760:G1763" si="119">DATE(2024,8,12)</f>
        <v>45516</v>
      </c>
      <c r="G1761" s="3">
        <f t="shared" si="119"/>
        <v>45516</v>
      </c>
      <c r="H1761">
        <v>1087652416</v>
      </c>
      <c r="I1761" t="s">
        <v>20</v>
      </c>
      <c r="K1761" t="s">
        <v>21</v>
      </c>
      <c r="L1761" t="s">
        <v>22</v>
      </c>
      <c r="M1761" t="s">
        <v>23</v>
      </c>
      <c r="N1761" t="s">
        <v>23</v>
      </c>
      <c r="O1761" t="s">
        <v>24</v>
      </c>
      <c r="P1761" s="8" t="s">
        <v>2224</v>
      </c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</row>
    <row r="1762" spans="1:51" x14ac:dyDescent="0.2">
      <c r="A1762" s="6" t="s">
        <v>17</v>
      </c>
      <c r="B1762" t="s">
        <v>80</v>
      </c>
      <c r="C1762" t="s">
        <v>81</v>
      </c>
      <c r="D1762" t="s">
        <v>2225</v>
      </c>
      <c r="E1762" s="2">
        <v>42</v>
      </c>
      <c r="F1762" s="3">
        <f t="shared" si="119"/>
        <v>45516</v>
      </c>
      <c r="G1762" s="3">
        <f t="shared" si="119"/>
        <v>45516</v>
      </c>
      <c r="H1762">
        <v>1087652417</v>
      </c>
      <c r="I1762" t="s">
        <v>20</v>
      </c>
      <c r="K1762" t="s">
        <v>21</v>
      </c>
      <c r="L1762" t="s">
        <v>22</v>
      </c>
      <c r="M1762" t="s">
        <v>23</v>
      </c>
      <c r="N1762" t="s">
        <v>23</v>
      </c>
      <c r="O1762" t="s">
        <v>24</v>
      </c>
      <c r="P1762" s="8" t="s">
        <v>2226</v>
      </c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</row>
    <row r="1763" spans="1:51" x14ac:dyDescent="0.2">
      <c r="A1763" s="6" t="s">
        <v>17</v>
      </c>
      <c r="B1763" t="s">
        <v>887</v>
      </c>
      <c r="C1763" t="s">
        <v>888</v>
      </c>
      <c r="D1763" t="s">
        <v>2227</v>
      </c>
      <c r="E1763" s="2">
        <v>1896.52</v>
      </c>
      <c r="F1763" s="3">
        <f t="shared" si="119"/>
        <v>45516</v>
      </c>
      <c r="G1763" s="3">
        <f t="shared" si="119"/>
        <v>45516</v>
      </c>
      <c r="H1763">
        <v>1087652418</v>
      </c>
      <c r="I1763" t="s">
        <v>20</v>
      </c>
      <c r="K1763" t="s">
        <v>21</v>
      </c>
      <c r="L1763" t="s">
        <v>22</v>
      </c>
      <c r="M1763" t="s">
        <v>23</v>
      </c>
      <c r="N1763" t="s">
        <v>23</v>
      </c>
      <c r="O1763" t="s">
        <v>24</v>
      </c>
      <c r="P1763" s="8" t="s">
        <v>2228</v>
      </c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</row>
    <row r="1764" spans="1:51" x14ac:dyDescent="0.2">
      <c r="A1764" s="6" t="s">
        <v>17</v>
      </c>
      <c r="B1764" t="s">
        <v>179</v>
      </c>
      <c r="C1764" t="s">
        <v>180</v>
      </c>
      <c r="D1764" t="s">
        <v>1940</v>
      </c>
      <c r="E1764" s="2">
        <v>18.149999999999999</v>
      </c>
      <c r="F1764" s="3">
        <f>DATE(2024,8,10)</f>
        <v>45514</v>
      </c>
      <c r="G1764" s="3">
        <f>DATE(2024,8,10)</f>
        <v>45514</v>
      </c>
      <c r="H1764">
        <v>1087652425</v>
      </c>
      <c r="I1764" t="s">
        <v>51</v>
      </c>
      <c r="K1764" t="s">
        <v>21</v>
      </c>
      <c r="L1764" t="s">
        <v>22</v>
      </c>
      <c r="M1764" t="s">
        <v>23</v>
      </c>
      <c r="N1764" t="s">
        <v>23</v>
      </c>
      <c r="O1764" t="s">
        <v>24</v>
      </c>
      <c r="P1764" s="8" t="s">
        <v>2229</v>
      </c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</row>
    <row r="1765" spans="1:51" x14ac:dyDescent="0.2">
      <c r="A1765" s="6" t="s">
        <v>17</v>
      </c>
      <c r="B1765" t="s">
        <v>44</v>
      </c>
      <c r="C1765" t="s">
        <v>45</v>
      </c>
      <c r="D1765" t="s">
        <v>2230</v>
      </c>
      <c r="E1765" s="2">
        <v>17.14</v>
      </c>
      <c r="F1765" s="3">
        <f>DATE(2024,8,11)</f>
        <v>45515</v>
      </c>
      <c r="G1765" s="3">
        <f>DATE(2024,8,11)</f>
        <v>45515</v>
      </c>
      <c r="H1765">
        <v>1087652426</v>
      </c>
      <c r="I1765" t="s">
        <v>51</v>
      </c>
      <c r="K1765" t="s">
        <v>21</v>
      </c>
      <c r="L1765" t="s">
        <v>22</v>
      </c>
      <c r="M1765" t="s">
        <v>23</v>
      </c>
      <c r="N1765" t="s">
        <v>23</v>
      </c>
      <c r="O1765" t="s">
        <v>24</v>
      </c>
      <c r="P1765" s="8" t="s">
        <v>2231</v>
      </c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</row>
    <row r="1766" spans="1:51" x14ac:dyDescent="0.2">
      <c r="A1766" s="6" t="s">
        <v>17</v>
      </c>
      <c r="B1766" t="s">
        <v>44</v>
      </c>
      <c r="C1766" t="s">
        <v>45</v>
      </c>
      <c r="D1766" t="s">
        <v>2232</v>
      </c>
      <c r="E1766" s="2">
        <v>6.36</v>
      </c>
      <c r="F1766" s="3">
        <f>DATE(2024,8,11)</f>
        <v>45515</v>
      </c>
      <c r="G1766" s="3">
        <f>DATE(2024,8,11)</f>
        <v>45515</v>
      </c>
      <c r="H1766">
        <v>1087652427</v>
      </c>
      <c r="I1766" t="s">
        <v>51</v>
      </c>
      <c r="K1766" t="s">
        <v>21</v>
      </c>
      <c r="L1766" t="s">
        <v>22</v>
      </c>
      <c r="M1766" t="s">
        <v>23</v>
      </c>
      <c r="N1766" t="s">
        <v>23</v>
      </c>
      <c r="O1766" t="s">
        <v>24</v>
      </c>
      <c r="P1766" s="8" t="s">
        <v>2233</v>
      </c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</row>
    <row r="1767" spans="1:51" hidden="1" x14ac:dyDescent="0.2">
      <c r="A1767" s="6"/>
      <c r="E1767" s="2"/>
      <c r="F1767" s="3"/>
      <c r="G1767" s="3"/>
      <c r="P1767" s="8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</row>
    <row r="1768" spans="1:51" hidden="1" x14ac:dyDescent="0.2">
      <c r="A1768" s="6"/>
      <c r="E1768" s="2"/>
      <c r="F1768" s="3"/>
      <c r="G1768" s="3"/>
      <c r="P1768" s="8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</row>
    <row r="1769" spans="1:51" x14ac:dyDescent="0.2">
      <c r="A1769" s="6" t="s">
        <v>17</v>
      </c>
      <c r="B1769" t="s">
        <v>110</v>
      </c>
      <c r="C1769" t="s">
        <v>111</v>
      </c>
      <c r="D1769" t="s">
        <v>2234</v>
      </c>
      <c r="E1769" s="2">
        <v>0.56999999999999995</v>
      </c>
      <c r="F1769" s="3">
        <f t="shared" ref="F1767:G1770" si="120">DATE(2024,8,13)</f>
        <v>45517</v>
      </c>
      <c r="G1769" s="3">
        <f t="shared" si="120"/>
        <v>45517</v>
      </c>
      <c r="H1769">
        <v>1091659158</v>
      </c>
      <c r="I1769" t="s">
        <v>73</v>
      </c>
      <c r="K1769" t="s">
        <v>21</v>
      </c>
      <c r="L1769" t="s">
        <v>22</v>
      </c>
      <c r="M1769" t="s">
        <v>23</v>
      </c>
      <c r="N1769" t="s">
        <v>23</v>
      </c>
      <c r="O1769" t="s">
        <v>24</v>
      </c>
      <c r="P1769" s="8" t="s">
        <v>2235</v>
      </c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</row>
    <row r="1770" spans="1:51" hidden="1" x14ac:dyDescent="0.2">
      <c r="A1770" s="6"/>
      <c r="E1770" s="2"/>
      <c r="F1770" s="3"/>
      <c r="G1770" s="3"/>
      <c r="P1770" s="8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</row>
    <row r="1771" spans="1:51" hidden="1" x14ac:dyDescent="0.2">
      <c r="A1771" s="6"/>
      <c r="E1771" s="2"/>
      <c r="F1771" s="3"/>
      <c r="G1771" s="3"/>
      <c r="P1771" s="8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</row>
    <row r="1772" spans="1:51" x14ac:dyDescent="0.2">
      <c r="A1772" s="6" t="s">
        <v>17</v>
      </c>
      <c r="B1772" t="s">
        <v>61</v>
      </c>
      <c r="C1772" t="s">
        <v>62</v>
      </c>
      <c r="D1772" t="s">
        <v>2236</v>
      </c>
      <c r="E1772" s="2">
        <v>378</v>
      </c>
      <c r="F1772" s="3">
        <f t="shared" ref="F1771:G1775" si="121">DATE(2024,8,14)</f>
        <v>45518</v>
      </c>
      <c r="G1772" s="3">
        <f t="shared" si="121"/>
        <v>45518</v>
      </c>
      <c r="H1772">
        <v>1092680333</v>
      </c>
      <c r="I1772" t="s">
        <v>20</v>
      </c>
      <c r="K1772" t="s">
        <v>21</v>
      </c>
      <c r="L1772" t="s">
        <v>22</v>
      </c>
      <c r="M1772" t="s">
        <v>23</v>
      </c>
      <c r="N1772" t="s">
        <v>23</v>
      </c>
      <c r="O1772" t="s">
        <v>24</v>
      </c>
      <c r="P1772" s="8" t="s">
        <v>2237</v>
      </c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</row>
    <row r="1773" spans="1:51" x14ac:dyDescent="0.2">
      <c r="A1773" s="6" t="s">
        <v>17</v>
      </c>
      <c r="B1773" t="s">
        <v>57</v>
      </c>
      <c r="C1773" t="s">
        <v>58</v>
      </c>
      <c r="D1773" t="s">
        <v>2238</v>
      </c>
      <c r="E1773" s="2">
        <v>156.30000000000001</v>
      </c>
      <c r="F1773" s="3">
        <f t="shared" si="121"/>
        <v>45518</v>
      </c>
      <c r="G1773" s="3">
        <f t="shared" si="121"/>
        <v>45518</v>
      </c>
      <c r="H1773">
        <v>1092680334</v>
      </c>
      <c r="I1773" t="s">
        <v>20</v>
      </c>
      <c r="K1773" t="s">
        <v>21</v>
      </c>
      <c r="L1773" t="s">
        <v>22</v>
      </c>
      <c r="M1773" t="s">
        <v>23</v>
      </c>
      <c r="N1773" t="s">
        <v>23</v>
      </c>
      <c r="O1773" t="s">
        <v>24</v>
      </c>
      <c r="P1773" s="8" t="s">
        <v>2239</v>
      </c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</row>
    <row r="1774" spans="1:51" hidden="1" x14ac:dyDescent="0.2">
      <c r="A1774" s="6"/>
      <c r="E1774" s="2"/>
      <c r="F1774" s="3"/>
      <c r="G1774" s="3"/>
      <c r="P1774" s="8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</row>
    <row r="1775" spans="1:51" x14ac:dyDescent="0.2">
      <c r="A1775" s="6" t="s">
        <v>17</v>
      </c>
      <c r="B1775" t="s">
        <v>887</v>
      </c>
      <c r="C1775" t="s">
        <v>888</v>
      </c>
      <c r="D1775" t="s">
        <v>2240</v>
      </c>
      <c r="E1775" s="2">
        <v>248.36</v>
      </c>
      <c r="F1775" s="3">
        <f t="shared" si="121"/>
        <v>45518</v>
      </c>
      <c r="G1775" s="3">
        <f t="shared" si="121"/>
        <v>45518</v>
      </c>
      <c r="H1775">
        <v>1092680336</v>
      </c>
      <c r="I1775" t="s">
        <v>20</v>
      </c>
      <c r="K1775" t="s">
        <v>21</v>
      </c>
      <c r="L1775" t="s">
        <v>22</v>
      </c>
      <c r="M1775" t="s">
        <v>23</v>
      </c>
      <c r="N1775" t="s">
        <v>23</v>
      </c>
      <c r="O1775" t="s">
        <v>24</v>
      </c>
      <c r="P1775" s="8" t="s">
        <v>2241</v>
      </c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</row>
    <row r="1776" spans="1:51" x14ac:dyDescent="0.2">
      <c r="A1776" s="6" t="s">
        <v>17</v>
      </c>
      <c r="B1776" t="s">
        <v>44</v>
      </c>
      <c r="C1776" t="s">
        <v>45</v>
      </c>
      <c r="D1776" t="s">
        <v>2242</v>
      </c>
      <c r="E1776" s="2">
        <v>113.73</v>
      </c>
      <c r="F1776" s="3">
        <f t="shared" ref="F1776:G1778" si="122">DATE(2024,8,12)</f>
        <v>45516</v>
      </c>
      <c r="G1776" s="3">
        <f t="shared" si="122"/>
        <v>45516</v>
      </c>
      <c r="H1776">
        <v>1092683256</v>
      </c>
      <c r="I1776" t="s">
        <v>51</v>
      </c>
      <c r="K1776" t="s">
        <v>21</v>
      </c>
      <c r="L1776" t="s">
        <v>22</v>
      </c>
      <c r="M1776" t="s">
        <v>23</v>
      </c>
      <c r="N1776" t="s">
        <v>23</v>
      </c>
      <c r="O1776" t="s">
        <v>24</v>
      </c>
      <c r="P1776" s="8" t="s">
        <v>2243</v>
      </c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</row>
    <row r="1777" spans="1:51" x14ac:dyDescent="0.2">
      <c r="A1777" s="6" t="s">
        <v>17</v>
      </c>
      <c r="B1777" t="s">
        <v>44</v>
      </c>
      <c r="C1777" t="s">
        <v>45</v>
      </c>
      <c r="D1777" t="s">
        <v>1907</v>
      </c>
      <c r="E1777" s="2">
        <v>39.28</v>
      </c>
      <c r="F1777" s="3">
        <f t="shared" si="122"/>
        <v>45516</v>
      </c>
      <c r="G1777" s="3">
        <f t="shared" si="122"/>
        <v>45516</v>
      </c>
      <c r="H1777">
        <v>1092683257</v>
      </c>
      <c r="I1777" t="s">
        <v>51</v>
      </c>
      <c r="K1777" t="s">
        <v>21</v>
      </c>
      <c r="L1777" t="s">
        <v>22</v>
      </c>
      <c r="M1777" t="s">
        <v>23</v>
      </c>
      <c r="N1777" t="s">
        <v>23</v>
      </c>
      <c r="O1777" t="s">
        <v>24</v>
      </c>
      <c r="P1777" s="8" t="s">
        <v>2244</v>
      </c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</row>
    <row r="1778" spans="1:51" x14ac:dyDescent="0.2">
      <c r="A1778" s="6" t="s">
        <v>17</v>
      </c>
      <c r="B1778" t="s">
        <v>44</v>
      </c>
      <c r="C1778" t="s">
        <v>45</v>
      </c>
      <c r="D1778" t="s">
        <v>2245</v>
      </c>
      <c r="E1778" s="2">
        <v>36.89</v>
      </c>
      <c r="F1778" s="3">
        <f t="shared" si="122"/>
        <v>45516</v>
      </c>
      <c r="G1778" s="3">
        <f t="shared" si="122"/>
        <v>45516</v>
      </c>
      <c r="H1778">
        <v>1092683258</v>
      </c>
      <c r="I1778" t="s">
        <v>51</v>
      </c>
      <c r="K1778" t="s">
        <v>21</v>
      </c>
      <c r="L1778" t="s">
        <v>22</v>
      </c>
      <c r="M1778" t="s">
        <v>23</v>
      </c>
      <c r="N1778" t="s">
        <v>23</v>
      </c>
      <c r="O1778" t="s">
        <v>24</v>
      </c>
      <c r="P1778" s="8" t="s">
        <v>2246</v>
      </c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</row>
    <row r="1779" spans="1:51" hidden="1" x14ac:dyDescent="0.2">
      <c r="A1779" s="6"/>
      <c r="E1779" s="2"/>
      <c r="F1779" s="3"/>
      <c r="G1779" s="3"/>
      <c r="P1779" s="8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</row>
    <row r="1780" spans="1:51" hidden="1" x14ac:dyDescent="0.2">
      <c r="A1780" s="6"/>
      <c r="E1780" s="2"/>
      <c r="F1780" s="3"/>
      <c r="G1780" s="3"/>
      <c r="P1780" s="8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</row>
    <row r="1781" spans="1:51" x14ac:dyDescent="0.2">
      <c r="A1781" s="6" t="s">
        <v>17</v>
      </c>
      <c r="B1781" t="s">
        <v>110</v>
      </c>
      <c r="C1781" t="s">
        <v>111</v>
      </c>
      <c r="D1781" t="s">
        <v>2247</v>
      </c>
      <c r="E1781" s="2">
        <v>1.1299999999999999</v>
      </c>
      <c r="F1781" s="3">
        <f t="shared" ref="F1779:G1792" si="123">DATE(2024,8,14)</f>
        <v>45518</v>
      </c>
      <c r="G1781" s="3">
        <f t="shared" si="123"/>
        <v>45518</v>
      </c>
      <c r="H1781">
        <v>1095992303</v>
      </c>
      <c r="I1781" t="s">
        <v>73</v>
      </c>
      <c r="K1781" t="s">
        <v>21</v>
      </c>
      <c r="L1781" t="s">
        <v>22</v>
      </c>
      <c r="M1781" t="s">
        <v>23</v>
      </c>
      <c r="N1781" t="s">
        <v>23</v>
      </c>
      <c r="O1781" t="s">
        <v>24</v>
      </c>
      <c r="P1781" s="8" t="s">
        <v>2248</v>
      </c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</row>
    <row r="1782" spans="1:51" hidden="1" x14ac:dyDescent="0.2">
      <c r="A1782" s="6"/>
      <c r="E1782" s="2"/>
      <c r="F1782" s="3"/>
      <c r="G1782" s="3"/>
      <c r="P1782" s="8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</row>
    <row r="1783" spans="1:51" hidden="1" x14ac:dyDescent="0.2">
      <c r="A1783" s="6"/>
      <c r="E1783" s="2"/>
      <c r="F1783" s="3"/>
      <c r="G1783" s="3"/>
      <c r="P1783" s="8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</row>
    <row r="1784" spans="1:51" hidden="1" x14ac:dyDescent="0.2">
      <c r="A1784" s="6"/>
      <c r="E1784" s="2"/>
      <c r="F1784" s="3"/>
      <c r="G1784" s="3"/>
      <c r="P1784" s="8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</row>
    <row r="1785" spans="1:51" hidden="1" x14ac:dyDescent="0.2">
      <c r="A1785" s="6"/>
      <c r="E1785" s="2"/>
      <c r="F1785" s="3"/>
      <c r="G1785" s="3"/>
      <c r="P1785" s="8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</row>
    <row r="1786" spans="1:51" hidden="1" x14ac:dyDescent="0.2">
      <c r="A1786" s="6"/>
      <c r="E1786" s="2"/>
      <c r="F1786" s="3"/>
      <c r="G1786" s="3"/>
      <c r="P1786" s="8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</row>
    <row r="1787" spans="1:51" hidden="1" x14ac:dyDescent="0.2">
      <c r="A1787" s="6"/>
      <c r="E1787" s="2"/>
      <c r="F1787" s="3"/>
      <c r="G1787" s="3"/>
      <c r="P1787" s="8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</row>
    <row r="1788" spans="1:51" x14ac:dyDescent="0.2">
      <c r="A1788" s="6" t="s">
        <v>17</v>
      </c>
      <c r="B1788" t="s">
        <v>26</v>
      </c>
      <c r="C1788" t="s">
        <v>27</v>
      </c>
      <c r="D1788" t="s">
        <v>2249</v>
      </c>
      <c r="E1788" s="2">
        <v>880</v>
      </c>
      <c r="F1788" s="3">
        <f t="shared" si="123"/>
        <v>45518</v>
      </c>
      <c r="G1788" s="3">
        <f t="shared" si="123"/>
        <v>45518</v>
      </c>
      <c r="H1788">
        <v>1096208297</v>
      </c>
      <c r="I1788" t="s">
        <v>20</v>
      </c>
      <c r="K1788" t="s">
        <v>21</v>
      </c>
      <c r="L1788" t="s">
        <v>22</v>
      </c>
      <c r="M1788" t="s">
        <v>23</v>
      </c>
      <c r="N1788" t="s">
        <v>23</v>
      </c>
      <c r="O1788" t="s">
        <v>24</v>
      </c>
      <c r="P1788" s="8" t="s">
        <v>2250</v>
      </c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</row>
    <row r="1789" spans="1:51" hidden="1" x14ac:dyDescent="0.2">
      <c r="A1789" s="6"/>
      <c r="E1789" s="2"/>
      <c r="F1789" s="3"/>
      <c r="G1789" s="3"/>
      <c r="P1789" s="8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</row>
    <row r="1790" spans="1:51" hidden="1" x14ac:dyDescent="0.2">
      <c r="A1790" s="6"/>
      <c r="E1790" s="2"/>
      <c r="F1790" s="3"/>
      <c r="G1790" s="3"/>
      <c r="P1790" s="8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</row>
    <row r="1791" spans="1:51" hidden="1" x14ac:dyDescent="0.2">
      <c r="A1791" s="6"/>
      <c r="E1791" s="2"/>
      <c r="F1791" s="3"/>
      <c r="G1791" s="3"/>
      <c r="P1791" s="8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</row>
    <row r="1792" spans="1:51" hidden="1" x14ac:dyDescent="0.2">
      <c r="A1792" s="6"/>
      <c r="E1792" s="2"/>
      <c r="F1792" s="3"/>
      <c r="G1792" s="3"/>
      <c r="P1792" s="8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</row>
    <row r="1793" spans="1:51" x14ac:dyDescent="0.2">
      <c r="A1793" s="6" t="s">
        <v>17</v>
      </c>
      <c r="B1793" t="s">
        <v>674</v>
      </c>
      <c r="C1793" t="s">
        <v>675</v>
      </c>
      <c r="D1793" t="s">
        <v>2251</v>
      </c>
      <c r="E1793" s="2">
        <v>646.44000000000005</v>
      </c>
      <c r="F1793" s="3">
        <f>DATE(2024,8,15)</f>
        <v>45519</v>
      </c>
      <c r="G1793" s="3">
        <f>DATE(2024,8,15)</f>
        <v>45519</v>
      </c>
      <c r="H1793">
        <v>1096208302</v>
      </c>
      <c r="I1793" t="s">
        <v>20</v>
      </c>
      <c r="K1793" t="s">
        <v>21</v>
      </c>
      <c r="L1793" t="s">
        <v>22</v>
      </c>
      <c r="M1793" t="s">
        <v>23</v>
      </c>
      <c r="N1793" t="s">
        <v>23</v>
      </c>
      <c r="O1793" t="s">
        <v>24</v>
      </c>
      <c r="P1793" s="8" t="s">
        <v>2252</v>
      </c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</row>
    <row r="1794" spans="1:51" hidden="1" x14ac:dyDescent="0.2">
      <c r="A1794" s="6"/>
      <c r="E1794" s="2"/>
      <c r="F1794" s="3"/>
      <c r="G1794" s="3"/>
      <c r="P1794" s="8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</row>
    <row r="1795" spans="1:51" x14ac:dyDescent="0.2">
      <c r="A1795" s="6" t="s">
        <v>17</v>
      </c>
      <c r="B1795" t="s">
        <v>44</v>
      </c>
      <c r="C1795" t="s">
        <v>45</v>
      </c>
      <c r="D1795" t="s">
        <v>2253</v>
      </c>
      <c r="E1795" s="2">
        <v>31.78</v>
      </c>
      <c r="F1795" s="3">
        <f t="shared" ref="F1795:G1797" si="124">DATE(2024,8,13)</f>
        <v>45517</v>
      </c>
      <c r="G1795" s="3">
        <f t="shared" si="124"/>
        <v>45517</v>
      </c>
      <c r="H1795">
        <v>1096208313</v>
      </c>
      <c r="I1795" t="s">
        <v>51</v>
      </c>
      <c r="K1795" t="s">
        <v>21</v>
      </c>
      <c r="L1795" t="s">
        <v>22</v>
      </c>
      <c r="M1795" t="s">
        <v>23</v>
      </c>
      <c r="N1795" t="s">
        <v>23</v>
      </c>
      <c r="O1795" t="s">
        <v>24</v>
      </c>
      <c r="P1795" s="8" t="s">
        <v>2254</v>
      </c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</row>
    <row r="1796" spans="1:51" x14ac:dyDescent="0.2">
      <c r="A1796" s="6" t="s">
        <v>17</v>
      </c>
      <c r="B1796" t="s">
        <v>44</v>
      </c>
      <c r="C1796" t="s">
        <v>45</v>
      </c>
      <c r="D1796" t="s">
        <v>2255</v>
      </c>
      <c r="E1796" s="2">
        <v>35.369999999999997</v>
      </c>
      <c r="F1796" s="3">
        <f t="shared" si="124"/>
        <v>45517</v>
      </c>
      <c r="G1796" s="3">
        <f t="shared" si="124"/>
        <v>45517</v>
      </c>
      <c r="H1796">
        <v>1096208314</v>
      </c>
      <c r="I1796" t="s">
        <v>51</v>
      </c>
      <c r="K1796" t="s">
        <v>21</v>
      </c>
      <c r="L1796" t="s">
        <v>22</v>
      </c>
      <c r="M1796" t="s">
        <v>23</v>
      </c>
      <c r="N1796" t="s">
        <v>23</v>
      </c>
      <c r="O1796" t="s">
        <v>24</v>
      </c>
      <c r="P1796" s="8" t="s">
        <v>2256</v>
      </c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</row>
    <row r="1797" spans="1:51" x14ac:dyDescent="0.2">
      <c r="A1797" s="6" t="s">
        <v>17</v>
      </c>
      <c r="B1797" t="s">
        <v>34</v>
      </c>
      <c r="C1797" t="s">
        <v>35</v>
      </c>
      <c r="D1797" t="s">
        <v>228</v>
      </c>
      <c r="E1797" s="2">
        <v>40</v>
      </c>
      <c r="F1797" s="3">
        <f t="shared" si="124"/>
        <v>45517</v>
      </c>
      <c r="G1797" s="3">
        <f t="shared" si="124"/>
        <v>45517</v>
      </c>
      <c r="H1797">
        <v>1096208315</v>
      </c>
      <c r="I1797" t="s">
        <v>51</v>
      </c>
      <c r="K1797" t="s">
        <v>21</v>
      </c>
      <c r="L1797" t="s">
        <v>22</v>
      </c>
      <c r="M1797" t="s">
        <v>23</v>
      </c>
      <c r="N1797" t="s">
        <v>23</v>
      </c>
      <c r="O1797" t="s">
        <v>24</v>
      </c>
      <c r="P1797" s="8" t="s">
        <v>2257</v>
      </c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</row>
    <row r="1798" spans="1:51" x14ac:dyDescent="0.2">
      <c r="A1798" s="6" t="s">
        <v>17</v>
      </c>
      <c r="B1798" t="s">
        <v>44</v>
      </c>
      <c r="C1798" t="s">
        <v>45</v>
      </c>
      <c r="D1798" t="s">
        <v>690</v>
      </c>
      <c r="E1798" s="2">
        <v>23.89</v>
      </c>
      <c r="F1798" s="3">
        <f>DATE(2024,8,11)</f>
        <v>45515</v>
      </c>
      <c r="G1798" s="3">
        <f>DATE(2024,8,11)</f>
        <v>45515</v>
      </c>
      <c r="H1798">
        <v>1096208316</v>
      </c>
      <c r="I1798" t="s">
        <v>51</v>
      </c>
      <c r="K1798" t="s">
        <v>21</v>
      </c>
      <c r="L1798" t="s">
        <v>22</v>
      </c>
      <c r="M1798" t="s">
        <v>23</v>
      </c>
      <c r="N1798" t="s">
        <v>23</v>
      </c>
      <c r="O1798" t="s">
        <v>24</v>
      </c>
      <c r="P1798" s="8" t="s">
        <v>2258</v>
      </c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</row>
    <row r="1799" spans="1:51" hidden="1" x14ac:dyDescent="0.2">
      <c r="A1799" s="6"/>
      <c r="E1799" s="2"/>
      <c r="F1799" s="3"/>
      <c r="G1799" s="3"/>
      <c r="P1799" s="8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</row>
    <row r="1800" spans="1:51" x14ac:dyDescent="0.2">
      <c r="A1800" s="6" t="s">
        <v>17</v>
      </c>
      <c r="B1800" t="s">
        <v>110</v>
      </c>
      <c r="C1800" t="s">
        <v>111</v>
      </c>
      <c r="D1800" t="s">
        <v>2259</v>
      </c>
      <c r="E1800" s="2">
        <v>2.19</v>
      </c>
      <c r="F1800" s="3">
        <f>DATE(2024,8,15)</f>
        <v>45519</v>
      </c>
      <c r="G1800" s="3">
        <f>DATE(2024,8,15)</f>
        <v>45519</v>
      </c>
      <c r="H1800">
        <v>1099341306</v>
      </c>
      <c r="I1800" t="s">
        <v>73</v>
      </c>
      <c r="K1800" t="s">
        <v>21</v>
      </c>
      <c r="L1800" t="s">
        <v>22</v>
      </c>
      <c r="M1800" t="s">
        <v>23</v>
      </c>
      <c r="N1800" t="s">
        <v>23</v>
      </c>
      <c r="O1800" t="s">
        <v>24</v>
      </c>
      <c r="P1800" s="8" t="s">
        <v>2260</v>
      </c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</row>
    <row r="1801" spans="1:51" x14ac:dyDescent="0.2">
      <c r="A1801" s="6" t="s">
        <v>17</v>
      </c>
      <c r="B1801" t="s">
        <v>611</v>
      </c>
      <c r="C1801" t="s">
        <v>612</v>
      </c>
      <c r="D1801" t="s">
        <v>2261</v>
      </c>
      <c r="E1801" s="2">
        <v>441.65</v>
      </c>
      <c r="F1801" s="3">
        <f t="shared" ref="F1801:G1804" si="125">DATE(2024,8,16)</f>
        <v>45520</v>
      </c>
      <c r="G1801" s="3">
        <f t="shared" si="125"/>
        <v>45520</v>
      </c>
      <c r="H1801">
        <v>1099618344</v>
      </c>
      <c r="I1801" t="s">
        <v>20</v>
      </c>
      <c r="K1801" t="s">
        <v>21</v>
      </c>
      <c r="L1801" t="s">
        <v>22</v>
      </c>
      <c r="M1801" t="s">
        <v>23</v>
      </c>
      <c r="N1801" t="s">
        <v>23</v>
      </c>
      <c r="O1801" t="s">
        <v>24</v>
      </c>
      <c r="P1801" s="8" t="s">
        <v>2262</v>
      </c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</row>
    <row r="1802" spans="1:51" x14ac:dyDescent="0.2">
      <c r="A1802" s="6" t="s">
        <v>17</v>
      </c>
      <c r="B1802" t="s">
        <v>312</v>
      </c>
      <c r="C1802" t="s">
        <v>313</v>
      </c>
      <c r="D1802" t="s">
        <v>2263</v>
      </c>
      <c r="E1802" s="2">
        <v>631.79999999999995</v>
      </c>
      <c r="F1802" s="3">
        <f t="shared" si="125"/>
        <v>45520</v>
      </c>
      <c r="G1802" s="3">
        <f t="shared" si="125"/>
        <v>45520</v>
      </c>
      <c r="H1802">
        <v>1099618345</v>
      </c>
      <c r="I1802" t="s">
        <v>20</v>
      </c>
      <c r="K1802" t="s">
        <v>21</v>
      </c>
      <c r="L1802" t="s">
        <v>22</v>
      </c>
      <c r="M1802" t="s">
        <v>23</v>
      </c>
      <c r="N1802" t="s">
        <v>23</v>
      </c>
      <c r="O1802" t="s">
        <v>24</v>
      </c>
      <c r="P1802" s="8" t="s">
        <v>2264</v>
      </c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</row>
    <row r="1803" spans="1:51" x14ac:dyDescent="0.2">
      <c r="A1803" s="6" t="s">
        <v>17</v>
      </c>
      <c r="B1803" t="s">
        <v>312</v>
      </c>
      <c r="C1803" t="s">
        <v>313</v>
      </c>
      <c r="D1803" t="s">
        <v>2265</v>
      </c>
      <c r="E1803" s="2">
        <v>394.74</v>
      </c>
      <c r="F1803" s="3">
        <f t="shared" si="125"/>
        <v>45520</v>
      </c>
      <c r="G1803" s="3">
        <f t="shared" si="125"/>
        <v>45520</v>
      </c>
      <c r="H1803">
        <v>1099618346</v>
      </c>
      <c r="I1803" t="s">
        <v>20</v>
      </c>
      <c r="K1803" t="s">
        <v>21</v>
      </c>
      <c r="L1803" t="s">
        <v>22</v>
      </c>
      <c r="M1803" t="s">
        <v>23</v>
      </c>
      <c r="N1803" t="s">
        <v>23</v>
      </c>
      <c r="O1803" t="s">
        <v>24</v>
      </c>
      <c r="P1803" s="8" t="s">
        <v>2266</v>
      </c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</row>
    <row r="1804" spans="1:51" x14ac:dyDescent="0.2">
      <c r="A1804" s="6" t="s">
        <v>17</v>
      </c>
      <c r="B1804" t="s">
        <v>110</v>
      </c>
      <c r="C1804" t="s">
        <v>111</v>
      </c>
      <c r="D1804" t="s">
        <v>2267</v>
      </c>
      <c r="E1804" s="2">
        <v>656.64</v>
      </c>
      <c r="F1804" s="3">
        <f t="shared" si="125"/>
        <v>45520</v>
      </c>
      <c r="G1804" s="3">
        <f t="shared" si="125"/>
        <v>45520</v>
      </c>
      <c r="H1804">
        <v>1099618347</v>
      </c>
      <c r="I1804" t="s">
        <v>20</v>
      </c>
      <c r="K1804" t="s">
        <v>21</v>
      </c>
      <c r="L1804" t="s">
        <v>22</v>
      </c>
      <c r="M1804" t="s">
        <v>23</v>
      </c>
      <c r="N1804" t="s">
        <v>23</v>
      </c>
      <c r="O1804" t="s">
        <v>24</v>
      </c>
      <c r="P1804" s="8" t="s">
        <v>2268</v>
      </c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</row>
    <row r="1805" spans="1:51" hidden="1" x14ac:dyDescent="0.2">
      <c r="A1805" s="6"/>
      <c r="E1805" s="2"/>
      <c r="F1805" s="3"/>
      <c r="G1805" s="3"/>
      <c r="P1805" s="8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</row>
    <row r="1806" spans="1:51" x14ac:dyDescent="0.2">
      <c r="A1806" s="6" t="s">
        <v>17</v>
      </c>
      <c r="B1806" t="s">
        <v>179</v>
      </c>
      <c r="C1806" t="s">
        <v>180</v>
      </c>
      <c r="D1806" t="s">
        <v>2269</v>
      </c>
      <c r="E1806" s="2">
        <v>1190.3499999999999</v>
      </c>
      <c r="F1806" s="3">
        <f t="shared" ref="F1806:G1811" si="126">DATE(2024,8,16)</f>
        <v>45520</v>
      </c>
      <c r="G1806" s="3">
        <f t="shared" si="126"/>
        <v>45520</v>
      </c>
      <c r="H1806">
        <v>1099618349</v>
      </c>
      <c r="I1806" t="s">
        <v>20</v>
      </c>
      <c r="K1806" t="s">
        <v>21</v>
      </c>
      <c r="L1806" t="s">
        <v>22</v>
      </c>
      <c r="M1806" t="s">
        <v>23</v>
      </c>
      <c r="N1806" t="s">
        <v>23</v>
      </c>
      <c r="O1806" t="s">
        <v>24</v>
      </c>
      <c r="P1806" s="8" t="s">
        <v>2270</v>
      </c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</row>
    <row r="1807" spans="1:51" x14ac:dyDescent="0.2">
      <c r="A1807" s="6" t="s">
        <v>17</v>
      </c>
      <c r="B1807" t="s">
        <v>65</v>
      </c>
      <c r="C1807" t="s">
        <v>66</v>
      </c>
      <c r="D1807" t="s">
        <v>2271</v>
      </c>
      <c r="E1807" s="2">
        <v>1077.58</v>
      </c>
      <c r="F1807" s="3">
        <f t="shared" si="126"/>
        <v>45520</v>
      </c>
      <c r="G1807" s="3">
        <f t="shared" si="126"/>
        <v>45520</v>
      </c>
      <c r="H1807">
        <v>1099618350</v>
      </c>
      <c r="I1807" t="s">
        <v>20</v>
      </c>
      <c r="K1807" t="s">
        <v>21</v>
      </c>
      <c r="L1807" t="s">
        <v>22</v>
      </c>
      <c r="M1807" t="s">
        <v>23</v>
      </c>
      <c r="N1807" t="s">
        <v>23</v>
      </c>
      <c r="O1807" t="s">
        <v>24</v>
      </c>
      <c r="P1807" s="8" t="s">
        <v>2272</v>
      </c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</row>
    <row r="1808" spans="1:51" x14ac:dyDescent="0.2">
      <c r="A1808" s="6" t="s">
        <v>17</v>
      </c>
      <c r="B1808" t="s">
        <v>1046</v>
      </c>
      <c r="C1808" t="s">
        <v>1047</v>
      </c>
      <c r="D1808" t="s">
        <v>2273</v>
      </c>
      <c r="E1808" s="2">
        <v>2135.36</v>
      </c>
      <c r="F1808" s="3">
        <f t="shared" si="126"/>
        <v>45520</v>
      </c>
      <c r="G1808" s="3">
        <f t="shared" si="126"/>
        <v>45520</v>
      </c>
      <c r="H1808">
        <v>1099618351</v>
      </c>
      <c r="I1808" t="s">
        <v>20</v>
      </c>
      <c r="K1808" t="s">
        <v>21</v>
      </c>
      <c r="L1808" t="s">
        <v>22</v>
      </c>
      <c r="M1808" t="s">
        <v>23</v>
      </c>
      <c r="N1808" t="s">
        <v>23</v>
      </c>
      <c r="O1808" t="s">
        <v>24</v>
      </c>
      <c r="P1808" s="8" t="s">
        <v>2274</v>
      </c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</row>
    <row r="1809" spans="1:51" x14ac:dyDescent="0.2">
      <c r="A1809" s="6" t="s">
        <v>17</v>
      </c>
      <c r="B1809" t="s">
        <v>104</v>
      </c>
      <c r="C1809" t="s">
        <v>105</v>
      </c>
      <c r="D1809" t="s">
        <v>2275</v>
      </c>
      <c r="E1809" s="2">
        <v>1459.41</v>
      </c>
      <c r="F1809" s="3">
        <f t="shared" si="126"/>
        <v>45520</v>
      </c>
      <c r="G1809" s="3">
        <f t="shared" si="126"/>
        <v>45520</v>
      </c>
      <c r="H1809">
        <v>1099618352</v>
      </c>
      <c r="I1809" t="s">
        <v>20</v>
      </c>
      <c r="K1809" t="s">
        <v>21</v>
      </c>
      <c r="L1809" t="s">
        <v>22</v>
      </c>
      <c r="M1809" t="s">
        <v>23</v>
      </c>
      <c r="N1809" t="s">
        <v>23</v>
      </c>
      <c r="O1809" t="s">
        <v>24</v>
      </c>
      <c r="P1809" s="8" t="s">
        <v>2276</v>
      </c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</row>
    <row r="1810" spans="1:51" x14ac:dyDescent="0.2">
      <c r="A1810" s="6" t="s">
        <v>17</v>
      </c>
      <c r="B1810" t="s">
        <v>363</v>
      </c>
      <c r="C1810" t="s">
        <v>364</v>
      </c>
      <c r="D1810" t="s">
        <v>2277</v>
      </c>
      <c r="E1810" s="2">
        <v>960</v>
      </c>
      <c r="F1810" s="3">
        <f t="shared" si="126"/>
        <v>45520</v>
      </c>
      <c r="G1810" s="3">
        <f t="shared" si="126"/>
        <v>45520</v>
      </c>
      <c r="H1810">
        <v>1099618353</v>
      </c>
      <c r="I1810" t="s">
        <v>20</v>
      </c>
      <c r="K1810" t="s">
        <v>21</v>
      </c>
      <c r="L1810" t="s">
        <v>22</v>
      </c>
      <c r="M1810" t="s">
        <v>23</v>
      </c>
      <c r="N1810" t="s">
        <v>23</v>
      </c>
      <c r="O1810" t="s">
        <v>24</v>
      </c>
      <c r="P1810" s="8" t="s">
        <v>2278</v>
      </c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</row>
    <row r="1811" spans="1:51" x14ac:dyDescent="0.2">
      <c r="A1811" s="6" t="s">
        <v>17</v>
      </c>
      <c r="B1811" t="s">
        <v>191</v>
      </c>
      <c r="C1811" t="s">
        <v>192</v>
      </c>
      <c r="D1811" t="s">
        <v>2279</v>
      </c>
      <c r="E1811" s="2">
        <v>250</v>
      </c>
      <c r="F1811" s="3">
        <f t="shared" si="126"/>
        <v>45520</v>
      </c>
      <c r="G1811" s="3">
        <f t="shared" si="126"/>
        <v>45520</v>
      </c>
      <c r="H1811">
        <v>1099618354</v>
      </c>
      <c r="I1811" t="s">
        <v>20</v>
      </c>
      <c r="K1811" t="s">
        <v>21</v>
      </c>
      <c r="L1811" t="s">
        <v>22</v>
      </c>
      <c r="M1811" t="s">
        <v>23</v>
      </c>
      <c r="N1811" t="s">
        <v>23</v>
      </c>
      <c r="O1811" t="s">
        <v>24</v>
      </c>
      <c r="P1811" s="8" t="s">
        <v>2280</v>
      </c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</row>
    <row r="1812" spans="1:51" hidden="1" x14ac:dyDescent="0.2">
      <c r="A1812" s="6"/>
      <c r="E1812" s="2"/>
      <c r="F1812" s="3"/>
      <c r="G1812" s="3"/>
      <c r="P1812" s="8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</row>
    <row r="1813" spans="1:51" hidden="1" x14ac:dyDescent="0.2">
      <c r="A1813" s="6"/>
      <c r="E1813" s="2"/>
      <c r="F1813" s="3"/>
      <c r="G1813" s="3"/>
      <c r="P1813" s="8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</row>
    <row r="1814" spans="1:51" x14ac:dyDescent="0.2">
      <c r="A1814" s="6" t="s">
        <v>17</v>
      </c>
      <c r="B1814" t="s">
        <v>18</v>
      </c>
      <c r="C1814" t="s">
        <v>18</v>
      </c>
      <c r="D1814" t="s">
        <v>189</v>
      </c>
      <c r="E1814" s="2">
        <v>55.24</v>
      </c>
      <c r="F1814" s="3">
        <f t="shared" ref="F1814:G1823" si="127">DATE(2024,8,16)</f>
        <v>45520</v>
      </c>
      <c r="G1814" s="3">
        <f t="shared" si="127"/>
        <v>45520</v>
      </c>
      <c r="H1814">
        <v>1102546836</v>
      </c>
      <c r="I1814" t="s">
        <v>73</v>
      </c>
      <c r="K1814" t="s">
        <v>21</v>
      </c>
      <c r="L1814" t="s">
        <v>22</v>
      </c>
      <c r="M1814" t="s">
        <v>23</v>
      </c>
      <c r="N1814" t="s">
        <v>24</v>
      </c>
      <c r="O1814" t="s">
        <v>24</v>
      </c>
      <c r="P1814" s="8" t="s">
        <v>2281</v>
      </c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</row>
    <row r="1815" spans="1:51" hidden="1" x14ac:dyDescent="0.2">
      <c r="A1815" s="6"/>
      <c r="E1815" s="2"/>
      <c r="F1815" s="3"/>
      <c r="G1815" s="3"/>
      <c r="P1815" s="8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</row>
    <row r="1816" spans="1:51" hidden="1" x14ac:dyDescent="0.2">
      <c r="A1816" s="6"/>
      <c r="E1816" s="2"/>
      <c r="F1816" s="3"/>
      <c r="G1816" s="3"/>
      <c r="P1816" s="8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</row>
    <row r="1817" spans="1:51" hidden="1" x14ac:dyDescent="0.2">
      <c r="A1817" s="6"/>
      <c r="E1817" s="2"/>
      <c r="F1817" s="3"/>
      <c r="G1817" s="3"/>
      <c r="P1817" s="8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</row>
    <row r="1818" spans="1:51" hidden="1" x14ac:dyDescent="0.2">
      <c r="A1818" s="6"/>
      <c r="E1818" s="2"/>
      <c r="F1818" s="3"/>
      <c r="G1818" s="3"/>
      <c r="P1818" s="8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</row>
    <row r="1819" spans="1:51" hidden="1" x14ac:dyDescent="0.2">
      <c r="A1819" s="6"/>
      <c r="E1819" s="2"/>
      <c r="F1819" s="3"/>
      <c r="G1819" s="3"/>
      <c r="P1819" s="8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</row>
    <row r="1820" spans="1:51" hidden="1" x14ac:dyDescent="0.2">
      <c r="A1820" s="6"/>
      <c r="E1820" s="2"/>
      <c r="F1820" s="3"/>
      <c r="G1820" s="3"/>
      <c r="P1820" s="8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</row>
    <row r="1821" spans="1:51" x14ac:dyDescent="0.2">
      <c r="A1821" s="6" t="s">
        <v>17</v>
      </c>
      <c r="B1821" t="s">
        <v>104</v>
      </c>
      <c r="C1821" t="s">
        <v>105</v>
      </c>
      <c r="D1821" t="s">
        <v>2282</v>
      </c>
      <c r="E1821" s="2">
        <v>519.58000000000004</v>
      </c>
      <c r="F1821" s="3">
        <f t="shared" si="127"/>
        <v>45520</v>
      </c>
      <c r="G1821" s="3">
        <f t="shared" si="127"/>
        <v>45520</v>
      </c>
      <c r="H1821">
        <v>1102756179</v>
      </c>
      <c r="I1821" t="s">
        <v>20</v>
      </c>
      <c r="K1821" t="s">
        <v>21</v>
      </c>
      <c r="L1821" t="s">
        <v>22</v>
      </c>
      <c r="M1821" t="s">
        <v>23</v>
      </c>
      <c r="N1821" t="s">
        <v>23</v>
      </c>
      <c r="O1821" t="s">
        <v>24</v>
      </c>
      <c r="P1821" s="8" t="s">
        <v>2283</v>
      </c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</row>
    <row r="1822" spans="1:51" hidden="1" x14ac:dyDescent="0.2">
      <c r="A1822" s="6"/>
      <c r="E1822" s="2"/>
      <c r="F1822" s="3"/>
      <c r="G1822" s="3"/>
      <c r="P1822" s="8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</row>
    <row r="1823" spans="1:51" hidden="1" x14ac:dyDescent="0.2">
      <c r="A1823" s="6"/>
      <c r="E1823" s="2"/>
      <c r="F1823" s="3"/>
      <c r="G1823" s="3"/>
      <c r="P1823" s="8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</row>
    <row r="1824" spans="1:51" x14ac:dyDescent="0.2">
      <c r="A1824" s="6" t="s">
        <v>17</v>
      </c>
      <c r="B1824" t="s">
        <v>887</v>
      </c>
      <c r="C1824" t="s">
        <v>888</v>
      </c>
      <c r="D1824" t="s">
        <v>2207</v>
      </c>
      <c r="E1824" s="2">
        <v>19.95</v>
      </c>
      <c r="F1824" s="3">
        <f>DATE(2024,8,14)</f>
        <v>45518</v>
      </c>
      <c r="G1824" s="3">
        <f>DATE(2024,8,14)</f>
        <v>45518</v>
      </c>
      <c r="H1824">
        <v>1102756184</v>
      </c>
      <c r="I1824" t="s">
        <v>51</v>
      </c>
      <c r="K1824" t="s">
        <v>21</v>
      </c>
      <c r="L1824" t="s">
        <v>22</v>
      </c>
      <c r="M1824" t="s">
        <v>23</v>
      </c>
      <c r="N1824" t="s">
        <v>23</v>
      </c>
      <c r="O1824" t="s">
        <v>24</v>
      </c>
      <c r="P1824" s="8" t="s">
        <v>2284</v>
      </c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</row>
    <row r="1825" spans="1:51" x14ac:dyDescent="0.2">
      <c r="A1825" s="6" t="s">
        <v>17</v>
      </c>
      <c r="B1825" t="s">
        <v>61</v>
      </c>
      <c r="C1825" t="s">
        <v>62</v>
      </c>
      <c r="D1825" t="s">
        <v>2285</v>
      </c>
      <c r="E1825" s="2">
        <v>6.99</v>
      </c>
      <c r="F1825" s="3">
        <f>DATE(2024,8,15)</f>
        <v>45519</v>
      </c>
      <c r="G1825" s="3">
        <f>DATE(2024,8,15)</f>
        <v>45519</v>
      </c>
      <c r="H1825">
        <v>1102756186</v>
      </c>
      <c r="I1825" t="s">
        <v>51</v>
      </c>
      <c r="K1825" t="s">
        <v>21</v>
      </c>
      <c r="L1825" t="s">
        <v>22</v>
      </c>
      <c r="M1825" t="s">
        <v>23</v>
      </c>
      <c r="N1825" t="s">
        <v>23</v>
      </c>
      <c r="O1825" t="s">
        <v>24</v>
      </c>
      <c r="P1825" s="8" t="s">
        <v>2286</v>
      </c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</row>
    <row r="1826" spans="1:51" x14ac:dyDescent="0.2">
      <c r="A1826" s="6" t="s">
        <v>17</v>
      </c>
      <c r="B1826" t="s">
        <v>100</v>
      </c>
      <c r="C1826" t="s">
        <v>101</v>
      </c>
      <c r="D1826" t="s">
        <v>1658</v>
      </c>
      <c r="E1826" s="2">
        <v>36.840000000000003</v>
      </c>
      <c r="F1826" s="3">
        <f t="shared" ref="F1826:G1828" si="128">DATE(2024,8,14)</f>
        <v>45518</v>
      </c>
      <c r="G1826" s="3">
        <f t="shared" si="128"/>
        <v>45518</v>
      </c>
      <c r="H1826">
        <v>1102756187</v>
      </c>
      <c r="I1826" t="s">
        <v>51</v>
      </c>
      <c r="K1826" t="s">
        <v>21</v>
      </c>
      <c r="L1826" t="s">
        <v>22</v>
      </c>
      <c r="M1826" t="s">
        <v>23</v>
      </c>
      <c r="N1826" t="s">
        <v>23</v>
      </c>
      <c r="O1826" t="s">
        <v>24</v>
      </c>
      <c r="P1826" s="8" t="s">
        <v>2287</v>
      </c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</row>
    <row r="1827" spans="1:51" x14ac:dyDescent="0.2">
      <c r="A1827" s="6" t="s">
        <v>17</v>
      </c>
      <c r="B1827" t="s">
        <v>44</v>
      </c>
      <c r="C1827" t="s">
        <v>45</v>
      </c>
      <c r="D1827" t="s">
        <v>2288</v>
      </c>
      <c r="E1827" s="2">
        <v>18.54</v>
      </c>
      <c r="F1827" s="3">
        <f t="shared" si="128"/>
        <v>45518</v>
      </c>
      <c r="G1827" s="3">
        <f t="shared" si="128"/>
        <v>45518</v>
      </c>
      <c r="H1827">
        <v>1102756188</v>
      </c>
      <c r="I1827" t="s">
        <v>51</v>
      </c>
      <c r="K1827" t="s">
        <v>21</v>
      </c>
      <c r="L1827" t="s">
        <v>22</v>
      </c>
      <c r="M1827" t="s">
        <v>23</v>
      </c>
      <c r="N1827" t="s">
        <v>23</v>
      </c>
      <c r="O1827" t="s">
        <v>24</v>
      </c>
      <c r="P1827" s="8" t="s">
        <v>2289</v>
      </c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</row>
    <row r="1828" spans="1:51" x14ac:dyDescent="0.2">
      <c r="A1828" s="6" t="s">
        <v>17</v>
      </c>
      <c r="B1828" t="s">
        <v>44</v>
      </c>
      <c r="C1828" t="s">
        <v>45</v>
      </c>
      <c r="D1828" t="s">
        <v>2290</v>
      </c>
      <c r="E1828" s="2">
        <v>399</v>
      </c>
      <c r="F1828" s="3">
        <f t="shared" si="128"/>
        <v>45518</v>
      </c>
      <c r="G1828" s="3">
        <f t="shared" si="128"/>
        <v>45518</v>
      </c>
      <c r="H1828">
        <v>1102756189</v>
      </c>
      <c r="I1828" t="s">
        <v>51</v>
      </c>
      <c r="K1828" t="s">
        <v>21</v>
      </c>
      <c r="L1828" t="s">
        <v>22</v>
      </c>
      <c r="M1828" t="s">
        <v>23</v>
      </c>
      <c r="N1828" t="s">
        <v>23</v>
      </c>
      <c r="O1828" t="s">
        <v>24</v>
      </c>
      <c r="P1828" s="8" t="s">
        <v>2291</v>
      </c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</row>
    <row r="1829" spans="1:51" hidden="1" x14ac:dyDescent="0.2">
      <c r="A1829" s="6"/>
      <c r="E1829" s="2"/>
      <c r="F1829" s="3"/>
      <c r="G1829" s="3"/>
      <c r="P1829" s="8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</row>
    <row r="1830" spans="1:51" x14ac:dyDescent="0.2">
      <c r="A1830" s="6" t="s">
        <v>17</v>
      </c>
      <c r="B1830" t="s">
        <v>110</v>
      </c>
      <c r="C1830" t="s">
        <v>111</v>
      </c>
      <c r="D1830" t="s">
        <v>2292</v>
      </c>
      <c r="E1830" s="2">
        <v>0.4</v>
      </c>
      <c r="F1830" s="3">
        <f>DATE(2024,8,17)</f>
        <v>45521</v>
      </c>
      <c r="G1830" s="3">
        <f>DATE(2024,8,17)</f>
        <v>45521</v>
      </c>
      <c r="H1830">
        <v>1104962666</v>
      </c>
      <c r="I1830" t="s">
        <v>73</v>
      </c>
      <c r="K1830" t="s">
        <v>21</v>
      </c>
      <c r="L1830" t="s">
        <v>22</v>
      </c>
      <c r="M1830" t="s">
        <v>23</v>
      </c>
      <c r="N1830" t="s">
        <v>23</v>
      </c>
      <c r="O1830" t="s">
        <v>24</v>
      </c>
      <c r="P1830" s="8" t="s">
        <v>2293</v>
      </c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</row>
    <row r="1831" spans="1:51" hidden="1" x14ac:dyDescent="0.2">
      <c r="A1831" s="6"/>
      <c r="E1831" s="2"/>
      <c r="F1831" s="3"/>
      <c r="G1831" s="3"/>
      <c r="P1831" s="8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</row>
    <row r="1832" spans="1:51" hidden="1" x14ac:dyDescent="0.2">
      <c r="A1832" s="6"/>
      <c r="E1832" s="2"/>
      <c r="F1832" s="3"/>
      <c r="G1832" s="3"/>
      <c r="P1832" s="8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</row>
    <row r="1833" spans="1:51" hidden="1" x14ac:dyDescent="0.2">
      <c r="A1833" s="6"/>
      <c r="E1833" s="2"/>
      <c r="F1833" s="3"/>
      <c r="G1833" s="3"/>
      <c r="P1833" s="8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</row>
    <row r="1834" spans="1:51" hidden="1" x14ac:dyDescent="0.2">
      <c r="A1834" s="6"/>
      <c r="E1834" s="2"/>
      <c r="F1834" s="3"/>
      <c r="G1834" s="3"/>
      <c r="P1834" s="8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</row>
    <row r="1835" spans="1:51" hidden="1" x14ac:dyDescent="0.2">
      <c r="A1835" s="6"/>
      <c r="E1835" s="2"/>
      <c r="F1835" s="3"/>
      <c r="G1835" s="3"/>
      <c r="P1835" s="8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</row>
    <row r="1836" spans="1:51" x14ac:dyDescent="0.2">
      <c r="A1836" s="6" t="s">
        <v>17</v>
      </c>
      <c r="B1836" t="s">
        <v>175</v>
      </c>
      <c r="C1836" t="s">
        <v>176</v>
      </c>
      <c r="D1836" t="s">
        <v>2294</v>
      </c>
      <c r="E1836" s="2">
        <v>600</v>
      </c>
      <c r="F1836" s="3">
        <f t="shared" ref="F1833:G1841" si="129">DATE(2024,8,19)</f>
        <v>45523</v>
      </c>
      <c r="G1836" s="3">
        <f t="shared" si="129"/>
        <v>45523</v>
      </c>
      <c r="H1836">
        <v>1110403543</v>
      </c>
      <c r="I1836" t="s">
        <v>20</v>
      </c>
      <c r="K1836" t="s">
        <v>21</v>
      </c>
      <c r="L1836" t="s">
        <v>22</v>
      </c>
      <c r="M1836" t="s">
        <v>23</v>
      </c>
      <c r="N1836" t="s">
        <v>23</v>
      </c>
      <c r="O1836" t="s">
        <v>24</v>
      </c>
      <c r="P1836" s="8" t="s">
        <v>2295</v>
      </c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</row>
    <row r="1837" spans="1:51" hidden="1" x14ac:dyDescent="0.2">
      <c r="A1837" s="6"/>
      <c r="E1837" s="2"/>
      <c r="F1837" s="3"/>
      <c r="G1837" s="3"/>
      <c r="P1837" s="8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</row>
    <row r="1838" spans="1:51" x14ac:dyDescent="0.2">
      <c r="A1838" s="6" t="s">
        <v>17</v>
      </c>
      <c r="B1838" t="s">
        <v>1060</v>
      </c>
      <c r="C1838" t="s">
        <v>1061</v>
      </c>
      <c r="D1838" t="s">
        <v>2296</v>
      </c>
      <c r="E1838" s="2">
        <v>121.35</v>
      </c>
      <c r="F1838" s="3">
        <f t="shared" si="129"/>
        <v>45523</v>
      </c>
      <c r="G1838" s="3">
        <f t="shared" si="129"/>
        <v>45523</v>
      </c>
      <c r="H1838">
        <v>1110403545</v>
      </c>
      <c r="I1838" t="s">
        <v>20</v>
      </c>
      <c r="K1838" t="s">
        <v>21</v>
      </c>
      <c r="L1838" t="s">
        <v>22</v>
      </c>
      <c r="M1838" t="s">
        <v>23</v>
      </c>
      <c r="N1838" t="s">
        <v>23</v>
      </c>
      <c r="O1838" t="s">
        <v>24</v>
      </c>
      <c r="P1838" s="8" t="s">
        <v>2297</v>
      </c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</row>
    <row r="1839" spans="1:51" x14ac:dyDescent="0.2">
      <c r="A1839" s="6" t="s">
        <v>17</v>
      </c>
      <c r="B1839" t="s">
        <v>183</v>
      </c>
      <c r="C1839" t="s">
        <v>184</v>
      </c>
      <c r="D1839" t="s">
        <v>2298</v>
      </c>
      <c r="E1839" s="2">
        <v>12359</v>
      </c>
      <c r="F1839" s="3">
        <f t="shared" si="129"/>
        <v>45523</v>
      </c>
      <c r="G1839" s="3">
        <f t="shared" si="129"/>
        <v>45523</v>
      </c>
      <c r="H1839">
        <v>1110403546</v>
      </c>
      <c r="I1839" t="s">
        <v>20</v>
      </c>
      <c r="K1839" t="s">
        <v>21</v>
      </c>
      <c r="L1839" t="s">
        <v>22</v>
      </c>
      <c r="M1839" t="s">
        <v>23</v>
      </c>
      <c r="N1839" t="s">
        <v>23</v>
      </c>
      <c r="O1839" t="s">
        <v>24</v>
      </c>
      <c r="P1839" s="8" t="s">
        <v>2299</v>
      </c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</row>
    <row r="1840" spans="1:51" x14ac:dyDescent="0.2">
      <c r="A1840" s="6" t="s">
        <v>17</v>
      </c>
      <c r="B1840" t="s">
        <v>223</v>
      </c>
      <c r="C1840" t="s">
        <v>223</v>
      </c>
      <c r="D1840" t="s">
        <v>2300</v>
      </c>
      <c r="E1840" s="2">
        <v>1348.3</v>
      </c>
      <c r="F1840" s="3">
        <f t="shared" si="129"/>
        <v>45523</v>
      </c>
      <c r="G1840" s="3">
        <f t="shared" si="129"/>
        <v>45523</v>
      </c>
      <c r="H1840">
        <v>1110403547</v>
      </c>
      <c r="I1840" t="s">
        <v>20</v>
      </c>
      <c r="K1840" t="s">
        <v>21</v>
      </c>
      <c r="L1840" t="s">
        <v>22</v>
      </c>
      <c r="M1840" t="s">
        <v>23</v>
      </c>
      <c r="N1840" t="s">
        <v>23</v>
      </c>
      <c r="O1840" t="s">
        <v>24</v>
      </c>
      <c r="P1840" s="8" t="s">
        <v>2301</v>
      </c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</row>
    <row r="1841" spans="1:51" x14ac:dyDescent="0.2">
      <c r="A1841" s="6" t="s">
        <v>17</v>
      </c>
      <c r="B1841" t="s">
        <v>57</v>
      </c>
      <c r="C1841" t="s">
        <v>58</v>
      </c>
      <c r="D1841" t="s">
        <v>2302</v>
      </c>
      <c r="E1841" s="2">
        <v>72.95</v>
      </c>
      <c r="F1841" s="3">
        <f t="shared" si="129"/>
        <v>45523</v>
      </c>
      <c r="G1841" s="3">
        <f t="shared" si="129"/>
        <v>45523</v>
      </c>
      <c r="H1841">
        <v>1110403548</v>
      </c>
      <c r="I1841" t="s">
        <v>20</v>
      </c>
      <c r="K1841" t="s">
        <v>21</v>
      </c>
      <c r="L1841" t="s">
        <v>22</v>
      </c>
      <c r="M1841" t="s">
        <v>23</v>
      </c>
      <c r="N1841" t="s">
        <v>23</v>
      </c>
      <c r="O1841" t="s">
        <v>24</v>
      </c>
      <c r="P1841" s="8" t="s">
        <v>2303</v>
      </c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</row>
    <row r="1842" spans="1:51" x14ac:dyDescent="0.2">
      <c r="A1842" s="6" t="s">
        <v>17</v>
      </c>
      <c r="B1842" t="s">
        <v>655</v>
      </c>
      <c r="C1842" t="s">
        <v>656</v>
      </c>
      <c r="D1842" t="s">
        <v>2304</v>
      </c>
      <c r="E1842" s="2">
        <v>1460.75</v>
      </c>
      <c r="F1842" s="3">
        <f>DATE(2024,8,20)</f>
        <v>45524</v>
      </c>
      <c r="G1842" s="3">
        <f>DATE(2024,8,20)</f>
        <v>45524</v>
      </c>
      <c r="H1842">
        <v>1110403549</v>
      </c>
      <c r="I1842" t="s">
        <v>20</v>
      </c>
      <c r="K1842" t="s">
        <v>21</v>
      </c>
      <c r="L1842" t="s">
        <v>22</v>
      </c>
      <c r="M1842" t="s">
        <v>23</v>
      </c>
      <c r="N1842" t="s">
        <v>23</v>
      </c>
      <c r="O1842" t="s">
        <v>24</v>
      </c>
      <c r="P1842" s="8" t="s">
        <v>2305</v>
      </c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</row>
    <row r="1843" spans="1:51" x14ac:dyDescent="0.2">
      <c r="A1843" s="6" t="s">
        <v>17</v>
      </c>
      <c r="B1843" t="s">
        <v>887</v>
      </c>
      <c r="C1843" t="s">
        <v>888</v>
      </c>
      <c r="D1843" t="s">
        <v>2306</v>
      </c>
      <c r="E1843" s="2">
        <v>37.25</v>
      </c>
      <c r="F1843" s="3">
        <f>DATE(2024,8,17)</f>
        <v>45521</v>
      </c>
      <c r="G1843" s="3">
        <f>DATE(2024,8,17)</f>
        <v>45521</v>
      </c>
      <c r="H1843">
        <v>1110403550</v>
      </c>
      <c r="I1843" t="s">
        <v>51</v>
      </c>
      <c r="K1843" t="s">
        <v>21</v>
      </c>
      <c r="L1843" t="s">
        <v>22</v>
      </c>
      <c r="M1843" t="s">
        <v>23</v>
      </c>
      <c r="N1843" t="s">
        <v>23</v>
      </c>
      <c r="O1843" t="s">
        <v>24</v>
      </c>
      <c r="P1843" s="8" t="s">
        <v>2307</v>
      </c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</row>
    <row r="1844" spans="1:51" hidden="1" x14ac:dyDescent="0.2">
      <c r="A1844" s="6"/>
      <c r="E1844" s="2"/>
      <c r="F1844" s="3"/>
      <c r="G1844" s="3"/>
      <c r="P1844" s="8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</row>
    <row r="1845" spans="1:51" hidden="1" x14ac:dyDescent="0.2">
      <c r="A1845" s="6"/>
      <c r="E1845" s="2"/>
      <c r="F1845" s="3"/>
      <c r="G1845" s="3"/>
      <c r="P1845" s="8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</row>
    <row r="1846" spans="1:51" hidden="1" x14ac:dyDescent="0.2">
      <c r="A1846" s="6"/>
      <c r="E1846" s="2"/>
      <c r="F1846" s="3"/>
      <c r="G1846" s="3"/>
      <c r="P1846" s="8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</row>
    <row r="1847" spans="1:51" x14ac:dyDescent="0.2">
      <c r="A1847" s="6" t="s">
        <v>17</v>
      </c>
      <c r="B1847" t="s">
        <v>191</v>
      </c>
      <c r="C1847" t="s">
        <v>192</v>
      </c>
      <c r="D1847" t="s">
        <v>2308</v>
      </c>
      <c r="E1847" s="2">
        <v>1000</v>
      </c>
      <c r="F1847" s="3">
        <f>DATE(2024,8,21)</f>
        <v>45525</v>
      </c>
      <c r="G1847" s="3">
        <f>DATE(2024,8,21)</f>
        <v>45525</v>
      </c>
      <c r="H1847">
        <v>1114398398</v>
      </c>
      <c r="I1847" t="s">
        <v>20</v>
      </c>
      <c r="K1847" t="s">
        <v>21</v>
      </c>
      <c r="L1847" t="s">
        <v>22</v>
      </c>
      <c r="M1847" t="s">
        <v>23</v>
      </c>
      <c r="N1847" t="s">
        <v>23</v>
      </c>
      <c r="O1847" t="s">
        <v>24</v>
      </c>
      <c r="P1847" s="8" t="s">
        <v>2309</v>
      </c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</row>
    <row r="1848" spans="1:51" x14ac:dyDescent="0.2">
      <c r="A1848" s="6" t="s">
        <v>17</v>
      </c>
      <c r="B1848" t="s">
        <v>887</v>
      </c>
      <c r="C1848" t="s">
        <v>888</v>
      </c>
      <c r="D1848" t="s">
        <v>2310</v>
      </c>
      <c r="E1848" s="2">
        <v>1446.39</v>
      </c>
      <c r="F1848" s="3">
        <f t="shared" ref="F1848:G1852" si="130">DATE(2024,8,20)</f>
        <v>45524</v>
      </c>
      <c r="G1848" s="3">
        <f t="shared" si="130"/>
        <v>45524</v>
      </c>
      <c r="H1848">
        <v>1114398399</v>
      </c>
      <c r="I1848" t="s">
        <v>20</v>
      </c>
      <c r="K1848" t="s">
        <v>21</v>
      </c>
      <c r="L1848" t="s">
        <v>22</v>
      </c>
      <c r="M1848" t="s">
        <v>23</v>
      </c>
      <c r="N1848" t="s">
        <v>23</v>
      </c>
      <c r="O1848" t="s">
        <v>24</v>
      </c>
      <c r="P1848" s="8" t="s">
        <v>2311</v>
      </c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</row>
    <row r="1849" spans="1:51" x14ac:dyDescent="0.2">
      <c r="A1849" s="6" t="s">
        <v>17</v>
      </c>
      <c r="B1849" t="s">
        <v>674</v>
      </c>
      <c r="C1849" t="s">
        <v>675</v>
      </c>
      <c r="D1849" t="s">
        <v>2312</v>
      </c>
      <c r="E1849" s="2">
        <v>2541.06</v>
      </c>
      <c r="F1849" s="3">
        <f t="shared" si="130"/>
        <v>45524</v>
      </c>
      <c r="G1849" s="3">
        <f t="shared" si="130"/>
        <v>45524</v>
      </c>
      <c r="H1849">
        <v>1114398400</v>
      </c>
      <c r="I1849" t="s">
        <v>20</v>
      </c>
      <c r="K1849" t="s">
        <v>21</v>
      </c>
      <c r="L1849" t="s">
        <v>22</v>
      </c>
      <c r="M1849" t="s">
        <v>23</v>
      </c>
      <c r="N1849" t="s">
        <v>23</v>
      </c>
      <c r="O1849" t="s">
        <v>24</v>
      </c>
      <c r="P1849" s="8" t="s">
        <v>2313</v>
      </c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</row>
    <row r="1850" spans="1:51" x14ac:dyDescent="0.2">
      <c r="A1850" s="6" t="s">
        <v>17</v>
      </c>
      <c r="B1850" t="s">
        <v>26</v>
      </c>
      <c r="C1850" t="s">
        <v>27</v>
      </c>
      <c r="D1850" t="s">
        <v>2314</v>
      </c>
      <c r="E1850" s="2">
        <v>12.24</v>
      </c>
      <c r="F1850" s="3">
        <f t="shared" si="130"/>
        <v>45524</v>
      </c>
      <c r="G1850" s="3">
        <f t="shared" si="130"/>
        <v>45524</v>
      </c>
      <c r="H1850">
        <v>1114398401</v>
      </c>
      <c r="I1850" t="s">
        <v>20</v>
      </c>
      <c r="K1850" t="s">
        <v>21</v>
      </c>
      <c r="L1850" t="s">
        <v>22</v>
      </c>
      <c r="M1850" t="s">
        <v>23</v>
      </c>
      <c r="N1850" t="s">
        <v>23</v>
      </c>
      <c r="O1850" t="s">
        <v>24</v>
      </c>
      <c r="P1850" s="8" t="s">
        <v>2315</v>
      </c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</row>
    <row r="1851" spans="1:51" hidden="1" x14ac:dyDescent="0.2">
      <c r="A1851" s="6"/>
      <c r="E1851" s="2"/>
      <c r="F1851" s="3"/>
      <c r="G1851" s="3"/>
      <c r="P1851" s="8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</row>
    <row r="1852" spans="1:51" hidden="1" x14ac:dyDescent="0.2">
      <c r="A1852" s="6"/>
      <c r="E1852" s="2"/>
      <c r="F1852" s="3"/>
      <c r="G1852" s="3"/>
      <c r="P1852" s="8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</row>
    <row r="1853" spans="1:51" x14ac:dyDescent="0.2">
      <c r="A1853" s="6" t="s">
        <v>17</v>
      </c>
      <c r="B1853" t="s">
        <v>191</v>
      </c>
      <c r="C1853" t="s">
        <v>192</v>
      </c>
      <c r="D1853" t="s">
        <v>2316</v>
      </c>
      <c r="E1853" s="2">
        <v>840</v>
      </c>
      <c r="F1853" s="3">
        <f>DATE(2024,8,21)</f>
        <v>45525</v>
      </c>
      <c r="G1853" s="3">
        <f>DATE(2024,8,21)</f>
        <v>45525</v>
      </c>
      <c r="H1853">
        <v>1114398404</v>
      </c>
      <c r="I1853" t="s">
        <v>20</v>
      </c>
      <c r="K1853" t="s">
        <v>21</v>
      </c>
      <c r="L1853" t="s">
        <v>22</v>
      </c>
      <c r="M1853" t="s">
        <v>23</v>
      </c>
      <c r="N1853" t="s">
        <v>23</v>
      </c>
      <c r="O1853" t="s">
        <v>24</v>
      </c>
      <c r="P1853" s="8" t="s">
        <v>2317</v>
      </c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</row>
    <row r="1854" spans="1:51" x14ac:dyDescent="0.2">
      <c r="A1854" s="6" t="s">
        <v>17</v>
      </c>
      <c r="B1854" t="s">
        <v>44</v>
      </c>
      <c r="C1854" t="s">
        <v>45</v>
      </c>
      <c r="D1854" t="s">
        <v>2318</v>
      </c>
      <c r="E1854" s="2">
        <v>24.85</v>
      </c>
      <c r="F1854" s="3">
        <f t="shared" ref="F1854:G1858" si="131">DATE(2024,8,19)</f>
        <v>45523</v>
      </c>
      <c r="G1854" s="3">
        <f t="shared" si="131"/>
        <v>45523</v>
      </c>
      <c r="H1854">
        <v>1114398428</v>
      </c>
      <c r="I1854" t="s">
        <v>51</v>
      </c>
      <c r="K1854" t="s">
        <v>21</v>
      </c>
      <c r="L1854" t="s">
        <v>22</v>
      </c>
      <c r="M1854" t="s">
        <v>23</v>
      </c>
      <c r="N1854" t="s">
        <v>23</v>
      </c>
      <c r="O1854" t="s">
        <v>24</v>
      </c>
      <c r="P1854" s="8" t="s">
        <v>2319</v>
      </c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</row>
    <row r="1855" spans="1:51" x14ac:dyDescent="0.2">
      <c r="A1855" s="6" t="s">
        <v>17</v>
      </c>
      <c r="B1855" t="s">
        <v>44</v>
      </c>
      <c r="C1855" t="s">
        <v>45</v>
      </c>
      <c r="D1855" t="s">
        <v>2320</v>
      </c>
      <c r="E1855" s="2">
        <v>14.08</v>
      </c>
      <c r="F1855" s="3">
        <f t="shared" si="131"/>
        <v>45523</v>
      </c>
      <c r="G1855" s="3">
        <f t="shared" si="131"/>
        <v>45523</v>
      </c>
      <c r="H1855">
        <v>1114398429</v>
      </c>
      <c r="I1855" t="s">
        <v>51</v>
      </c>
      <c r="K1855" t="s">
        <v>21</v>
      </c>
      <c r="L1855" t="s">
        <v>22</v>
      </c>
      <c r="M1855" t="s">
        <v>23</v>
      </c>
      <c r="N1855" t="s">
        <v>23</v>
      </c>
      <c r="O1855" t="s">
        <v>24</v>
      </c>
      <c r="P1855" s="8" t="s">
        <v>2321</v>
      </c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</row>
    <row r="1856" spans="1:51" x14ac:dyDescent="0.2">
      <c r="A1856" s="6" t="s">
        <v>17</v>
      </c>
      <c r="B1856" t="s">
        <v>887</v>
      </c>
      <c r="C1856" t="s">
        <v>888</v>
      </c>
      <c r="D1856" t="s">
        <v>2322</v>
      </c>
      <c r="E1856" s="2">
        <v>55.61</v>
      </c>
      <c r="F1856" s="3">
        <f t="shared" si="131"/>
        <v>45523</v>
      </c>
      <c r="G1856" s="3">
        <f t="shared" si="131"/>
        <v>45523</v>
      </c>
      <c r="H1856">
        <v>1114398430</v>
      </c>
      <c r="I1856" t="s">
        <v>51</v>
      </c>
      <c r="K1856" t="s">
        <v>21</v>
      </c>
      <c r="L1856" t="s">
        <v>22</v>
      </c>
      <c r="M1856" t="s">
        <v>23</v>
      </c>
      <c r="N1856" t="s">
        <v>23</v>
      </c>
      <c r="O1856" t="s">
        <v>24</v>
      </c>
      <c r="P1856" s="8" t="s">
        <v>2323</v>
      </c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</row>
    <row r="1857" spans="1:51" x14ac:dyDescent="0.2">
      <c r="A1857" s="6" t="s">
        <v>17</v>
      </c>
      <c r="B1857" t="s">
        <v>44</v>
      </c>
      <c r="C1857" t="s">
        <v>45</v>
      </c>
      <c r="D1857" t="s">
        <v>2324</v>
      </c>
      <c r="E1857" s="2">
        <v>24.99</v>
      </c>
      <c r="F1857" s="3">
        <f t="shared" si="131"/>
        <v>45523</v>
      </c>
      <c r="G1857" s="3">
        <f t="shared" si="131"/>
        <v>45523</v>
      </c>
      <c r="H1857">
        <v>1114398431</v>
      </c>
      <c r="I1857" t="s">
        <v>51</v>
      </c>
      <c r="K1857" t="s">
        <v>21</v>
      </c>
      <c r="L1857" t="s">
        <v>22</v>
      </c>
      <c r="M1857" t="s">
        <v>23</v>
      </c>
      <c r="N1857" t="s">
        <v>23</v>
      </c>
      <c r="O1857" t="s">
        <v>24</v>
      </c>
      <c r="P1857" s="8" t="s">
        <v>2325</v>
      </c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</row>
    <row r="1858" spans="1:51" x14ac:dyDescent="0.2">
      <c r="A1858" s="6" t="s">
        <v>17</v>
      </c>
      <c r="B1858" t="s">
        <v>316</v>
      </c>
      <c r="C1858" t="s">
        <v>316</v>
      </c>
      <c r="D1858" t="s">
        <v>2326</v>
      </c>
      <c r="E1858" s="2">
        <v>33.5</v>
      </c>
      <c r="F1858" s="3">
        <f t="shared" si="131"/>
        <v>45523</v>
      </c>
      <c r="G1858" s="3">
        <f t="shared" si="131"/>
        <v>45523</v>
      </c>
      <c r="H1858">
        <v>1114398432</v>
      </c>
      <c r="I1858" t="s">
        <v>51</v>
      </c>
      <c r="K1858" t="s">
        <v>21</v>
      </c>
      <c r="L1858" t="s">
        <v>22</v>
      </c>
      <c r="M1858" t="s">
        <v>23</v>
      </c>
      <c r="N1858" t="s">
        <v>23</v>
      </c>
      <c r="O1858" t="s">
        <v>24</v>
      </c>
      <c r="P1858" s="8" t="s">
        <v>2327</v>
      </c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</row>
    <row r="1859" spans="1:51" hidden="1" x14ac:dyDescent="0.2">
      <c r="A1859" s="6"/>
      <c r="E1859" s="2"/>
      <c r="F1859" s="3"/>
      <c r="G1859" s="3"/>
      <c r="P1859" s="8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</row>
    <row r="1860" spans="1:51" x14ac:dyDescent="0.2">
      <c r="A1860" s="6" t="s">
        <v>17</v>
      </c>
      <c r="B1860" t="s">
        <v>110</v>
      </c>
      <c r="C1860" t="s">
        <v>111</v>
      </c>
      <c r="D1860" t="s">
        <v>2328</v>
      </c>
      <c r="E1860" s="2">
        <v>1.01</v>
      </c>
      <c r="F1860" s="3">
        <f t="shared" ref="F1859:G1864" si="132">DATE(2024,8,21)</f>
        <v>45525</v>
      </c>
      <c r="G1860" s="3">
        <f t="shared" si="132"/>
        <v>45525</v>
      </c>
      <c r="H1860">
        <v>1117857328</v>
      </c>
      <c r="I1860" t="s">
        <v>73</v>
      </c>
      <c r="K1860" t="s">
        <v>21</v>
      </c>
      <c r="L1860" t="s">
        <v>22</v>
      </c>
      <c r="M1860" t="s">
        <v>23</v>
      </c>
      <c r="N1860" t="s">
        <v>23</v>
      </c>
      <c r="O1860" t="s">
        <v>24</v>
      </c>
      <c r="P1860" s="8" t="s">
        <v>2329</v>
      </c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</row>
    <row r="1861" spans="1:51" hidden="1" x14ac:dyDescent="0.2">
      <c r="A1861" s="6"/>
      <c r="E1861" s="2"/>
      <c r="F1861" s="3"/>
      <c r="G1861" s="3"/>
      <c r="P1861" s="8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</row>
    <row r="1862" spans="1:51" hidden="1" x14ac:dyDescent="0.2">
      <c r="A1862" s="6"/>
      <c r="E1862" s="2"/>
      <c r="F1862" s="3"/>
      <c r="G1862" s="3"/>
      <c r="P1862" s="8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</row>
    <row r="1863" spans="1:51" hidden="1" x14ac:dyDescent="0.2">
      <c r="A1863" s="6"/>
      <c r="E1863" s="2"/>
      <c r="F1863" s="3"/>
      <c r="G1863" s="3"/>
      <c r="P1863" s="8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</row>
    <row r="1864" spans="1:51" hidden="1" x14ac:dyDescent="0.2">
      <c r="A1864" s="6"/>
      <c r="E1864" s="2"/>
      <c r="F1864" s="3"/>
      <c r="G1864" s="3"/>
      <c r="P1864" s="8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</row>
    <row r="1865" spans="1:51" hidden="1" x14ac:dyDescent="0.2">
      <c r="A1865" s="6"/>
      <c r="E1865" s="2"/>
      <c r="F1865" s="3"/>
      <c r="G1865" s="3"/>
      <c r="P1865" s="8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</row>
    <row r="1866" spans="1:51" hidden="1" x14ac:dyDescent="0.2">
      <c r="A1866" s="6"/>
      <c r="E1866" s="2"/>
      <c r="F1866" s="3"/>
      <c r="G1866" s="3"/>
      <c r="P1866" s="8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</row>
    <row r="1867" spans="1:51" hidden="1" x14ac:dyDescent="0.2">
      <c r="A1867" s="6"/>
      <c r="E1867" s="2"/>
      <c r="F1867" s="3"/>
      <c r="G1867" s="3"/>
      <c r="P1867" s="8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</row>
    <row r="1868" spans="1:51" x14ac:dyDescent="0.2">
      <c r="A1868" s="6" t="s">
        <v>17</v>
      </c>
      <c r="B1868" t="s">
        <v>18</v>
      </c>
      <c r="C1868" t="s">
        <v>18</v>
      </c>
      <c r="D1868" t="s">
        <v>2330</v>
      </c>
      <c r="E1868" s="2">
        <v>2.36</v>
      </c>
      <c r="F1868" s="3">
        <f t="shared" ref="F1866:G1874" si="133">DATE(2024,8,21)</f>
        <v>45525</v>
      </c>
      <c r="G1868" s="3">
        <f t="shared" si="133"/>
        <v>45525</v>
      </c>
      <c r="H1868">
        <v>1118256065</v>
      </c>
      <c r="I1868" t="s">
        <v>20</v>
      </c>
      <c r="K1868" t="s">
        <v>21</v>
      </c>
      <c r="L1868" t="s">
        <v>22</v>
      </c>
      <c r="M1868" t="s">
        <v>23</v>
      </c>
      <c r="N1868" t="s">
        <v>23</v>
      </c>
      <c r="O1868" t="s">
        <v>24</v>
      </c>
      <c r="P1868" s="8" t="s">
        <v>2331</v>
      </c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</row>
    <row r="1869" spans="1:51" x14ac:dyDescent="0.2">
      <c r="A1869" s="6" t="s">
        <v>17</v>
      </c>
      <c r="B1869" t="s">
        <v>65</v>
      </c>
      <c r="C1869" t="s">
        <v>66</v>
      </c>
      <c r="D1869" t="s">
        <v>2332</v>
      </c>
      <c r="E1869" s="2">
        <v>506.4</v>
      </c>
      <c r="F1869" s="3">
        <f t="shared" si="133"/>
        <v>45525</v>
      </c>
      <c r="G1869" s="3">
        <f t="shared" si="133"/>
        <v>45525</v>
      </c>
      <c r="H1869">
        <v>1118256066</v>
      </c>
      <c r="I1869" t="s">
        <v>20</v>
      </c>
      <c r="K1869" t="s">
        <v>21</v>
      </c>
      <c r="L1869" t="s">
        <v>22</v>
      </c>
      <c r="M1869" t="s">
        <v>23</v>
      </c>
      <c r="N1869" t="s">
        <v>23</v>
      </c>
      <c r="O1869" t="s">
        <v>24</v>
      </c>
      <c r="P1869" s="8" t="s">
        <v>2333</v>
      </c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</row>
    <row r="1870" spans="1:51" x14ac:dyDescent="0.2">
      <c r="A1870" s="6" t="s">
        <v>17</v>
      </c>
      <c r="B1870" t="s">
        <v>611</v>
      </c>
      <c r="C1870" t="s">
        <v>612</v>
      </c>
      <c r="D1870" t="s">
        <v>2334</v>
      </c>
      <c r="E1870" s="2">
        <v>513.30999999999995</v>
      </c>
      <c r="F1870" s="3">
        <f t="shared" si="133"/>
        <v>45525</v>
      </c>
      <c r="G1870" s="3">
        <f t="shared" si="133"/>
        <v>45525</v>
      </c>
      <c r="H1870">
        <v>1118256067</v>
      </c>
      <c r="I1870" t="s">
        <v>20</v>
      </c>
      <c r="K1870" t="s">
        <v>21</v>
      </c>
      <c r="L1870" t="s">
        <v>22</v>
      </c>
      <c r="M1870" t="s">
        <v>23</v>
      </c>
      <c r="N1870" t="s">
        <v>23</v>
      </c>
      <c r="O1870" t="s">
        <v>24</v>
      </c>
      <c r="P1870" s="8" t="s">
        <v>2335</v>
      </c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</row>
    <row r="1871" spans="1:51" x14ac:dyDescent="0.2">
      <c r="A1871" s="6" t="s">
        <v>17</v>
      </c>
      <c r="B1871" t="s">
        <v>44</v>
      </c>
      <c r="C1871" t="s">
        <v>45</v>
      </c>
      <c r="D1871" t="s">
        <v>2336</v>
      </c>
      <c r="E1871" s="2">
        <v>106.8</v>
      </c>
      <c r="F1871" s="3">
        <f t="shared" si="133"/>
        <v>45525</v>
      </c>
      <c r="G1871" s="3">
        <f t="shared" si="133"/>
        <v>45525</v>
      </c>
      <c r="H1871">
        <v>1118256068</v>
      </c>
      <c r="I1871" t="s">
        <v>20</v>
      </c>
      <c r="K1871" t="s">
        <v>21</v>
      </c>
      <c r="L1871" t="s">
        <v>22</v>
      </c>
      <c r="M1871" t="s">
        <v>23</v>
      </c>
      <c r="N1871" t="s">
        <v>23</v>
      </c>
      <c r="O1871" t="s">
        <v>24</v>
      </c>
      <c r="P1871" s="8" t="s">
        <v>2337</v>
      </c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</row>
    <row r="1872" spans="1:51" x14ac:dyDescent="0.2">
      <c r="A1872" s="6" t="s">
        <v>17</v>
      </c>
      <c r="B1872" t="s">
        <v>179</v>
      </c>
      <c r="C1872" t="s">
        <v>180</v>
      </c>
      <c r="D1872" t="s">
        <v>2338</v>
      </c>
      <c r="E1872" s="2">
        <v>1053.0899999999999</v>
      </c>
      <c r="F1872" s="3">
        <f t="shared" si="133"/>
        <v>45525</v>
      </c>
      <c r="G1872" s="3">
        <f t="shared" si="133"/>
        <v>45525</v>
      </c>
      <c r="H1872">
        <v>1118256069</v>
      </c>
      <c r="I1872" t="s">
        <v>20</v>
      </c>
      <c r="K1872" t="s">
        <v>21</v>
      </c>
      <c r="L1872" t="s">
        <v>22</v>
      </c>
      <c r="M1872" t="s">
        <v>23</v>
      </c>
      <c r="N1872" t="s">
        <v>23</v>
      </c>
      <c r="O1872" t="s">
        <v>24</v>
      </c>
      <c r="P1872" s="8" t="s">
        <v>2339</v>
      </c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</row>
    <row r="1873" spans="1:51" hidden="1" x14ac:dyDescent="0.2">
      <c r="A1873" s="6"/>
      <c r="E1873" s="2"/>
      <c r="F1873" s="3"/>
      <c r="G1873" s="3"/>
      <c r="P1873" s="8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</row>
    <row r="1874" spans="1:51" x14ac:dyDescent="0.2">
      <c r="A1874" s="6" t="s">
        <v>17</v>
      </c>
      <c r="B1874" t="s">
        <v>110</v>
      </c>
      <c r="C1874" t="s">
        <v>111</v>
      </c>
      <c r="D1874" t="s">
        <v>2340</v>
      </c>
      <c r="E1874" s="2">
        <v>795.24</v>
      </c>
      <c r="F1874" s="3">
        <f t="shared" si="133"/>
        <v>45525</v>
      </c>
      <c r="G1874" s="3">
        <f t="shared" si="133"/>
        <v>45525</v>
      </c>
      <c r="H1874">
        <v>1118256071</v>
      </c>
      <c r="I1874" t="s">
        <v>20</v>
      </c>
      <c r="K1874" t="s">
        <v>21</v>
      </c>
      <c r="L1874" t="s">
        <v>22</v>
      </c>
      <c r="M1874" t="s">
        <v>23</v>
      </c>
      <c r="N1874" t="s">
        <v>23</v>
      </c>
      <c r="O1874" t="s">
        <v>24</v>
      </c>
      <c r="P1874" s="8" t="s">
        <v>2341</v>
      </c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</row>
    <row r="1875" spans="1:51" x14ac:dyDescent="0.2">
      <c r="A1875" s="6" t="s">
        <v>17</v>
      </c>
      <c r="B1875" t="s">
        <v>100</v>
      </c>
      <c r="C1875" t="s">
        <v>101</v>
      </c>
      <c r="D1875" t="s">
        <v>1658</v>
      </c>
      <c r="E1875" s="2">
        <v>46.85</v>
      </c>
      <c r="F1875" s="3">
        <f>DATE(2024,8,20)</f>
        <v>45524</v>
      </c>
      <c r="G1875" s="3">
        <f>DATE(2024,8,20)</f>
        <v>45524</v>
      </c>
      <c r="H1875">
        <v>1118256072</v>
      </c>
      <c r="I1875" t="s">
        <v>51</v>
      </c>
      <c r="K1875" t="s">
        <v>21</v>
      </c>
      <c r="L1875" t="s">
        <v>22</v>
      </c>
      <c r="M1875" t="s">
        <v>23</v>
      </c>
      <c r="N1875" t="s">
        <v>23</v>
      </c>
      <c r="O1875" t="s">
        <v>24</v>
      </c>
      <c r="P1875" s="8" t="s">
        <v>2342</v>
      </c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</row>
    <row r="1876" spans="1:51" x14ac:dyDescent="0.2">
      <c r="A1876" s="6" t="s">
        <v>17</v>
      </c>
      <c r="B1876" t="s">
        <v>110</v>
      </c>
      <c r="C1876" t="s">
        <v>111</v>
      </c>
      <c r="D1876" t="s">
        <v>2343</v>
      </c>
      <c r="E1876" s="2">
        <v>0.4</v>
      </c>
      <c r="F1876" s="3">
        <f t="shared" ref="F1876:G1883" si="134">DATE(2024,8,22)</f>
        <v>45526</v>
      </c>
      <c r="G1876" s="3">
        <f t="shared" si="134"/>
        <v>45526</v>
      </c>
      <c r="H1876">
        <v>1121780992</v>
      </c>
      <c r="I1876" t="s">
        <v>73</v>
      </c>
      <c r="K1876" t="s">
        <v>21</v>
      </c>
      <c r="L1876" t="s">
        <v>22</v>
      </c>
      <c r="M1876" t="s">
        <v>23</v>
      </c>
      <c r="N1876" t="s">
        <v>23</v>
      </c>
      <c r="O1876" t="s">
        <v>24</v>
      </c>
      <c r="P1876" s="8" t="s">
        <v>2344</v>
      </c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</row>
    <row r="1877" spans="1:51" hidden="1" x14ac:dyDescent="0.2">
      <c r="A1877" s="6"/>
      <c r="E1877" s="2"/>
      <c r="F1877" s="3"/>
      <c r="G1877" s="3"/>
      <c r="P1877" s="8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</row>
    <row r="1878" spans="1:51" x14ac:dyDescent="0.2">
      <c r="A1878" s="6" t="s">
        <v>17</v>
      </c>
      <c r="B1878" t="s">
        <v>57</v>
      </c>
      <c r="C1878" t="s">
        <v>58</v>
      </c>
      <c r="D1878" t="s">
        <v>2345</v>
      </c>
      <c r="E1878" s="2">
        <v>96</v>
      </c>
      <c r="F1878" s="3">
        <f t="shared" si="134"/>
        <v>45526</v>
      </c>
      <c r="G1878" s="3">
        <f t="shared" si="134"/>
        <v>45526</v>
      </c>
      <c r="H1878">
        <v>1122111230</v>
      </c>
      <c r="I1878" t="s">
        <v>20</v>
      </c>
      <c r="K1878" t="s">
        <v>21</v>
      </c>
      <c r="L1878" t="s">
        <v>22</v>
      </c>
      <c r="M1878" t="s">
        <v>23</v>
      </c>
      <c r="N1878" t="s">
        <v>23</v>
      </c>
      <c r="O1878" t="s">
        <v>24</v>
      </c>
      <c r="P1878" s="8" t="s">
        <v>2346</v>
      </c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</row>
    <row r="1879" spans="1:51" hidden="1" x14ac:dyDescent="0.2">
      <c r="A1879" s="6"/>
      <c r="E1879" s="2"/>
      <c r="F1879" s="3"/>
      <c r="G1879" s="3"/>
      <c r="P1879" s="8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</row>
    <row r="1880" spans="1:51" x14ac:dyDescent="0.2">
      <c r="A1880" s="6" t="s">
        <v>17</v>
      </c>
      <c r="B1880" t="s">
        <v>57</v>
      </c>
      <c r="C1880" t="s">
        <v>58</v>
      </c>
      <c r="D1880" t="s">
        <v>2347</v>
      </c>
      <c r="E1880" s="2">
        <v>80.400000000000006</v>
      </c>
      <c r="F1880" s="3">
        <f t="shared" si="134"/>
        <v>45526</v>
      </c>
      <c r="G1880" s="3">
        <f t="shared" si="134"/>
        <v>45526</v>
      </c>
      <c r="H1880">
        <v>1122111232</v>
      </c>
      <c r="I1880" t="s">
        <v>20</v>
      </c>
      <c r="K1880" t="s">
        <v>21</v>
      </c>
      <c r="L1880" t="s">
        <v>22</v>
      </c>
      <c r="M1880" t="s">
        <v>23</v>
      </c>
      <c r="N1880" t="s">
        <v>23</v>
      </c>
      <c r="O1880" t="s">
        <v>24</v>
      </c>
      <c r="P1880" s="8" t="s">
        <v>2348</v>
      </c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</row>
    <row r="1881" spans="1:51" hidden="1" x14ac:dyDescent="0.2">
      <c r="A1881" s="6"/>
      <c r="E1881" s="2"/>
      <c r="F1881" s="3"/>
      <c r="G1881" s="3"/>
      <c r="P1881" s="8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</row>
    <row r="1882" spans="1:51" x14ac:dyDescent="0.2">
      <c r="A1882" s="6" t="s">
        <v>17</v>
      </c>
      <c r="B1882" t="s">
        <v>57</v>
      </c>
      <c r="C1882" t="s">
        <v>58</v>
      </c>
      <c r="D1882" t="s">
        <v>2349</v>
      </c>
      <c r="E1882" s="2">
        <v>51.99</v>
      </c>
      <c r="F1882" s="3">
        <f t="shared" si="134"/>
        <v>45526</v>
      </c>
      <c r="G1882" s="3">
        <f t="shared" si="134"/>
        <v>45526</v>
      </c>
      <c r="H1882">
        <v>1122111234</v>
      </c>
      <c r="I1882" t="s">
        <v>20</v>
      </c>
      <c r="K1882" t="s">
        <v>21</v>
      </c>
      <c r="L1882" t="s">
        <v>22</v>
      </c>
      <c r="M1882" t="s">
        <v>23</v>
      </c>
      <c r="N1882" t="s">
        <v>23</v>
      </c>
      <c r="O1882" t="s">
        <v>24</v>
      </c>
      <c r="P1882" s="8" t="s">
        <v>2350</v>
      </c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</row>
    <row r="1883" spans="1:51" x14ac:dyDescent="0.2">
      <c r="A1883" s="6" t="s">
        <v>17</v>
      </c>
      <c r="B1883" t="s">
        <v>104</v>
      </c>
      <c r="C1883" t="s">
        <v>105</v>
      </c>
      <c r="D1883" t="s">
        <v>2351</v>
      </c>
      <c r="E1883" s="2">
        <v>431.23</v>
      </c>
      <c r="F1883" s="3">
        <f t="shared" si="134"/>
        <v>45526</v>
      </c>
      <c r="G1883" s="3">
        <f t="shared" si="134"/>
        <v>45526</v>
      </c>
      <c r="H1883">
        <v>1122111235</v>
      </c>
      <c r="I1883" t="s">
        <v>20</v>
      </c>
      <c r="K1883" t="s">
        <v>21</v>
      </c>
      <c r="L1883" t="s">
        <v>22</v>
      </c>
      <c r="M1883" t="s">
        <v>23</v>
      </c>
      <c r="N1883" t="s">
        <v>23</v>
      </c>
      <c r="O1883" t="s">
        <v>24</v>
      </c>
      <c r="P1883" s="8" t="s">
        <v>2352</v>
      </c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</row>
    <row r="1884" spans="1:51" hidden="1" x14ac:dyDescent="0.2">
      <c r="A1884" s="6"/>
      <c r="E1884" s="2"/>
      <c r="F1884" s="3"/>
      <c r="G1884" s="3"/>
      <c r="P1884" s="8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</row>
    <row r="1885" spans="1:51" hidden="1" x14ac:dyDescent="0.2">
      <c r="A1885" s="6"/>
      <c r="E1885" s="2"/>
      <c r="F1885" s="3"/>
      <c r="G1885" s="3"/>
      <c r="P1885" s="8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</row>
    <row r="1886" spans="1:51" x14ac:dyDescent="0.2">
      <c r="A1886" s="6" t="s">
        <v>17</v>
      </c>
      <c r="B1886" t="s">
        <v>232</v>
      </c>
      <c r="C1886" t="s">
        <v>233</v>
      </c>
      <c r="D1886" t="s">
        <v>2353</v>
      </c>
      <c r="E1886" s="2">
        <v>1054</v>
      </c>
      <c r="F1886" s="3">
        <f>DATE(2024,8,22)</f>
        <v>45526</v>
      </c>
      <c r="G1886" s="3">
        <f>DATE(2024,8,22)</f>
        <v>45526</v>
      </c>
      <c r="H1886">
        <v>1122111238</v>
      </c>
      <c r="I1886" t="s">
        <v>20</v>
      </c>
      <c r="K1886" t="s">
        <v>21</v>
      </c>
      <c r="L1886" t="s">
        <v>22</v>
      </c>
      <c r="M1886" t="s">
        <v>23</v>
      </c>
      <c r="N1886" t="s">
        <v>23</v>
      </c>
      <c r="O1886" t="s">
        <v>24</v>
      </c>
      <c r="P1886" s="8" t="s">
        <v>2354</v>
      </c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</row>
    <row r="1887" spans="1:51" x14ac:dyDescent="0.2">
      <c r="A1887" s="6" t="s">
        <v>17</v>
      </c>
      <c r="B1887" t="s">
        <v>26</v>
      </c>
      <c r="C1887" t="s">
        <v>27</v>
      </c>
      <c r="D1887" t="s">
        <v>230</v>
      </c>
      <c r="E1887" s="2">
        <v>5.99</v>
      </c>
      <c r="F1887" s="3">
        <f>DATE(2024,8,20)</f>
        <v>45524</v>
      </c>
      <c r="G1887" s="3">
        <f>DATE(2024,8,20)</f>
        <v>45524</v>
      </c>
      <c r="H1887">
        <v>1122111239</v>
      </c>
      <c r="I1887" t="s">
        <v>51</v>
      </c>
      <c r="K1887" t="s">
        <v>21</v>
      </c>
      <c r="L1887" t="s">
        <v>22</v>
      </c>
      <c r="M1887" t="s">
        <v>23</v>
      </c>
      <c r="N1887" t="s">
        <v>23</v>
      </c>
      <c r="O1887" t="s">
        <v>24</v>
      </c>
      <c r="P1887" s="8" t="s">
        <v>2355</v>
      </c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</row>
    <row r="1888" spans="1:51" x14ac:dyDescent="0.2">
      <c r="A1888" s="6" t="s">
        <v>17</v>
      </c>
      <c r="B1888" t="s">
        <v>104</v>
      </c>
      <c r="C1888" t="s">
        <v>105</v>
      </c>
      <c r="D1888" t="s">
        <v>2356</v>
      </c>
      <c r="E1888" s="2">
        <v>26.27</v>
      </c>
      <c r="F1888" s="3">
        <f>DATE(2024,8,20)</f>
        <v>45524</v>
      </c>
      <c r="G1888" s="3">
        <f>DATE(2024,8,20)</f>
        <v>45524</v>
      </c>
      <c r="H1888">
        <v>1122111240</v>
      </c>
      <c r="I1888" t="s">
        <v>51</v>
      </c>
      <c r="K1888" t="s">
        <v>21</v>
      </c>
      <c r="L1888" t="s">
        <v>22</v>
      </c>
      <c r="M1888" t="s">
        <v>23</v>
      </c>
      <c r="N1888" t="s">
        <v>23</v>
      </c>
      <c r="O1888" t="s">
        <v>24</v>
      </c>
      <c r="P1888" s="8" t="s">
        <v>2357</v>
      </c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</row>
    <row r="1889" spans="1:51" hidden="1" x14ac:dyDescent="0.2">
      <c r="A1889" s="6"/>
      <c r="E1889" s="2"/>
      <c r="F1889" s="3"/>
      <c r="G1889" s="3"/>
      <c r="P1889" s="8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</row>
    <row r="1890" spans="1:51" hidden="1" x14ac:dyDescent="0.2">
      <c r="A1890" s="6"/>
      <c r="E1890" s="2"/>
      <c r="F1890" s="3"/>
      <c r="G1890" s="3"/>
      <c r="P1890" s="8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</row>
    <row r="1891" spans="1:51" hidden="1" x14ac:dyDescent="0.2">
      <c r="A1891" s="6"/>
      <c r="E1891" s="2"/>
      <c r="F1891" s="3"/>
      <c r="G1891" s="3"/>
      <c r="P1891" s="8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</row>
    <row r="1892" spans="1:51" hidden="1" x14ac:dyDescent="0.2">
      <c r="A1892" s="6"/>
      <c r="E1892" s="2"/>
      <c r="F1892" s="3"/>
      <c r="G1892" s="3"/>
      <c r="P1892" s="8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</row>
    <row r="1893" spans="1:51" hidden="1" x14ac:dyDescent="0.2">
      <c r="A1893" s="6"/>
      <c r="E1893" s="2"/>
      <c r="F1893" s="3"/>
      <c r="G1893" s="3"/>
      <c r="P1893" s="8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</row>
    <row r="1894" spans="1:51" x14ac:dyDescent="0.2">
      <c r="A1894" s="6" t="s">
        <v>17</v>
      </c>
      <c r="B1894" t="s">
        <v>104</v>
      </c>
      <c r="C1894" t="s">
        <v>105</v>
      </c>
      <c r="D1894" t="s">
        <v>2358</v>
      </c>
      <c r="E1894" s="2">
        <v>344.46</v>
      </c>
      <c r="F1894" s="3">
        <f t="shared" ref="F1889:G1894" si="135">DATE(2024,8,23)</f>
        <v>45527</v>
      </c>
      <c r="G1894" s="3">
        <f t="shared" si="135"/>
        <v>45527</v>
      </c>
      <c r="H1894">
        <v>1125127948</v>
      </c>
      <c r="I1894" t="s">
        <v>20</v>
      </c>
      <c r="K1894" t="s">
        <v>21</v>
      </c>
      <c r="L1894" t="s">
        <v>22</v>
      </c>
      <c r="M1894" t="s">
        <v>23</v>
      </c>
      <c r="N1894" t="s">
        <v>23</v>
      </c>
      <c r="O1894" t="s">
        <v>24</v>
      </c>
      <c r="P1894" s="8" t="s">
        <v>2359</v>
      </c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</row>
    <row r="1895" spans="1:51" x14ac:dyDescent="0.2">
      <c r="A1895" s="6" t="s">
        <v>17</v>
      </c>
      <c r="B1895" t="s">
        <v>144</v>
      </c>
      <c r="C1895" t="s">
        <v>145</v>
      </c>
      <c r="D1895" t="s">
        <v>2360</v>
      </c>
      <c r="E1895" s="2">
        <v>141</v>
      </c>
      <c r="F1895" s="3">
        <f>DATE(2024,8,22)</f>
        <v>45526</v>
      </c>
      <c r="G1895" s="3">
        <f>DATE(2024,8,22)</f>
        <v>45526</v>
      </c>
      <c r="H1895">
        <v>1125127949</v>
      </c>
      <c r="I1895" t="s">
        <v>51</v>
      </c>
      <c r="K1895" t="s">
        <v>21</v>
      </c>
      <c r="L1895" t="s">
        <v>22</v>
      </c>
      <c r="M1895" t="s">
        <v>23</v>
      </c>
      <c r="N1895" t="s">
        <v>23</v>
      </c>
      <c r="O1895" t="s">
        <v>24</v>
      </c>
      <c r="P1895" s="8" t="s">
        <v>2361</v>
      </c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</row>
    <row r="1896" spans="1:51" x14ac:dyDescent="0.2">
      <c r="A1896" s="6" t="s">
        <v>17</v>
      </c>
      <c r="B1896" t="s">
        <v>179</v>
      </c>
      <c r="C1896" t="s">
        <v>180</v>
      </c>
      <c r="D1896" t="s">
        <v>1940</v>
      </c>
      <c r="E1896" s="2">
        <v>40.9</v>
      </c>
      <c r="F1896" s="3">
        <f>DATE(2024,8,22)</f>
        <v>45526</v>
      </c>
      <c r="G1896" s="3">
        <f>DATE(2024,8,22)</f>
        <v>45526</v>
      </c>
      <c r="H1896">
        <v>1125127950</v>
      </c>
      <c r="I1896" t="s">
        <v>51</v>
      </c>
      <c r="K1896" t="s">
        <v>21</v>
      </c>
      <c r="L1896" t="s">
        <v>22</v>
      </c>
      <c r="M1896" t="s">
        <v>23</v>
      </c>
      <c r="N1896" t="s">
        <v>23</v>
      </c>
      <c r="O1896" t="s">
        <v>24</v>
      </c>
      <c r="P1896" s="8" t="s">
        <v>2362</v>
      </c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</row>
    <row r="1897" spans="1:51" hidden="1" x14ac:dyDescent="0.2">
      <c r="A1897" s="6"/>
      <c r="E1897" s="2"/>
      <c r="F1897" s="3"/>
      <c r="G1897" s="3"/>
      <c r="P1897" s="8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</row>
    <row r="1898" spans="1:51" hidden="1" x14ac:dyDescent="0.2">
      <c r="A1898" s="6"/>
      <c r="E1898" s="2"/>
      <c r="F1898" s="3"/>
      <c r="G1898" s="3"/>
      <c r="P1898" s="8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</row>
    <row r="1899" spans="1:51" hidden="1" x14ac:dyDescent="0.2">
      <c r="A1899" s="6"/>
      <c r="E1899" s="2"/>
      <c r="F1899" s="3"/>
      <c r="G1899" s="3"/>
      <c r="P1899" s="8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</row>
    <row r="1900" spans="1:51" hidden="1" x14ac:dyDescent="0.2">
      <c r="A1900" s="6"/>
      <c r="E1900" s="2"/>
      <c r="F1900" s="3"/>
      <c r="G1900" s="3"/>
      <c r="P1900" s="8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</row>
    <row r="1901" spans="1:51" hidden="1" x14ac:dyDescent="0.2">
      <c r="A1901" s="6"/>
      <c r="E1901" s="2"/>
      <c r="F1901" s="3"/>
      <c r="G1901" s="3"/>
      <c r="P1901" s="8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</row>
    <row r="1902" spans="1:51" hidden="1" x14ac:dyDescent="0.2">
      <c r="A1902" s="6"/>
      <c r="E1902" s="2"/>
      <c r="F1902" s="3"/>
      <c r="G1902" s="3"/>
      <c r="P1902" s="8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</row>
    <row r="1903" spans="1:51" x14ac:dyDescent="0.2">
      <c r="A1903" s="6" t="s">
        <v>17</v>
      </c>
      <c r="B1903" t="s">
        <v>110</v>
      </c>
      <c r="C1903" t="s">
        <v>111</v>
      </c>
      <c r="D1903" t="s">
        <v>2363</v>
      </c>
      <c r="E1903" s="2">
        <v>4.5999999999999996</v>
      </c>
      <c r="F1903" s="3">
        <f t="shared" ref="F1899:G1915" si="136">DATE(2024,8,26)</f>
        <v>45530</v>
      </c>
      <c r="G1903" s="3">
        <f t="shared" si="136"/>
        <v>45530</v>
      </c>
      <c r="H1903">
        <v>1131205714</v>
      </c>
      <c r="I1903" t="s">
        <v>73</v>
      </c>
      <c r="K1903" t="s">
        <v>21</v>
      </c>
      <c r="L1903" t="s">
        <v>22</v>
      </c>
      <c r="M1903" t="s">
        <v>23</v>
      </c>
      <c r="N1903" t="s">
        <v>23</v>
      </c>
      <c r="O1903" t="s">
        <v>24</v>
      </c>
      <c r="P1903" s="8" t="s">
        <v>2364</v>
      </c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</row>
    <row r="1904" spans="1:51" hidden="1" x14ac:dyDescent="0.2">
      <c r="A1904" s="6"/>
      <c r="E1904" s="2"/>
      <c r="F1904" s="3"/>
      <c r="G1904" s="3"/>
      <c r="P1904" s="8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</row>
    <row r="1905" spans="1:51" hidden="1" x14ac:dyDescent="0.2">
      <c r="A1905" s="6"/>
      <c r="E1905" s="2"/>
      <c r="F1905" s="3"/>
      <c r="G1905" s="3"/>
      <c r="P1905" s="8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</row>
    <row r="1906" spans="1:51" hidden="1" x14ac:dyDescent="0.2">
      <c r="A1906" s="6"/>
      <c r="E1906" s="2"/>
      <c r="F1906" s="3"/>
      <c r="G1906" s="3"/>
      <c r="P1906" s="8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</row>
    <row r="1907" spans="1:51" x14ac:dyDescent="0.2">
      <c r="A1907" s="6" t="s">
        <v>17</v>
      </c>
      <c r="B1907" t="s">
        <v>674</v>
      </c>
      <c r="C1907" t="s">
        <v>675</v>
      </c>
      <c r="D1907" t="s">
        <v>2365</v>
      </c>
      <c r="E1907" s="2">
        <v>1582.89</v>
      </c>
      <c r="F1907" s="3">
        <f t="shared" si="136"/>
        <v>45530</v>
      </c>
      <c r="G1907" s="3">
        <f t="shared" si="136"/>
        <v>45530</v>
      </c>
      <c r="H1907">
        <v>1133005329</v>
      </c>
      <c r="I1907" t="s">
        <v>20</v>
      </c>
      <c r="K1907" t="s">
        <v>21</v>
      </c>
      <c r="L1907" t="s">
        <v>22</v>
      </c>
      <c r="M1907" t="s">
        <v>23</v>
      </c>
      <c r="N1907" t="s">
        <v>23</v>
      </c>
      <c r="O1907" t="s">
        <v>24</v>
      </c>
      <c r="P1907" s="8" t="s">
        <v>2366</v>
      </c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</row>
    <row r="1908" spans="1:51" hidden="1" x14ac:dyDescent="0.2">
      <c r="A1908" s="6"/>
      <c r="E1908" s="2"/>
      <c r="F1908" s="3"/>
      <c r="G1908" s="3"/>
      <c r="P1908" s="8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</row>
    <row r="1909" spans="1:51" x14ac:dyDescent="0.2">
      <c r="A1909" s="6" t="s">
        <v>17</v>
      </c>
      <c r="B1909" t="s">
        <v>223</v>
      </c>
      <c r="C1909" t="s">
        <v>223</v>
      </c>
      <c r="D1909" t="s">
        <v>2367</v>
      </c>
      <c r="E1909" s="2">
        <v>6116.69</v>
      </c>
      <c r="F1909" s="3">
        <f t="shared" si="136"/>
        <v>45530</v>
      </c>
      <c r="G1909" s="3">
        <f t="shared" si="136"/>
        <v>45530</v>
      </c>
      <c r="H1909">
        <v>1133005331</v>
      </c>
      <c r="I1909" t="s">
        <v>20</v>
      </c>
      <c r="K1909" t="s">
        <v>21</v>
      </c>
      <c r="L1909" t="s">
        <v>22</v>
      </c>
      <c r="M1909" t="s">
        <v>23</v>
      </c>
      <c r="N1909" t="s">
        <v>23</v>
      </c>
      <c r="O1909" t="s">
        <v>24</v>
      </c>
      <c r="P1909" s="8" t="s">
        <v>2368</v>
      </c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</row>
    <row r="1910" spans="1:51" x14ac:dyDescent="0.2">
      <c r="A1910" s="6" t="s">
        <v>17</v>
      </c>
      <c r="B1910" t="s">
        <v>261</v>
      </c>
      <c r="C1910" t="s">
        <v>262</v>
      </c>
      <c r="D1910" t="s">
        <v>2369</v>
      </c>
      <c r="E1910" s="2">
        <v>2619.56</v>
      </c>
      <c r="F1910" s="3">
        <f t="shared" si="136"/>
        <v>45530</v>
      </c>
      <c r="G1910" s="3">
        <f t="shared" si="136"/>
        <v>45530</v>
      </c>
      <c r="H1910">
        <v>1133005332</v>
      </c>
      <c r="I1910" t="s">
        <v>20</v>
      </c>
      <c r="K1910" t="s">
        <v>21</v>
      </c>
      <c r="L1910" t="s">
        <v>22</v>
      </c>
      <c r="M1910" t="s">
        <v>23</v>
      </c>
      <c r="N1910" t="s">
        <v>23</v>
      </c>
      <c r="O1910" t="s">
        <v>24</v>
      </c>
      <c r="P1910" s="8" t="s">
        <v>2370</v>
      </c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</row>
    <row r="1911" spans="1:51" hidden="1" x14ac:dyDescent="0.2">
      <c r="A1911" s="6"/>
      <c r="E1911" s="2"/>
      <c r="F1911" s="3"/>
      <c r="G1911" s="3"/>
      <c r="P1911" s="8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</row>
    <row r="1912" spans="1:51" x14ac:dyDescent="0.2">
      <c r="A1912" s="6" t="s">
        <v>17</v>
      </c>
      <c r="B1912" t="s">
        <v>57</v>
      </c>
      <c r="C1912" t="s">
        <v>58</v>
      </c>
      <c r="D1912" t="s">
        <v>2371</v>
      </c>
      <c r="E1912" s="2">
        <v>65.05</v>
      </c>
      <c r="F1912" s="3">
        <f t="shared" si="136"/>
        <v>45530</v>
      </c>
      <c r="G1912" s="3">
        <f t="shared" si="136"/>
        <v>45530</v>
      </c>
      <c r="H1912">
        <v>1133005334</v>
      </c>
      <c r="I1912" t="s">
        <v>20</v>
      </c>
      <c r="K1912" t="s">
        <v>21</v>
      </c>
      <c r="L1912" t="s">
        <v>22</v>
      </c>
      <c r="M1912" t="s">
        <v>23</v>
      </c>
      <c r="N1912" t="s">
        <v>23</v>
      </c>
      <c r="O1912" t="s">
        <v>24</v>
      </c>
      <c r="P1912" s="8" t="s">
        <v>2372</v>
      </c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</row>
    <row r="1913" spans="1:51" hidden="1" x14ac:dyDescent="0.2">
      <c r="A1913" s="6"/>
      <c r="E1913" s="2"/>
      <c r="F1913" s="3"/>
      <c r="G1913" s="3"/>
      <c r="P1913" s="8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</row>
    <row r="1914" spans="1:51" hidden="1" x14ac:dyDescent="0.2">
      <c r="A1914" s="6"/>
      <c r="E1914" s="2"/>
      <c r="F1914" s="3"/>
      <c r="G1914" s="3"/>
      <c r="P1914" s="8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</row>
    <row r="1915" spans="1:51" hidden="1" x14ac:dyDescent="0.2">
      <c r="A1915" s="6"/>
      <c r="E1915" s="2"/>
      <c r="F1915" s="3"/>
      <c r="G1915" s="3"/>
      <c r="P1915" s="8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</row>
    <row r="1916" spans="1:51" hidden="1" x14ac:dyDescent="0.2">
      <c r="A1916" s="6"/>
      <c r="E1916" s="2"/>
      <c r="F1916" s="3"/>
      <c r="G1916" s="3"/>
      <c r="P1916" s="8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</row>
    <row r="1917" spans="1:51" hidden="1" x14ac:dyDescent="0.2">
      <c r="A1917" s="6"/>
      <c r="E1917" s="2"/>
      <c r="F1917" s="3"/>
      <c r="G1917" s="3"/>
      <c r="P1917" s="8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</row>
    <row r="1918" spans="1:51" hidden="1" x14ac:dyDescent="0.2">
      <c r="A1918" s="6"/>
      <c r="E1918" s="2"/>
      <c r="F1918" s="3"/>
      <c r="G1918" s="3"/>
      <c r="P1918" s="8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</row>
    <row r="1919" spans="1:51" x14ac:dyDescent="0.2">
      <c r="A1919" s="6" t="s">
        <v>17</v>
      </c>
      <c r="B1919" t="s">
        <v>1060</v>
      </c>
      <c r="C1919" t="s">
        <v>1061</v>
      </c>
      <c r="D1919" t="s">
        <v>2373</v>
      </c>
      <c r="E1919" s="2">
        <v>222.33</v>
      </c>
      <c r="F1919" s="3">
        <f t="shared" ref="F1919:G1924" si="137">DATE(2024,8,28)</f>
        <v>45532</v>
      </c>
      <c r="G1919" s="3">
        <f t="shared" si="137"/>
        <v>45532</v>
      </c>
      <c r="H1919">
        <v>1137427674</v>
      </c>
      <c r="I1919" t="s">
        <v>20</v>
      </c>
      <c r="K1919" t="s">
        <v>21</v>
      </c>
      <c r="L1919" t="s">
        <v>22</v>
      </c>
      <c r="M1919" t="s">
        <v>23</v>
      </c>
      <c r="N1919" t="s">
        <v>23</v>
      </c>
      <c r="O1919" t="s">
        <v>24</v>
      </c>
      <c r="P1919" s="8" t="s">
        <v>2374</v>
      </c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</row>
    <row r="1920" spans="1:51" hidden="1" x14ac:dyDescent="0.2">
      <c r="A1920" s="6"/>
      <c r="E1920" s="2"/>
      <c r="F1920" s="3"/>
      <c r="G1920" s="3"/>
      <c r="P1920" s="8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</row>
    <row r="1921" spans="1:51" x14ac:dyDescent="0.2">
      <c r="A1921" s="6" t="s">
        <v>17</v>
      </c>
      <c r="B1921" t="s">
        <v>110</v>
      </c>
      <c r="C1921" t="s">
        <v>111</v>
      </c>
      <c r="D1921" t="s">
        <v>2375</v>
      </c>
      <c r="E1921" s="2">
        <v>1.37</v>
      </c>
      <c r="F1921" s="3">
        <f t="shared" si="137"/>
        <v>45532</v>
      </c>
      <c r="G1921" s="3">
        <f t="shared" si="137"/>
        <v>45532</v>
      </c>
      <c r="H1921">
        <v>1140988541</v>
      </c>
      <c r="I1921" t="s">
        <v>73</v>
      </c>
      <c r="K1921" t="s">
        <v>21</v>
      </c>
      <c r="L1921" t="s">
        <v>22</v>
      </c>
      <c r="M1921" t="s">
        <v>23</v>
      </c>
      <c r="N1921" t="s">
        <v>23</v>
      </c>
      <c r="O1921" t="s">
        <v>24</v>
      </c>
      <c r="P1921" s="8" t="s">
        <v>2376</v>
      </c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</row>
    <row r="1922" spans="1:51" hidden="1" x14ac:dyDescent="0.2">
      <c r="A1922" s="6"/>
      <c r="E1922" s="2"/>
      <c r="F1922" s="3"/>
      <c r="G1922" s="3"/>
      <c r="P1922" s="8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</row>
    <row r="1923" spans="1:51" hidden="1" x14ac:dyDescent="0.2">
      <c r="A1923" s="6"/>
      <c r="E1923" s="2"/>
      <c r="F1923" s="3"/>
      <c r="G1923" s="3"/>
      <c r="P1923" s="8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</row>
    <row r="1924" spans="1:51" hidden="1" x14ac:dyDescent="0.2">
      <c r="A1924" s="6"/>
      <c r="E1924" s="2"/>
      <c r="F1924" s="3"/>
      <c r="G1924" s="3"/>
      <c r="P1924" s="8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</row>
    <row r="1925" spans="1:51" x14ac:dyDescent="0.2">
      <c r="A1925" s="6" t="s">
        <v>17</v>
      </c>
      <c r="B1925" t="s">
        <v>104</v>
      </c>
      <c r="C1925" t="s">
        <v>105</v>
      </c>
      <c r="D1925" t="s">
        <v>2377</v>
      </c>
      <c r="E1925" s="2">
        <v>542.95000000000005</v>
      </c>
      <c r="F1925" s="3">
        <f t="shared" ref="F1925:G1927" si="138">DATE(2024,8,29)</f>
        <v>45533</v>
      </c>
      <c r="G1925" s="3">
        <f t="shared" si="138"/>
        <v>45533</v>
      </c>
      <c r="H1925">
        <v>1141291896</v>
      </c>
      <c r="I1925" t="s">
        <v>20</v>
      </c>
      <c r="K1925" t="s">
        <v>21</v>
      </c>
      <c r="L1925" t="s">
        <v>22</v>
      </c>
      <c r="M1925" t="s">
        <v>23</v>
      </c>
      <c r="N1925" t="s">
        <v>23</v>
      </c>
      <c r="O1925" t="s">
        <v>24</v>
      </c>
      <c r="P1925" s="8" t="s">
        <v>2378</v>
      </c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</row>
    <row r="1926" spans="1:51" hidden="1" x14ac:dyDescent="0.2">
      <c r="A1926" s="6"/>
      <c r="E1926" s="2"/>
      <c r="F1926" s="3"/>
      <c r="G1926" s="3"/>
      <c r="P1926" s="8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</row>
    <row r="1927" spans="1:51" x14ac:dyDescent="0.2">
      <c r="A1927" s="6" t="s">
        <v>17</v>
      </c>
      <c r="B1927" t="s">
        <v>137</v>
      </c>
      <c r="C1927" t="s">
        <v>138</v>
      </c>
      <c r="D1927" t="s">
        <v>2379</v>
      </c>
      <c r="E1927" s="2">
        <v>392.75</v>
      </c>
      <c r="F1927" s="3">
        <f t="shared" si="138"/>
        <v>45533</v>
      </c>
      <c r="G1927" s="3">
        <f t="shared" si="138"/>
        <v>45533</v>
      </c>
      <c r="H1927">
        <v>1141291898</v>
      </c>
      <c r="I1927" t="s">
        <v>20</v>
      </c>
      <c r="K1927" t="s">
        <v>21</v>
      </c>
      <c r="L1927" t="s">
        <v>22</v>
      </c>
      <c r="M1927" t="s">
        <v>23</v>
      </c>
      <c r="N1927" t="s">
        <v>23</v>
      </c>
      <c r="O1927" t="s">
        <v>24</v>
      </c>
      <c r="P1927" s="8" t="s">
        <v>2380</v>
      </c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</row>
    <row r="1928" spans="1:51" hidden="1" x14ac:dyDescent="0.2">
      <c r="A1928" s="6"/>
      <c r="E1928" s="2"/>
      <c r="F1928" s="3"/>
      <c r="G1928" s="3"/>
      <c r="P1928" s="8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</row>
    <row r="1929" spans="1:51" hidden="1" x14ac:dyDescent="0.2">
      <c r="A1929" s="6"/>
      <c r="E1929" s="2"/>
      <c r="F1929" s="3"/>
      <c r="G1929" s="3"/>
      <c r="P1929" s="8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</row>
    <row r="1930" spans="1:51" x14ac:dyDescent="0.2">
      <c r="A1930" s="6" t="s">
        <v>17</v>
      </c>
      <c r="B1930" t="s">
        <v>674</v>
      </c>
      <c r="C1930" t="s">
        <v>675</v>
      </c>
      <c r="D1930" t="s">
        <v>2381</v>
      </c>
      <c r="E1930" s="2">
        <v>3301.55</v>
      </c>
      <c r="F1930" s="3">
        <f>DATE(2024,8,30)</f>
        <v>45534</v>
      </c>
      <c r="G1930" s="3">
        <f>DATE(2024,8,30)</f>
        <v>45534</v>
      </c>
      <c r="H1930">
        <v>1145366751</v>
      </c>
      <c r="I1930" t="s">
        <v>20</v>
      </c>
      <c r="K1930" t="s">
        <v>21</v>
      </c>
      <c r="L1930" t="s">
        <v>22</v>
      </c>
      <c r="M1930" t="s">
        <v>23</v>
      </c>
      <c r="N1930" t="s">
        <v>23</v>
      </c>
      <c r="O1930" t="s">
        <v>24</v>
      </c>
      <c r="P1930" s="8" t="s">
        <v>2382</v>
      </c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</row>
    <row r="1931" spans="1:51" hidden="1" x14ac:dyDescent="0.2">
      <c r="A1931" s="6"/>
      <c r="E1931" s="2"/>
      <c r="F1931" s="3"/>
      <c r="G1931" s="3"/>
      <c r="P1931" s="8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</row>
    <row r="1932" spans="1:51" x14ac:dyDescent="0.2">
      <c r="A1932" s="6" t="s">
        <v>17</v>
      </c>
      <c r="B1932" t="s">
        <v>655</v>
      </c>
      <c r="C1932" t="s">
        <v>656</v>
      </c>
      <c r="D1932" t="s">
        <v>2383</v>
      </c>
      <c r="E1932" s="2">
        <v>3168.55</v>
      </c>
      <c r="F1932" s="3">
        <f t="shared" ref="F1932:G1934" si="139">DATE(2024,8,30)</f>
        <v>45534</v>
      </c>
      <c r="G1932" s="3">
        <f t="shared" si="139"/>
        <v>45534</v>
      </c>
      <c r="H1932">
        <v>1145366753</v>
      </c>
      <c r="I1932" t="s">
        <v>20</v>
      </c>
      <c r="K1932" t="s">
        <v>21</v>
      </c>
      <c r="L1932" t="s">
        <v>22</v>
      </c>
      <c r="M1932" t="s">
        <v>23</v>
      </c>
      <c r="N1932" t="s">
        <v>23</v>
      </c>
      <c r="O1932" t="s">
        <v>24</v>
      </c>
      <c r="P1932" s="8" t="s">
        <v>2384</v>
      </c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</row>
    <row r="1933" spans="1:51" x14ac:dyDescent="0.2">
      <c r="A1933" s="6" t="s">
        <v>17</v>
      </c>
      <c r="B1933" t="s">
        <v>61</v>
      </c>
      <c r="C1933" t="s">
        <v>62</v>
      </c>
      <c r="D1933" t="s">
        <v>2385</v>
      </c>
      <c r="E1933" s="2">
        <v>778.5</v>
      </c>
      <c r="F1933" s="3">
        <f t="shared" si="139"/>
        <v>45534</v>
      </c>
      <c r="G1933" s="3">
        <f t="shared" si="139"/>
        <v>45534</v>
      </c>
      <c r="H1933">
        <v>1145366754</v>
      </c>
      <c r="I1933" t="s">
        <v>20</v>
      </c>
      <c r="K1933" t="s">
        <v>21</v>
      </c>
      <c r="L1933" t="s">
        <v>22</v>
      </c>
      <c r="M1933" t="s">
        <v>23</v>
      </c>
      <c r="N1933" t="s">
        <v>23</v>
      </c>
      <c r="O1933" t="s">
        <v>24</v>
      </c>
      <c r="P1933" s="8" t="s">
        <v>2386</v>
      </c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</row>
    <row r="1934" spans="1:51" x14ac:dyDescent="0.2">
      <c r="A1934" s="6" t="s">
        <v>17</v>
      </c>
      <c r="B1934" t="s">
        <v>363</v>
      </c>
      <c r="C1934" t="s">
        <v>364</v>
      </c>
      <c r="D1934" t="s">
        <v>2387</v>
      </c>
      <c r="E1934" s="2">
        <v>413.2</v>
      </c>
      <c r="F1934" s="3">
        <f t="shared" si="139"/>
        <v>45534</v>
      </c>
      <c r="G1934" s="3">
        <f t="shared" si="139"/>
        <v>45534</v>
      </c>
      <c r="H1934">
        <v>1145366755</v>
      </c>
      <c r="I1934" t="s">
        <v>20</v>
      </c>
      <c r="K1934" t="s">
        <v>21</v>
      </c>
      <c r="L1934" t="s">
        <v>22</v>
      </c>
      <c r="M1934" t="s">
        <v>23</v>
      </c>
      <c r="N1934" t="s">
        <v>23</v>
      </c>
      <c r="O1934" t="s">
        <v>24</v>
      </c>
      <c r="P1934" s="8" t="s">
        <v>2388</v>
      </c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</row>
    <row r="1935" spans="1:51" hidden="1" x14ac:dyDescent="0.2">
      <c r="A1935" s="6"/>
      <c r="E1935" s="2"/>
      <c r="F1935" s="3"/>
      <c r="G1935" s="3"/>
      <c r="P1935" s="8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</row>
    <row r="1936" spans="1:51" x14ac:dyDescent="0.2">
      <c r="A1936" s="6" t="s">
        <v>17</v>
      </c>
      <c r="B1936" t="s">
        <v>144</v>
      </c>
      <c r="C1936" t="s">
        <v>145</v>
      </c>
      <c r="D1936" t="s">
        <v>2389</v>
      </c>
      <c r="E1936" s="2">
        <v>214</v>
      </c>
      <c r="F1936" s="3">
        <f>DATE(2024,8,27)</f>
        <v>45531</v>
      </c>
      <c r="G1936" s="3">
        <f>DATE(2024,8,27)</f>
        <v>45531</v>
      </c>
      <c r="H1936">
        <v>1145366764</v>
      </c>
      <c r="I1936" t="s">
        <v>51</v>
      </c>
      <c r="K1936" t="s">
        <v>21</v>
      </c>
      <c r="L1936" t="s">
        <v>22</v>
      </c>
      <c r="M1936" t="s">
        <v>23</v>
      </c>
      <c r="N1936" t="s">
        <v>23</v>
      </c>
      <c r="O1936" t="s">
        <v>24</v>
      </c>
      <c r="P1936" s="8" t="s">
        <v>2390</v>
      </c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</row>
    <row r="1937" spans="1:51" x14ac:dyDescent="0.2">
      <c r="A1937" s="6" t="s">
        <v>17</v>
      </c>
      <c r="B1937" t="s">
        <v>144</v>
      </c>
      <c r="C1937" t="s">
        <v>145</v>
      </c>
      <c r="D1937" t="s">
        <v>2391</v>
      </c>
      <c r="E1937" s="2">
        <v>168.6</v>
      </c>
      <c r="F1937" s="3">
        <f>DATE(2024,8,28)</f>
        <v>45532</v>
      </c>
      <c r="G1937" s="3">
        <f>DATE(2024,8,28)</f>
        <v>45532</v>
      </c>
      <c r="H1937">
        <v>1145366765</v>
      </c>
      <c r="I1937" t="s">
        <v>51</v>
      </c>
      <c r="K1937" t="s">
        <v>21</v>
      </c>
      <c r="L1937" t="s">
        <v>22</v>
      </c>
      <c r="M1937" t="s">
        <v>23</v>
      </c>
      <c r="N1937" t="s">
        <v>23</v>
      </c>
      <c r="O1937" t="s">
        <v>24</v>
      </c>
      <c r="P1937" s="8" t="s">
        <v>2392</v>
      </c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</row>
    <row r="1938" spans="1:51" hidden="1" x14ac:dyDescent="0.2">
      <c r="A1938" s="6"/>
      <c r="E1938" s="2"/>
      <c r="F1938" s="3"/>
      <c r="G1938" s="3"/>
      <c r="P1938" s="8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</row>
    <row r="1939" spans="1:51" hidden="1" x14ac:dyDescent="0.2">
      <c r="A1939" s="6"/>
      <c r="E1939" s="2"/>
      <c r="F1939" s="3"/>
      <c r="G1939" s="3"/>
      <c r="P1939" s="8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</row>
    <row r="1940" spans="1:51" hidden="1" x14ac:dyDescent="0.2">
      <c r="A1940" s="6"/>
      <c r="E1940" s="2"/>
      <c r="F1940" s="3"/>
      <c r="G1940" s="3"/>
      <c r="P1940" s="8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</row>
    <row r="1941" spans="1:51" hidden="1" x14ac:dyDescent="0.2">
      <c r="A1941" s="6"/>
      <c r="E1941" s="2"/>
      <c r="F1941" s="3"/>
      <c r="G1941" s="3"/>
      <c r="P1941" s="8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</row>
    <row r="1942" spans="1:51" x14ac:dyDescent="0.2">
      <c r="A1942" s="6" t="s">
        <v>17</v>
      </c>
      <c r="B1942" t="s">
        <v>110</v>
      </c>
      <c r="C1942" t="s">
        <v>111</v>
      </c>
      <c r="D1942" t="s">
        <v>2393</v>
      </c>
      <c r="E1942" s="2">
        <v>2.4500000000000002</v>
      </c>
      <c r="F1942" s="3">
        <f t="shared" ref="F1938:G1947" si="140">DATE(2024,8,30)</f>
        <v>45534</v>
      </c>
      <c r="G1942" s="3">
        <f t="shared" si="140"/>
        <v>45534</v>
      </c>
      <c r="H1942">
        <v>1148261733</v>
      </c>
      <c r="I1942" t="s">
        <v>73</v>
      </c>
      <c r="K1942" t="s">
        <v>21</v>
      </c>
      <c r="L1942" t="s">
        <v>22</v>
      </c>
      <c r="M1942" t="s">
        <v>23</v>
      </c>
      <c r="N1942" t="s">
        <v>23</v>
      </c>
      <c r="O1942" t="s">
        <v>24</v>
      </c>
      <c r="P1942" s="8" t="s">
        <v>2394</v>
      </c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</row>
    <row r="1943" spans="1:51" x14ac:dyDescent="0.2">
      <c r="A1943" s="6" t="s">
        <v>17</v>
      </c>
      <c r="B1943" t="s">
        <v>110</v>
      </c>
      <c r="C1943" t="s">
        <v>111</v>
      </c>
      <c r="D1943" t="s">
        <v>2395</v>
      </c>
      <c r="E1943" s="2">
        <v>0.79</v>
      </c>
      <c r="F1943" s="3">
        <f t="shared" si="140"/>
        <v>45534</v>
      </c>
      <c r="G1943" s="3">
        <f t="shared" si="140"/>
        <v>45534</v>
      </c>
      <c r="H1943">
        <v>1148261734</v>
      </c>
      <c r="I1943" t="s">
        <v>73</v>
      </c>
      <c r="K1943" t="s">
        <v>21</v>
      </c>
      <c r="L1943" t="s">
        <v>22</v>
      </c>
      <c r="M1943" t="s">
        <v>23</v>
      </c>
      <c r="N1943" t="s">
        <v>23</v>
      </c>
      <c r="O1943" t="s">
        <v>24</v>
      </c>
      <c r="P1943" s="8" t="s">
        <v>2396</v>
      </c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</row>
    <row r="1944" spans="1:51" hidden="1" x14ac:dyDescent="0.2">
      <c r="A1944" s="6"/>
      <c r="E1944" s="2"/>
      <c r="F1944" s="3"/>
      <c r="G1944" s="3"/>
      <c r="P1944" s="8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</row>
    <row r="1945" spans="1:51" hidden="1" x14ac:dyDescent="0.2">
      <c r="A1945" s="6"/>
      <c r="E1945" s="2"/>
      <c r="F1945" s="3"/>
      <c r="G1945" s="3"/>
      <c r="P1945" s="8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</row>
    <row r="1946" spans="1:51" hidden="1" x14ac:dyDescent="0.2">
      <c r="A1946" s="6"/>
      <c r="E1946" s="2"/>
      <c r="F1946" s="3"/>
      <c r="G1946" s="3"/>
      <c r="P1946" s="8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</row>
    <row r="1947" spans="1:51" hidden="1" x14ac:dyDescent="0.2">
      <c r="A1947" s="6"/>
      <c r="E1947" s="2"/>
      <c r="F1947" s="3"/>
      <c r="G1947" s="3"/>
      <c r="P1947" s="8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</row>
    <row r="1948" spans="1:51" x14ac:dyDescent="0.2">
      <c r="A1948" s="6" t="s">
        <v>17</v>
      </c>
      <c r="B1948" t="s">
        <v>30</v>
      </c>
      <c r="C1948" t="s">
        <v>31</v>
      </c>
      <c r="D1948" t="s">
        <v>2397</v>
      </c>
      <c r="E1948" s="2">
        <v>1313.46</v>
      </c>
      <c r="F1948" s="3">
        <f>DATE(2024,8,31)</f>
        <v>45535</v>
      </c>
      <c r="G1948" s="3">
        <f>DATE(2024,8,31)</f>
        <v>45535</v>
      </c>
      <c r="H1948">
        <v>1148496368</v>
      </c>
      <c r="I1948" t="s">
        <v>20</v>
      </c>
      <c r="K1948" t="s">
        <v>21</v>
      </c>
      <c r="L1948" t="s">
        <v>22</v>
      </c>
      <c r="M1948" t="s">
        <v>23</v>
      </c>
      <c r="N1948" t="s">
        <v>23</v>
      </c>
      <c r="O1948" t="s">
        <v>24</v>
      </c>
      <c r="P1948" s="8" t="s">
        <v>2398</v>
      </c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</row>
    <row r="1949" spans="1:51" hidden="1" x14ac:dyDescent="0.2">
      <c r="A1949" s="6"/>
      <c r="E1949" s="2"/>
      <c r="F1949" s="3"/>
      <c r="G1949" s="3"/>
      <c r="P1949" s="8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</row>
    <row r="1950" spans="1:51" x14ac:dyDescent="0.2">
      <c r="A1950" s="6" t="s">
        <v>17</v>
      </c>
      <c r="B1950" t="s">
        <v>110</v>
      </c>
      <c r="C1950" t="s">
        <v>111</v>
      </c>
      <c r="D1950" t="s">
        <v>2399</v>
      </c>
      <c r="E1950" s="2">
        <v>62.2</v>
      </c>
      <c r="F1950" s="3">
        <f>DATE(2024,8,31)</f>
        <v>45535</v>
      </c>
      <c r="G1950" s="3">
        <f>DATE(2024,8,31)</f>
        <v>45535</v>
      </c>
      <c r="H1950">
        <v>1148496370</v>
      </c>
      <c r="I1950" t="s">
        <v>20</v>
      </c>
      <c r="K1950" t="s">
        <v>21</v>
      </c>
      <c r="L1950" t="s">
        <v>22</v>
      </c>
      <c r="M1950" t="s">
        <v>23</v>
      </c>
      <c r="N1950" t="s">
        <v>23</v>
      </c>
      <c r="O1950" t="s">
        <v>24</v>
      </c>
      <c r="P1950" s="8" t="s">
        <v>2400</v>
      </c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</row>
    <row r="1951" spans="1:51" hidden="1" x14ac:dyDescent="0.2">
      <c r="A1951" s="6"/>
      <c r="E1951" s="2"/>
      <c r="F1951" s="3"/>
      <c r="G1951" s="3"/>
      <c r="P1951" s="8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</row>
    <row r="1952" spans="1:51" x14ac:dyDescent="0.2">
      <c r="A1952" s="6" t="s">
        <v>17</v>
      </c>
      <c r="B1952" t="s">
        <v>100</v>
      </c>
      <c r="C1952" t="s">
        <v>101</v>
      </c>
      <c r="D1952" t="s">
        <v>283</v>
      </c>
      <c r="E1952" s="2">
        <v>178.49</v>
      </c>
      <c r="F1952" s="3">
        <f>DATE(2024,8,29)</f>
        <v>45533</v>
      </c>
      <c r="G1952" s="3">
        <f>DATE(2024,8,29)</f>
        <v>45533</v>
      </c>
      <c r="H1952">
        <v>1148496373</v>
      </c>
      <c r="I1952" t="s">
        <v>51</v>
      </c>
      <c r="K1952" t="s">
        <v>21</v>
      </c>
      <c r="L1952" t="s">
        <v>22</v>
      </c>
      <c r="M1952" t="s">
        <v>23</v>
      </c>
      <c r="N1952" t="s">
        <v>23</v>
      </c>
      <c r="O1952" t="s">
        <v>24</v>
      </c>
      <c r="P1952" s="8" t="s">
        <v>2401</v>
      </c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</row>
    <row r="1953" spans="1:51" x14ac:dyDescent="0.2">
      <c r="A1953" s="6" t="s">
        <v>17</v>
      </c>
      <c r="B1953" t="s">
        <v>104</v>
      </c>
      <c r="C1953" t="s">
        <v>105</v>
      </c>
      <c r="D1953" t="s">
        <v>835</v>
      </c>
      <c r="E1953" s="2">
        <v>26.82</v>
      </c>
      <c r="F1953" s="3">
        <f>DATE(2024,8,29)</f>
        <v>45533</v>
      </c>
      <c r="G1953" s="3">
        <f>DATE(2024,8,29)</f>
        <v>45533</v>
      </c>
      <c r="H1953">
        <v>1148496374</v>
      </c>
      <c r="I1953" t="s">
        <v>51</v>
      </c>
      <c r="K1953" t="s">
        <v>21</v>
      </c>
      <c r="L1953" t="s">
        <v>22</v>
      </c>
      <c r="M1953" t="s">
        <v>23</v>
      </c>
      <c r="N1953" t="s">
        <v>23</v>
      </c>
      <c r="O1953" t="s">
        <v>24</v>
      </c>
      <c r="P1953" s="8" t="s">
        <v>2402</v>
      </c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</row>
    <row r="1954" spans="1:51" x14ac:dyDescent="0.2">
      <c r="A1954" s="6" t="s">
        <v>17</v>
      </c>
      <c r="B1954" t="s">
        <v>34</v>
      </c>
      <c r="C1954" t="s">
        <v>35</v>
      </c>
      <c r="D1954" t="s">
        <v>2403</v>
      </c>
      <c r="E1954" s="2">
        <v>102.16</v>
      </c>
      <c r="F1954" s="3">
        <f t="shared" ref="F1954:G1959" si="141">DATE(2024,9,2)</f>
        <v>45537</v>
      </c>
      <c r="G1954" s="3">
        <f t="shared" si="141"/>
        <v>45537</v>
      </c>
      <c r="H1954">
        <v>1151282875</v>
      </c>
      <c r="I1954" t="s">
        <v>20</v>
      </c>
      <c r="K1954" t="s">
        <v>21</v>
      </c>
      <c r="L1954" t="s">
        <v>22</v>
      </c>
      <c r="M1954" t="s">
        <v>23</v>
      </c>
      <c r="N1954" t="s">
        <v>23</v>
      </c>
      <c r="O1954" t="s">
        <v>24</v>
      </c>
      <c r="P1954" s="8" t="s">
        <v>2404</v>
      </c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</row>
    <row r="1955" spans="1:51" x14ac:dyDescent="0.2">
      <c r="A1955" s="6" t="s">
        <v>17</v>
      </c>
      <c r="B1955" t="s">
        <v>611</v>
      </c>
      <c r="C1955" t="s">
        <v>612</v>
      </c>
      <c r="D1955" t="s">
        <v>2405</v>
      </c>
      <c r="E1955" s="2">
        <v>1850.5</v>
      </c>
      <c r="F1955" s="3">
        <f t="shared" si="141"/>
        <v>45537</v>
      </c>
      <c r="G1955" s="3">
        <f t="shared" si="141"/>
        <v>45537</v>
      </c>
      <c r="H1955">
        <v>1151282890</v>
      </c>
      <c r="I1955" t="s">
        <v>20</v>
      </c>
      <c r="K1955" t="s">
        <v>21</v>
      </c>
      <c r="L1955" t="s">
        <v>22</v>
      </c>
      <c r="M1955" t="s">
        <v>23</v>
      </c>
      <c r="N1955" t="s">
        <v>23</v>
      </c>
      <c r="O1955" t="s">
        <v>24</v>
      </c>
      <c r="P1955" s="8" t="s">
        <v>2406</v>
      </c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</row>
    <row r="1956" spans="1:51" hidden="1" x14ac:dyDescent="0.2">
      <c r="A1956" s="6"/>
      <c r="E1956" s="2"/>
      <c r="F1956" s="3"/>
      <c r="G1956" s="3"/>
      <c r="P1956" s="8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</row>
    <row r="1957" spans="1:51" x14ac:dyDescent="0.2">
      <c r="A1957" s="6" t="s">
        <v>17</v>
      </c>
      <c r="B1957" t="s">
        <v>38</v>
      </c>
      <c r="C1957" t="s">
        <v>39</v>
      </c>
      <c r="D1957" t="s">
        <v>2407</v>
      </c>
      <c r="E1957" s="2">
        <v>12207.34</v>
      </c>
      <c r="F1957" s="3">
        <f t="shared" si="141"/>
        <v>45537</v>
      </c>
      <c r="G1957" s="3">
        <f t="shared" si="141"/>
        <v>45537</v>
      </c>
      <c r="H1957">
        <v>1151282892</v>
      </c>
      <c r="I1957" t="s">
        <v>20</v>
      </c>
      <c r="K1957" t="s">
        <v>21</v>
      </c>
      <c r="L1957" t="s">
        <v>22</v>
      </c>
      <c r="M1957" t="s">
        <v>23</v>
      </c>
      <c r="N1957" t="s">
        <v>23</v>
      </c>
      <c r="O1957" t="s">
        <v>24</v>
      </c>
      <c r="P1957" s="8" t="s">
        <v>2408</v>
      </c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</row>
    <row r="1958" spans="1:51" x14ac:dyDescent="0.2">
      <c r="A1958" s="6" t="s">
        <v>17</v>
      </c>
      <c r="B1958" t="s">
        <v>57</v>
      </c>
      <c r="C1958" t="s">
        <v>58</v>
      </c>
      <c r="D1958" t="s">
        <v>2409</v>
      </c>
      <c r="E1958" s="2">
        <v>187.9</v>
      </c>
      <c r="F1958" s="3">
        <f t="shared" si="141"/>
        <v>45537</v>
      </c>
      <c r="G1958" s="3">
        <f t="shared" si="141"/>
        <v>45537</v>
      </c>
      <c r="H1958">
        <v>1151282893</v>
      </c>
      <c r="I1958" t="s">
        <v>20</v>
      </c>
      <c r="K1958" t="s">
        <v>21</v>
      </c>
      <c r="L1958" t="s">
        <v>22</v>
      </c>
      <c r="M1958" t="s">
        <v>23</v>
      </c>
      <c r="N1958" t="s">
        <v>23</v>
      </c>
      <c r="O1958" t="s">
        <v>24</v>
      </c>
      <c r="P1958" s="8" t="s">
        <v>2410</v>
      </c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</row>
    <row r="1959" spans="1:51" x14ac:dyDescent="0.2">
      <c r="A1959" s="6" t="s">
        <v>17</v>
      </c>
      <c r="B1959" t="s">
        <v>18</v>
      </c>
      <c r="C1959" t="s">
        <v>18</v>
      </c>
      <c r="D1959" t="s">
        <v>2411</v>
      </c>
      <c r="E1959" s="2">
        <v>3.86</v>
      </c>
      <c r="F1959" s="3">
        <f t="shared" si="141"/>
        <v>45537</v>
      </c>
      <c r="G1959" s="3">
        <f t="shared" si="141"/>
        <v>45537</v>
      </c>
      <c r="H1959">
        <v>1151282894</v>
      </c>
      <c r="I1959" t="s">
        <v>20</v>
      </c>
      <c r="K1959" t="s">
        <v>21</v>
      </c>
      <c r="L1959" t="s">
        <v>22</v>
      </c>
      <c r="M1959" t="s">
        <v>23</v>
      </c>
      <c r="N1959" t="s">
        <v>23</v>
      </c>
      <c r="O1959" t="s">
        <v>24</v>
      </c>
      <c r="P1959" s="8" t="s">
        <v>2412</v>
      </c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</row>
    <row r="1960" spans="1:51" hidden="1" x14ac:dyDescent="0.2">
      <c r="A1960" s="6"/>
      <c r="E1960" s="2"/>
      <c r="F1960" s="3"/>
      <c r="G1960" s="3"/>
      <c r="P1960" s="8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</row>
    <row r="1961" spans="1:51" hidden="1" x14ac:dyDescent="0.2">
      <c r="A1961" s="6"/>
      <c r="E1961" s="2"/>
      <c r="F1961" s="3"/>
      <c r="G1961" s="3"/>
      <c r="P1961" s="8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</row>
    <row r="1962" spans="1:51" hidden="1" x14ac:dyDescent="0.2">
      <c r="A1962" s="6"/>
      <c r="E1962" s="2"/>
      <c r="F1962" s="3"/>
      <c r="G1962" s="3"/>
      <c r="P1962" s="8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</row>
    <row r="1963" spans="1:51" x14ac:dyDescent="0.2">
      <c r="A1963" s="6" t="s">
        <v>17</v>
      </c>
      <c r="B1963" t="s">
        <v>887</v>
      </c>
      <c r="C1963" t="s">
        <v>888</v>
      </c>
      <c r="D1963" t="s">
        <v>2413</v>
      </c>
      <c r="E1963" s="2">
        <v>1226.04</v>
      </c>
      <c r="F1963" s="3">
        <f t="shared" ref="F1962:G1966" si="142">DATE(2024,9,2)</f>
        <v>45537</v>
      </c>
      <c r="G1963" s="3">
        <f t="shared" si="142"/>
        <v>45537</v>
      </c>
      <c r="H1963">
        <v>1151282898</v>
      </c>
      <c r="I1963" t="s">
        <v>20</v>
      </c>
      <c r="K1963" t="s">
        <v>21</v>
      </c>
      <c r="L1963" t="s">
        <v>22</v>
      </c>
      <c r="M1963" t="s">
        <v>23</v>
      </c>
      <c r="N1963" t="s">
        <v>23</v>
      </c>
      <c r="O1963" t="s">
        <v>24</v>
      </c>
      <c r="P1963" s="8" t="s">
        <v>2414</v>
      </c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</row>
    <row r="1964" spans="1:51" x14ac:dyDescent="0.2">
      <c r="A1964" s="6" t="s">
        <v>17</v>
      </c>
      <c r="B1964" t="s">
        <v>44</v>
      </c>
      <c r="C1964" t="s">
        <v>45</v>
      </c>
      <c r="D1964" t="s">
        <v>2415</v>
      </c>
      <c r="E1964" s="2">
        <v>394.18</v>
      </c>
      <c r="F1964" s="3">
        <f t="shared" si="142"/>
        <v>45537</v>
      </c>
      <c r="G1964" s="3">
        <f t="shared" si="142"/>
        <v>45537</v>
      </c>
      <c r="H1964">
        <v>1151282899</v>
      </c>
      <c r="I1964" t="s">
        <v>20</v>
      </c>
      <c r="K1964" t="s">
        <v>21</v>
      </c>
      <c r="L1964" t="s">
        <v>22</v>
      </c>
      <c r="M1964" t="s">
        <v>23</v>
      </c>
      <c r="N1964" t="s">
        <v>23</v>
      </c>
      <c r="O1964" t="s">
        <v>24</v>
      </c>
      <c r="P1964" s="8" t="s">
        <v>2416</v>
      </c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</row>
    <row r="1965" spans="1:51" x14ac:dyDescent="0.2">
      <c r="A1965" s="6" t="s">
        <v>17</v>
      </c>
      <c r="B1965" t="s">
        <v>44</v>
      </c>
      <c r="C1965" t="s">
        <v>45</v>
      </c>
      <c r="D1965" t="s">
        <v>2417</v>
      </c>
      <c r="E1965" s="2">
        <v>331.12</v>
      </c>
      <c r="F1965" s="3">
        <f t="shared" si="142"/>
        <v>45537</v>
      </c>
      <c r="G1965" s="3">
        <f t="shared" si="142"/>
        <v>45537</v>
      </c>
      <c r="H1965">
        <v>1151282900</v>
      </c>
      <c r="I1965" t="s">
        <v>20</v>
      </c>
      <c r="K1965" t="s">
        <v>21</v>
      </c>
      <c r="L1965" t="s">
        <v>22</v>
      </c>
      <c r="M1965" t="s">
        <v>23</v>
      </c>
      <c r="N1965" t="s">
        <v>23</v>
      </c>
      <c r="O1965" t="s">
        <v>24</v>
      </c>
      <c r="P1965" s="8" t="s">
        <v>2418</v>
      </c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</row>
    <row r="1966" spans="1:51" hidden="1" x14ac:dyDescent="0.2">
      <c r="A1966" s="6"/>
      <c r="E1966" s="2"/>
      <c r="F1966" s="3"/>
      <c r="G1966" s="3"/>
      <c r="P1966" s="8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</row>
    <row r="1967" spans="1:51" x14ac:dyDescent="0.2">
      <c r="A1967" s="6" t="s">
        <v>17</v>
      </c>
      <c r="B1967" t="s">
        <v>34</v>
      </c>
      <c r="C1967" t="s">
        <v>35</v>
      </c>
      <c r="D1967" t="s">
        <v>2419</v>
      </c>
      <c r="E1967" s="2">
        <v>7311.34</v>
      </c>
      <c r="F1967" s="3">
        <f t="shared" ref="F1967:G1970" si="143">DATE(2024,9,3)</f>
        <v>45538</v>
      </c>
      <c r="G1967" s="3">
        <f t="shared" si="143"/>
        <v>45538</v>
      </c>
      <c r="H1967">
        <v>1156561273</v>
      </c>
      <c r="I1967" t="s">
        <v>20</v>
      </c>
      <c r="K1967" t="s">
        <v>21</v>
      </c>
      <c r="L1967" t="s">
        <v>22</v>
      </c>
      <c r="M1967" t="s">
        <v>23</v>
      </c>
      <c r="N1967" t="s">
        <v>23</v>
      </c>
      <c r="O1967" t="s">
        <v>24</v>
      </c>
      <c r="P1967" s="8" t="s">
        <v>2420</v>
      </c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</row>
    <row r="1968" spans="1:51" x14ac:dyDescent="0.2">
      <c r="A1968" s="6" t="s">
        <v>17</v>
      </c>
      <c r="B1968" t="s">
        <v>363</v>
      </c>
      <c r="C1968" t="s">
        <v>364</v>
      </c>
      <c r="D1968" t="s">
        <v>2421</v>
      </c>
      <c r="E1968" s="2">
        <v>110</v>
      </c>
      <c r="F1968" s="3">
        <f t="shared" si="143"/>
        <v>45538</v>
      </c>
      <c r="G1968" s="3">
        <f t="shared" si="143"/>
        <v>45538</v>
      </c>
      <c r="H1968">
        <v>1156561274</v>
      </c>
      <c r="I1968" t="s">
        <v>20</v>
      </c>
      <c r="K1968" t="s">
        <v>21</v>
      </c>
      <c r="L1968" t="s">
        <v>22</v>
      </c>
      <c r="M1968" t="s">
        <v>23</v>
      </c>
      <c r="N1968" t="s">
        <v>23</v>
      </c>
      <c r="O1968" t="s">
        <v>24</v>
      </c>
      <c r="P1968" s="8" t="s">
        <v>2422</v>
      </c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</row>
    <row r="1969" spans="1:51" x14ac:dyDescent="0.2">
      <c r="A1969" s="6" t="s">
        <v>17</v>
      </c>
      <c r="B1969" t="s">
        <v>1046</v>
      </c>
      <c r="C1969" t="s">
        <v>1047</v>
      </c>
      <c r="D1969" t="s">
        <v>2423</v>
      </c>
      <c r="E1969" s="2">
        <v>3637.15</v>
      </c>
      <c r="F1969" s="3">
        <f t="shared" si="143"/>
        <v>45538</v>
      </c>
      <c r="G1969" s="3">
        <f t="shared" si="143"/>
        <v>45538</v>
      </c>
      <c r="H1969">
        <v>1156561275</v>
      </c>
      <c r="I1969" t="s">
        <v>20</v>
      </c>
      <c r="K1969" t="s">
        <v>21</v>
      </c>
      <c r="L1969" t="s">
        <v>22</v>
      </c>
      <c r="M1969" t="s">
        <v>23</v>
      </c>
      <c r="N1969" t="s">
        <v>23</v>
      </c>
      <c r="O1969" t="s">
        <v>24</v>
      </c>
      <c r="P1969" s="8" t="s">
        <v>2424</v>
      </c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</row>
    <row r="1970" spans="1:51" x14ac:dyDescent="0.2">
      <c r="A1970" s="6" t="s">
        <v>17</v>
      </c>
      <c r="B1970" t="s">
        <v>18</v>
      </c>
      <c r="C1970" t="s">
        <v>18</v>
      </c>
      <c r="D1970" t="s">
        <v>2425</v>
      </c>
      <c r="E1970" s="2">
        <v>12.92</v>
      </c>
      <c r="F1970" s="3">
        <f t="shared" si="143"/>
        <v>45538</v>
      </c>
      <c r="G1970" s="3">
        <f t="shared" si="143"/>
        <v>45538</v>
      </c>
      <c r="H1970">
        <v>1156561276</v>
      </c>
      <c r="I1970" t="s">
        <v>20</v>
      </c>
      <c r="K1970" t="s">
        <v>21</v>
      </c>
      <c r="L1970" t="s">
        <v>22</v>
      </c>
      <c r="M1970" t="s">
        <v>23</v>
      </c>
      <c r="N1970" t="s">
        <v>23</v>
      </c>
      <c r="O1970" t="s">
        <v>24</v>
      </c>
      <c r="P1970" s="8" t="s">
        <v>2426</v>
      </c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</row>
    <row r="1971" spans="1:51" hidden="1" x14ac:dyDescent="0.2">
      <c r="A1971" s="6"/>
      <c r="E1971" s="2"/>
      <c r="F1971" s="3"/>
      <c r="G1971" s="3"/>
      <c r="P1971" s="8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</row>
    <row r="1972" spans="1:51" x14ac:dyDescent="0.2">
      <c r="A1972" s="6" t="s">
        <v>17</v>
      </c>
      <c r="B1972" t="s">
        <v>30</v>
      </c>
      <c r="C1972" t="s">
        <v>31</v>
      </c>
      <c r="D1972" t="s">
        <v>2427</v>
      </c>
      <c r="E1972" s="2">
        <v>3829.92</v>
      </c>
      <c r="F1972" s="3">
        <f>DATE(2024,9,3)</f>
        <v>45538</v>
      </c>
      <c r="G1972" s="3">
        <f>DATE(2024,9,3)</f>
        <v>45538</v>
      </c>
      <c r="H1972">
        <v>1156561278</v>
      </c>
      <c r="I1972" t="s">
        <v>20</v>
      </c>
      <c r="K1972" t="s">
        <v>21</v>
      </c>
      <c r="L1972" t="s">
        <v>22</v>
      </c>
      <c r="M1972" t="s">
        <v>23</v>
      </c>
      <c r="N1972" t="s">
        <v>23</v>
      </c>
      <c r="O1972" t="s">
        <v>24</v>
      </c>
      <c r="P1972" s="8" t="s">
        <v>2428</v>
      </c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</row>
    <row r="1973" spans="1:51" x14ac:dyDescent="0.2">
      <c r="A1973" s="6" t="s">
        <v>17</v>
      </c>
      <c r="B1973" t="s">
        <v>363</v>
      </c>
      <c r="C1973" t="s">
        <v>364</v>
      </c>
      <c r="D1973" t="s">
        <v>2429</v>
      </c>
      <c r="E1973" s="2">
        <v>1145</v>
      </c>
      <c r="F1973" s="3">
        <f>DATE(2024,9,3)</f>
        <v>45538</v>
      </c>
      <c r="G1973" s="3">
        <f>DATE(2024,9,3)</f>
        <v>45538</v>
      </c>
      <c r="H1973">
        <v>1156561279</v>
      </c>
      <c r="I1973" t="s">
        <v>20</v>
      </c>
      <c r="K1973" t="s">
        <v>21</v>
      </c>
      <c r="L1973" t="s">
        <v>22</v>
      </c>
      <c r="M1973" t="s">
        <v>23</v>
      </c>
      <c r="N1973" t="s">
        <v>23</v>
      </c>
      <c r="O1973" t="s">
        <v>24</v>
      </c>
      <c r="P1973" s="8" t="s">
        <v>2430</v>
      </c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</row>
    <row r="1974" spans="1:51" hidden="1" x14ac:dyDescent="0.2">
      <c r="A1974" s="6"/>
      <c r="E1974" s="2"/>
      <c r="F1974" s="3"/>
      <c r="G1974" s="3"/>
      <c r="P1974" s="8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</row>
    <row r="1975" spans="1:51" hidden="1" x14ac:dyDescent="0.2">
      <c r="A1975" s="6"/>
      <c r="E1975" s="2"/>
      <c r="F1975" s="3"/>
      <c r="G1975" s="3"/>
      <c r="P1975" s="8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</row>
    <row r="1976" spans="1:51" x14ac:dyDescent="0.2">
      <c r="A1976" s="6" t="s">
        <v>17</v>
      </c>
      <c r="B1976" t="s">
        <v>363</v>
      </c>
      <c r="C1976" t="s">
        <v>364</v>
      </c>
      <c r="D1976" t="s">
        <v>2431</v>
      </c>
      <c r="E1976" s="2">
        <v>35</v>
      </c>
      <c r="F1976" s="3">
        <f>DATE(2024,9,3)</f>
        <v>45538</v>
      </c>
      <c r="G1976" s="3">
        <f>DATE(2024,9,3)</f>
        <v>45538</v>
      </c>
      <c r="H1976">
        <v>1156561282</v>
      </c>
      <c r="I1976" t="s">
        <v>20</v>
      </c>
      <c r="K1976" t="s">
        <v>21</v>
      </c>
      <c r="L1976" t="s">
        <v>22</v>
      </c>
      <c r="M1976" t="s">
        <v>23</v>
      </c>
      <c r="N1976" t="s">
        <v>23</v>
      </c>
      <c r="O1976" t="s">
        <v>24</v>
      </c>
      <c r="P1976" s="8" t="s">
        <v>2432</v>
      </c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</row>
    <row r="1977" spans="1:51" x14ac:dyDescent="0.2">
      <c r="A1977" s="6" t="s">
        <v>17</v>
      </c>
      <c r="B1977" t="s">
        <v>363</v>
      </c>
      <c r="C1977" t="s">
        <v>364</v>
      </c>
      <c r="D1977" t="s">
        <v>2433</v>
      </c>
      <c r="E1977" s="2">
        <v>855</v>
      </c>
      <c r="F1977" s="3">
        <f>DATE(2024,9,3)</f>
        <v>45538</v>
      </c>
      <c r="G1977" s="3">
        <f>DATE(2024,9,3)</f>
        <v>45538</v>
      </c>
      <c r="H1977">
        <v>1156561283</v>
      </c>
      <c r="I1977" t="s">
        <v>20</v>
      </c>
      <c r="K1977" t="s">
        <v>21</v>
      </c>
      <c r="L1977" t="s">
        <v>22</v>
      </c>
      <c r="M1977" t="s">
        <v>23</v>
      </c>
      <c r="N1977" t="s">
        <v>23</v>
      </c>
      <c r="O1977" t="s">
        <v>24</v>
      </c>
      <c r="P1977" s="8" t="s">
        <v>2434</v>
      </c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</row>
    <row r="1978" spans="1:51" hidden="1" x14ac:dyDescent="0.2">
      <c r="A1978" s="6"/>
      <c r="E1978" s="2"/>
      <c r="F1978" s="3"/>
      <c r="G1978" s="3"/>
      <c r="P1978" s="8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</row>
    <row r="1979" spans="1:51" x14ac:dyDescent="0.2">
      <c r="A1979" s="6" t="s">
        <v>17</v>
      </c>
      <c r="B1979" t="s">
        <v>363</v>
      </c>
      <c r="C1979" t="s">
        <v>364</v>
      </c>
      <c r="D1979" t="s">
        <v>2435</v>
      </c>
      <c r="E1979" s="2">
        <v>330</v>
      </c>
      <c r="F1979" s="3">
        <f>DATE(2024,9,3)</f>
        <v>45538</v>
      </c>
      <c r="G1979" s="3">
        <f>DATE(2024,9,3)</f>
        <v>45538</v>
      </c>
      <c r="H1979">
        <v>1156561285</v>
      </c>
      <c r="I1979" t="s">
        <v>20</v>
      </c>
      <c r="K1979" t="s">
        <v>21</v>
      </c>
      <c r="L1979" t="s">
        <v>22</v>
      </c>
      <c r="M1979" t="s">
        <v>23</v>
      </c>
      <c r="N1979" t="s">
        <v>23</v>
      </c>
      <c r="O1979" t="s">
        <v>24</v>
      </c>
      <c r="P1979" s="8" t="s">
        <v>2436</v>
      </c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</row>
    <row r="1980" spans="1:51" x14ac:dyDescent="0.2">
      <c r="A1980" s="6" t="s">
        <v>17</v>
      </c>
      <c r="B1980" t="s">
        <v>100</v>
      </c>
      <c r="C1980" t="s">
        <v>101</v>
      </c>
      <c r="D1980" t="s">
        <v>2437</v>
      </c>
      <c r="E1980" s="2">
        <v>35</v>
      </c>
      <c r="F1980" s="3">
        <f t="shared" ref="F1980:G1982" si="144">DATE(2024,8,30)</f>
        <v>45534</v>
      </c>
      <c r="G1980" s="3">
        <f t="shared" si="144"/>
        <v>45534</v>
      </c>
      <c r="H1980">
        <v>1156561453</v>
      </c>
      <c r="I1980" t="s">
        <v>51</v>
      </c>
      <c r="K1980" t="s">
        <v>21</v>
      </c>
      <c r="L1980" t="s">
        <v>22</v>
      </c>
      <c r="M1980" t="s">
        <v>23</v>
      </c>
      <c r="N1980" t="s">
        <v>23</v>
      </c>
      <c r="O1980" t="s">
        <v>24</v>
      </c>
      <c r="P1980" s="8" t="s">
        <v>2438</v>
      </c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</row>
    <row r="1981" spans="1:51" x14ac:dyDescent="0.2">
      <c r="A1981" s="6" t="s">
        <v>17</v>
      </c>
      <c r="B1981" t="s">
        <v>179</v>
      </c>
      <c r="C1981" t="s">
        <v>180</v>
      </c>
      <c r="D1981" t="s">
        <v>1940</v>
      </c>
      <c r="E1981" s="2">
        <v>84.11</v>
      </c>
      <c r="F1981" s="3">
        <f t="shared" si="144"/>
        <v>45534</v>
      </c>
      <c r="G1981" s="3">
        <f t="shared" si="144"/>
        <v>45534</v>
      </c>
      <c r="H1981">
        <v>1156561454</v>
      </c>
      <c r="I1981" t="s">
        <v>51</v>
      </c>
      <c r="K1981" t="s">
        <v>21</v>
      </c>
      <c r="L1981" t="s">
        <v>22</v>
      </c>
      <c r="M1981" t="s">
        <v>23</v>
      </c>
      <c r="N1981" t="s">
        <v>23</v>
      </c>
      <c r="O1981" t="s">
        <v>24</v>
      </c>
      <c r="P1981" s="8" t="s">
        <v>2439</v>
      </c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</row>
    <row r="1982" spans="1:51" x14ac:dyDescent="0.2">
      <c r="A1982" s="6" t="s">
        <v>17</v>
      </c>
      <c r="B1982" t="s">
        <v>179</v>
      </c>
      <c r="C1982" t="s">
        <v>180</v>
      </c>
      <c r="D1982" t="s">
        <v>1940</v>
      </c>
      <c r="E1982" s="2">
        <v>9.6</v>
      </c>
      <c r="F1982" s="3">
        <f t="shared" si="144"/>
        <v>45534</v>
      </c>
      <c r="G1982" s="3">
        <f t="shared" si="144"/>
        <v>45534</v>
      </c>
      <c r="H1982">
        <v>1156561455</v>
      </c>
      <c r="I1982" t="s">
        <v>51</v>
      </c>
      <c r="K1982" t="s">
        <v>21</v>
      </c>
      <c r="L1982" t="s">
        <v>22</v>
      </c>
      <c r="M1982" t="s">
        <v>23</v>
      </c>
      <c r="N1982" t="s">
        <v>23</v>
      </c>
      <c r="O1982" t="s">
        <v>24</v>
      </c>
      <c r="P1982" s="8" t="s">
        <v>2440</v>
      </c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</row>
    <row r="1983" spans="1:51" x14ac:dyDescent="0.2">
      <c r="A1983" s="6" t="s">
        <v>17</v>
      </c>
      <c r="B1983" t="s">
        <v>26</v>
      </c>
      <c r="C1983" t="s">
        <v>27</v>
      </c>
      <c r="D1983" t="s">
        <v>50</v>
      </c>
      <c r="E1983" s="2">
        <v>218.59</v>
      </c>
      <c r="F1983" s="3">
        <f>DATE(2024,9,1)</f>
        <v>45536</v>
      </c>
      <c r="G1983" s="3">
        <f>DATE(2024,9,1)</f>
        <v>45536</v>
      </c>
      <c r="H1983">
        <v>1156561456</v>
      </c>
      <c r="I1983" t="s">
        <v>51</v>
      </c>
      <c r="K1983" t="s">
        <v>21</v>
      </c>
      <c r="L1983" t="s">
        <v>22</v>
      </c>
      <c r="M1983" t="s">
        <v>23</v>
      </c>
      <c r="N1983" t="s">
        <v>23</v>
      </c>
      <c r="O1983" t="s">
        <v>24</v>
      </c>
      <c r="P1983" s="8" t="s">
        <v>2441</v>
      </c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</row>
    <row r="1984" spans="1:51" x14ac:dyDescent="0.2">
      <c r="A1984" s="6" t="s">
        <v>17</v>
      </c>
      <c r="B1984" t="s">
        <v>674</v>
      </c>
      <c r="C1984" t="s">
        <v>675</v>
      </c>
      <c r="D1984" t="s">
        <v>676</v>
      </c>
      <c r="E1984" s="2">
        <v>48.75</v>
      </c>
      <c r="F1984" s="3">
        <f>DATE(2024,8,30)</f>
        <v>45534</v>
      </c>
      <c r="G1984" s="3">
        <f>DATE(2024,8,30)</f>
        <v>45534</v>
      </c>
      <c r="H1984">
        <v>1156561457</v>
      </c>
      <c r="I1984" t="s">
        <v>51</v>
      </c>
      <c r="K1984" t="s">
        <v>21</v>
      </c>
      <c r="L1984" t="s">
        <v>22</v>
      </c>
      <c r="M1984" t="s">
        <v>23</v>
      </c>
      <c r="N1984" t="s">
        <v>23</v>
      </c>
      <c r="O1984" t="s">
        <v>24</v>
      </c>
      <c r="P1984" s="8" t="s">
        <v>2442</v>
      </c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</row>
    <row r="1985" spans="1:51" hidden="1" x14ac:dyDescent="0.2">
      <c r="A1985" s="6"/>
      <c r="E1985" s="2"/>
      <c r="F1985" s="3"/>
      <c r="G1985" s="3"/>
      <c r="P1985" s="8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</row>
    <row r="1986" spans="1:51" hidden="1" x14ac:dyDescent="0.2">
      <c r="A1986" s="6"/>
      <c r="E1986" s="2"/>
      <c r="F1986" s="3"/>
      <c r="G1986" s="3"/>
      <c r="P1986" s="8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</row>
    <row r="1987" spans="1:51" x14ac:dyDescent="0.2">
      <c r="A1987" s="6" t="s">
        <v>17</v>
      </c>
      <c r="B1987" t="s">
        <v>179</v>
      </c>
      <c r="C1987" t="s">
        <v>180</v>
      </c>
      <c r="D1987" t="s">
        <v>2443</v>
      </c>
      <c r="E1987" s="2">
        <v>645.28</v>
      </c>
      <c r="F1987" s="3">
        <f t="shared" ref="F1986:G1994" si="145">DATE(2024,9,3)</f>
        <v>45538</v>
      </c>
      <c r="G1987" s="3">
        <f t="shared" si="145"/>
        <v>45538</v>
      </c>
      <c r="H1987">
        <v>1161071172</v>
      </c>
      <c r="I1987" t="s">
        <v>20</v>
      </c>
      <c r="K1987" t="s">
        <v>21</v>
      </c>
      <c r="L1987" t="s">
        <v>22</v>
      </c>
      <c r="M1987" t="s">
        <v>23</v>
      </c>
      <c r="N1987" t="s">
        <v>23</v>
      </c>
      <c r="O1987" t="s">
        <v>24</v>
      </c>
      <c r="P1987" s="8" t="s">
        <v>2444</v>
      </c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</row>
    <row r="1988" spans="1:51" x14ac:dyDescent="0.2">
      <c r="A1988" s="6" t="s">
        <v>17</v>
      </c>
      <c r="B1988" t="s">
        <v>887</v>
      </c>
      <c r="C1988" t="s">
        <v>888</v>
      </c>
      <c r="D1988" t="s">
        <v>2445</v>
      </c>
      <c r="E1988" s="2">
        <v>1345.15</v>
      </c>
      <c r="F1988" s="3">
        <f t="shared" si="145"/>
        <v>45538</v>
      </c>
      <c r="G1988" s="3">
        <f t="shared" si="145"/>
        <v>45538</v>
      </c>
      <c r="H1988">
        <v>1161071173</v>
      </c>
      <c r="I1988" t="s">
        <v>20</v>
      </c>
      <c r="K1988" t="s">
        <v>21</v>
      </c>
      <c r="L1988" t="s">
        <v>22</v>
      </c>
      <c r="M1988" t="s">
        <v>23</v>
      </c>
      <c r="N1988" t="s">
        <v>23</v>
      </c>
      <c r="O1988" t="s">
        <v>24</v>
      </c>
      <c r="P1988" s="8" t="s">
        <v>2446</v>
      </c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</row>
    <row r="1989" spans="1:51" x14ac:dyDescent="0.2">
      <c r="A1989" s="6" t="s">
        <v>17</v>
      </c>
      <c r="B1989" t="s">
        <v>65</v>
      </c>
      <c r="C1989" t="s">
        <v>66</v>
      </c>
      <c r="D1989" t="s">
        <v>2447</v>
      </c>
      <c r="E1989" s="2">
        <v>303.8</v>
      </c>
      <c r="F1989" s="3">
        <f t="shared" si="145"/>
        <v>45538</v>
      </c>
      <c r="G1989" s="3">
        <f t="shared" si="145"/>
        <v>45538</v>
      </c>
      <c r="H1989">
        <v>1161071174</v>
      </c>
      <c r="I1989" t="s">
        <v>20</v>
      </c>
      <c r="K1989" t="s">
        <v>21</v>
      </c>
      <c r="L1989" t="s">
        <v>22</v>
      </c>
      <c r="M1989" t="s">
        <v>23</v>
      </c>
      <c r="N1989" t="s">
        <v>23</v>
      </c>
      <c r="O1989" t="s">
        <v>24</v>
      </c>
      <c r="P1989" s="8" t="s">
        <v>2448</v>
      </c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</row>
    <row r="1990" spans="1:51" x14ac:dyDescent="0.2">
      <c r="A1990" s="6" t="s">
        <v>17</v>
      </c>
      <c r="B1990" t="s">
        <v>110</v>
      </c>
      <c r="C1990" t="s">
        <v>111</v>
      </c>
      <c r="D1990" t="s">
        <v>2449</v>
      </c>
      <c r="E1990" s="2">
        <v>122.04</v>
      </c>
      <c r="F1990" s="3">
        <f t="shared" si="145"/>
        <v>45538</v>
      </c>
      <c r="G1990" s="3">
        <f t="shared" si="145"/>
        <v>45538</v>
      </c>
      <c r="H1990">
        <v>1161071175</v>
      </c>
      <c r="I1990" t="s">
        <v>20</v>
      </c>
      <c r="K1990" t="s">
        <v>21</v>
      </c>
      <c r="L1990" t="s">
        <v>22</v>
      </c>
      <c r="M1990" t="s">
        <v>23</v>
      </c>
      <c r="N1990" t="s">
        <v>23</v>
      </c>
      <c r="O1990" t="s">
        <v>24</v>
      </c>
      <c r="P1990" s="8" t="s">
        <v>2450</v>
      </c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</row>
    <row r="1991" spans="1:51" x14ac:dyDescent="0.2">
      <c r="A1991" s="6" t="s">
        <v>17</v>
      </c>
      <c r="B1991" t="s">
        <v>179</v>
      </c>
      <c r="C1991" t="s">
        <v>180</v>
      </c>
      <c r="D1991" t="s">
        <v>2451</v>
      </c>
      <c r="E1991" s="2">
        <v>908.64</v>
      </c>
      <c r="F1991" s="3">
        <f t="shared" si="145"/>
        <v>45538</v>
      </c>
      <c r="G1991" s="3">
        <f t="shared" si="145"/>
        <v>45538</v>
      </c>
      <c r="H1991">
        <v>1161071176</v>
      </c>
      <c r="I1991" t="s">
        <v>20</v>
      </c>
      <c r="K1991" t="s">
        <v>21</v>
      </c>
      <c r="L1991" t="s">
        <v>22</v>
      </c>
      <c r="M1991" t="s">
        <v>23</v>
      </c>
      <c r="N1991" t="s">
        <v>23</v>
      </c>
      <c r="O1991" t="s">
        <v>24</v>
      </c>
      <c r="P1991" s="8" t="s">
        <v>2452</v>
      </c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</row>
    <row r="1992" spans="1:51" x14ac:dyDescent="0.2">
      <c r="A1992" s="6" t="s">
        <v>17</v>
      </c>
      <c r="B1992" t="s">
        <v>611</v>
      </c>
      <c r="C1992" t="s">
        <v>612</v>
      </c>
      <c r="D1992" t="s">
        <v>2453</v>
      </c>
      <c r="E1992" s="2">
        <v>462.14</v>
      </c>
      <c r="F1992" s="3">
        <f t="shared" si="145"/>
        <v>45538</v>
      </c>
      <c r="G1992" s="3">
        <f t="shared" si="145"/>
        <v>45538</v>
      </c>
      <c r="H1992">
        <v>1161071177</v>
      </c>
      <c r="I1992" t="s">
        <v>20</v>
      </c>
      <c r="K1992" t="s">
        <v>21</v>
      </c>
      <c r="L1992" t="s">
        <v>22</v>
      </c>
      <c r="M1992" t="s">
        <v>23</v>
      </c>
      <c r="N1992" t="s">
        <v>23</v>
      </c>
      <c r="O1992" t="s">
        <v>24</v>
      </c>
      <c r="P1992" s="8" t="s">
        <v>2454</v>
      </c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</row>
    <row r="1993" spans="1:51" x14ac:dyDescent="0.2">
      <c r="A1993" s="6" t="s">
        <v>17</v>
      </c>
      <c r="B1993" t="s">
        <v>179</v>
      </c>
      <c r="C1993" t="s">
        <v>180</v>
      </c>
      <c r="D1993" t="s">
        <v>2455</v>
      </c>
      <c r="E1993" s="2">
        <v>168.38</v>
      </c>
      <c r="F1993" s="3">
        <f t="shared" si="145"/>
        <v>45538</v>
      </c>
      <c r="G1993" s="3">
        <f t="shared" si="145"/>
        <v>45538</v>
      </c>
      <c r="H1993">
        <v>1161071178</v>
      </c>
      <c r="I1993" t="s">
        <v>20</v>
      </c>
      <c r="K1993" t="s">
        <v>21</v>
      </c>
      <c r="L1993" t="s">
        <v>22</v>
      </c>
      <c r="M1993" t="s">
        <v>23</v>
      </c>
      <c r="N1993" t="s">
        <v>23</v>
      </c>
      <c r="O1993" t="s">
        <v>24</v>
      </c>
      <c r="P1993" s="8" t="s">
        <v>2456</v>
      </c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</row>
    <row r="1994" spans="1:51" x14ac:dyDescent="0.2">
      <c r="A1994" s="6" t="s">
        <v>17</v>
      </c>
      <c r="B1994" t="s">
        <v>110</v>
      </c>
      <c r="C1994" t="s">
        <v>111</v>
      </c>
      <c r="D1994" t="s">
        <v>2457</v>
      </c>
      <c r="E1994" s="2">
        <v>536.76</v>
      </c>
      <c r="F1994" s="3">
        <f t="shared" si="145"/>
        <v>45538</v>
      </c>
      <c r="G1994" s="3">
        <f t="shared" si="145"/>
        <v>45538</v>
      </c>
      <c r="H1994">
        <v>1161071179</v>
      </c>
      <c r="I1994" t="s">
        <v>20</v>
      </c>
      <c r="K1994" t="s">
        <v>21</v>
      </c>
      <c r="L1994" t="s">
        <v>22</v>
      </c>
      <c r="M1994" t="s">
        <v>23</v>
      </c>
      <c r="N1994" t="s">
        <v>23</v>
      </c>
      <c r="O1994" t="s">
        <v>24</v>
      </c>
      <c r="P1994" s="8" t="s">
        <v>2458</v>
      </c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</row>
    <row r="1995" spans="1:51" x14ac:dyDescent="0.2">
      <c r="A1995" s="6" t="s">
        <v>17</v>
      </c>
      <c r="B1995" t="s">
        <v>110</v>
      </c>
      <c r="C1995" t="s">
        <v>111</v>
      </c>
      <c r="D1995" t="s">
        <v>2459</v>
      </c>
      <c r="E1995" s="2">
        <v>2.2200000000000002</v>
      </c>
      <c r="F1995" s="3">
        <f t="shared" ref="F1995:G1998" si="146">DATE(2024,9,4)</f>
        <v>45539</v>
      </c>
      <c r="G1995" s="3">
        <f t="shared" si="146"/>
        <v>45539</v>
      </c>
      <c r="H1995">
        <v>1164408473</v>
      </c>
      <c r="I1995" t="s">
        <v>73</v>
      </c>
      <c r="K1995" t="s">
        <v>21</v>
      </c>
      <c r="L1995" t="s">
        <v>22</v>
      </c>
      <c r="M1995" t="s">
        <v>23</v>
      </c>
      <c r="N1995" t="s">
        <v>23</v>
      </c>
      <c r="O1995" t="s">
        <v>24</v>
      </c>
      <c r="P1995" s="8" t="s">
        <v>2460</v>
      </c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</row>
    <row r="1996" spans="1:51" hidden="1" x14ac:dyDescent="0.2">
      <c r="A1996" s="6"/>
      <c r="E1996" s="2"/>
      <c r="F1996" s="3"/>
      <c r="G1996" s="3"/>
      <c r="P1996" s="8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</row>
    <row r="1997" spans="1:51" hidden="1" x14ac:dyDescent="0.2">
      <c r="A1997" s="6"/>
      <c r="E1997" s="2"/>
      <c r="F1997" s="3"/>
      <c r="G1997" s="3"/>
      <c r="P1997" s="8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</row>
    <row r="1998" spans="1:51" hidden="1" x14ac:dyDescent="0.2">
      <c r="A1998" s="6"/>
      <c r="E1998" s="2"/>
      <c r="F1998" s="3"/>
      <c r="G1998" s="3"/>
      <c r="P1998" s="8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</row>
    <row r="1999" spans="1:51" x14ac:dyDescent="0.2">
      <c r="A1999" s="6" t="s">
        <v>17</v>
      </c>
      <c r="B1999" t="s">
        <v>74</v>
      </c>
      <c r="C1999" t="s">
        <v>75</v>
      </c>
      <c r="D1999" t="s">
        <v>2461</v>
      </c>
      <c r="E1999" s="2">
        <v>3593.6</v>
      </c>
      <c r="F1999" s="3">
        <f>DATE(2024,9,5)</f>
        <v>45540</v>
      </c>
      <c r="G1999" s="3">
        <f>DATE(2024,9,5)</f>
        <v>45540</v>
      </c>
      <c r="H1999">
        <v>1164408477</v>
      </c>
      <c r="I1999" t="s">
        <v>73</v>
      </c>
      <c r="K1999" t="s">
        <v>21</v>
      </c>
      <c r="L1999" t="s">
        <v>22</v>
      </c>
      <c r="M1999" t="s">
        <v>23</v>
      </c>
      <c r="N1999" t="s">
        <v>23</v>
      </c>
      <c r="O1999" t="s">
        <v>24</v>
      </c>
      <c r="P1999" s="8" t="s">
        <v>2462</v>
      </c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</row>
    <row r="2000" spans="1:51" x14ac:dyDescent="0.2">
      <c r="A2000" s="6" t="s">
        <v>17</v>
      </c>
      <c r="B2000" t="s">
        <v>74</v>
      </c>
      <c r="C2000" t="s">
        <v>75</v>
      </c>
      <c r="D2000" t="s">
        <v>2463</v>
      </c>
      <c r="E2000" s="2">
        <v>259.26</v>
      </c>
      <c r="F2000" s="3">
        <f>DATE(2024,9,5)</f>
        <v>45540</v>
      </c>
      <c r="G2000" s="3">
        <f>DATE(2024,9,5)</f>
        <v>45540</v>
      </c>
      <c r="H2000">
        <v>1164408478</v>
      </c>
      <c r="I2000" t="s">
        <v>73</v>
      </c>
      <c r="K2000" t="s">
        <v>21</v>
      </c>
      <c r="L2000" t="s">
        <v>22</v>
      </c>
      <c r="M2000" t="s">
        <v>23</v>
      </c>
      <c r="N2000" t="s">
        <v>23</v>
      </c>
      <c r="O2000" t="s">
        <v>24</v>
      </c>
      <c r="P2000" s="8" t="s">
        <v>2464</v>
      </c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</row>
    <row r="2001" spans="1:51" hidden="1" x14ac:dyDescent="0.2">
      <c r="A2001" s="6"/>
      <c r="E2001" s="2"/>
      <c r="F2001" s="3"/>
      <c r="G2001" s="3"/>
      <c r="P2001" s="8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</row>
    <row r="2002" spans="1:51" x14ac:dyDescent="0.2">
      <c r="A2002" s="6" t="s">
        <v>17</v>
      </c>
      <c r="B2002" t="s">
        <v>191</v>
      </c>
      <c r="C2002" t="s">
        <v>192</v>
      </c>
      <c r="D2002" t="s">
        <v>2465</v>
      </c>
      <c r="E2002" s="2">
        <v>22745.15</v>
      </c>
      <c r="F2002" s="3">
        <f>DATE(2024,9,4)</f>
        <v>45539</v>
      </c>
      <c r="G2002" s="3">
        <f>DATE(2024,9,4)</f>
        <v>45539</v>
      </c>
      <c r="H2002">
        <v>1164720553</v>
      </c>
      <c r="I2002" t="s">
        <v>20</v>
      </c>
      <c r="K2002" t="s">
        <v>21</v>
      </c>
      <c r="L2002" t="s">
        <v>22</v>
      </c>
      <c r="M2002" t="s">
        <v>23</v>
      </c>
      <c r="N2002" t="s">
        <v>23</v>
      </c>
      <c r="O2002" t="s">
        <v>24</v>
      </c>
      <c r="P2002" s="8" t="s">
        <v>2466</v>
      </c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</row>
    <row r="2003" spans="1:51" x14ac:dyDescent="0.2">
      <c r="A2003" s="6" t="s">
        <v>17</v>
      </c>
      <c r="B2003" t="s">
        <v>80</v>
      </c>
      <c r="C2003" t="s">
        <v>81</v>
      </c>
      <c r="D2003" t="s">
        <v>2467</v>
      </c>
      <c r="E2003" s="2">
        <v>2406.42</v>
      </c>
      <c r="F2003" s="3">
        <f>DATE(2024,9,5)</f>
        <v>45540</v>
      </c>
      <c r="G2003" s="3">
        <f>DATE(2024,9,5)</f>
        <v>45540</v>
      </c>
      <c r="H2003">
        <v>1164720554</v>
      </c>
      <c r="I2003" t="s">
        <v>20</v>
      </c>
      <c r="K2003" t="s">
        <v>21</v>
      </c>
      <c r="L2003" t="s">
        <v>22</v>
      </c>
      <c r="M2003" t="s">
        <v>23</v>
      </c>
      <c r="N2003" t="s">
        <v>23</v>
      </c>
      <c r="O2003" t="s">
        <v>24</v>
      </c>
      <c r="P2003" s="8" t="s">
        <v>2468</v>
      </c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</row>
    <row r="2004" spans="1:51" hidden="1" x14ac:dyDescent="0.2">
      <c r="A2004" s="6"/>
      <c r="E2004" s="2"/>
      <c r="F2004" s="3"/>
      <c r="G2004" s="3"/>
      <c r="P2004" s="8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</row>
    <row r="2005" spans="1:51" x14ac:dyDescent="0.2">
      <c r="A2005" s="6" t="s">
        <v>17</v>
      </c>
      <c r="B2005" t="s">
        <v>104</v>
      </c>
      <c r="C2005" t="s">
        <v>105</v>
      </c>
      <c r="D2005" t="s">
        <v>2469</v>
      </c>
      <c r="E2005" s="2">
        <v>414.52</v>
      </c>
      <c r="F2005" s="3">
        <f t="shared" ref="F2005:G2010" si="147">DATE(2024,9,5)</f>
        <v>45540</v>
      </c>
      <c r="G2005" s="3">
        <f t="shared" si="147"/>
        <v>45540</v>
      </c>
      <c r="H2005">
        <v>1164720556</v>
      </c>
      <c r="I2005" t="s">
        <v>20</v>
      </c>
      <c r="K2005" t="s">
        <v>21</v>
      </c>
      <c r="L2005" t="s">
        <v>22</v>
      </c>
      <c r="M2005" t="s">
        <v>23</v>
      </c>
      <c r="N2005" t="s">
        <v>23</v>
      </c>
      <c r="O2005" t="s">
        <v>24</v>
      </c>
      <c r="P2005" s="8" t="s">
        <v>2470</v>
      </c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</row>
    <row r="2006" spans="1:51" x14ac:dyDescent="0.2">
      <c r="A2006" s="6" t="s">
        <v>17</v>
      </c>
      <c r="B2006" t="s">
        <v>61</v>
      </c>
      <c r="C2006" t="s">
        <v>62</v>
      </c>
      <c r="D2006" t="s">
        <v>2471</v>
      </c>
      <c r="E2006" s="2">
        <v>18</v>
      </c>
      <c r="F2006" s="3">
        <f t="shared" si="147"/>
        <v>45540</v>
      </c>
      <c r="G2006" s="3">
        <f t="shared" si="147"/>
        <v>45540</v>
      </c>
      <c r="H2006">
        <v>1164720557</v>
      </c>
      <c r="I2006" t="s">
        <v>20</v>
      </c>
      <c r="K2006" t="s">
        <v>21</v>
      </c>
      <c r="L2006" t="s">
        <v>22</v>
      </c>
      <c r="M2006" t="s">
        <v>23</v>
      </c>
      <c r="N2006" t="s">
        <v>23</v>
      </c>
      <c r="O2006" t="s">
        <v>24</v>
      </c>
      <c r="P2006" s="8" t="s">
        <v>2472</v>
      </c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</row>
    <row r="2007" spans="1:51" x14ac:dyDescent="0.2">
      <c r="A2007" s="6" t="s">
        <v>17</v>
      </c>
      <c r="B2007" t="s">
        <v>34</v>
      </c>
      <c r="C2007" t="s">
        <v>35</v>
      </c>
      <c r="D2007" t="s">
        <v>2473</v>
      </c>
      <c r="E2007" s="2">
        <v>89</v>
      </c>
      <c r="F2007" s="3">
        <f t="shared" si="147"/>
        <v>45540</v>
      </c>
      <c r="G2007" s="3">
        <f t="shared" si="147"/>
        <v>45540</v>
      </c>
      <c r="H2007">
        <v>1164720558</v>
      </c>
      <c r="I2007" t="s">
        <v>20</v>
      </c>
      <c r="K2007" t="s">
        <v>21</v>
      </c>
      <c r="L2007" t="s">
        <v>22</v>
      </c>
      <c r="M2007" t="s">
        <v>23</v>
      </c>
      <c r="N2007" t="s">
        <v>23</v>
      </c>
      <c r="O2007" t="s">
        <v>24</v>
      </c>
      <c r="P2007" s="8" t="s">
        <v>2474</v>
      </c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</row>
    <row r="2008" spans="1:51" x14ac:dyDescent="0.2">
      <c r="A2008" s="6" t="s">
        <v>17</v>
      </c>
      <c r="B2008" t="s">
        <v>80</v>
      </c>
      <c r="C2008" t="s">
        <v>81</v>
      </c>
      <c r="D2008" t="s">
        <v>2475</v>
      </c>
      <c r="E2008" s="2">
        <v>1031.8900000000001</v>
      </c>
      <c r="F2008" s="3">
        <f t="shared" si="147"/>
        <v>45540</v>
      </c>
      <c r="G2008" s="3">
        <f t="shared" si="147"/>
        <v>45540</v>
      </c>
      <c r="H2008">
        <v>1164720559</v>
      </c>
      <c r="I2008" t="s">
        <v>20</v>
      </c>
      <c r="K2008" t="s">
        <v>21</v>
      </c>
      <c r="L2008" t="s">
        <v>22</v>
      </c>
      <c r="M2008" t="s">
        <v>23</v>
      </c>
      <c r="N2008" t="s">
        <v>23</v>
      </c>
      <c r="O2008" t="s">
        <v>24</v>
      </c>
      <c r="P2008" s="8" t="s">
        <v>2476</v>
      </c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</row>
    <row r="2009" spans="1:51" x14ac:dyDescent="0.2">
      <c r="A2009" s="6" t="s">
        <v>17</v>
      </c>
      <c r="B2009" t="s">
        <v>104</v>
      </c>
      <c r="C2009" t="s">
        <v>105</v>
      </c>
      <c r="D2009" t="s">
        <v>2477</v>
      </c>
      <c r="E2009" s="2">
        <v>93.07</v>
      </c>
      <c r="F2009" s="3">
        <f t="shared" si="147"/>
        <v>45540</v>
      </c>
      <c r="G2009" s="3">
        <f t="shared" si="147"/>
        <v>45540</v>
      </c>
      <c r="H2009">
        <v>1164720560</v>
      </c>
      <c r="I2009" t="s">
        <v>20</v>
      </c>
      <c r="K2009" t="s">
        <v>21</v>
      </c>
      <c r="L2009" t="s">
        <v>22</v>
      </c>
      <c r="M2009" t="s">
        <v>23</v>
      </c>
      <c r="N2009" t="s">
        <v>23</v>
      </c>
      <c r="O2009" t="s">
        <v>24</v>
      </c>
      <c r="P2009" s="8" t="s">
        <v>2478</v>
      </c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</row>
    <row r="2010" spans="1:51" x14ac:dyDescent="0.2">
      <c r="A2010" s="6" t="s">
        <v>17</v>
      </c>
      <c r="B2010" t="s">
        <v>115</v>
      </c>
      <c r="C2010" t="s">
        <v>116</v>
      </c>
      <c r="D2010" t="s">
        <v>2479</v>
      </c>
      <c r="E2010" s="2">
        <v>465.54</v>
      </c>
      <c r="F2010" s="3">
        <f t="shared" si="147"/>
        <v>45540</v>
      </c>
      <c r="G2010" s="3">
        <f t="shared" si="147"/>
        <v>45540</v>
      </c>
      <c r="H2010">
        <v>1164720561</v>
      </c>
      <c r="I2010" t="s">
        <v>20</v>
      </c>
      <c r="K2010" t="s">
        <v>21</v>
      </c>
      <c r="L2010" t="s">
        <v>22</v>
      </c>
      <c r="M2010" t="s">
        <v>23</v>
      </c>
      <c r="N2010" t="s">
        <v>23</v>
      </c>
      <c r="O2010" t="s">
        <v>24</v>
      </c>
      <c r="P2010" s="8" t="s">
        <v>2480</v>
      </c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</row>
    <row r="2011" spans="1:51" hidden="1" x14ac:dyDescent="0.2">
      <c r="A2011" s="6"/>
      <c r="E2011" s="2"/>
      <c r="F2011" s="3"/>
      <c r="G2011" s="3"/>
      <c r="P2011" s="8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</row>
    <row r="2012" spans="1:51" hidden="1" x14ac:dyDescent="0.2">
      <c r="A2012" s="6"/>
      <c r="E2012" s="2"/>
      <c r="F2012" s="3"/>
      <c r="G2012" s="3"/>
      <c r="P2012" s="8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</row>
    <row r="2013" spans="1:51" x14ac:dyDescent="0.2">
      <c r="A2013" s="6" t="s">
        <v>17</v>
      </c>
      <c r="B2013" t="s">
        <v>674</v>
      </c>
      <c r="C2013" t="s">
        <v>675</v>
      </c>
      <c r="D2013" t="s">
        <v>2481</v>
      </c>
      <c r="E2013" s="2">
        <v>859.8</v>
      </c>
      <c r="F2013" s="3">
        <f>DATE(2024,9,5)</f>
        <v>45540</v>
      </c>
      <c r="G2013" s="3">
        <f>DATE(2024,9,5)</f>
        <v>45540</v>
      </c>
      <c r="H2013">
        <v>1164720564</v>
      </c>
      <c r="I2013" t="s">
        <v>20</v>
      </c>
      <c r="K2013" t="s">
        <v>21</v>
      </c>
      <c r="L2013" t="s">
        <v>22</v>
      </c>
      <c r="M2013" t="s">
        <v>23</v>
      </c>
      <c r="N2013" t="s">
        <v>23</v>
      </c>
      <c r="O2013" t="s">
        <v>24</v>
      </c>
      <c r="P2013" s="8" t="s">
        <v>2482</v>
      </c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</row>
    <row r="2014" spans="1:51" hidden="1" x14ac:dyDescent="0.2">
      <c r="A2014" s="6"/>
      <c r="E2014" s="2"/>
      <c r="F2014" s="3"/>
      <c r="G2014" s="3"/>
      <c r="P2014" s="8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</row>
    <row r="2015" spans="1:51" x14ac:dyDescent="0.2">
      <c r="A2015" s="6" t="s">
        <v>17</v>
      </c>
      <c r="B2015" t="s">
        <v>191</v>
      </c>
      <c r="C2015" t="s">
        <v>192</v>
      </c>
      <c r="D2015" t="s">
        <v>2483</v>
      </c>
      <c r="E2015" s="2">
        <v>2572.5100000000002</v>
      </c>
      <c r="F2015" s="3">
        <f t="shared" ref="F2014:G2016" si="148">DATE(2024,9,4)</f>
        <v>45539</v>
      </c>
      <c r="G2015" s="3">
        <f t="shared" si="148"/>
        <v>45539</v>
      </c>
      <c r="H2015">
        <v>1164720566</v>
      </c>
      <c r="I2015" t="s">
        <v>20</v>
      </c>
      <c r="K2015" t="s">
        <v>21</v>
      </c>
      <c r="L2015" t="s">
        <v>22</v>
      </c>
      <c r="M2015" t="s">
        <v>23</v>
      </c>
      <c r="N2015" t="s">
        <v>23</v>
      </c>
      <c r="O2015" t="s">
        <v>24</v>
      </c>
      <c r="P2015" s="8" t="s">
        <v>2484</v>
      </c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</row>
    <row r="2016" spans="1:51" hidden="1" x14ac:dyDescent="0.2">
      <c r="A2016" s="6"/>
      <c r="E2016" s="2"/>
      <c r="F2016" s="3"/>
      <c r="G2016" s="3"/>
      <c r="P2016" s="8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</row>
    <row r="2017" spans="1:51" x14ac:dyDescent="0.2">
      <c r="A2017" s="6" t="s">
        <v>17</v>
      </c>
      <c r="B2017" t="s">
        <v>363</v>
      </c>
      <c r="C2017" t="s">
        <v>364</v>
      </c>
      <c r="D2017" t="s">
        <v>2485</v>
      </c>
      <c r="E2017" s="2">
        <v>18.600000000000001</v>
      </c>
      <c r="F2017" s="3">
        <f t="shared" ref="F2017:G2019" si="149">DATE(2024,9,5)</f>
        <v>45540</v>
      </c>
      <c r="G2017" s="3">
        <f t="shared" si="149"/>
        <v>45540</v>
      </c>
      <c r="H2017">
        <v>1168059267</v>
      </c>
      <c r="I2017" t="s">
        <v>73</v>
      </c>
      <c r="K2017" t="s">
        <v>21</v>
      </c>
      <c r="L2017" t="s">
        <v>22</v>
      </c>
      <c r="M2017" t="s">
        <v>23</v>
      </c>
      <c r="N2017" t="s">
        <v>23</v>
      </c>
      <c r="O2017" t="s">
        <v>24</v>
      </c>
      <c r="P2017" s="8" t="s">
        <v>2486</v>
      </c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</row>
    <row r="2018" spans="1:51" x14ac:dyDescent="0.2">
      <c r="A2018" s="6" t="s">
        <v>17</v>
      </c>
      <c r="B2018" t="s">
        <v>61</v>
      </c>
      <c r="C2018" t="s">
        <v>62</v>
      </c>
      <c r="D2018" t="s">
        <v>2487</v>
      </c>
      <c r="E2018" s="2">
        <v>88.16</v>
      </c>
      <c r="F2018" s="3">
        <f t="shared" si="149"/>
        <v>45540</v>
      </c>
      <c r="G2018" s="3">
        <f t="shared" si="149"/>
        <v>45540</v>
      </c>
      <c r="H2018">
        <v>1168059268</v>
      </c>
      <c r="I2018" t="s">
        <v>73</v>
      </c>
      <c r="K2018" t="s">
        <v>21</v>
      </c>
      <c r="L2018" t="s">
        <v>22</v>
      </c>
      <c r="M2018" t="s">
        <v>23</v>
      </c>
      <c r="N2018" t="s">
        <v>23</v>
      </c>
      <c r="O2018" t="s">
        <v>24</v>
      </c>
      <c r="P2018" s="8" t="s">
        <v>2488</v>
      </c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</row>
    <row r="2019" spans="1:51" hidden="1" x14ac:dyDescent="0.2">
      <c r="A2019" s="6"/>
      <c r="E2019" s="2"/>
      <c r="F2019" s="3"/>
      <c r="G2019" s="3"/>
      <c r="P2019" s="8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</row>
    <row r="2020" spans="1:51" x14ac:dyDescent="0.2">
      <c r="A2020" s="6" t="s">
        <v>17</v>
      </c>
      <c r="B2020" t="s">
        <v>57</v>
      </c>
      <c r="C2020" t="s">
        <v>58</v>
      </c>
      <c r="D2020" t="s">
        <v>2489</v>
      </c>
      <c r="E2020" s="2">
        <v>52.5</v>
      </c>
      <c r="F2020" s="3">
        <f>DATE(2024,9,6)</f>
        <v>45541</v>
      </c>
      <c r="G2020" s="3">
        <f>DATE(2024,9,6)</f>
        <v>45541</v>
      </c>
      <c r="H2020">
        <v>1168438242</v>
      </c>
      <c r="I2020" t="s">
        <v>20</v>
      </c>
      <c r="K2020" t="s">
        <v>21</v>
      </c>
      <c r="L2020" t="s">
        <v>22</v>
      </c>
      <c r="M2020" t="s">
        <v>23</v>
      </c>
      <c r="N2020" t="s">
        <v>23</v>
      </c>
      <c r="O2020" t="s">
        <v>24</v>
      </c>
      <c r="P2020" s="8" t="s">
        <v>2490</v>
      </c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</row>
    <row r="2021" spans="1:51" hidden="1" x14ac:dyDescent="0.2">
      <c r="A2021" s="6"/>
      <c r="E2021" s="2"/>
      <c r="F2021" s="3"/>
      <c r="G2021" s="3"/>
      <c r="P2021" s="8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</row>
    <row r="2022" spans="1:51" x14ac:dyDescent="0.2">
      <c r="A2022" s="6" t="s">
        <v>17</v>
      </c>
      <c r="B2022" t="s">
        <v>191</v>
      </c>
      <c r="C2022" t="s">
        <v>192</v>
      </c>
      <c r="D2022" t="s">
        <v>2491</v>
      </c>
      <c r="E2022" s="2">
        <v>28296.18</v>
      </c>
      <c r="F2022" s="3">
        <f t="shared" ref="F2021:G2023" si="150">DATE(2024,9,5)</f>
        <v>45540</v>
      </c>
      <c r="G2022" s="3">
        <f t="shared" si="150"/>
        <v>45540</v>
      </c>
      <c r="H2022">
        <v>1168438244</v>
      </c>
      <c r="I2022" t="s">
        <v>20</v>
      </c>
      <c r="K2022" t="s">
        <v>21</v>
      </c>
      <c r="L2022" t="s">
        <v>22</v>
      </c>
      <c r="M2022" t="s">
        <v>23</v>
      </c>
      <c r="N2022" t="s">
        <v>23</v>
      </c>
      <c r="O2022" t="s">
        <v>24</v>
      </c>
      <c r="P2022" s="8" t="s">
        <v>2492</v>
      </c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</row>
    <row r="2023" spans="1:51" hidden="1" x14ac:dyDescent="0.2">
      <c r="A2023" s="6"/>
      <c r="E2023" s="2"/>
      <c r="F2023" s="3"/>
      <c r="G2023" s="3"/>
      <c r="P2023" s="8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</row>
    <row r="2024" spans="1:51" hidden="1" x14ac:dyDescent="0.2">
      <c r="A2024" s="6"/>
      <c r="E2024" s="2"/>
      <c r="F2024" s="3"/>
      <c r="G2024" s="3"/>
      <c r="P2024" s="8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</row>
    <row r="2025" spans="1:51" hidden="1" x14ac:dyDescent="0.2">
      <c r="A2025" s="6"/>
      <c r="E2025" s="2"/>
      <c r="F2025" s="3"/>
      <c r="G2025" s="3"/>
      <c r="P2025" s="8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</row>
    <row r="2026" spans="1:51" hidden="1" x14ac:dyDescent="0.2">
      <c r="A2026" s="6"/>
      <c r="E2026" s="2"/>
      <c r="F2026" s="3"/>
      <c r="G2026" s="3"/>
      <c r="P2026" s="8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</row>
    <row r="2027" spans="1:51" hidden="1" x14ac:dyDescent="0.2">
      <c r="A2027" s="6"/>
      <c r="E2027" s="2"/>
      <c r="F2027" s="3"/>
      <c r="G2027" s="3"/>
      <c r="P2027" s="8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</row>
    <row r="2028" spans="1:51" x14ac:dyDescent="0.2">
      <c r="A2028" s="6" t="s">
        <v>17</v>
      </c>
      <c r="B2028" t="s">
        <v>44</v>
      </c>
      <c r="C2028" t="s">
        <v>45</v>
      </c>
      <c r="D2028" t="s">
        <v>2493</v>
      </c>
      <c r="E2028" s="2">
        <v>186.15</v>
      </c>
      <c r="F2028" s="3">
        <f>DATE(2024,9,5)</f>
        <v>45540</v>
      </c>
      <c r="G2028" s="3">
        <f>DATE(2024,9,5)</f>
        <v>45540</v>
      </c>
      <c r="H2028">
        <v>1171005298</v>
      </c>
      <c r="I2028" t="s">
        <v>51</v>
      </c>
      <c r="K2028" t="s">
        <v>21</v>
      </c>
      <c r="L2028" t="s">
        <v>22</v>
      </c>
      <c r="M2028" t="s">
        <v>23</v>
      </c>
      <c r="N2028" t="s">
        <v>23</v>
      </c>
      <c r="O2028" t="s">
        <v>24</v>
      </c>
      <c r="P2028" s="8" t="s">
        <v>2494</v>
      </c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</row>
    <row r="2029" spans="1:51" x14ac:dyDescent="0.2">
      <c r="A2029" s="6" t="s">
        <v>17</v>
      </c>
      <c r="B2029" t="s">
        <v>611</v>
      </c>
      <c r="C2029" t="s">
        <v>612</v>
      </c>
      <c r="D2029" t="s">
        <v>2495</v>
      </c>
      <c r="E2029" s="2">
        <v>556.20000000000005</v>
      </c>
      <c r="F2029" s="3">
        <f t="shared" ref="F2029:G2033" si="151">DATE(2024,9,9)</f>
        <v>45544</v>
      </c>
      <c r="G2029" s="3">
        <f t="shared" si="151"/>
        <v>45544</v>
      </c>
      <c r="H2029">
        <v>1173291434</v>
      </c>
      <c r="I2029" t="s">
        <v>20</v>
      </c>
      <c r="K2029" t="s">
        <v>21</v>
      </c>
      <c r="L2029" t="s">
        <v>22</v>
      </c>
      <c r="M2029" t="s">
        <v>23</v>
      </c>
      <c r="N2029" t="s">
        <v>23</v>
      </c>
      <c r="O2029" t="s">
        <v>24</v>
      </c>
      <c r="P2029" s="8" t="s">
        <v>2496</v>
      </c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</row>
    <row r="2030" spans="1:51" x14ac:dyDescent="0.2">
      <c r="A2030" s="6" t="s">
        <v>17</v>
      </c>
      <c r="B2030" t="s">
        <v>104</v>
      </c>
      <c r="C2030" t="s">
        <v>105</v>
      </c>
      <c r="D2030" t="s">
        <v>2497</v>
      </c>
      <c r="E2030" s="2">
        <v>151.91999999999999</v>
      </c>
      <c r="F2030" s="3">
        <f t="shared" si="151"/>
        <v>45544</v>
      </c>
      <c r="G2030" s="3">
        <f t="shared" si="151"/>
        <v>45544</v>
      </c>
      <c r="H2030">
        <v>1173291435</v>
      </c>
      <c r="I2030" t="s">
        <v>20</v>
      </c>
      <c r="K2030" t="s">
        <v>21</v>
      </c>
      <c r="L2030" t="s">
        <v>22</v>
      </c>
      <c r="M2030" t="s">
        <v>23</v>
      </c>
      <c r="N2030" t="s">
        <v>23</v>
      </c>
      <c r="O2030" t="s">
        <v>24</v>
      </c>
      <c r="P2030" s="8" t="s">
        <v>2498</v>
      </c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</row>
    <row r="2031" spans="1:51" x14ac:dyDescent="0.2">
      <c r="A2031" s="6" t="s">
        <v>17</v>
      </c>
      <c r="B2031" t="s">
        <v>18</v>
      </c>
      <c r="C2031" t="s">
        <v>18</v>
      </c>
      <c r="D2031" t="s">
        <v>2499</v>
      </c>
      <c r="E2031" s="2">
        <v>2.85</v>
      </c>
      <c r="F2031" s="3">
        <f t="shared" si="151"/>
        <v>45544</v>
      </c>
      <c r="G2031" s="3">
        <f t="shared" si="151"/>
        <v>45544</v>
      </c>
      <c r="H2031">
        <v>1173291436</v>
      </c>
      <c r="I2031" t="s">
        <v>20</v>
      </c>
      <c r="K2031" t="s">
        <v>21</v>
      </c>
      <c r="L2031" t="s">
        <v>22</v>
      </c>
      <c r="M2031" t="s">
        <v>23</v>
      </c>
      <c r="N2031" t="s">
        <v>23</v>
      </c>
      <c r="O2031" t="s">
        <v>24</v>
      </c>
      <c r="P2031" s="8" t="s">
        <v>2500</v>
      </c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</row>
    <row r="2032" spans="1:51" x14ac:dyDescent="0.2">
      <c r="A2032" s="6" t="s">
        <v>17</v>
      </c>
      <c r="B2032" t="s">
        <v>655</v>
      </c>
      <c r="C2032" t="s">
        <v>656</v>
      </c>
      <c r="D2032" t="s">
        <v>2501</v>
      </c>
      <c r="E2032" s="2">
        <v>1145.3599999999999</v>
      </c>
      <c r="F2032" s="3">
        <f t="shared" si="151"/>
        <v>45544</v>
      </c>
      <c r="G2032" s="3">
        <f t="shared" si="151"/>
        <v>45544</v>
      </c>
      <c r="H2032">
        <v>1173291437</v>
      </c>
      <c r="I2032" t="s">
        <v>20</v>
      </c>
      <c r="K2032" t="s">
        <v>21</v>
      </c>
      <c r="L2032" t="s">
        <v>22</v>
      </c>
      <c r="M2032" t="s">
        <v>23</v>
      </c>
      <c r="N2032" t="s">
        <v>23</v>
      </c>
      <c r="O2032" t="s">
        <v>24</v>
      </c>
      <c r="P2032" s="8" t="s">
        <v>2502</v>
      </c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</row>
    <row r="2033" spans="1:51" x14ac:dyDescent="0.2">
      <c r="A2033" s="6" t="s">
        <v>17</v>
      </c>
      <c r="B2033" t="s">
        <v>44</v>
      </c>
      <c r="C2033" t="s">
        <v>45</v>
      </c>
      <c r="D2033" t="s">
        <v>2503</v>
      </c>
      <c r="E2033" s="2">
        <v>75.8</v>
      </c>
      <c r="F2033" s="3">
        <f t="shared" si="151"/>
        <v>45544</v>
      </c>
      <c r="G2033" s="3">
        <f t="shared" si="151"/>
        <v>45544</v>
      </c>
      <c r="H2033">
        <v>1173291438</v>
      </c>
      <c r="I2033" t="s">
        <v>20</v>
      </c>
      <c r="K2033" t="s">
        <v>21</v>
      </c>
      <c r="L2033" t="s">
        <v>22</v>
      </c>
      <c r="M2033" t="s">
        <v>23</v>
      </c>
      <c r="N2033" t="s">
        <v>23</v>
      </c>
      <c r="O2033" t="s">
        <v>24</v>
      </c>
      <c r="P2033" s="8" t="s">
        <v>2504</v>
      </c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</row>
    <row r="2034" spans="1:51" hidden="1" x14ac:dyDescent="0.2">
      <c r="A2034" s="6"/>
      <c r="E2034" s="2"/>
      <c r="F2034" s="3"/>
      <c r="G2034" s="3"/>
      <c r="P2034" s="8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</row>
    <row r="2035" spans="1:51" x14ac:dyDescent="0.2">
      <c r="A2035" s="6" t="s">
        <v>17</v>
      </c>
      <c r="B2035" t="s">
        <v>34</v>
      </c>
      <c r="C2035" t="s">
        <v>35</v>
      </c>
      <c r="D2035" t="s">
        <v>98</v>
      </c>
      <c r="E2035" s="2">
        <v>500</v>
      </c>
      <c r="F2035" s="3">
        <f>DATE(2024,9,9)</f>
        <v>45544</v>
      </c>
      <c r="G2035" s="3">
        <f>DATE(2024,9,9)</f>
        <v>45544</v>
      </c>
      <c r="H2035">
        <v>1173291440</v>
      </c>
      <c r="I2035" t="s">
        <v>20</v>
      </c>
      <c r="K2035" t="s">
        <v>21</v>
      </c>
      <c r="L2035" t="s">
        <v>22</v>
      </c>
      <c r="M2035" t="s">
        <v>23</v>
      </c>
      <c r="N2035" t="s">
        <v>23</v>
      </c>
      <c r="O2035" t="s">
        <v>24</v>
      </c>
      <c r="P2035" s="8" t="s">
        <v>2505</v>
      </c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</row>
    <row r="2036" spans="1:51" x14ac:dyDescent="0.2">
      <c r="A2036" s="6" t="s">
        <v>17</v>
      </c>
      <c r="B2036" t="s">
        <v>674</v>
      </c>
      <c r="C2036" t="s">
        <v>675</v>
      </c>
      <c r="D2036" t="s">
        <v>2506</v>
      </c>
      <c r="E2036" s="2">
        <v>3044.2</v>
      </c>
      <c r="F2036" s="3">
        <f>DATE(2024,9,9)</f>
        <v>45544</v>
      </c>
      <c r="G2036" s="3">
        <f>DATE(2024,9,9)</f>
        <v>45544</v>
      </c>
      <c r="H2036">
        <v>1173291441</v>
      </c>
      <c r="I2036" t="s">
        <v>20</v>
      </c>
      <c r="K2036" t="s">
        <v>21</v>
      </c>
      <c r="L2036" t="s">
        <v>22</v>
      </c>
      <c r="M2036" t="s">
        <v>23</v>
      </c>
      <c r="N2036" t="s">
        <v>23</v>
      </c>
      <c r="O2036" t="s">
        <v>24</v>
      </c>
      <c r="P2036" s="8" t="s">
        <v>2507</v>
      </c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</row>
    <row r="2037" spans="1:51" hidden="1" x14ac:dyDescent="0.2">
      <c r="A2037" s="6"/>
      <c r="E2037" s="2"/>
      <c r="F2037" s="3"/>
      <c r="G2037" s="3"/>
      <c r="P2037" s="8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</row>
    <row r="2038" spans="1:51" hidden="1" x14ac:dyDescent="0.2">
      <c r="A2038" s="6"/>
      <c r="E2038" s="2"/>
      <c r="F2038" s="3"/>
      <c r="G2038" s="3"/>
      <c r="P2038" s="8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</row>
    <row r="2039" spans="1:51" x14ac:dyDescent="0.2">
      <c r="A2039" s="6" t="s">
        <v>17</v>
      </c>
      <c r="B2039" t="s">
        <v>104</v>
      </c>
      <c r="C2039" t="s">
        <v>105</v>
      </c>
      <c r="D2039" t="s">
        <v>2508</v>
      </c>
      <c r="E2039" s="2">
        <v>106.1</v>
      </c>
      <c r="F2039" s="3">
        <f>DATE(2024,9,10)</f>
        <v>45545</v>
      </c>
      <c r="G2039" s="3">
        <f>DATE(2024,9,10)</f>
        <v>45545</v>
      </c>
      <c r="H2039">
        <v>1176810459</v>
      </c>
      <c r="I2039" t="s">
        <v>73</v>
      </c>
      <c r="K2039" t="s">
        <v>21</v>
      </c>
      <c r="L2039" t="s">
        <v>22</v>
      </c>
      <c r="M2039" t="s">
        <v>23</v>
      </c>
      <c r="N2039" t="s">
        <v>23</v>
      </c>
      <c r="O2039" t="s">
        <v>24</v>
      </c>
      <c r="P2039" s="8" t="s">
        <v>2509</v>
      </c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</row>
    <row r="2040" spans="1:51" hidden="1" x14ac:dyDescent="0.2">
      <c r="A2040" s="6"/>
      <c r="E2040" s="2"/>
      <c r="F2040" s="3"/>
      <c r="G2040" s="3"/>
      <c r="P2040" s="8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</row>
    <row r="2041" spans="1:51" hidden="1" x14ac:dyDescent="0.2">
      <c r="A2041" s="6"/>
      <c r="E2041" s="2"/>
      <c r="F2041" s="3"/>
      <c r="G2041" s="3"/>
      <c r="P2041" s="8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</row>
    <row r="2042" spans="1:51" x14ac:dyDescent="0.2">
      <c r="A2042" s="6" t="s">
        <v>17</v>
      </c>
      <c r="B2042" t="s">
        <v>110</v>
      </c>
      <c r="C2042" t="s">
        <v>111</v>
      </c>
      <c r="D2042" t="s">
        <v>2510</v>
      </c>
      <c r="E2042" s="2">
        <v>1.69</v>
      </c>
      <c r="F2042" s="3">
        <f t="shared" ref="F2040:G2042" si="152">DATE(2024,9,9)</f>
        <v>45544</v>
      </c>
      <c r="G2042" s="3">
        <f t="shared" si="152"/>
        <v>45544</v>
      </c>
      <c r="H2042">
        <v>1176810462</v>
      </c>
      <c r="I2042" t="s">
        <v>73</v>
      </c>
      <c r="K2042" t="s">
        <v>21</v>
      </c>
      <c r="L2042" t="s">
        <v>22</v>
      </c>
      <c r="M2042" t="s">
        <v>23</v>
      </c>
      <c r="N2042" t="s">
        <v>23</v>
      </c>
      <c r="O2042" t="s">
        <v>24</v>
      </c>
      <c r="P2042" s="8" t="s">
        <v>2511</v>
      </c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</row>
    <row r="2043" spans="1:51" x14ac:dyDescent="0.2">
      <c r="A2043" s="6" t="s">
        <v>17</v>
      </c>
      <c r="B2043" t="s">
        <v>1060</v>
      </c>
      <c r="C2043" t="s">
        <v>1061</v>
      </c>
      <c r="D2043" t="s">
        <v>2512</v>
      </c>
      <c r="E2043" s="2">
        <v>131.09</v>
      </c>
      <c r="F2043" s="3">
        <f t="shared" ref="F2043:G2045" si="153">DATE(2024,9,10)</f>
        <v>45545</v>
      </c>
      <c r="G2043" s="3">
        <f t="shared" si="153"/>
        <v>45545</v>
      </c>
      <c r="H2043">
        <v>1178155974</v>
      </c>
      <c r="I2043" t="s">
        <v>20</v>
      </c>
      <c r="K2043" t="s">
        <v>21</v>
      </c>
      <c r="L2043" t="s">
        <v>22</v>
      </c>
      <c r="M2043" t="s">
        <v>23</v>
      </c>
      <c r="N2043" t="s">
        <v>23</v>
      </c>
      <c r="O2043" t="s">
        <v>24</v>
      </c>
      <c r="P2043" s="8" t="s">
        <v>2513</v>
      </c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</row>
    <row r="2044" spans="1:51" x14ac:dyDescent="0.2">
      <c r="A2044" s="6" t="s">
        <v>17</v>
      </c>
      <c r="B2044" t="s">
        <v>30</v>
      </c>
      <c r="C2044" t="s">
        <v>31</v>
      </c>
      <c r="D2044" t="s">
        <v>2514</v>
      </c>
      <c r="E2044" s="2">
        <v>1156.0999999999999</v>
      </c>
      <c r="F2044" s="3">
        <f t="shared" si="153"/>
        <v>45545</v>
      </c>
      <c r="G2044" s="3">
        <f t="shared" si="153"/>
        <v>45545</v>
      </c>
      <c r="H2044">
        <v>1178155975</v>
      </c>
      <c r="I2044" t="s">
        <v>20</v>
      </c>
      <c r="K2044" t="s">
        <v>21</v>
      </c>
      <c r="L2044" t="s">
        <v>22</v>
      </c>
      <c r="M2044" t="s">
        <v>23</v>
      </c>
      <c r="N2044" t="s">
        <v>23</v>
      </c>
      <c r="O2044" t="s">
        <v>24</v>
      </c>
      <c r="P2044" s="8" t="s">
        <v>2515</v>
      </c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</row>
    <row r="2045" spans="1:51" x14ac:dyDescent="0.2">
      <c r="A2045" s="6" t="s">
        <v>17</v>
      </c>
      <c r="B2045" t="s">
        <v>137</v>
      </c>
      <c r="C2045" t="s">
        <v>138</v>
      </c>
      <c r="D2045" t="s">
        <v>2516</v>
      </c>
      <c r="E2045" s="2">
        <v>118.8</v>
      </c>
      <c r="F2045" s="3">
        <f t="shared" si="153"/>
        <v>45545</v>
      </c>
      <c r="G2045" s="3">
        <f t="shared" si="153"/>
        <v>45545</v>
      </c>
      <c r="H2045">
        <v>1178155976</v>
      </c>
      <c r="I2045" t="s">
        <v>20</v>
      </c>
      <c r="K2045" t="s">
        <v>21</v>
      </c>
      <c r="L2045" t="s">
        <v>22</v>
      </c>
      <c r="M2045" t="s">
        <v>23</v>
      </c>
      <c r="N2045" t="s">
        <v>23</v>
      </c>
      <c r="O2045" t="s">
        <v>24</v>
      </c>
      <c r="P2045" s="8" t="s">
        <v>2517</v>
      </c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</row>
    <row r="2046" spans="1:51" hidden="1" x14ac:dyDescent="0.2">
      <c r="A2046" s="6"/>
      <c r="E2046" s="2"/>
      <c r="F2046" s="3"/>
      <c r="G2046" s="3"/>
      <c r="P2046" s="8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</row>
    <row r="2047" spans="1:51" hidden="1" x14ac:dyDescent="0.2">
      <c r="A2047" s="6"/>
      <c r="E2047" s="2"/>
      <c r="F2047" s="3"/>
      <c r="G2047" s="3"/>
      <c r="P2047" s="8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</row>
    <row r="2048" spans="1:51" hidden="1" x14ac:dyDescent="0.2">
      <c r="A2048" s="6"/>
      <c r="E2048" s="2"/>
      <c r="F2048" s="3"/>
      <c r="G2048" s="3"/>
      <c r="P2048" s="8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</row>
    <row r="2049" spans="1:51" hidden="1" x14ac:dyDescent="0.2">
      <c r="A2049" s="6"/>
      <c r="E2049" s="2"/>
      <c r="F2049" s="3"/>
      <c r="G2049" s="3"/>
      <c r="P2049" s="8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</row>
    <row r="2050" spans="1:51" hidden="1" x14ac:dyDescent="0.2">
      <c r="A2050" s="6"/>
      <c r="E2050" s="2"/>
      <c r="F2050" s="3"/>
      <c r="G2050" s="3"/>
      <c r="P2050" s="8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</row>
    <row r="2051" spans="1:51" x14ac:dyDescent="0.2">
      <c r="A2051" s="6" t="s">
        <v>17</v>
      </c>
      <c r="B2051" t="s">
        <v>61</v>
      </c>
      <c r="C2051" t="s">
        <v>62</v>
      </c>
      <c r="D2051" t="s">
        <v>2518</v>
      </c>
      <c r="E2051" s="2">
        <v>324</v>
      </c>
      <c r="F2051" s="3">
        <f t="shared" ref="F2051:G2053" si="154">DATE(2024,9,10)</f>
        <v>45545</v>
      </c>
      <c r="G2051" s="3">
        <f t="shared" si="154"/>
        <v>45545</v>
      </c>
      <c r="H2051">
        <v>1178155982</v>
      </c>
      <c r="I2051" t="s">
        <v>20</v>
      </c>
      <c r="K2051" t="s">
        <v>21</v>
      </c>
      <c r="L2051" t="s">
        <v>22</v>
      </c>
      <c r="M2051" t="s">
        <v>23</v>
      </c>
      <c r="N2051" t="s">
        <v>23</v>
      </c>
      <c r="O2051" t="s">
        <v>24</v>
      </c>
      <c r="P2051" s="8" t="s">
        <v>2519</v>
      </c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</row>
    <row r="2052" spans="1:51" x14ac:dyDescent="0.2">
      <c r="A2052" s="6" t="s">
        <v>17</v>
      </c>
      <c r="B2052" t="s">
        <v>887</v>
      </c>
      <c r="C2052" t="s">
        <v>888</v>
      </c>
      <c r="D2052" t="s">
        <v>2520</v>
      </c>
      <c r="E2052" s="2">
        <v>654.86</v>
      </c>
      <c r="F2052" s="3">
        <f t="shared" si="154"/>
        <v>45545</v>
      </c>
      <c r="G2052" s="3">
        <f t="shared" si="154"/>
        <v>45545</v>
      </c>
      <c r="H2052">
        <v>1178155983</v>
      </c>
      <c r="I2052" t="s">
        <v>20</v>
      </c>
      <c r="K2052" t="s">
        <v>21</v>
      </c>
      <c r="L2052" t="s">
        <v>22</v>
      </c>
      <c r="M2052" t="s">
        <v>23</v>
      </c>
      <c r="N2052" t="s">
        <v>23</v>
      </c>
      <c r="O2052" t="s">
        <v>24</v>
      </c>
      <c r="P2052" s="8" t="s">
        <v>2521</v>
      </c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</row>
    <row r="2053" spans="1:51" x14ac:dyDescent="0.2">
      <c r="A2053" s="6" t="s">
        <v>17</v>
      </c>
      <c r="B2053" t="s">
        <v>30</v>
      </c>
      <c r="C2053" t="s">
        <v>31</v>
      </c>
      <c r="D2053" t="s">
        <v>2522</v>
      </c>
      <c r="E2053" s="2">
        <v>871.08</v>
      </c>
      <c r="F2053" s="3">
        <f t="shared" si="154"/>
        <v>45545</v>
      </c>
      <c r="G2053" s="3">
        <f t="shared" si="154"/>
        <v>45545</v>
      </c>
      <c r="H2053">
        <v>1178155984</v>
      </c>
      <c r="I2053" t="s">
        <v>20</v>
      </c>
      <c r="K2053" t="s">
        <v>21</v>
      </c>
      <c r="L2053" t="s">
        <v>22</v>
      </c>
      <c r="M2053" t="s">
        <v>23</v>
      </c>
      <c r="N2053" t="s">
        <v>23</v>
      </c>
      <c r="O2053" t="s">
        <v>24</v>
      </c>
      <c r="P2053" s="8" t="s">
        <v>2523</v>
      </c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</row>
    <row r="2054" spans="1:51" x14ac:dyDescent="0.2">
      <c r="A2054" s="6" t="s">
        <v>17</v>
      </c>
      <c r="B2054" t="s">
        <v>144</v>
      </c>
      <c r="C2054" t="s">
        <v>145</v>
      </c>
      <c r="D2054" t="s">
        <v>487</v>
      </c>
      <c r="E2054" s="2">
        <v>91.47</v>
      </c>
      <c r="F2054" s="3">
        <f>DATE(2024,9,8)</f>
        <v>45543</v>
      </c>
      <c r="G2054" s="3">
        <f>DATE(2024,9,8)</f>
        <v>45543</v>
      </c>
      <c r="H2054">
        <v>1178156724</v>
      </c>
      <c r="I2054" t="s">
        <v>51</v>
      </c>
      <c r="K2054" t="s">
        <v>21</v>
      </c>
      <c r="L2054" t="s">
        <v>22</v>
      </c>
      <c r="M2054" t="s">
        <v>23</v>
      </c>
      <c r="N2054" t="s">
        <v>23</v>
      </c>
      <c r="O2054" t="s">
        <v>24</v>
      </c>
      <c r="P2054" s="8" t="s">
        <v>2524</v>
      </c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</row>
    <row r="2055" spans="1:51" x14ac:dyDescent="0.2">
      <c r="A2055" s="6" t="s">
        <v>17</v>
      </c>
      <c r="B2055" t="s">
        <v>44</v>
      </c>
      <c r="C2055" t="s">
        <v>45</v>
      </c>
      <c r="D2055" t="s">
        <v>1648</v>
      </c>
      <c r="E2055" s="2">
        <v>266.66000000000003</v>
      </c>
      <c r="F2055" s="3">
        <f>DATE(2024,9,8)</f>
        <v>45543</v>
      </c>
      <c r="G2055" s="3">
        <f>DATE(2024,9,8)</f>
        <v>45543</v>
      </c>
      <c r="H2055">
        <v>1178156726</v>
      </c>
      <c r="I2055" t="s">
        <v>51</v>
      </c>
      <c r="K2055" t="s">
        <v>21</v>
      </c>
      <c r="L2055" t="s">
        <v>22</v>
      </c>
      <c r="M2055" t="s">
        <v>23</v>
      </c>
      <c r="N2055" t="s">
        <v>23</v>
      </c>
      <c r="O2055" t="s">
        <v>24</v>
      </c>
      <c r="P2055" s="8" t="s">
        <v>2525</v>
      </c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</row>
    <row r="2056" spans="1:51" hidden="1" x14ac:dyDescent="0.2">
      <c r="A2056" s="6"/>
      <c r="E2056" s="2"/>
      <c r="F2056" s="3"/>
      <c r="G2056" s="3"/>
      <c r="P2056" s="8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</row>
    <row r="2057" spans="1:51" hidden="1" x14ac:dyDescent="0.2">
      <c r="A2057" s="6"/>
      <c r="E2057" s="2"/>
      <c r="F2057" s="3"/>
      <c r="G2057" s="3"/>
      <c r="P2057" s="8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</row>
    <row r="2058" spans="1:51" x14ac:dyDescent="0.2">
      <c r="A2058" s="6" t="s">
        <v>17</v>
      </c>
      <c r="B2058" t="s">
        <v>34</v>
      </c>
      <c r="C2058" t="s">
        <v>35</v>
      </c>
      <c r="D2058" t="s">
        <v>2526</v>
      </c>
      <c r="E2058" s="2">
        <v>143.30000000000001</v>
      </c>
      <c r="F2058" s="3">
        <f>DATE(2024,9,11)</f>
        <v>45546</v>
      </c>
      <c r="G2058" s="3">
        <f>DATE(2024,9,11)</f>
        <v>45546</v>
      </c>
      <c r="H2058">
        <v>1181960139</v>
      </c>
      <c r="I2058" t="s">
        <v>20</v>
      </c>
      <c r="K2058" t="s">
        <v>21</v>
      </c>
      <c r="L2058" t="s">
        <v>22</v>
      </c>
      <c r="M2058" t="s">
        <v>23</v>
      </c>
      <c r="N2058" t="s">
        <v>23</v>
      </c>
      <c r="O2058" t="s">
        <v>24</v>
      </c>
      <c r="P2058" s="8" t="s">
        <v>2527</v>
      </c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</row>
    <row r="2059" spans="1:51" hidden="1" x14ac:dyDescent="0.2">
      <c r="A2059" s="6"/>
      <c r="E2059" s="2"/>
      <c r="F2059" s="3"/>
      <c r="G2059" s="3"/>
      <c r="P2059" s="8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</row>
    <row r="2060" spans="1:51" hidden="1" x14ac:dyDescent="0.2">
      <c r="A2060" s="6"/>
      <c r="E2060" s="2"/>
      <c r="F2060" s="3"/>
      <c r="G2060" s="3"/>
      <c r="P2060" s="8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</row>
    <row r="2061" spans="1:51" x14ac:dyDescent="0.2">
      <c r="A2061" s="6" t="s">
        <v>17</v>
      </c>
      <c r="B2061" t="s">
        <v>110</v>
      </c>
      <c r="C2061" t="s">
        <v>111</v>
      </c>
      <c r="D2061" t="s">
        <v>2528</v>
      </c>
      <c r="E2061" s="2">
        <v>44.7</v>
      </c>
      <c r="F2061" s="3">
        <f t="shared" ref="F2059:G2061" si="155">DATE(2024,9,10)</f>
        <v>45545</v>
      </c>
      <c r="G2061" s="3">
        <f t="shared" si="155"/>
        <v>45545</v>
      </c>
      <c r="H2061">
        <v>1181960142</v>
      </c>
      <c r="I2061" t="s">
        <v>20</v>
      </c>
      <c r="K2061" t="s">
        <v>21</v>
      </c>
      <c r="L2061" t="s">
        <v>22</v>
      </c>
      <c r="M2061" t="s">
        <v>23</v>
      </c>
      <c r="N2061" t="s">
        <v>23</v>
      </c>
      <c r="O2061" t="s">
        <v>24</v>
      </c>
      <c r="P2061" s="8" t="s">
        <v>2529</v>
      </c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</row>
    <row r="2062" spans="1:51" x14ac:dyDescent="0.2">
      <c r="A2062" s="6" t="s">
        <v>17</v>
      </c>
      <c r="B2062" t="s">
        <v>26</v>
      </c>
      <c r="C2062" t="s">
        <v>27</v>
      </c>
      <c r="D2062" t="s">
        <v>2530</v>
      </c>
      <c r="E2062" s="2">
        <v>30</v>
      </c>
      <c r="F2062" s="3">
        <f>DATE(2024,9,11)</f>
        <v>45546</v>
      </c>
      <c r="G2062" s="3">
        <f>DATE(2024,9,11)</f>
        <v>45546</v>
      </c>
      <c r="H2062">
        <v>1181960143</v>
      </c>
      <c r="I2062" t="s">
        <v>20</v>
      </c>
      <c r="K2062" t="s">
        <v>21</v>
      </c>
      <c r="L2062" t="s">
        <v>22</v>
      </c>
      <c r="M2062" t="s">
        <v>23</v>
      </c>
      <c r="N2062" t="s">
        <v>23</v>
      </c>
      <c r="O2062" t="s">
        <v>24</v>
      </c>
      <c r="P2062" s="8" t="s">
        <v>2531</v>
      </c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</row>
    <row r="2063" spans="1:51" x14ac:dyDescent="0.2">
      <c r="A2063" s="6" t="s">
        <v>17</v>
      </c>
      <c r="B2063" t="s">
        <v>100</v>
      </c>
      <c r="C2063" t="s">
        <v>101</v>
      </c>
      <c r="D2063" t="s">
        <v>1658</v>
      </c>
      <c r="E2063" s="2">
        <v>66.180000000000007</v>
      </c>
      <c r="F2063" s="3">
        <f t="shared" ref="F2063:G2066" si="156">DATE(2024,9,9)</f>
        <v>45544</v>
      </c>
      <c r="G2063" s="3">
        <f t="shared" si="156"/>
        <v>45544</v>
      </c>
      <c r="H2063">
        <v>1181960144</v>
      </c>
      <c r="I2063" t="s">
        <v>51</v>
      </c>
      <c r="K2063" t="s">
        <v>21</v>
      </c>
      <c r="L2063" t="s">
        <v>22</v>
      </c>
      <c r="M2063" t="s">
        <v>23</v>
      </c>
      <c r="N2063" t="s">
        <v>23</v>
      </c>
      <c r="O2063" t="s">
        <v>24</v>
      </c>
      <c r="P2063" s="8" t="s">
        <v>2532</v>
      </c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</row>
    <row r="2064" spans="1:51" x14ac:dyDescent="0.2">
      <c r="A2064" s="6" t="s">
        <v>17</v>
      </c>
      <c r="B2064" t="s">
        <v>44</v>
      </c>
      <c r="C2064" t="s">
        <v>45</v>
      </c>
      <c r="D2064" t="s">
        <v>2533</v>
      </c>
      <c r="E2064" s="2">
        <v>71.650000000000006</v>
      </c>
      <c r="F2064" s="3">
        <f t="shared" si="156"/>
        <v>45544</v>
      </c>
      <c r="G2064" s="3">
        <f t="shared" si="156"/>
        <v>45544</v>
      </c>
      <c r="H2064">
        <v>1181960145</v>
      </c>
      <c r="I2064" t="s">
        <v>51</v>
      </c>
      <c r="K2064" t="s">
        <v>21</v>
      </c>
      <c r="L2064" t="s">
        <v>22</v>
      </c>
      <c r="M2064" t="s">
        <v>23</v>
      </c>
      <c r="N2064" t="s">
        <v>23</v>
      </c>
      <c r="O2064" t="s">
        <v>24</v>
      </c>
      <c r="P2064" s="8" t="s">
        <v>2534</v>
      </c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</row>
    <row r="2065" spans="1:51" x14ac:dyDescent="0.2">
      <c r="A2065" s="6" t="s">
        <v>17</v>
      </c>
      <c r="B2065" t="s">
        <v>44</v>
      </c>
      <c r="C2065" t="s">
        <v>45</v>
      </c>
      <c r="D2065" t="s">
        <v>570</v>
      </c>
      <c r="E2065" s="2">
        <v>393.96</v>
      </c>
      <c r="F2065" s="3">
        <f t="shared" si="156"/>
        <v>45544</v>
      </c>
      <c r="G2065" s="3">
        <f t="shared" si="156"/>
        <v>45544</v>
      </c>
      <c r="H2065">
        <v>1181960146</v>
      </c>
      <c r="I2065" t="s">
        <v>51</v>
      </c>
      <c r="K2065" t="s">
        <v>21</v>
      </c>
      <c r="L2065" t="s">
        <v>22</v>
      </c>
      <c r="M2065" t="s">
        <v>23</v>
      </c>
      <c r="N2065" t="s">
        <v>23</v>
      </c>
      <c r="O2065" t="s">
        <v>24</v>
      </c>
      <c r="P2065" s="8" t="s">
        <v>2535</v>
      </c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</row>
    <row r="2066" spans="1:51" x14ac:dyDescent="0.2">
      <c r="A2066" s="6" t="s">
        <v>17</v>
      </c>
      <c r="B2066" t="s">
        <v>26</v>
      </c>
      <c r="C2066" t="s">
        <v>27</v>
      </c>
      <c r="D2066" t="s">
        <v>71</v>
      </c>
      <c r="E2066" s="2">
        <v>1.79</v>
      </c>
      <c r="F2066" s="3">
        <f t="shared" si="156"/>
        <v>45544</v>
      </c>
      <c r="G2066" s="3">
        <f t="shared" si="156"/>
        <v>45544</v>
      </c>
      <c r="H2066">
        <v>1181960147</v>
      </c>
      <c r="I2066" t="s">
        <v>51</v>
      </c>
      <c r="K2066" t="s">
        <v>21</v>
      </c>
      <c r="L2066" t="s">
        <v>22</v>
      </c>
      <c r="M2066" t="s">
        <v>23</v>
      </c>
      <c r="N2066" t="s">
        <v>23</v>
      </c>
      <c r="O2066" t="s">
        <v>24</v>
      </c>
      <c r="P2066" s="8" t="s">
        <v>2536</v>
      </c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</row>
    <row r="2067" spans="1:51" x14ac:dyDescent="0.2">
      <c r="A2067" s="6" t="s">
        <v>17</v>
      </c>
      <c r="B2067" t="s">
        <v>18</v>
      </c>
      <c r="C2067" t="s">
        <v>18</v>
      </c>
      <c r="D2067" t="s">
        <v>2537</v>
      </c>
      <c r="E2067" s="2">
        <v>30.23</v>
      </c>
      <c r="F2067" s="3">
        <f>DATE(2024,9,11)</f>
        <v>45546</v>
      </c>
      <c r="G2067" s="3">
        <f>DATE(2024,9,11)</f>
        <v>45546</v>
      </c>
      <c r="H2067">
        <v>1185203172</v>
      </c>
      <c r="I2067" t="s">
        <v>73</v>
      </c>
      <c r="K2067" t="s">
        <v>21</v>
      </c>
      <c r="L2067" t="s">
        <v>22</v>
      </c>
      <c r="M2067" t="s">
        <v>23</v>
      </c>
      <c r="N2067" t="s">
        <v>23</v>
      </c>
      <c r="O2067" t="s">
        <v>24</v>
      </c>
      <c r="P2067" s="8" t="s">
        <v>2538</v>
      </c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</row>
    <row r="2068" spans="1:51" hidden="1" x14ac:dyDescent="0.2">
      <c r="A2068" s="6"/>
      <c r="E2068" s="2"/>
      <c r="F2068" s="3"/>
      <c r="G2068" s="3"/>
      <c r="P2068" s="8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</row>
    <row r="2069" spans="1:51" x14ac:dyDescent="0.2">
      <c r="A2069" s="6" t="s">
        <v>17</v>
      </c>
      <c r="B2069" t="s">
        <v>80</v>
      </c>
      <c r="C2069" t="s">
        <v>81</v>
      </c>
      <c r="D2069" t="s">
        <v>2539</v>
      </c>
      <c r="E2069" s="2">
        <v>42</v>
      </c>
      <c r="F2069" s="3">
        <f>DATE(2024,9,12)</f>
        <v>45547</v>
      </c>
      <c r="G2069" s="3">
        <f>DATE(2024,9,12)</f>
        <v>45547</v>
      </c>
      <c r="H2069">
        <v>1185731686</v>
      </c>
      <c r="I2069" t="s">
        <v>20</v>
      </c>
      <c r="K2069" t="s">
        <v>21</v>
      </c>
      <c r="L2069" t="s">
        <v>22</v>
      </c>
      <c r="M2069" t="s">
        <v>23</v>
      </c>
      <c r="N2069" t="s">
        <v>23</v>
      </c>
      <c r="O2069" t="s">
        <v>24</v>
      </c>
      <c r="P2069" s="8" t="s">
        <v>2540</v>
      </c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</row>
    <row r="2070" spans="1:51" x14ac:dyDescent="0.2">
      <c r="A2070" s="6" t="s">
        <v>17</v>
      </c>
      <c r="B2070" t="s">
        <v>104</v>
      </c>
      <c r="C2070" t="s">
        <v>105</v>
      </c>
      <c r="D2070" t="s">
        <v>2541</v>
      </c>
      <c r="E2070" s="2">
        <v>453.34</v>
      </c>
      <c r="F2070" s="3">
        <f>DATE(2024,9,12)</f>
        <v>45547</v>
      </c>
      <c r="G2070" s="3">
        <f>DATE(2024,9,12)</f>
        <v>45547</v>
      </c>
      <c r="H2070">
        <v>1185731687</v>
      </c>
      <c r="I2070" t="s">
        <v>20</v>
      </c>
      <c r="K2070" t="s">
        <v>21</v>
      </c>
      <c r="L2070" t="s">
        <v>22</v>
      </c>
      <c r="M2070" t="s">
        <v>23</v>
      </c>
      <c r="N2070" t="s">
        <v>23</v>
      </c>
      <c r="O2070" t="s">
        <v>24</v>
      </c>
      <c r="P2070" s="8" t="s">
        <v>2542</v>
      </c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</row>
    <row r="2071" spans="1:51" hidden="1" x14ac:dyDescent="0.2">
      <c r="A2071" s="6"/>
      <c r="E2071" s="2"/>
      <c r="F2071" s="3"/>
      <c r="G2071" s="3"/>
      <c r="P2071" s="8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</row>
    <row r="2072" spans="1:51" hidden="1" x14ac:dyDescent="0.2">
      <c r="A2072" s="6"/>
      <c r="E2072" s="2"/>
      <c r="F2072" s="3"/>
      <c r="G2072" s="3"/>
      <c r="P2072" s="8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</row>
    <row r="2073" spans="1:51" x14ac:dyDescent="0.2">
      <c r="A2073" s="6" t="s">
        <v>17</v>
      </c>
      <c r="B2073" t="s">
        <v>44</v>
      </c>
      <c r="C2073" t="s">
        <v>45</v>
      </c>
      <c r="D2073" t="s">
        <v>2543</v>
      </c>
      <c r="E2073" s="2">
        <v>3.99</v>
      </c>
      <c r="F2073" s="3">
        <f>DATE(2024,9,10)</f>
        <v>45545</v>
      </c>
      <c r="G2073" s="3">
        <f>DATE(2024,9,10)</f>
        <v>45545</v>
      </c>
      <c r="H2073">
        <v>1185731695</v>
      </c>
      <c r="I2073" t="s">
        <v>51</v>
      </c>
      <c r="K2073" t="s">
        <v>21</v>
      </c>
      <c r="L2073" t="s">
        <v>22</v>
      </c>
      <c r="M2073" t="s">
        <v>23</v>
      </c>
      <c r="N2073" t="s">
        <v>23</v>
      </c>
      <c r="O2073" t="s">
        <v>24</v>
      </c>
      <c r="P2073" s="8" t="s">
        <v>2544</v>
      </c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</row>
    <row r="2074" spans="1:51" hidden="1" x14ac:dyDescent="0.2">
      <c r="A2074" s="6"/>
      <c r="E2074" s="2"/>
      <c r="F2074" s="3"/>
      <c r="G2074" s="3"/>
      <c r="P2074" s="8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</row>
    <row r="2075" spans="1:51" hidden="1" x14ac:dyDescent="0.2">
      <c r="A2075" s="6"/>
      <c r="E2075" s="2"/>
      <c r="F2075" s="3"/>
      <c r="G2075" s="3"/>
      <c r="P2075" s="8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</row>
    <row r="2076" spans="1:51" hidden="1" x14ac:dyDescent="0.2">
      <c r="A2076" s="6"/>
      <c r="E2076" s="2"/>
      <c r="F2076" s="3"/>
      <c r="G2076" s="3"/>
      <c r="P2076" s="8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</row>
    <row r="2077" spans="1:51" x14ac:dyDescent="0.2">
      <c r="A2077" s="6" t="s">
        <v>17</v>
      </c>
      <c r="B2077" t="s">
        <v>57</v>
      </c>
      <c r="C2077" t="s">
        <v>58</v>
      </c>
      <c r="D2077" t="s">
        <v>2545</v>
      </c>
      <c r="E2077" s="2">
        <v>143.91999999999999</v>
      </c>
      <c r="F2077" s="3">
        <f>DATE(2024,9,13)</f>
        <v>45548</v>
      </c>
      <c r="G2077" s="3">
        <f>DATE(2024,9,13)</f>
        <v>45548</v>
      </c>
      <c r="H2077">
        <v>1189457636</v>
      </c>
      <c r="I2077" t="s">
        <v>20</v>
      </c>
      <c r="K2077" t="s">
        <v>21</v>
      </c>
      <c r="L2077" t="s">
        <v>22</v>
      </c>
      <c r="M2077" t="s">
        <v>23</v>
      </c>
      <c r="N2077" t="s">
        <v>23</v>
      </c>
      <c r="O2077" t="s">
        <v>24</v>
      </c>
      <c r="P2077" s="8" t="s">
        <v>2546</v>
      </c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</row>
    <row r="2078" spans="1:51" hidden="1" x14ac:dyDescent="0.2">
      <c r="A2078" s="6"/>
      <c r="E2078" s="2"/>
      <c r="F2078" s="3"/>
      <c r="G2078" s="3"/>
      <c r="P2078" s="8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</row>
    <row r="2079" spans="1:51" hidden="1" x14ac:dyDescent="0.2">
      <c r="A2079" s="6"/>
      <c r="E2079" s="2"/>
      <c r="F2079" s="3"/>
      <c r="G2079" s="3"/>
      <c r="P2079" s="8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</row>
    <row r="2080" spans="1:51" x14ac:dyDescent="0.2">
      <c r="A2080" s="6" t="s">
        <v>17</v>
      </c>
      <c r="B2080" t="s">
        <v>44</v>
      </c>
      <c r="C2080" t="s">
        <v>45</v>
      </c>
      <c r="D2080" t="s">
        <v>831</v>
      </c>
      <c r="E2080" s="2">
        <v>149</v>
      </c>
      <c r="F2080" s="3">
        <f>DATE(2024,9,10)</f>
        <v>45545</v>
      </c>
      <c r="G2080" s="3">
        <f>DATE(2024,9,10)</f>
        <v>45545</v>
      </c>
      <c r="H2080">
        <v>1189457900</v>
      </c>
      <c r="I2080" t="s">
        <v>51</v>
      </c>
      <c r="K2080" t="s">
        <v>21</v>
      </c>
      <c r="L2080" t="s">
        <v>22</v>
      </c>
      <c r="M2080" t="s">
        <v>23</v>
      </c>
      <c r="N2080" t="s">
        <v>23</v>
      </c>
      <c r="O2080" t="s">
        <v>24</v>
      </c>
      <c r="P2080" s="8" t="s">
        <v>2547</v>
      </c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</row>
    <row r="2081" spans="1:51" hidden="1" x14ac:dyDescent="0.2">
      <c r="A2081" s="6"/>
      <c r="E2081" s="2"/>
      <c r="F2081" s="3"/>
      <c r="G2081" s="3"/>
      <c r="P2081" s="8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</row>
    <row r="2082" spans="1:51" hidden="1" x14ac:dyDescent="0.2">
      <c r="A2082" s="6"/>
      <c r="E2082" s="2"/>
      <c r="F2082" s="3"/>
      <c r="G2082" s="3"/>
      <c r="P2082" s="8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</row>
    <row r="2083" spans="1:51" hidden="1" x14ac:dyDescent="0.2">
      <c r="A2083" s="6"/>
      <c r="E2083" s="2"/>
      <c r="F2083" s="3"/>
      <c r="G2083" s="3"/>
      <c r="P2083" s="8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</row>
    <row r="2084" spans="1:51" hidden="1" x14ac:dyDescent="0.2">
      <c r="A2084" s="6"/>
      <c r="E2084" s="2"/>
      <c r="F2084" s="3"/>
      <c r="G2084" s="3"/>
      <c r="P2084" s="8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</row>
    <row r="2085" spans="1:51" x14ac:dyDescent="0.2">
      <c r="A2085" s="6" t="s">
        <v>17</v>
      </c>
      <c r="B2085" t="s">
        <v>110</v>
      </c>
      <c r="C2085" t="s">
        <v>111</v>
      </c>
      <c r="D2085" t="s">
        <v>2548</v>
      </c>
      <c r="E2085" s="2">
        <v>0.92</v>
      </c>
      <c r="F2085" s="3">
        <f t="shared" ref="F2081:G2109" si="157">DATE(2024,9,13)</f>
        <v>45548</v>
      </c>
      <c r="G2085" s="3">
        <f t="shared" si="157"/>
        <v>45548</v>
      </c>
      <c r="H2085">
        <v>1191795518</v>
      </c>
      <c r="I2085" t="s">
        <v>73</v>
      </c>
      <c r="K2085" t="s">
        <v>21</v>
      </c>
      <c r="L2085" t="s">
        <v>22</v>
      </c>
      <c r="M2085" t="s">
        <v>23</v>
      </c>
      <c r="N2085" t="s">
        <v>23</v>
      </c>
      <c r="O2085" t="s">
        <v>24</v>
      </c>
      <c r="P2085" s="8" t="s">
        <v>2549</v>
      </c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</row>
    <row r="2086" spans="1:51" x14ac:dyDescent="0.2">
      <c r="A2086" s="6" t="s">
        <v>17</v>
      </c>
      <c r="B2086" t="s">
        <v>110</v>
      </c>
      <c r="C2086" t="s">
        <v>111</v>
      </c>
      <c r="D2086" t="s">
        <v>2550</v>
      </c>
      <c r="E2086" s="2">
        <v>4977.1099999999997</v>
      </c>
      <c r="F2086" s="3">
        <f t="shared" si="157"/>
        <v>45548</v>
      </c>
      <c r="G2086" s="3">
        <f t="shared" si="157"/>
        <v>45548</v>
      </c>
      <c r="H2086">
        <v>1192004165</v>
      </c>
      <c r="I2086" t="s">
        <v>20</v>
      </c>
      <c r="K2086" t="s">
        <v>21</v>
      </c>
      <c r="L2086" t="s">
        <v>22</v>
      </c>
      <c r="M2086" t="s">
        <v>23</v>
      </c>
      <c r="N2086" t="s">
        <v>23</v>
      </c>
      <c r="O2086" t="s">
        <v>24</v>
      </c>
      <c r="P2086" s="8" t="s">
        <v>2551</v>
      </c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</row>
    <row r="2087" spans="1:51" hidden="1" x14ac:dyDescent="0.2">
      <c r="A2087" s="6"/>
      <c r="E2087" s="2"/>
      <c r="F2087" s="3"/>
      <c r="G2087" s="3"/>
      <c r="P2087" s="8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</row>
    <row r="2088" spans="1:51" hidden="1" x14ac:dyDescent="0.2">
      <c r="A2088" s="6"/>
      <c r="E2088" s="2"/>
      <c r="F2088" s="3"/>
      <c r="G2088" s="3"/>
      <c r="P2088" s="8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</row>
    <row r="2089" spans="1:51" hidden="1" x14ac:dyDescent="0.2">
      <c r="A2089" s="6"/>
      <c r="E2089" s="2"/>
      <c r="F2089" s="3"/>
      <c r="G2089" s="3"/>
      <c r="P2089" s="8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</row>
    <row r="2090" spans="1:51" x14ac:dyDescent="0.2">
      <c r="A2090" s="6" t="s">
        <v>17</v>
      </c>
      <c r="B2090" t="s">
        <v>110</v>
      </c>
      <c r="C2090" t="s">
        <v>111</v>
      </c>
      <c r="D2090" t="s">
        <v>2552</v>
      </c>
      <c r="E2090" s="2">
        <v>447.17</v>
      </c>
      <c r="F2090" s="3">
        <f t="shared" si="157"/>
        <v>45548</v>
      </c>
      <c r="G2090" s="3">
        <f t="shared" si="157"/>
        <v>45548</v>
      </c>
      <c r="H2090">
        <v>1192004169</v>
      </c>
      <c r="I2090" t="s">
        <v>20</v>
      </c>
      <c r="K2090" t="s">
        <v>21</v>
      </c>
      <c r="L2090" t="s">
        <v>22</v>
      </c>
      <c r="M2090" t="s">
        <v>23</v>
      </c>
      <c r="N2090" t="s">
        <v>23</v>
      </c>
      <c r="O2090" t="s">
        <v>24</v>
      </c>
      <c r="P2090" s="8" t="s">
        <v>2553</v>
      </c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</row>
    <row r="2091" spans="1:51" x14ac:dyDescent="0.2">
      <c r="A2091" s="6" t="s">
        <v>17</v>
      </c>
      <c r="B2091" t="s">
        <v>312</v>
      </c>
      <c r="C2091" t="s">
        <v>313</v>
      </c>
      <c r="D2091" t="s">
        <v>2554</v>
      </c>
      <c r="E2091" s="2">
        <v>394.74</v>
      </c>
      <c r="F2091" s="3">
        <f t="shared" si="157"/>
        <v>45548</v>
      </c>
      <c r="G2091" s="3">
        <f t="shared" si="157"/>
        <v>45548</v>
      </c>
      <c r="H2091">
        <v>1192004170</v>
      </c>
      <c r="I2091" t="s">
        <v>20</v>
      </c>
      <c r="K2091" t="s">
        <v>21</v>
      </c>
      <c r="L2091" t="s">
        <v>22</v>
      </c>
      <c r="M2091" t="s">
        <v>23</v>
      </c>
      <c r="N2091" t="s">
        <v>23</v>
      </c>
      <c r="O2091" t="s">
        <v>24</v>
      </c>
      <c r="P2091" s="8" t="s">
        <v>2555</v>
      </c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</row>
    <row r="2092" spans="1:51" hidden="1" x14ac:dyDescent="0.2">
      <c r="A2092" s="6"/>
      <c r="E2092" s="2"/>
      <c r="F2092" s="3"/>
      <c r="G2092" s="3"/>
      <c r="P2092" s="8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</row>
    <row r="2093" spans="1:51" x14ac:dyDescent="0.2">
      <c r="A2093" s="6" t="s">
        <v>17</v>
      </c>
      <c r="B2093" t="s">
        <v>1046</v>
      </c>
      <c r="C2093" t="s">
        <v>1047</v>
      </c>
      <c r="D2093" t="s">
        <v>2556</v>
      </c>
      <c r="E2093" s="2">
        <v>1301.24</v>
      </c>
      <c r="F2093" s="3">
        <f t="shared" si="157"/>
        <v>45548</v>
      </c>
      <c r="G2093" s="3">
        <f t="shared" si="157"/>
        <v>45548</v>
      </c>
      <c r="H2093">
        <v>1192004172</v>
      </c>
      <c r="I2093" t="s">
        <v>20</v>
      </c>
      <c r="K2093" t="s">
        <v>21</v>
      </c>
      <c r="L2093" t="s">
        <v>22</v>
      </c>
      <c r="M2093" t="s">
        <v>23</v>
      </c>
      <c r="N2093" t="s">
        <v>23</v>
      </c>
      <c r="O2093" t="s">
        <v>24</v>
      </c>
      <c r="P2093" s="8" t="s">
        <v>2557</v>
      </c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</row>
    <row r="2094" spans="1:51" x14ac:dyDescent="0.2">
      <c r="A2094" s="6" t="s">
        <v>17</v>
      </c>
      <c r="B2094" t="s">
        <v>44</v>
      </c>
      <c r="C2094" t="s">
        <v>45</v>
      </c>
      <c r="D2094" t="s">
        <v>2558</v>
      </c>
      <c r="E2094" s="2">
        <v>114.11</v>
      </c>
      <c r="F2094" s="3">
        <f t="shared" si="157"/>
        <v>45548</v>
      </c>
      <c r="G2094" s="3">
        <f t="shared" si="157"/>
        <v>45548</v>
      </c>
      <c r="H2094">
        <v>1192004173</v>
      </c>
      <c r="I2094" t="s">
        <v>20</v>
      </c>
      <c r="K2094" t="s">
        <v>21</v>
      </c>
      <c r="L2094" t="s">
        <v>22</v>
      </c>
      <c r="M2094" t="s">
        <v>23</v>
      </c>
      <c r="N2094" t="s">
        <v>23</v>
      </c>
      <c r="O2094" t="s">
        <v>24</v>
      </c>
      <c r="P2094" s="8" t="s">
        <v>2559</v>
      </c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</row>
    <row r="2095" spans="1:51" x14ac:dyDescent="0.2">
      <c r="A2095" s="6" t="s">
        <v>17</v>
      </c>
      <c r="B2095" t="s">
        <v>110</v>
      </c>
      <c r="C2095" t="s">
        <v>111</v>
      </c>
      <c r="D2095" t="s">
        <v>2560</v>
      </c>
      <c r="E2095" s="2">
        <v>3851.45</v>
      </c>
      <c r="F2095" s="3">
        <f t="shared" si="157"/>
        <v>45548</v>
      </c>
      <c r="G2095" s="3">
        <f t="shared" si="157"/>
        <v>45548</v>
      </c>
      <c r="H2095">
        <v>1192004174</v>
      </c>
      <c r="I2095" t="s">
        <v>20</v>
      </c>
      <c r="K2095" t="s">
        <v>21</v>
      </c>
      <c r="L2095" t="s">
        <v>22</v>
      </c>
      <c r="M2095" t="s">
        <v>23</v>
      </c>
      <c r="N2095" t="s">
        <v>23</v>
      </c>
      <c r="O2095" t="s">
        <v>24</v>
      </c>
      <c r="P2095" s="8" t="s">
        <v>2561</v>
      </c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</row>
    <row r="2096" spans="1:51" x14ac:dyDescent="0.2">
      <c r="A2096" s="6" t="s">
        <v>17</v>
      </c>
      <c r="B2096" t="s">
        <v>363</v>
      </c>
      <c r="C2096" t="s">
        <v>364</v>
      </c>
      <c r="D2096" t="s">
        <v>2562</v>
      </c>
      <c r="E2096" s="2">
        <v>1920</v>
      </c>
      <c r="F2096" s="3">
        <f t="shared" si="157"/>
        <v>45548</v>
      </c>
      <c r="G2096" s="3">
        <f t="shared" si="157"/>
        <v>45548</v>
      </c>
      <c r="H2096">
        <v>1192004175</v>
      </c>
      <c r="I2096" t="s">
        <v>20</v>
      </c>
      <c r="K2096" t="s">
        <v>21</v>
      </c>
      <c r="L2096" t="s">
        <v>22</v>
      </c>
      <c r="M2096" t="s">
        <v>23</v>
      </c>
      <c r="N2096" t="s">
        <v>23</v>
      </c>
      <c r="O2096" t="s">
        <v>24</v>
      </c>
      <c r="P2096" s="8" t="s">
        <v>2563</v>
      </c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</row>
    <row r="2097" spans="1:51" x14ac:dyDescent="0.2">
      <c r="A2097" s="6" t="s">
        <v>17</v>
      </c>
      <c r="B2097" t="s">
        <v>611</v>
      </c>
      <c r="C2097" t="s">
        <v>612</v>
      </c>
      <c r="D2097" t="s">
        <v>2564</v>
      </c>
      <c r="E2097" s="2">
        <v>1122.04</v>
      </c>
      <c r="F2097" s="3">
        <f t="shared" si="157"/>
        <v>45548</v>
      </c>
      <c r="G2097" s="3">
        <f t="shared" si="157"/>
        <v>45548</v>
      </c>
      <c r="H2097">
        <v>1192004176</v>
      </c>
      <c r="I2097" t="s">
        <v>20</v>
      </c>
      <c r="K2097" t="s">
        <v>21</v>
      </c>
      <c r="L2097" t="s">
        <v>22</v>
      </c>
      <c r="M2097" t="s">
        <v>23</v>
      </c>
      <c r="N2097" t="s">
        <v>23</v>
      </c>
      <c r="O2097" t="s">
        <v>24</v>
      </c>
      <c r="P2097" s="8" t="s">
        <v>2565</v>
      </c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</row>
    <row r="2098" spans="1:51" hidden="1" x14ac:dyDescent="0.2">
      <c r="A2098" s="6"/>
      <c r="E2098" s="2"/>
      <c r="F2098" s="3"/>
      <c r="G2098" s="3"/>
      <c r="P2098" s="8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</row>
    <row r="2099" spans="1:51" x14ac:dyDescent="0.2">
      <c r="A2099" s="6" t="s">
        <v>17</v>
      </c>
      <c r="B2099" t="s">
        <v>34</v>
      </c>
      <c r="C2099" t="s">
        <v>35</v>
      </c>
      <c r="D2099" t="s">
        <v>2566</v>
      </c>
      <c r="E2099" s="2">
        <v>23.4</v>
      </c>
      <c r="F2099" s="3">
        <f t="shared" si="157"/>
        <v>45548</v>
      </c>
      <c r="G2099" s="3">
        <f t="shared" si="157"/>
        <v>45548</v>
      </c>
      <c r="H2099">
        <v>1192004178</v>
      </c>
      <c r="I2099" t="s">
        <v>20</v>
      </c>
      <c r="K2099" t="s">
        <v>21</v>
      </c>
      <c r="L2099" t="s">
        <v>22</v>
      </c>
      <c r="M2099" t="s">
        <v>23</v>
      </c>
      <c r="N2099" t="s">
        <v>23</v>
      </c>
      <c r="O2099" t="s">
        <v>24</v>
      </c>
      <c r="P2099" s="8" t="s">
        <v>2567</v>
      </c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</row>
    <row r="2100" spans="1:51" hidden="1" x14ac:dyDescent="0.2">
      <c r="A2100" s="6"/>
      <c r="E2100" s="2"/>
      <c r="F2100" s="3"/>
      <c r="G2100" s="3"/>
      <c r="P2100" s="8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</row>
    <row r="2101" spans="1:51" x14ac:dyDescent="0.2">
      <c r="A2101" s="6" t="s">
        <v>17</v>
      </c>
      <c r="B2101" t="s">
        <v>973</v>
      </c>
      <c r="C2101" t="s">
        <v>974</v>
      </c>
      <c r="D2101" t="s">
        <v>2568</v>
      </c>
      <c r="E2101" s="2">
        <v>55</v>
      </c>
      <c r="F2101" s="3">
        <f t="shared" si="157"/>
        <v>45548</v>
      </c>
      <c r="G2101" s="3">
        <f t="shared" si="157"/>
        <v>45548</v>
      </c>
      <c r="H2101">
        <v>1192004180</v>
      </c>
      <c r="I2101" t="s">
        <v>20</v>
      </c>
      <c r="K2101" t="s">
        <v>21</v>
      </c>
      <c r="L2101" t="s">
        <v>22</v>
      </c>
      <c r="M2101" t="s">
        <v>23</v>
      </c>
      <c r="N2101" t="s">
        <v>23</v>
      </c>
      <c r="O2101" t="s">
        <v>24</v>
      </c>
      <c r="P2101" s="8" t="s">
        <v>2569</v>
      </c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</row>
    <row r="2102" spans="1:51" x14ac:dyDescent="0.2">
      <c r="A2102" s="6" t="s">
        <v>17</v>
      </c>
      <c r="B2102" t="s">
        <v>312</v>
      </c>
      <c r="C2102" t="s">
        <v>313</v>
      </c>
      <c r="D2102" t="s">
        <v>2570</v>
      </c>
      <c r="E2102" s="2">
        <v>486</v>
      </c>
      <c r="F2102" s="3">
        <f t="shared" si="157"/>
        <v>45548</v>
      </c>
      <c r="G2102" s="3">
        <f t="shared" si="157"/>
        <v>45548</v>
      </c>
      <c r="H2102">
        <v>1192004181</v>
      </c>
      <c r="I2102" t="s">
        <v>20</v>
      </c>
      <c r="K2102" t="s">
        <v>21</v>
      </c>
      <c r="L2102" t="s">
        <v>22</v>
      </c>
      <c r="M2102" t="s">
        <v>23</v>
      </c>
      <c r="N2102" t="s">
        <v>23</v>
      </c>
      <c r="O2102" t="s">
        <v>24</v>
      </c>
      <c r="P2102" s="8" t="s">
        <v>2571</v>
      </c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</row>
    <row r="2103" spans="1:51" x14ac:dyDescent="0.2">
      <c r="A2103" s="6" t="s">
        <v>17</v>
      </c>
      <c r="B2103" t="s">
        <v>115</v>
      </c>
      <c r="C2103" t="s">
        <v>116</v>
      </c>
      <c r="D2103" t="s">
        <v>2572</v>
      </c>
      <c r="E2103" s="2">
        <v>708</v>
      </c>
      <c r="F2103" s="3">
        <f t="shared" si="157"/>
        <v>45548</v>
      </c>
      <c r="G2103" s="3">
        <f t="shared" si="157"/>
        <v>45548</v>
      </c>
      <c r="H2103">
        <v>1192004182</v>
      </c>
      <c r="I2103" t="s">
        <v>20</v>
      </c>
      <c r="K2103" t="s">
        <v>21</v>
      </c>
      <c r="L2103" t="s">
        <v>22</v>
      </c>
      <c r="M2103" t="s">
        <v>23</v>
      </c>
      <c r="N2103" t="s">
        <v>23</v>
      </c>
      <c r="O2103" t="s">
        <v>24</v>
      </c>
      <c r="P2103" s="8" t="s">
        <v>2573</v>
      </c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</row>
    <row r="2104" spans="1:51" hidden="1" x14ac:dyDescent="0.2">
      <c r="A2104" s="6"/>
      <c r="E2104" s="2"/>
      <c r="F2104" s="3"/>
      <c r="G2104" s="3"/>
      <c r="P2104" s="8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</row>
    <row r="2105" spans="1:51" x14ac:dyDescent="0.2">
      <c r="A2105" s="6" t="s">
        <v>17</v>
      </c>
      <c r="B2105" t="s">
        <v>251</v>
      </c>
      <c r="C2105" t="s">
        <v>252</v>
      </c>
      <c r="D2105" t="s">
        <v>2574</v>
      </c>
      <c r="E2105" s="2">
        <v>159.6</v>
      </c>
      <c r="F2105" s="3">
        <f t="shared" si="157"/>
        <v>45548</v>
      </c>
      <c r="G2105" s="3">
        <f t="shared" si="157"/>
        <v>45548</v>
      </c>
      <c r="H2105">
        <v>1192004184</v>
      </c>
      <c r="I2105" t="s">
        <v>20</v>
      </c>
      <c r="K2105" t="s">
        <v>21</v>
      </c>
      <c r="L2105" t="s">
        <v>22</v>
      </c>
      <c r="M2105" t="s">
        <v>23</v>
      </c>
      <c r="N2105" t="s">
        <v>23</v>
      </c>
      <c r="O2105" t="s">
        <v>24</v>
      </c>
      <c r="P2105" s="8" t="s">
        <v>2575</v>
      </c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</row>
    <row r="2106" spans="1:51" x14ac:dyDescent="0.2">
      <c r="A2106" s="6" t="s">
        <v>17</v>
      </c>
      <c r="B2106" t="s">
        <v>110</v>
      </c>
      <c r="C2106" t="s">
        <v>111</v>
      </c>
      <c r="D2106" t="s">
        <v>2576</v>
      </c>
      <c r="E2106" s="2">
        <v>380.16</v>
      </c>
      <c r="F2106" s="3">
        <f t="shared" si="157"/>
        <v>45548</v>
      </c>
      <c r="G2106" s="3">
        <f t="shared" si="157"/>
        <v>45548</v>
      </c>
      <c r="H2106">
        <v>1192004185</v>
      </c>
      <c r="I2106" t="s">
        <v>20</v>
      </c>
      <c r="K2106" t="s">
        <v>21</v>
      </c>
      <c r="L2106" t="s">
        <v>22</v>
      </c>
      <c r="M2106" t="s">
        <v>23</v>
      </c>
      <c r="N2106" t="s">
        <v>23</v>
      </c>
      <c r="O2106" t="s">
        <v>24</v>
      </c>
      <c r="P2106" s="8" t="s">
        <v>2577</v>
      </c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</row>
    <row r="2107" spans="1:51" x14ac:dyDescent="0.2">
      <c r="A2107" s="6" t="s">
        <v>17</v>
      </c>
      <c r="B2107" t="s">
        <v>179</v>
      </c>
      <c r="C2107" t="s">
        <v>180</v>
      </c>
      <c r="D2107" t="s">
        <v>2578</v>
      </c>
      <c r="E2107" s="2">
        <v>112.25</v>
      </c>
      <c r="F2107" s="3">
        <f t="shared" si="157"/>
        <v>45548</v>
      </c>
      <c r="G2107" s="3">
        <f t="shared" si="157"/>
        <v>45548</v>
      </c>
      <c r="H2107">
        <v>1192004186</v>
      </c>
      <c r="I2107" t="s">
        <v>20</v>
      </c>
      <c r="K2107" t="s">
        <v>21</v>
      </c>
      <c r="L2107" t="s">
        <v>22</v>
      </c>
      <c r="M2107" t="s">
        <v>23</v>
      </c>
      <c r="N2107" t="s">
        <v>23</v>
      </c>
      <c r="O2107" t="s">
        <v>24</v>
      </c>
      <c r="P2107" s="8" t="s">
        <v>2579</v>
      </c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</row>
    <row r="2108" spans="1:51" x14ac:dyDescent="0.2">
      <c r="A2108" s="6" t="s">
        <v>17</v>
      </c>
      <c r="B2108" t="s">
        <v>179</v>
      </c>
      <c r="C2108" t="s">
        <v>180</v>
      </c>
      <c r="D2108" t="s">
        <v>2580</v>
      </c>
      <c r="E2108" s="2">
        <v>1270.28</v>
      </c>
      <c r="F2108" s="3">
        <f t="shared" si="157"/>
        <v>45548</v>
      </c>
      <c r="G2108" s="3">
        <f t="shared" si="157"/>
        <v>45548</v>
      </c>
      <c r="H2108">
        <v>1192004187</v>
      </c>
      <c r="I2108" t="s">
        <v>20</v>
      </c>
      <c r="K2108" t="s">
        <v>21</v>
      </c>
      <c r="L2108" t="s">
        <v>22</v>
      </c>
      <c r="M2108" t="s">
        <v>23</v>
      </c>
      <c r="N2108" t="s">
        <v>23</v>
      </c>
      <c r="O2108" t="s">
        <v>24</v>
      </c>
      <c r="P2108" s="8" t="s">
        <v>2581</v>
      </c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</row>
    <row r="2109" spans="1:51" x14ac:dyDescent="0.2">
      <c r="A2109" s="6" t="s">
        <v>17</v>
      </c>
      <c r="B2109" t="s">
        <v>363</v>
      </c>
      <c r="C2109" t="s">
        <v>364</v>
      </c>
      <c r="D2109" t="s">
        <v>2582</v>
      </c>
      <c r="E2109" s="2">
        <v>960</v>
      </c>
      <c r="F2109" s="3">
        <f t="shared" si="157"/>
        <v>45548</v>
      </c>
      <c r="G2109" s="3">
        <f t="shared" si="157"/>
        <v>45548</v>
      </c>
      <c r="H2109">
        <v>1192004188</v>
      </c>
      <c r="I2109" t="s">
        <v>20</v>
      </c>
      <c r="K2109" t="s">
        <v>21</v>
      </c>
      <c r="L2109" t="s">
        <v>22</v>
      </c>
      <c r="M2109" t="s">
        <v>23</v>
      </c>
      <c r="N2109" t="s">
        <v>23</v>
      </c>
      <c r="O2109" t="s">
        <v>24</v>
      </c>
      <c r="P2109" s="8" t="s">
        <v>2583</v>
      </c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</row>
    <row r="2110" spans="1:51" hidden="1" x14ac:dyDescent="0.2">
      <c r="A2110" s="6"/>
      <c r="E2110" s="2"/>
      <c r="F2110" s="3"/>
      <c r="G2110" s="3"/>
      <c r="P2110" s="8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</row>
    <row r="2111" spans="1:51" hidden="1" x14ac:dyDescent="0.2">
      <c r="A2111" s="6"/>
      <c r="E2111" s="2"/>
      <c r="F2111" s="3"/>
      <c r="G2111" s="3"/>
      <c r="P2111" s="8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</row>
    <row r="2112" spans="1:51" hidden="1" x14ac:dyDescent="0.2">
      <c r="A2112" s="6"/>
      <c r="E2112" s="2"/>
      <c r="F2112" s="3"/>
      <c r="G2112" s="3"/>
      <c r="P2112" s="8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</row>
    <row r="2113" spans="1:51" hidden="1" x14ac:dyDescent="0.2">
      <c r="A2113" s="6"/>
      <c r="E2113" s="2"/>
      <c r="F2113" s="3"/>
      <c r="G2113" s="3"/>
      <c r="P2113" s="8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</row>
    <row r="2114" spans="1:51" x14ac:dyDescent="0.2">
      <c r="A2114" s="6" t="s">
        <v>17</v>
      </c>
      <c r="B2114" t="s">
        <v>223</v>
      </c>
      <c r="C2114" t="s">
        <v>223</v>
      </c>
      <c r="D2114" t="s">
        <v>2584</v>
      </c>
      <c r="E2114" s="2">
        <v>1309.92</v>
      </c>
      <c r="F2114" s="3">
        <f>DATE(2024,9,17)</f>
        <v>45552</v>
      </c>
      <c r="G2114" s="3">
        <f>DATE(2024,9,17)</f>
        <v>45552</v>
      </c>
      <c r="H2114">
        <v>1198110827</v>
      </c>
      <c r="I2114" t="s">
        <v>20</v>
      </c>
      <c r="K2114" t="s">
        <v>21</v>
      </c>
      <c r="L2114" t="s">
        <v>22</v>
      </c>
      <c r="M2114" t="s">
        <v>23</v>
      </c>
      <c r="N2114" t="s">
        <v>23</v>
      </c>
      <c r="O2114" t="s">
        <v>24</v>
      </c>
      <c r="P2114" s="8" t="s">
        <v>2585</v>
      </c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</row>
    <row r="2115" spans="1:51" x14ac:dyDescent="0.2">
      <c r="A2115" s="6" t="s">
        <v>17</v>
      </c>
      <c r="B2115" t="s">
        <v>104</v>
      </c>
      <c r="C2115" t="s">
        <v>105</v>
      </c>
      <c r="D2115" t="s">
        <v>2586</v>
      </c>
      <c r="E2115" s="2">
        <v>475</v>
      </c>
      <c r="F2115" s="3">
        <f>DATE(2024,9,17)</f>
        <v>45552</v>
      </c>
      <c r="G2115" s="3">
        <f>DATE(2024,9,17)</f>
        <v>45552</v>
      </c>
      <c r="H2115">
        <v>1198110828</v>
      </c>
      <c r="I2115" t="s">
        <v>20</v>
      </c>
      <c r="K2115" t="s">
        <v>21</v>
      </c>
      <c r="L2115" t="s">
        <v>22</v>
      </c>
      <c r="M2115" t="s">
        <v>23</v>
      </c>
      <c r="N2115" t="s">
        <v>23</v>
      </c>
      <c r="O2115" t="s">
        <v>24</v>
      </c>
      <c r="P2115" s="8" t="s">
        <v>2587</v>
      </c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</row>
    <row r="2116" spans="1:51" x14ac:dyDescent="0.2">
      <c r="A2116" s="6" t="s">
        <v>17</v>
      </c>
      <c r="B2116" t="s">
        <v>61</v>
      </c>
      <c r="C2116" t="s">
        <v>62</v>
      </c>
      <c r="D2116" t="s">
        <v>2588</v>
      </c>
      <c r="E2116" s="2">
        <v>378</v>
      </c>
      <c r="F2116" s="3">
        <f t="shared" ref="F2116:G2119" si="158">DATE(2024,9,16)</f>
        <v>45551</v>
      </c>
      <c r="G2116" s="3">
        <f t="shared" si="158"/>
        <v>45551</v>
      </c>
      <c r="H2116">
        <v>1198110829</v>
      </c>
      <c r="I2116" t="s">
        <v>20</v>
      </c>
      <c r="K2116" t="s">
        <v>21</v>
      </c>
      <c r="L2116" t="s">
        <v>22</v>
      </c>
      <c r="M2116" t="s">
        <v>23</v>
      </c>
      <c r="N2116" t="s">
        <v>23</v>
      </c>
      <c r="O2116" t="s">
        <v>24</v>
      </c>
      <c r="P2116" s="8" t="s">
        <v>2589</v>
      </c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</row>
    <row r="2117" spans="1:51" x14ac:dyDescent="0.2">
      <c r="A2117" s="6" t="s">
        <v>17</v>
      </c>
      <c r="B2117" t="s">
        <v>191</v>
      </c>
      <c r="C2117" t="s">
        <v>192</v>
      </c>
      <c r="D2117" t="s">
        <v>2590</v>
      </c>
      <c r="E2117" s="2">
        <v>950</v>
      </c>
      <c r="F2117" s="3">
        <f t="shared" si="158"/>
        <v>45551</v>
      </c>
      <c r="G2117" s="3">
        <f t="shared" si="158"/>
        <v>45551</v>
      </c>
      <c r="H2117">
        <v>1198110830</v>
      </c>
      <c r="I2117" t="s">
        <v>20</v>
      </c>
      <c r="K2117" t="s">
        <v>21</v>
      </c>
      <c r="L2117" t="s">
        <v>22</v>
      </c>
      <c r="M2117" t="s">
        <v>23</v>
      </c>
      <c r="N2117" t="s">
        <v>23</v>
      </c>
      <c r="O2117" t="s">
        <v>24</v>
      </c>
      <c r="P2117" s="8" t="s">
        <v>2591</v>
      </c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</row>
    <row r="2118" spans="1:51" x14ac:dyDescent="0.2">
      <c r="A2118" s="6" t="s">
        <v>17</v>
      </c>
      <c r="B2118" t="s">
        <v>191</v>
      </c>
      <c r="C2118" t="s">
        <v>192</v>
      </c>
      <c r="D2118" t="s">
        <v>2592</v>
      </c>
      <c r="E2118" s="2">
        <v>840</v>
      </c>
      <c r="F2118" s="3">
        <f t="shared" si="158"/>
        <v>45551</v>
      </c>
      <c r="G2118" s="3">
        <f t="shared" si="158"/>
        <v>45551</v>
      </c>
      <c r="H2118">
        <v>1198110831</v>
      </c>
      <c r="I2118" t="s">
        <v>20</v>
      </c>
      <c r="K2118" t="s">
        <v>21</v>
      </c>
      <c r="L2118" t="s">
        <v>22</v>
      </c>
      <c r="M2118" t="s">
        <v>23</v>
      </c>
      <c r="N2118" t="s">
        <v>23</v>
      </c>
      <c r="O2118" t="s">
        <v>24</v>
      </c>
      <c r="P2118" s="8" t="s">
        <v>2593</v>
      </c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</row>
    <row r="2119" spans="1:51" x14ac:dyDescent="0.2">
      <c r="A2119" s="6" t="s">
        <v>17</v>
      </c>
      <c r="B2119" t="s">
        <v>887</v>
      </c>
      <c r="C2119" t="s">
        <v>888</v>
      </c>
      <c r="D2119" t="s">
        <v>2594</v>
      </c>
      <c r="E2119" s="2">
        <v>899.68</v>
      </c>
      <c r="F2119" s="3">
        <f t="shared" si="158"/>
        <v>45551</v>
      </c>
      <c r="G2119" s="3">
        <f t="shared" si="158"/>
        <v>45551</v>
      </c>
      <c r="H2119">
        <v>1198110832</v>
      </c>
      <c r="I2119" t="s">
        <v>20</v>
      </c>
      <c r="K2119" t="s">
        <v>21</v>
      </c>
      <c r="L2119" t="s">
        <v>22</v>
      </c>
      <c r="M2119" t="s">
        <v>23</v>
      </c>
      <c r="N2119" t="s">
        <v>23</v>
      </c>
      <c r="O2119" t="s">
        <v>24</v>
      </c>
      <c r="P2119" s="8" t="s">
        <v>2595</v>
      </c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</row>
    <row r="2120" spans="1:51" x14ac:dyDescent="0.2">
      <c r="A2120" s="6" t="s">
        <v>17</v>
      </c>
      <c r="B2120" t="s">
        <v>183</v>
      </c>
      <c r="C2120" t="s">
        <v>184</v>
      </c>
      <c r="D2120" t="s">
        <v>2596</v>
      </c>
      <c r="E2120" s="2">
        <v>13929</v>
      </c>
      <c r="F2120" s="3">
        <f>DATE(2024,9,17)</f>
        <v>45552</v>
      </c>
      <c r="G2120" s="3">
        <f>DATE(2024,9,17)</f>
        <v>45552</v>
      </c>
      <c r="H2120">
        <v>1198110833</v>
      </c>
      <c r="I2120" t="s">
        <v>20</v>
      </c>
      <c r="K2120" t="s">
        <v>21</v>
      </c>
      <c r="L2120" t="s">
        <v>22</v>
      </c>
      <c r="M2120" t="s">
        <v>23</v>
      </c>
      <c r="N2120" t="s">
        <v>23</v>
      </c>
      <c r="O2120" t="s">
        <v>24</v>
      </c>
      <c r="P2120" s="8" t="s">
        <v>2597</v>
      </c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</row>
    <row r="2121" spans="1:51" x14ac:dyDescent="0.2">
      <c r="A2121" s="6" t="s">
        <v>17</v>
      </c>
      <c r="B2121" t="s">
        <v>674</v>
      </c>
      <c r="C2121" t="s">
        <v>675</v>
      </c>
      <c r="D2121" t="s">
        <v>2598</v>
      </c>
      <c r="E2121" s="2">
        <v>763.73</v>
      </c>
      <c r="F2121" s="3">
        <f>DATE(2024,9,16)</f>
        <v>45551</v>
      </c>
      <c r="G2121" s="3">
        <f>DATE(2024,9,16)</f>
        <v>45551</v>
      </c>
      <c r="H2121">
        <v>1198110834</v>
      </c>
      <c r="I2121" t="s">
        <v>20</v>
      </c>
      <c r="K2121" t="s">
        <v>21</v>
      </c>
      <c r="L2121" t="s">
        <v>22</v>
      </c>
      <c r="M2121" t="s">
        <v>23</v>
      </c>
      <c r="N2121" t="s">
        <v>23</v>
      </c>
      <c r="O2121" t="s">
        <v>24</v>
      </c>
      <c r="P2121" s="8" t="s">
        <v>2599</v>
      </c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</row>
    <row r="2122" spans="1:51" x14ac:dyDescent="0.2">
      <c r="A2122" s="6" t="s">
        <v>17</v>
      </c>
      <c r="B2122" t="s">
        <v>144</v>
      </c>
      <c r="C2122" t="s">
        <v>145</v>
      </c>
      <c r="D2122" t="s">
        <v>2600</v>
      </c>
      <c r="E2122" s="2">
        <v>34.700000000000003</v>
      </c>
      <c r="F2122" s="3">
        <f>DATE(2024,9,14)</f>
        <v>45549</v>
      </c>
      <c r="G2122" s="3">
        <f>DATE(2024,9,14)</f>
        <v>45549</v>
      </c>
      <c r="H2122">
        <v>1198110905</v>
      </c>
      <c r="I2122" t="s">
        <v>51</v>
      </c>
      <c r="K2122" t="s">
        <v>21</v>
      </c>
      <c r="L2122" t="s">
        <v>22</v>
      </c>
      <c r="M2122" t="s">
        <v>23</v>
      </c>
      <c r="N2122" t="s">
        <v>23</v>
      </c>
      <c r="O2122" t="s">
        <v>24</v>
      </c>
      <c r="P2122" s="8" t="s">
        <v>2601</v>
      </c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</row>
    <row r="2123" spans="1:51" x14ac:dyDescent="0.2">
      <c r="A2123" s="6" t="s">
        <v>17</v>
      </c>
      <c r="B2123" t="s">
        <v>34</v>
      </c>
      <c r="C2123" t="s">
        <v>35</v>
      </c>
      <c r="D2123" t="s">
        <v>2602</v>
      </c>
      <c r="E2123" s="2">
        <v>40</v>
      </c>
      <c r="F2123" s="3">
        <f>DATE(2024,9,13)</f>
        <v>45548</v>
      </c>
      <c r="G2123" s="3">
        <f>DATE(2024,9,13)</f>
        <v>45548</v>
      </c>
      <c r="H2123">
        <v>1198110906</v>
      </c>
      <c r="I2123" t="s">
        <v>51</v>
      </c>
      <c r="K2123" t="s">
        <v>21</v>
      </c>
      <c r="L2123" t="s">
        <v>22</v>
      </c>
      <c r="M2123" t="s">
        <v>23</v>
      </c>
      <c r="N2123" t="s">
        <v>23</v>
      </c>
      <c r="O2123" t="s">
        <v>24</v>
      </c>
      <c r="P2123" s="8" t="s">
        <v>2603</v>
      </c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</row>
    <row r="2124" spans="1:51" x14ac:dyDescent="0.2">
      <c r="A2124" s="6" t="s">
        <v>17</v>
      </c>
      <c r="B2124" t="s">
        <v>44</v>
      </c>
      <c r="C2124" t="s">
        <v>45</v>
      </c>
      <c r="D2124" t="s">
        <v>2604</v>
      </c>
      <c r="E2124" s="2">
        <v>669.05</v>
      </c>
      <c r="F2124" s="3">
        <f>DATE(2024,9,14)</f>
        <v>45549</v>
      </c>
      <c r="G2124" s="3">
        <f>DATE(2024,9,14)</f>
        <v>45549</v>
      </c>
      <c r="H2124">
        <v>1198110907</v>
      </c>
      <c r="I2124" t="s">
        <v>51</v>
      </c>
      <c r="K2124" t="s">
        <v>21</v>
      </c>
      <c r="L2124" t="s">
        <v>22</v>
      </c>
      <c r="M2124" t="s">
        <v>23</v>
      </c>
      <c r="N2124" t="s">
        <v>23</v>
      </c>
      <c r="O2124" t="s">
        <v>24</v>
      </c>
      <c r="P2124" s="8" t="s">
        <v>2605</v>
      </c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</row>
    <row r="2125" spans="1:51" x14ac:dyDescent="0.2">
      <c r="A2125" s="6" t="s">
        <v>17</v>
      </c>
      <c r="B2125" t="s">
        <v>44</v>
      </c>
      <c r="C2125" t="s">
        <v>45</v>
      </c>
      <c r="D2125" t="s">
        <v>2606</v>
      </c>
      <c r="E2125" s="2">
        <v>6.99</v>
      </c>
      <c r="F2125" s="3">
        <f>DATE(2024,9,15)</f>
        <v>45550</v>
      </c>
      <c r="G2125" s="3">
        <f>DATE(2024,9,15)</f>
        <v>45550</v>
      </c>
      <c r="H2125">
        <v>1198110908</v>
      </c>
      <c r="I2125" t="s">
        <v>51</v>
      </c>
      <c r="K2125" t="s">
        <v>21</v>
      </c>
      <c r="L2125" t="s">
        <v>22</v>
      </c>
      <c r="M2125" t="s">
        <v>23</v>
      </c>
      <c r="N2125" t="s">
        <v>23</v>
      </c>
      <c r="O2125" t="s">
        <v>24</v>
      </c>
      <c r="P2125" s="8" t="s">
        <v>2607</v>
      </c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</row>
    <row r="2126" spans="1:51" hidden="1" x14ac:dyDescent="0.2">
      <c r="A2126" s="6"/>
      <c r="E2126" s="2"/>
      <c r="F2126" s="3"/>
      <c r="G2126" s="3"/>
      <c r="P2126" s="8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</row>
    <row r="2127" spans="1:51" x14ac:dyDescent="0.2">
      <c r="A2127" s="6" t="s">
        <v>17</v>
      </c>
      <c r="B2127" t="s">
        <v>110</v>
      </c>
      <c r="C2127" t="s">
        <v>111</v>
      </c>
      <c r="D2127" t="s">
        <v>2608</v>
      </c>
      <c r="E2127" s="2">
        <v>1.18</v>
      </c>
      <c r="F2127" s="3">
        <f t="shared" ref="F2126:G2132" si="159">DATE(2024,9,16)</f>
        <v>45551</v>
      </c>
      <c r="G2127" s="3">
        <f t="shared" si="159"/>
        <v>45551</v>
      </c>
      <c r="H2127">
        <v>1198630994</v>
      </c>
      <c r="I2127" t="s">
        <v>73</v>
      </c>
      <c r="K2127" t="s">
        <v>21</v>
      </c>
      <c r="L2127" t="s">
        <v>22</v>
      </c>
      <c r="M2127" t="s">
        <v>23</v>
      </c>
      <c r="N2127" t="s">
        <v>23</v>
      </c>
      <c r="O2127" t="s">
        <v>24</v>
      </c>
      <c r="P2127" s="8" t="s">
        <v>2609</v>
      </c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</row>
    <row r="2128" spans="1:51" x14ac:dyDescent="0.2">
      <c r="A2128" s="6" t="s">
        <v>17</v>
      </c>
      <c r="B2128" t="s">
        <v>110</v>
      </c>
      <c r="C2128" t="s">
        <v>111</v>
      </c>
      <c r="D2128" t="s">
        <v>2610</v>
      </c>
      <c r="E2128" s="2">
        <v>0.86</v>
      </c>
      <c r="F2128" s="3">
        <f t="shared" si="159"/>
        <v>45551</v>
      </c>
      <c r="G2128" s="3">
        <f t="shared" si="159"/>
        <v>45551</v>
      </c>
      <c r="H2128">
        <v>1198630995</v>
      </c>
      <c r="I2128" t="s">
        <v>73</v>
      </c>
      <c r="K2128" t="s">
        <v>21</v>
      </c>
      <c r="L2128" t="s">
        <v>22</v>
      </c>
      <c r="M2128" t="s">
        <v>23</v>
      </c>
      <c r="N2128" t="s">
        <v>23</v>
      </c>
      <c r="O2128" t="s">
        <v>24</v>
      </c>
      <c r="P2128" s="8" t="s">
        <v>2611</v>
      </c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</row>
    <row r="2129" spans="1:51" hidden="1" x14ac:dyDescent="0.2">
      <c r="A2129" s="6"/>
      <c r="E2129" s="2"/>
      <c r="F2129" s="3"/>
      <c r="G2129" s="3"/>
      <c r="P2129" s="8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</row>
    <row r="2130" spans="1:51" hidden="1" x14ac:dyDescent="0.2">
      <c r="A2130" s="6"/>
      <c r="E2130" s="2"/>
      <c r="F2130" s="3"/>
      <c r="G2130" s="3"/>
      <c r="P2130" s="8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</row>
    <row r="2131" spans="1:51" x14ac:dyDescent="0.2">
      <c r="A2131" s="6" t="s">
        <v>17</v>
      </c>
      <c r="B2131" t="s">
        <v>61</v>
      </c>
      <c r="C2131" t="s">
        <v>62</v>
      </c>
      <c r="D2131" t="s">
        <v>2612</v>
      </c>
      <c r="E2131" s="2">
        <v>460.8</v>
      </c>
      <c r="F2131" s="3">
        <f t="shared" si="159"/>
        <v>45551</v>
      </c>
      <c r="G2131" s="3">
        <f t="shared" si="159"/>
        <v>45551</v>
      </c>
      <c r="H2131">
        <v>1198630998</v>
      </c>
      <c r="I2131" t="s">
        <v>73</v>
      </c>
      <c r="K2131" t="s">
        <v>21</v>
      </c>
      <c r="L2131" t="s">
        <v>22</v>
      </c>
      <c r="M2131" t="s">
        <v>23</v>
      </c>
      <c r="N2131" t="s">
        <v>23</v>
      </c>
      <c r="O2131" t="s">
        <v>24</v>
      </c>
      <c r="P2131" s="8" t="s">
        <v>2613</v>
      </c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</row>
    <row r="2132" spans="1:51" x14ac:dyDescent="0.2">
      <c r="A2132" s="6" t="s">
        <v>17</v>
      </c>
      <c r="B2132" t="s">
        <v>18</v>
      </c>
      <c r="C2132" t="s">
        <v>18</v>
      </c>
      <c r="D2132" t="s">
        <v>189</v>
      </c>
      <c r="E2132" s="2">
        <v>55.24</v>
      </c>
      <c r="F2132" s="3">
        <f t="shared" si="159"/>
        <v>45551</v>
      </c>
      <c r="G2132" s="3">
        <f t="shared" si="159"/>
        <v>45551</v>
      </c>
      <c r="H2132">
        <v>1198630999</v>
      </c>
      <c r="I2132" t="s">
        <v>73</v>
      </c>
      <c r="K2132" t="s">
        <v>21</v>
      </c>
      <c r="L2132" t="s">
        <v>22</v>
      </c>
      <c r="M2132" t="s">
        <v>23</v>
      </c>
      <c r="N2132" t="s">
        <v>23</v>
      </c>
      <c r="O2132" t="s">
        <v>24</v>
      </c>
      <c r="P2132" s="8" t="s">
        <v>2614</v>
      </c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</row>
    <row r="2133" spans="1:51" hidden="1" x14ac:dyDescent="0.2">
      <c r="A2133" s="6"/>
      <c r="E2133" s="2"/>
      <c r="F2133" s="3"/>
      <c r="G2133" s="3"/>
      <c r="P2133" s="8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</row>
    <row r="2134" spans="1:51" hidden="1" x14ac:dyDescent="0.2">
      <c r="A2134" s="6"/>
      <c r="E2134" s="2"/>
      <c r="F2134" s="3"/>
      <c r="G2134" s="3"/>
      <c r="P2134" s="8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</row>
    <row r="2135" spans="1:51" hidden="1" x14ac:dyDescent="0.2">
      <c r="A2135" s="6"/>
      <c r="E2135" s="2"/>
      <c r="F2135" s="3"/>
      <c r="G2135" s="3"/>
      <c r="P2135" s="8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</row>
    <row r="2136" spans="1:51" x14ac:dyDescent="0.2">
      <c r="A2136" s="6" t="s">
        <v>17</v>
      </c>
      <c r="B2136" t="s">
        <v>44</v>
      </c>
      <c r="C2136" t="s">
        <v>45</v>
      </c>
      <c r="D2136" t="s">
        <v>831</v>
      </c>
      <c r="E2136" s="2">
        <v>158.88</v>
      </c>
      <c r="F2136" s="3">
        <f>DATE(2024,9,14)</f>
        <v>45549</v>
      </c>
      <c r="G2136" s="3">
        <f>DATE(2024,9,14)</f>
        <v>45549</v>
      </c>
      <c r="H2136">
        <v>1203449221</v>
      </c>
      <c r="I2136" t="s">
        <v>51</v>
      </c>
      <c r="K2136" t="s">
        <v>21</v>
      </c>
      <c r="L2136" t="s">
        <v>22</v>
      </c>
      <c r="M2136" t="s">
        <v>23</v>
      </c>
      <c r="N2136" t="s">
        <v>23</v>
      </c>
      <c r="O2136" t="s">
        <v>24</v>
      </c>
      <c r="P2136" s="8" t="s">
        <v>2615</v>
      </c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</row>
    <row r="2137" spans="1:51" x14ac:dyDescent="0.2">
      <c r="A2137" s="6" t="s">
        <v>17</v>
      </c>
      <c r="B2137" t="s">
        <v>100</v>
      </c>
      <c r="C2137" t="s">
        <v>101</v>
      </c>
      <c r="D2137" t="s">
        <v>283</v>
      </c>
      <c r="E2137" s="2">
        <v>70.92</v>
      </c>
      <c r="F2137" s="3">
        <f>DATE(2024,9,16)</f>
        <v>45551</v>
      </c>
      <c r="G2137" s="3">
        <f>DATE(2024,9,16)</f>
        <v>45551</v>
      </c>
      <c r="H2137">
        <v>1203449222</v>
      </c>
      <c r="I2137" t="s">
        <v>51</v>
      </c>
      <c r="K2137" t="s">
        <v>21</v>
      </c>
      <c r="L2137" t="s">
        <v>22</v>
      </c>
      <c r="M2137" t="s">
        <v>23</v>
      </c>
      <c r="N2137" t="s">
        <v>23</v>
      </c>
      <c r="O2137" t="s">
        <v>24</v>
      </c>
      <c r="P2137" s="8" t="s">
        <v>2616</v>
      </c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</row>
    <row r="2138" spans="1:51" hidden="1" x14ac:dyDescent="0.2">
      <c r="A2138" s="6"/>
      <c r="E2138" s="2"/>
      <c r="F2138" s="3"/>
      <c r="G2138" s="3"/>
      <c r="P2138" s="8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</row>
    <row r="2139" spans="1:51" x14ac:dyDescent="0.2">
      <c r="A2139" s="6" t="s">
        <v>17</v>
      </c>
      <c r="B2139" t="s">
        <v>144</v>
      </c>
      <c r="C2139" t="s">
        <v>145</v>
      </c>
      <c r="D2139" t="s">
        <v>2617</v>
      </c>
      <c r="E2139" s="2">
        <v>19.350000000000001</v>
      </c>
      <c r="F2139" s="3">
        <f t="shared" ref="F2138:G2143" si="160">DATE(2024,9,17)</f>
        <v>45552</v>
      </c>
      <c r="G2139" s="3">
        <f t="shared" si="160"/>
        <v>45552</v>
      </c>
      <c r="H2139">
        <v>1203505278</v>
      </c>
      <c r="I2139" t="s">
        <v>73</v>
      </c>
      <c r="K2139" t="s">
        <v>21</v>
      </c>
      <c r="L2139" t="s">
        <v>22</v>
      </c>
      <c r="M2139" t="s">
        <v>23</v>
      </c>
      <c r="N2139" t="s">
        <v>23</v>
      </c>
      <c r="O2139" t="s">
        <v>24</v>
      </c>
      <c r="P2139" s="8" t="s">
        <v>2618</v>
      </c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</row>
    <row r="2140" spans="1:51" hidden="1" x14ac:dyDescent="0.2">
      <c r="A2140" s="6"/>
      <c r="E2140" s="2"/>
      <c r="F2140" s="3"/>
      <c r="G2140" s="3"/>
      <c r="P2140" s="8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</row>
    <row r="2141" spans="1:51" x14ac:dyDescent="0.2">
      <c r="A2141" s="6" t="s">
        <v>17</v>
      </c>
      <c r="B2141" t="s">
        <v>144</v>
      </c>
      <c r="C2141" t="s">
        <v>145</v>
      </c>
      <c r="D2141" t="s">
        <v>2619</v>
      </c>
      <c r="E2141" s="2">
        <v>54.8</v>
      </c>
      <c r="F2141" s="3">
        <f t="shared" si="160"/>
        <v>45552</v>
      </c>
      <c r="G2141" s="3">
        <f t="shared" si="160"/>
        <v>45552</v>
      </c>
      <c r="H2141">
        <v>1203505280</v>
      </c>
      <c r="I2141" t="s">
        <v>73</v>
      </c>
      <c r="K2141" t="s">
        <v>21</v>
      </c>
      <c r="L2141" t="s">
        <v>22</v>
      </c>
      <c r="M2141" t="s">
        <v>23</v>
      </c>
      <c r="N2141" t="s">
        <v>23</v>
      </c>
      <c r="O2141" t="s">
        <v>24</v>
      </c>
      <c r="P2141" s="8" t="s">
        <v>2620</v>
      </c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</row>
    <row r="2142" spans="1:51" x14ac:dyDescent="0.2">
      <c r="A2142" s="6" t="s">
        <v>17</v>
      </c>
      <c r="B2142" t="s">
        <v>144</v>
      </c>
      <c r="C2142" t="s">
        <v>145</v>
      </c>
      <c r="D2142" t="s">
        <v>2621</v>
      </c>
      <c r="E2142" s="2">
        <v>762.43</v>
      </c>
      <c r="F2142" s="3">
        <f t="shared" si="160"/>
        <v>45552</v>
      </c>
      <c r="G2142" s="3">
        <f t="shared" si="160"/>
        <v>45552</v>
      </c>
      <c r="H2142">
        <v>1203505281</v>
      </c>
      <c r="I2142" t="s">
        <v>73</v>
      </c>
      <c r="K2142" t="s">
        <v>21</v>
      </c>
      <c r="L2142" t="s">
        <v>22</v>
      </c>
      <c r="M2142" t="s">
        <v>23</v>
      </c>
      <c r="N2142" t="s">
        <v>23</v>
      </c>
      <c r="O2142" t="s">
        <v>24</v>
      </c>
      <c r="P2142" s="8" t="s">
        <v>2622</v>
      </c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</row>
    <row r="2143" spans="1:51" hidden="1" x14ac:dyDescent="0.2">
      <c r="A2143" s="6"/>
      <c r="E2143" s="2"/>
      <c r="F2143" s="3"/>
      <c r="G2143" s="3"/>
      <c r="P2143" s="8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</row>
    <row r="2144" spans="1:51" hidden="1" x14ac:dyDescent="0.2">
      <c r="A2144" s="6"/>
      <c r="E2144" s="2"/>
      <c r="F2144" s="3"/>
      <c r="G2144" s="3"/>
      <c r="P2144" s="8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</row>
    <row r="2145" spans="1:51" hidden="1" x14ac:dyDescent="0.2">
      <c r="A2145" s="6"/>
      <c r="E2145" s="2"/>
      <c r="F2145" s="3"/>
      <c r="G2145" s="3"/>
      <c r="P2145" s="8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</row>
    <row r="2146" spans="1:51" x14ac:dyDescent="0.2">
      <c r="A2146" s="6" t="s">
        <v>17</v>
      </c>
      <c r="B2146" t="s">
        <v>144</v>
      </c>
      <c r="C2146" t="s">
        <v>145</v>
      </c>
      <c r="D2146" t="s">
        <v>2623</v>
      </c>
      <c r="E2146" s="2">
        <v>15.41</v>
      </c>
      <c r="F2146" s="3">
        <f t="shared" ref="F2144:G2151" si="161">DATE(2024,9,18)</f>
        <v>45553</v>
      </c>
      <c r="G2146" s="3">
        <f t="shared" si="161"/>
        <v>45553</v>
      </c>
      <c r="H2146">
        <v>1207595967</v>
      </c>
      <c r="I2146" t="s">
        <v>73</v>
      </c>
      <c r="K2146" t="s">
        <v>21</v>
      </c>
      <c r="L2146" t="s">
        <v>22</v>
      </c>
      <c r="M2146" t="s">
        <v>23</v>
      </c>
      <c r="N2146" t="s">
        <v>23</v>
      </c>
      <c r="O2146" t="s">
        <v>24</v>
      </c>
      <c r="P2146" s="8" t="s">
        <v>2624</v>
      </c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</row>
    <row r="2147" spans="1:51" x14ac:dyDescent="0.2">
      <c r="A2147" s="6" t="s">
        <v>17</v>
      </c>
      <c r="B2147" t="s">
        <v>144</v>
      </c>
      <c r="C2147" t="s">
        <v>145</v>
      </c>
      <c r="D2147" t="s">
        <v>2625</v>
      </c>
      <c r="E2147" s="2">
        <v>104</v>
      </c>
      <c r="F2147" s="3">
        <f t="shared" si="161"/>
        <v>45553</v>
      </c>
      <c r="G2147" s="3">
        <f t="shared" si="161"/>
        <v>45553</v>
      </c>
      <c r="H2147">
        <v>1207595968</v>
      </c>
      <c r="I2147" t="s">
        <v>73</v>
      </c>
      <c r="K2147" t="s">
        <v>21</v>
      </c>
      <c r="L2147" t="s">
        <v>22</v>
      </c>
      <c r="M2147" t="s">
        <v>23</v>
      </c>
      <c r="N2147" t="s">
        <v>23</v>
      </c>
      <c r="O2147" t="s">
        <v>24</v>
      </c>
      <c r="P2147" s="8" t="s">
        <v>2626</v>
      </c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</row>
    <row r="2148" spans="1:51" hidden="1" x14ac:dyDescent="0.2">
      <c r="A2148" s="6"/>
      <c r="E2148" s="2"/>
      <c r="F2148" s="3"/>
      <c r="G2148" s="3"/>
      <c r="P2148" s="8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</row>
    <row r="2149" spans="1:51" x14ac:dyDescent="0.2">
      <c r="A2149" s="6" t="s">
        <v>17</v>
      </c>
      <c r="B2149" t="s">
        <v>144</v>
      </c>
      <c r="C2149" t="s">
        <v>145</v>
      </c>
      <c r="D2149" t="s">
        <v>2623</v>
      </c>
      <c r="E2149" s="2">
        <v>19.27</v>
      </c>
      <c r="F2149" s="3">
        <f t="shared" si="161"/>
        <v>45553</v>
      </c>
      <c r="G2149" s="3">
        <f t="shared" si="161"/>
        <v>45553</v>
      </c>
      <c r="H2149">
        <v>1207595970</v>
      </c>
      <c r="I2149" t="s">
        <v>73</v>
      </c>
      <c r="K2149" t="s">
        <v>21</v>
      </c>
      <c r="L2149" t="s">
        <v>22</v>
      </c>
      <c r="M2149" t="s">
        <v>23</v>
      </c>
      <c r="N2149" t="s">
        <v>23</v>
      </c>
      <c r="O2149" t="s">
        <v>24</v>
      </c>
      <c r="P2149" s="8" t="s">
        <v>2627</v>
      </c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</row>
    <row r="2150" spans="1:51" x14ac:dyDescent="0.2">
      <c r="A2150" s="6" t="s">
        <v>17</v>
      </c>
      <c r="B2150" t="s">
        <v>110</v>
      </c>
      <c r="C2150" t="s">
        <v>111</v>
      </c>
      <c r="D2150" t="s">
        <v>2628</v>
      </c>
      <c r="E2150" s="2">
        <v>1.25</v>
      </c>
      <c r="F2150" s="3">
        <f t="shared" si="161"/>
        <v>45553</v>
      </c>
      <c r="G2150" s="3">
        <f t="shared" si="161"/>
        <v>45553</v>
      </c>
      <c r="H2150">
        <v>1207595971</v>
      </c>
      <c r="I2150" t="s">
        <v>73</v>
      </c>
      <c r="K2150" t="s">
        <v>21</v>
      </c>
      <c r="L2150" t="s">
        <v>22</v>
      </c>
      <c r="M2150" t="s">
        <v>23</v>
      </c>
      <c r="N2150" t="s">
        <v>23</v>
      </c>
      <c r="O2150" t="s">
        <v>24</v>
      </c>
      <c r="P2150" s="8" t="s">
        <v>2629</v>
      </c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</row>
    <row r="2151" spans="1:51" hidden="1" x14ac:dyDescent="0.2">
      <c r="A2151" s="6"/>
      <c r="E2151" s="2"/>
      <c r="F2151" s="3"/>
      <c r="G2151" s="3"/>
      <c r="P2151" s="8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</row>
    <row r="2152" spans="1:51" x14ac:dyDescent="0.2">
      <c r="A2152" s="6" t="s">
        <v>17</v>
      </c>
      <c r="B2152" t="s">
        <v>655</v>
      </c>
      <c r="C2152" t="s">
        <v>656</v>
      </c>
      <c r="D2152" t="s">
        <v>2630</v>
      </c>
      <c r="E2152" s="2">
        <v>2727.05</v>
      </c>
      <c r="F2152" s="3">
        <f t="shared" ref="F2152:G2155" si="162">DATE(2024,9,20)</f>
        <v>45555</v>
      </c>
      <c r="G2152" s="3">
        <f t="shared" si="162"/>
        <v>45555</v>
      </c>
      <c r="H2152">
        <v>1211880122</v>
      </c>
      <c r="I2152" t="s">
        <v>20</v>
      </c>
      <c r="K2152" t="s">
        <v>21</v>
      </c>
      <c r="L2152" t="s">
        <v>22</v>
      </c>
      <c r="M2152" t="s">
        <v>23</v>
      </c>
      <c r="N2152" t="s">
        <v>23</v>
      </c>
      <c r="O2152" t="s">
        <v>24</v>
      </c>
      <c r="P2152" s="8" t="s">
        <v>2631</v>
      </c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</row>
    <row r="2153" spans="1:51" x14ac:dyDescent="0.2">
      <c r="A2153" s="6" t="s">
        <v>17</v>
      </c>
      <c r="B2153" t="s">
        <v>887</v>
      </c>
      <c r="C2153" t="s">
        <v>888</v>
      </c>
      <c r="D2153" t="s">
        <v>2632</v>
      </c>
      <c r="E2153" s="2">
        <v>1307.3900000000001</v>
      </c>
      <c r="F2153" s="3">
        <f t="shared" si="162"/>
        <v>45555</v>
      </c>
      <c r="G2153" s="3">
        <f t="shared" si="162"/>
        <v>45555</v>
      </c>
      <c r="H2153">
        <v>1211880123</v>
      </c>
      <c r="I2153" t="s">
        <v>20</v>
      </c>
      <c r="K2153" t="s">
        <v>21</v>
      </c>
      <c r="L2153" t="s">
        <v>22</v>
      </c>
      <c r="M2153" t="s">
        <v>23</v>
      </c>
      <c r="N2153" t="s">
        <v>23</v>
      </c>
      <c r="O2153" t="s">
        <v>24</v>
      </c>
      <c r="P2153" s="8" t="s">
        <v>2633</v>
      </c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</row>
    <row r="2154" spans="1:51" x14ac:dyDescent="0.2">
      <c r="A2154" s="6" t="s">
        <v>17</v>
      </c>
      <c r="B2154" t="s">
        <v>674</v>
      </c>
      <c r="C2154" t="s">
        <v>675</v>
      </c>
      <c r="D2154" t="s">
        <v>2634</v>
      </c>
      <c r="E2154" s="2">
        <v>2801.78</v>
      </c>
      <c r="F2154" s="3">
        <f t="shared" si="162"/>
        <v>45555</v>
      </c>
      <c r="G2154" s="3">
        <f t="shared" si="162"/>
        <v>45555</v>
      </c>
      <c r="H2154">
        <v>1211880124</v>
      </c>
      <c r="I2154" t="s">
        <v>20</v>
      </c>
      <c r="K2154" t="s">
        <v>21</v>
      </c>
      <c r="L2154" t="s">
        <v>22</v>
      </c>
      <c r="M2154" t="s">
        <v>23</v>
      </c>
      <c r="N2154" t="s">
        <v>23</v>
      </c>
      <c r="O2154" t="s">
        <v>24</v>
      </c>
      <c r="P2154" s="8" t="s">
        <v>2635</v>
      </c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</row>
    <row r="2155" spans="1:51" x14ac:dyDescent="0.2">
      <c r="A2155" s="6" t="s">
        <v>17</v>
      </c>
      <c r="B2155" t="s">
        <v>57</v>
      </c>
      <c r="C2155" t="s">
        <v>58</v>
      </c>
      <c r="D2155" t="s">
        <v>2636</v>
      </c>
      <c r="E2155" s="2">
        <v>74.94</v>
      </c>
      <c r="F2155" s="3">
        <f t="shared" si="162"/>
        <v>45555</v>
      </c>
      <c r="G2155" s="3">
        <f t="shared" si="162"/>
        <v>45555</v>
      </c>
      <c r="H2155">
        <v>1211880125</v>
      </c>
      <c r="I2155" t="s">
        <v>20</v>
      </c>
      <c r="K2155" t="s">
        <v>21</v>
      </c>
      <c r="L2155" t="s">
        <v>22</v>
      </c>
      <c r="M2155" t="s">
        <v>23</v>
      </c>
      <c r="N2155" t="s">
        <v>23</v>
      </c>
      <c r="O2155" t="s">
        <v>24</v>
      </c>
      <c r="P2155" s="8" t="s">
        <v>2637</v>
      </c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</row>
    <row r="2156" spans="1:51" hidden="1" x14ac:dyDescent="0.2">
      <c r="A2156" s="6"/>
      <c r="E2156" s="2"/>
      <c r="F2156" s="3"/>
      <c r="G2156" s="3"/>
      <c r="P2156" s="8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</row>
    <row r="2157" spans="1:51" x14ac:dyDescent="0.2">
      <c r="A2157" s="6" t="s">
        <v>17</v>
      </c>
      <c r="B2157" t="s">
        <v>26</v>
      </c>
      <c r="C2157" t="s">
        <v>27</v>
      </c>
      <c r="D2157" t="s">
        <v>2638</v>
      </c>
      <c r="E2157" s="2">
        <v>2.64</v>
      </c>
      <c r="F2157" s="3">
        <f>DATE(2024,9,20)</f>
        <v>45555</v>
      </c>
      <c r="G2157" s="3">
        <f>DATE(2024,9,20)</f>
        <v>45555</v>
      </c>
      <c r="H2157">
        <v>1211880127</v>
      </c>
      <c r="I2157" t="s">
        <v>20</v>
      </c>
      <c r="K2157" t="s">
        <v>21</v>
      </c>
      <c r="L2157" t="s">
        <v>22</v>
      </c>
      <c r="M2157" t="s">
        <v>23</v>
      </c>
      <c r="N2157" t="s">
        <v>23</v>
      </c>
      <c r="O2157" t="s">
        <v>24</v>
      </c>
      <c r="P2157" s="8" t="s">
        <v>2639</v>
      </c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</row>
    <row r="2158" spans="1:51" hidden="1" x14ac:dyDescent="0.2">
      <c r="A2158" s="6"/>
      <c r="E2158" s="2"/>
      <c r="F2158" s="3"/>
      <c r="G2158" s="3"/>
      <c r="P2158" s="8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</row>
    <row r="2159" spans="1:51" x14ac:dyDescent="0.2">
      <c r="A2159" s="6" t="s">
        <v>17</v>
      </c>
      <c r="B2159" t="s">
        <v>104</v>
      </c>
      <c r="C2159" t="s">
        <v>105</v>
      </c>
      <c r="D2159" t="s">
        <v>2640</v>
      </c>
      <c r="E2159" s="2">
        <v>74.069999999999993</v>
      </c>
      <c r="F2159" s="3">
        <f>DATE(2024,9,20)</f>
        <v>45555</v>
      </c>
      <c r="G2159" s="3">
        <f>DATE(2024,9,20)</f>
        <v>45555</v>
      </c>
      <c r="H2159">
        <v>1211880129</v>
      </c>
      <c r="I2159" t="s">
        <v>20</v>
      </c>
      <c r="K2159" t="s">
        <v>21</v>
      </c>
      <c r="L2159" t="s">
        <v>22</v>
      </c>
      <c r="M2159" t="s">
        <v>23</v>
      </c>
      <c r="N2159" t="s">
        <v>23</v>
      </c>
      <c r="O2159" t="s">
        <v>24</v>
      </c>
      <c r="P2159" s="8" t="s">
        <v>2641</v>
      </c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</row>
    <row r="2160" spans="1:51" x14ac:dyDescent="0.2">
      <c r="A2160" s="6" t="s">
        <v>17</v>
      </c>
      <c r="B2160" t="s">
        <v>100</v>
      </c>
      <c r="C2160" t="s">
        <v>101</v>
      </c>
      <c r="D2160" t="s">
        <v>1658</v>
      </c>
      <c r="E2160" s="2">
        <v>28.36</v>
      </c>
      <c r="F2160" s="3">
        <f>DATE(2024,9,18)</f>
        <v>45553</v>
      </c>
      <c r="G2160" s="3">
        <f>DATE(2024,9,18)</f>
        <v>45553</v>
      </c>
      <c r="H2160">
        <v>1211880130</v>
      </c>
      <c r="I2160" t="s">
        <v>51</v>
      </c>
      <c r="K2160" t="s">
        <v>21</v>
      </c>
      <c r="L2160" t="s">
        <v>22</v>
      </c>
      <c r="M2160" t="s">
        <v>23</v>
      </c>
      <c r="N2160" t="s">
        <v>23</v>
      </c>
      <c r="O2160" t="s">
        <v>24</v>
      </c>
      <c r="P2160" s="8" t="s">
        <v>2642</v>
      </c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</row>
    <row r="2161" spans="1:51" x14ac:dyDescent="0.2">
      <c r="A2161" s="6" t="s">
        <v>17</v>
      </c>
      <c r="B2161" t="s">
        <v>44</v>
      </c>
      <c r="C2161" t="s">
        <v>45</v>
      </c>
      <c r="D2161" t="s">
        <v>690</v>
      </c>
      <c r="E2161" s="2">
        <v>39.799999999999997</v>
      </c>
      <c r="F2161" s="3">
        <f>DATE(2024,9,17)</f>
        <v>45552</v>
      </c>
      <c r="G2161" s="3">
        <f>DATE(2024,9,17)</f>
        <v>45552</v>
      </c>
      <c r="H2161">
        <v>1211880131</v>
      </c>
      <c r="I2161" t="s">
        <v>51</v>
      </c>
      <c r="K2161" t="s">
        <v>21</v>
      </c>
      <c r="L2161" t="s">
        <v>22</v>
      </c>
      <c r="M2161" t="s">
        <v>23</v>
      </c>
      <c r="N2161" t="s">
        <v>23</v>
      </c>
      <c r="O2161" t="s">
        <v>24</v>
      </c>
      <c r="P2161" s="8" t="s">
        <v>2643</v>
      </c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</row>
    <row r="2162" spans="1:51" hidden="1" x14ac:dyDescent="0.2">
      <c r="A2162" s="6"/>
      <c r="E2162" s="2"/>
      <c r="F2162" s="3"/>
      <c r="G2162" s="3"/>
      <c r="P2162" s="8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</row>
    <row r="2163" spans="1:51" x14ac:dyDescent="0.2">
      <c r="A2163" s="6" t="s">
        <v>17</v>
      </c>
      <c r="B2163" t="s">
        <v>144</v>
      </c>
      <c r="C2163" t="s">
        <v>145</v>
      </c>
      <c r="D2163" t="s">
        <v>2644</v>
      </c>
      <c r="E2163" s="2">
        <v>16.28</v>
      </c>
      <c r="F2163" s="3">
        <f t="shared" ref="F2162:G2164" si="163">DATE(2024,9,19)</f>
        <v>45554</v>
      </c>
      <c r="G2163" s="3">
        <f t="shared" si="163"/>
        <v>45554</v>
      </c>
      <c r="H2163">
        <v>1211897830</v>
      </c>
      <c r="I2163" t="s">
        <v>73</v>
      </c>
      <c r="K2163" t="s">
        <v>21</v>
      </c>
      <c r="L2163" t="s">
        <v>22</v>
      </c>
      <c r="M2163" t="s">
        <v>23</v>
      </c>
      <c r="N2163" t="s">
        <v>23</v>
      </c>
      <c r="O2163" t="s">
        <v>24</v>
      </c>
      <c r="P2163" s="8" t="s">
        <v>2645</v>
      </c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</row>
    <row r="2164" spans="1:51" x14ac:dyDescent="0.2">
      <c r="A2164" s="6" t="s">
        <v>17</v>
      </c>
      <c r="B2164" t="s">
        <v>144</v>
      </c>
      <c r="C2164" t="s">
        <v>145</v>
      </c>
      <c r="D2164" t="s">
        <v>2646</v>
      </c>
      <c r="E2164" s="2">
        <v>181.65</v>
      </c>
      <c r="F2164" s="3">
        <f t="shared" si="163"/>
        <v>45554</v>
      </c>
      <c r="G2164" s="3">
        <f t="shared" si="163"/>
        <v>45554</v>
      </c>
      <c r="H2164">
        <v>1211897831</v>
      </c>
      <c r="I2164" t="s">
        <v>73</v>
      </c>
      <c r="K2164" t="s">
        <v>21</v>
      </c>
      <c r="L2164" t="s">
        <v>22</v>
      </c>
      <c r="M2164" t="s">
        <v>23</v>
      </c>
      <c r="N2164" t="s">
        <v>23</v>
      </c>
      <c r="O2164" t="s">
        <v>24</v>
      </c>
      <c r="P2164" s="8" t="s">
        <v>2647</v>
      </c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</row>
    <row r="2165" spans="1:51" hidden="1" x14ac:dyDescent="0.2">
      <c r="A2165" s="6"/>
      <c r="E2165" s="2"/>
      <c r="F2165" s="3"/>
      <c r="G2165" s="3"/>
      <c r="P2165" s="8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</row>
    <row r="2166" spans="1:51" hidden="1" x14ac:dyDescent="0.2">
      <c r="A2166" s="6"/>
      <c r="E2166" s="2"/>
      <c r="F2166" s="3"/>
      <c r="G2166" s="3"/>
      <c r="P2166" s="8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</row>
    <row r="2167" spans="1:51" hidden="1" x14ac:dyDescent="0.2">
      <c r="A2167" s="6"/>
      <c r="E2167" s="2"/>
      <c r="F2167" s="3"/>
      <c r="G2167" s="3"/>
      <c r="P2167" s="8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</row>
    <row r="2168" spans="1:51" hidden="1" x14ac:dyDescent="0.2">
      <c r="A2168" s="6"/>
      <c r="E2168" s="2"/>
      <c r="F2168" s="3"/>
      <c r="G2168" s="3"/>
      <c r="P2168" s="8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</row>
    <row r="2169" spans="1:51" hidden="1" x14ac:dyDescent="0.2">
      <c r="A2169" s="6"/>
      <c r="E2169" s="2"/>
      <c r="F2169" s="3"/>
      <c r="G2169" s="3"/>
      <c r="P2169" s="8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</row>
    <row r="2170" spans="1:51" hidden="1" x14ac:dyDescent="0.2">
      <c r="A2170" s="6"/>
      <c r="E2170" s="2"/>
      <c r="F2170" s="3"/>
      <c r="G2170" s="3"/>
      <c r="P2170" s="8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</row>
    <row r="2171" spans="1:51" x14ac:dyDescent="0.2">
      <c r="A2171" s="6" t="s">
        <v>17</v>
      </c>
      <c r="B2171" t="s">
        <v>316</v>
      </c>
      <c r="C2171" t="s">
        <v>316</v>
      </c>
      <c r="D2171" t="s">
        <v>2648</v>
      </c>
      <c r="E2171" s="2">
        <v>36.799999999999997</v>
      </c>
      <c r="F2171" s="3">
        <f t="shared" ref="F2165:G2174" si="164">DATE(2024,9,20)</f>
        <v>45555</v>
      </c>
      <c r="G2171" s="3">
        <f t="shared" si="164"/>
        <v>45555</v>
      </c>
      <c r="H2171">
        <v>1215086242</v>
      </c>
      <c r="I2171" t="s">
        <v>73</v>
      </c>
      <c r="K2171" t="s">
        <v>21</v>
      </c>
      <c r="L2171" t="s">
        <v>22</v>
      </c>
      <c r="M2171" t="s">
        <v>23</v>
      </c>
      <c r="N2171" t="s">
        <v>23</v>
      </c>
      <c r="O2171" t="s">
        <v>24</v>
      </c>
      <c r="P2171" s="8" t="s">
        <v>2649</v>
      </c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</row>
    <row r="2172" spans="1:51" x14ac:dyDescent="0.2">
      <c r="A2172" s="6" t="s">
        <v>17</v>
      </c>
      <c r="B2172" t="s">
        <v>144</v>
      </c>
      <c r="C2172" t="s">
        <v>145</v>
      </c>
      <c r="D2172" t="s">
        <v>2650</v>
      </c>
      <c r="E2172" s="2">
        <v>70.3</v>
      </c>
      <c r="F2172" s="3">
        <f t="shared" si="164"/>
        <v>45555</v>
      </c>
      <c r="G2172" s="3">
        <f t="shared" si="164"/>
        <v>45555</v>
      </c>
      <c r="H2172">
        <v>1215086243</v>
      </c>
      <c r="I2172" t="s">
        <v>73</v>
      </c>
      <c r="K2172" t="s">
        <v>21</v>
      </c>
      <c r="L2172" t="s">
        <v>22</v>
      </c>
      <c r="M2172" t="s">
        <v>23</v>
      </c>
      <c r="N2172" t="s">
        <v>23</v>
      </c>
      <c r="O2172" t="s">
        <v>24</v>
      </c>
      <c r="P2172" s="8" t="s">
        <v>2651</v>
      </c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</row>
    <row r="2173" spans="1:51" hidden="1" x14ac:dyDescent="0.2">
      <c r="A2173" s="6"/>
      <c r="E2173" s="2"/>
      <c r="F2173" s="3"/>
      <c r="G2173" s="3"/>
      <c r="P2173" s="8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</row>
    <row r="2174" spans="1:51" hidden="1" x14ac:dyDescent="0.2">
      <c r="A2174" s="6"/>
      <c r="E2174" s="2"/>
      <c r="F2174" s="3"/>
      <c r="G2174" s="3"/>
      <c r="P2174" s="8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</row>
    <row r="2175" spans="1:51" hidden="1" x14ac:dyDescent="0.2">
      <c r="A2175" s="6"/>
      <c r="E2175" s="2"/>
      <c r="F2175" s="3"/>
      <c r="G2175" s="3"/>
      <c r="P2175" s="8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</row>
    <row r="2176" spans="1:51" x14ac:dyDescent="0.2">
      <c r="A2176" s="6" t="s">
        <v>17</v>
      </c>
      <c r="B2176" t="s">
        <v>104</v>
      </c>
      <c r="C2176" t="s">
        <v>105</v>
      </c>
      <c r="D2176" t="s">
        <v>835</v>
      </c>
      <c r="E2176" s="2">
        <v>28.52</v>
      </c>
      <c r="F2176" s="3">
        <f>DATE(2024,9,20)</f>
        <v>45555</v>
      </c>
      <c r="G2176" s="3">
        <f>DATE(2024,9,20)</f>
        <v>45555</v>
      </c>
      <c r="H2176">
        <v>1217422934</v>
      </c>
      <c r="I2176" t="s">
        <v>51</v>
      </c>
      <c r="K2176" t="s">
        <v>21</v>
      </c>
      <c r="L2176" t="s">
        <v>22</v>
      </c>
      <c r="M2176" t="s">
        <v>23</v>
      </c>
      <c r="N2176" t="s">
        <v>23</v>
      </c>
      <c r="O2176" t="s">
        <v>24</v>
      </c>
      <c r="P2176" s="8" t="s">
        <v>2652</v>
      </c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</row>
    <row r="2177" spans="1:51" x14ac:dyDescent="0.2">
      <c r="A2177" s="6" t="s">
        <v>17</v>
      </c>
      <c r="B2177" t="s">
        <v>312</v>
      </c>
      <c r="C2177" t="s">
        <v>313</v>
      </c>
      <c r="D2177" t="s">
        <v>2653</v>
      </c>
      <c r="E2177" s="2">
        <v>7080</v>
      </c>
      <c r="F2177" s="3">
        <f t="shared" ref="F2177:G2198" si="165">DATE(2024,9,23)</f>
        <v>45558</v>
      </c>
      <c r="G2177" s="3">
        <f t="shared" si="165"/>
        <v>45558</v>
      </c>
      <c r="H2177">
        <v>1222175309</v>
      </c>
      <c r="I2177" t="s">
        <v>20</v>
      </c>
      <c r="K2177" t="s">
        <v>21</v>
      </c>
      <c r="L2177" t="s">
        <v>22</v>
      </c>
      <c r="M2177" t="s">
        <v>23</v>
      </c>
      <c r="N2177" t="s">
        <v>23</v>
      </c>
      <c r="O2177" t="s">
        <v>24</v>
      </c>
      <c r="P2177" s="8" t="s">
        <v>2654</v>
      </c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</row>
    <row r="2178" spans="1:51" x14ac:dyDescent="0.2">
      <c r="A2178" s="6" t="s">
        <v>17</v>
      </c>
      <c r="B2178" t="s">
        <v>57</v>
      </c>
      <c r="C2178" t="s">
        <v>58</v>
      </c>
      <c r="D2178" t="s">
        <v>2655</v>
      </c>
      <c r="E2178" s="2">
        <v>80.400000000000006</v>
      </c>
      <c r="F2178" s="3">
        <f t="shared" si="165"/>
        <v>45558</v>
      </c>
      <c r="G2178" s="3">
        <f t="shared" si="165"/>
        <v>45558</v>
      </c>
      <c r="H2178">
        <v>1222175310</v>
      </c>
      <c r="I2178" t="s">
        <v>20</v>
      </c>
      <c r="K2178" t="s">
        <v>21</v>
      </c>
      <c r="L2178" t="s">
        <v>22</v>
      </c>
      <c r="M2178" t="s">
        <v>23</v>
      </c>
      <c r="N2178" t="s">
        <v>23</v>
      </c>
      <c r="O2178" t="s">
        <v>24</v>
      </c>
      <c r="P2178" s="8" t="s">
        <v>2656</v>
      </c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</row>
    <row r="2179" spans="1:51" x14ac:dyDescent="0.2">
      <c r="A2179" s="6" t="s">
        <v>17</v>
      </c>
      <c r="B2179" t="s">
        <v>34</v>
      </c>
      <c r="C2179" t="s">
        <v>35</v>
      </c>
      <c r="D2179" t="s">
        <v>2657</v>
      </c>
      <c r="E2179" s="2">
        <v>46.4</v>
      </c>
      <c r="F2179" s="3">
        <f t="shared" si="165"/>
        <v>45558</v>
      </c>
      <c r="G2179" s="3">
        <f t="shared" si="165"/>
        <v>45558</v>
      </c>
      <c r="H2179">
        <v>1222175311</v>
      </c>
      <c r="I2179" t="s">
        <v>20</v>
      </c>
      <c r="K2179" t="s">
        <v>21</v>
      </c>
      <c r="L2179" t="s">
        <v>22</v>
      </c>
      <c r="M2179" t="s">
        <v>23</v>
      </c>
      <c r="N2179" t="s">
        <v>23</v>
      </c>
      <c r="O2179" t="s">
        <v>24</v>
      </c>
      <c r="P2179" s="8" t="s">
        <v>2658</v>
      </c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</row>
    <row r="2180" spans="1:51" x14ac:dyDescent="0.2">
      <c r="A2180" s="6" t="s">
        <v>17</v>
      </c>
      <c r="B2180" t="s">
        <v>57</v>
      </c>
      <c r="C2180" t="s">
        <v>58</v>
      </c>
      <c r="D2180" t="s">
        <v>2659</v>
      </c>
      <c r="E2180" s="2">
        <v>96</v>
      </c>
      <c r="F2180" s="3">
        <f t="shared" si="165"/>
        <v>45558</v>
      </c>
      <c r="G2180" s="3">
        <f t="shared" si="165"/>
        <v>45558</v>
      </c>
      <c r="H2180">
        <v>1222175312</v>
      </c>
      <c r="I2180" t="s">
        <v>20</v>
      </c>
      <c r="K2180" t="s">
        <v>21</v>
      </c>
      <c r="L2180" t="s">
        <v>22</v>
      </c>
      <c r="M2180" t="s">
        <v>23</v>
      </c>
      <c r="N2180" t="s">
        <v>23</v>
      </c>
      <c r="O2180" t="s">
        <v>24</v>
      </c>
      <c r="P2180" s="8" t="s">
        <v>2660</v>
      </c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</row>
    <row r="2181" spans="1:51" x14ac:dyDescent="0.2">
      <c r="A2181" s="6" t="s">
        <v>17</v>
      </c>
      <c r="B2181" t="s">
        <v>312</v>
      </c>
      <c r="C2181" t="s">
        <v>313</v>
      </c>
      <c r="D2181" t="s">
        <v>2661</v>
      </c>
      <c r="E2181" s="2">
        <v>150</v>
      </c>
      <c r="F2181" s="3">
        <f t="shared" si="165"/>
        <v>45558</v>
      </c>
      <c r="G2181" s="3">
        <f t="shared" si="165"/>
        <v>45558</v>
      </c>
      <c r="H2181">
        <v>1222175313</v>
      </c>
      <c r="I2181" t="s">
        <v>20</v>
      </c>
      <c r="K2181" t="s">
        <v>21</v>
      </c>
      <c r="L2181" t="s">
        <v>22</v>
      </c>
      <c r="M2181" t="s">
        <v>23</v>
      </c>
      <c r="N2181" t="s">
        <v>23</v>
      </c>
      <c r="O2181" t="s">
        <v>24</v>
      </c>
      <c r="P2181" s="8" t="s">
        <v>2662</v>
      </c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</row>
    <row r="2182" spans="1:51" x14ac:dyDescent="0.2">
      <c r="A2182" s="6" t="s">
        <v>17</v>
      </c>
      <c r="B2182" t="s">
        <v>312</v>
      </c>
      <c r="C2182" t="s">
        <v>313</v>
      </c>
      <c r="D2182" t="s">
        <v>2663</v>
      </c>
      <c r="E2182" s="2">
        <v>2496</v>
      </c>
      <c r="F2182" s="3">
        <f t="shared" si="165"/>
        <v>45558</v>
      </c>
      <c r="G2182" s="3">
        <f t="shared" si="165"/>
        <v>45558</v>
      </c>
      <c r="H2182">
        <v>1222175314</v>
      </c>
      <c r="I2182" t="s">
        <v>20</v>
      </c>
      <c r="K2182" t="s">
        <v>21</v>
      </c>
      <c r="L2182" t="s">
        <v>22</v>
      </c>
      <c r="M2182" t="s">
        <v>23</v>
      </c>
      <c r="N2182" t="s">
        <v>23</v>
      </c>
      <c r="O2182" t="s">
        <v>24</v>
      </c>
      <c r="P2182" s="8" t="s">
        <v>2664</v>
      </c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</row>
    <row r="2183" spans="1:51" x14ac:dyDescent="0.2">
      <c r="A2183" s="6" t="s">
        <v>17</v>
      </c>
      <c r="B2183" t="s">
        <v>179</v>
      </c>
      <c r="C2183" t="s">
        <v>180</v>
      </c>
      <c r="D2183" t="s">
        <v>2665</v>
      </c>
      <c r="E2183" s="2">
        <v>627.57000000000005</v>
      </c>
      <c r="F2183" s="3">
        <f t="shared" si="165"/>
        <v>45558</v>
      </c>
      <c r="G2183" s="3">
        <f t="shared" si="165"/>
        <v>45558</v>
      </c>
      <c r="H2183">
        <v>1222175315</v>
      </c>
      <c r="I2183" t="s">
        <v>20</v>
      </c>
      <c r="K2183" t="s">
        <v>21</v>
      </c>
      <c r="L2183" t="s">
        <v>22</v>
      </c>
      <c r="M2183" t="s">
        <v>23</v>
      </c>
      <c r="N2183" t="s">
        <v>23</v>
      </c>
      <c r="O2183" t="s">
        <v>24</v>
      </c>
      <c r="P2183" s="8" t="s">
        <v>2666</v>
      </c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</row>
    <row r="2184" spans="1:51" x14ac:dyDescent="0.2">
      <c r="A2184" s="6" t="s">
        <v>17</v>
      </c>
      <c r="B2184" t="s">
        <v>312</v>
      </c>
      <c r="C2184" t="s">
        <v>313</v>
      </c>
      <c r="D2184" t="s">
        <v>2667</v>
      </c>
      <c r="E2184" s="2">
        <v>1092</v>
      </c>
      <c r="F2184" s="3">
        <f t="shared" si="165"/>
        <v>45558</v>
      </c>
      <c r="G2184" s="3">
        <f t="shared" si="165"/>
        <v>45558</v>
      </c>
      <c r="H2184">
        <v>1222175316</v>
      </c>
      <c r="I2184" t="s">
        <v>20</v>
      </c>
      <c r="K2184" t="s">
        <v>21</v>
      </c>
      <c r="L2184" t="s">
        <v>22</v>
      </c>
      <c r="M2184" t="s">
        <v>23</v>
      </c>
      <c r="N2184" t="s">
        <v>23</v>
      </c>
      <c r="O2184" t="s">
        <v>24</v>
      </c>
      <c r="P2184" s="8" t="s">
        <v>2668</v>
      </c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</row>
    <row r="2185" spans="1:51" x14ac:dyDescent="0.2">
      <c r="A2185" s="6" t="s">
        <v>17</v>
      </c>
      <c r="B2185" t="s">
        <v>611</v>
      </c>
      <c r="C2185" t="s">
        <v>612</v>
      </c>
      <c r="D2185" t="s">
        <v>2669</v>
      </c>
      <c r="E2185" s="2">
        <v>417.15</v>
      </c>
      <c r="F2185" s="3">
        <f t="shared" si="165"/>
        <v>45558</v>
      </c>
      <c r="G2185" s="3">
        <f t="shared" si="165"/>
        <v>45558</v>
      </c>
      <c r="H2185">
        <v>1222175317</v>
      </c>
      <c r="I2185" t="s">
        <v>20</v>
      </c>
      <c r="K2185" t="s">
        <v>21</v>
      </c>
      <c r="L2185" t="s">
        <v>22</v>
      </c>
      <c r="M2185" t="s">
        <v>23</v>
      </c>
      <c r="N2185" t="s">
        <v>23</v>
      </c>
      <c r="O2185" t="s">
        <v>24</v>
      </c>
      <c r="P2185" s="8" t="s">
        <v>2670</v>
      </c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</row>
    <row r="2186" spans="1:51" hidden="1" x14ac:dyDescent="0.2">
      <c r="A2186" s="6"/>
      <c r="E2186" s="2"/>
      <c r="F2186" s="3"/>
      <c r="G2186" s="3"/>
      <c r="P2186" s="8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</row>
    <row r="2187" spans="1:51" x14ac:dyDescent="0.2">
      <c r="A2187" s="6" t="s">
        <v>17</v>
      </c>
      <c r="B2187" t="s">
        <v>611</v>
      </c>
      <c r="C2187" t="s">
        <v>612</v>
      </c>
      <c r="D2187" t="s">
        <v>2671</v>
      </c>
      <c r="E2187" s="2">
        <v>612</v>
      </c>
      <c r="F2187" s="3">
        <f t="shared" si="165"/>
        <v>45558</v>
      </c>
      <c r="G2187" s="3">
        <f t="shared" si="165"/>
        <v>45558</v>
      </c>
      <c r="H2187">
        <v>1222175320</v>
      </c>
      <c r="I2187" t="s">
        <v>20</v>
      </c>
      <c r="K2187" t="s">
        <v>21</v>
      </c>
      <c r="L2187" t="s">
        <v>22</v>
      </c>
      <c r="M2187" t="s">
        <v>23</v>
      </c>
      <c r="N2187" t="s">
        <v>23</v>
      </c>
      <c r="O2187" t="s">
        <v>24</v>
      </c>
      <c r="P2187" s="8" t="s">
        <v>2672</v>
      </c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</row>
    <row r="2188" spans="1:51" x14ac:dyDescent="0.2">
      <c r="A2188" s="6" t="s">
        <v>17</v>
      </c>
      <c r="B2188" t="s">
        <v>1046</v>
      </c>
      <c r="C2188" t="s">
        <v>1047</v>
      </c>
      <c r="D2188" t="s">
        <v>2673</v>
      </c>
      <c r="E2188" s="2">
        <v>1857.13</v>
      </c>
      <c r="F2188" s="3">
        <f t="shared" si="165"/>
        <v>45558</v>
      </c>
      <c r="G2188" s="3">
        <f t="shared" si="165"/>
        <v>45558</v>
      </c>
      <c r="H2188">
        <v>1222175321</v>
      </c>
      <c r="I2188" t="s">
        <v>20</v>
      </c>
      <c r="K2188" t="s">
        <v>21</v>
      </c>
      <c r="L2188" t="s">
        <v>22</v>
      </c>
      <c r="M2188" t="s">
        <v>23</v>
      </c>
      <c r="N2188" t="s">
        <v>23</v>
      </c>
      <c r="O2188" t="s">
        <v>24</v>
      </c>
      <c r="P2188" s="8" t="s">
        <v>2674</v>
      </c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</row>
    <row r="2189" spans="1:51" x14ac:dyDescent="0.2">
      <c r="A2189" s="6" t="s">
        <v>17</v>
      </c>
      <c r="B2189" t="s">
        <v>191</v>
      </c>
      <c r="C2189" t="s">
        <v>192</v>
      </c>
      <c r="D2189" t="s">
        <v>2675</v>
      </c>
      <c r="E2189" s="2">
        <v>600</v>
      </c>
      <c r="F2189" s="3">
        <f t="shared" si="165"/>
        <v>45558</v>
      </c>
      <c r="G2189" s="3">
        <f t="shared" si="165"/>
        <v>45558</v>
      </c>
      <c r="H2189">
        <v>1222175322</v>
      </c>
      <c r="I2189" t="s">
        <v>20</v>
      </c>
      <c r="K2189" t="s">
        <v>21</v>
      </c>
      <c r="L2189" t="s">
        <v>22</v>
      </c>
      <c r="M2189" t="s">
        <v>23</v>
      </c>
      <c r="N2189" t="s">
        <v>23</v>
      </c>
      <c r="O2189" t="s">
        <v>24</v>
      </c>
      <c r="P2189" s="8" t="s">
        <v>2676</v>
      </c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</row>
    <row r="2190" spans="1:51" x14ac:dyDescent="0.2">
      <c r="A2190" s="6" t="s">
        <v>17</v>
      </c>
      <c r="B2190" t="s">
        <v>363</v>
      </c>
      <c r="C2190" t="s">
        <v>364</v>
      </c>
      <c r="D2190" t="s">
        <v>2677</v>
      </c>
      <c r="E2190" s="2">
        <v>308.83</v>
      </c>
      <c r="F2190" s="3">
        <f t="shared" si="165"/>
        <v>45558</v>
      </c>
      <c r="G2190" s="3">
        <f t="shared" si="165"/>
        <v>45558</v>
      </c>
      <c r="H2190">
        <v>1222175323</v>
      </c>
      <c r="I2190" t="s">
        <v>20</v>
      </c>
      <c r="K2190" t="s">
        <v>21</v>
      </c>
      <c r="L2190" t="s">
        <v>22</v>
      </c>
      <c r="M2190" t="s">
        <v>23</v>
      </c>
      <c r="N2190" t="s">
        <v>23</v>
      </c>
      <c r="O2190" t="s">
        <v>24</v>
      </c>
      <c r="P2190" s="8" t="s">
        <v>2678</v>
      </c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</row>
    <row r="2191" spans="1:51" x14ac:dyDescent="0.2">
      <c r="A2191" s="6" t="s">
        <v>17</v>
      </c>
      <c r="B2191" t="s">
        <v>110</v>
      </c>
      <c r="C2191" t="s">
        <v>111</v>
      </c>
      <c r="D2191" t="s">
        <v>2679</v>
      </c>
      <c r="E2191" s="2">
        <v>200.88</v>
      </c>
      <c r="F2191" s="3">
        <f t="shared" si="165"/>
        <v>45558</v>
      </c>
      <c r="G2191" s="3">
        <f t="shared" si="165"/>
        <v>45558</v>
      </c>
      <c r="H2191">
        <v>1222175324</v>
      </c>
      <c r="I2191" t="s">
        <v>20</v>
      </c>
      <c r="K2191" t="s">
        <v>21</v>
      </c>
      <c r="L2191" t="s">
        <v>22</v>
      </c>
      <c r="M2191" t="s">
        <v>23</v>
      </c>
      <c r="N2191" t="s">
        <v>23</v>
      </c>
      <c r="O2191" t="s">
        <v>24</v>
      </c>
      <c r="P2191" s="8" t="s">
        <v>2680</v>
      </c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</row>
    <row r="2192" spans="1:51" x14ac:dyDescent="0.2">
      <c r="A2192" s="6" t="s">
        <v>17</v>
      </c>
      <c r="B2192" t="s">
        <v>57</v>
      </c>
      <c r="C2192" t="s">
        <v>58</v>
      </c>
      <c r="D2192" t="s">
        <v>2681</v>
      </c>
      <c r="E2192" s="2">
        <v>51.99</v>
      </c>
      <c r="F2192" s="3">
        <f t="shared" si="165"/>
        <v>45558</v>
      </c>
      <c r="G2192" s="3">
        <f t="shared" si="165"/>
        <v>45558</v>
      </c>
      <c r="H2192">
        <v>1222175325</v>
      </c>
      <c r="I2192" t="s">
        <v>20</v>
      </c>
      <c r="K2192" t="s">
        <v>21</v>
      </c>
      <c r="L2192" t="s">
        <v>22</v>
      </c>
      <c r="M2192" t="s">
        <v>23</v>
      </c>
      <c r="N2192" t="s">
        <v>23</v>
      </c>
      <c r="O2192" t="s">
        <v>24</v>
      </c>
      <c r="P2192" s="8" t="s">
        <v>2682</v>
      </c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</row>
    <row r="2193" spans="1:51" x14ac:dyDescent="0.2">
      <c r="A2193" s="6" t="s">
        <v>17</v>
      </c>
      <c r="B2193" t="s">
        <v>110</v>
      </c>
      <c r="C2193" t="s">
        <v>111</v>
      </c>
      <c r="D2193" t="s">
        <v>2683</v>
      </c>
      <c r="E2193" s="2">
        <v>169.92</v>
      </c>
      <c r="F2193" s="3">
        <f t="shared" si="165"/>
        <v>45558</v>
      </c>
      <c r="G2193" s="3">
        <f t="shared" si="165"/>
        <v>45558</v>
      </c>
      <c r="H2193">
        <v>1222175326</v>
      </c>
      <c r="I2193" t="s">
        <v>20</v>
      </c>
      <c r="K2193" t="s">
        <v>21</v>
      </c>
      <c r="L2193" t="s">
        <v>22</v>
      </c>
      <c r="M2193" t="s">
        <v>23</v>
      </c>
      <c r="N2193" t="s">
        <v>23</v>
      </c>
      <c r="O2193" t="s">
        <v>24</v>
      </c>
      <c r="P2193" s="8" t="s">
        <v>2684</v>
      </c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</row>
    <row r="2194" spans="1:51" x14ac:dyDescent="0.2">
      <c r="A2194" s="6" t="s">
        <v>17</v>
      </c>
      <c r="B2194" t="s">
        <v>104</v>
      </c>
      <c r="C2194" t="s">
        <v>105</v>
      </c>
      <c r="D2194" t="s">
        <v>2685</v>
      </c>
      <c r="E2194" s="2">
        <v>2882.62</v>
      </c>
      <c r="F2194" s="3">
        <f t="shared" si="165"/>
        <v>45558</v>
      </c>
      <c r="G2194" s="3">
        <f t="shared" si="165"/>
        <v>45558</v>
      </c>
      <c r="H2194">
        <v>1222175327</v>
      </c>
      <c r="I2194" t="s">
        <v>20</v>
      </c>
      <c r="K2194" t="s">
        <v>21</v>
      </c>
      <c r="L2194" t="s">
        <v>22</v>
      </c>
      <c r="M2194" t="s">
        <v>23</v>
      </c>
      <c r="N2194" t="s">
        <v>23</v>
      </c>
      <c r="O2194" t="s">
        <v>24</v>
      </c>
      <c r="P2194" s="8" t="s">
        <v>2686</v>
      </c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</row>
    <row r="2195" spans="1:51" hidden="1" x14ac:dyDescent="0.2">
      <c r="A2195" s="6"/>
      <c r="E2195" s="2"/>
      <c r="F2195" s="3"/>
      <c r="G2195" s="3"/>
      <c r="P2195" s="8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</row>
    <row r="2196" spans="1:51" x14ac:dyDescent="0.2">
      <c r="A2196" s="6" t="s">
        <v>17</v>
      </c>
      <c r="B2196" t="s">
        <v>312</v>
      </c>
      <c r="C2196" t="s">
        <v>313</v>
      </c>
      <c r="D2196" t="s">
        <v>2687</v>
      </c>
      <c r="E2196" s="2">
        <v>105.28</v>
      </c>
      <c r="F2196" s="3">
        <f t="shared" si="165"/>
        <v>45558</v>
      </c>
      <c r="G2196" s="3">
        <f t="shared" si="165"/>
        <v>45558</v>
      </c>
      <c r="H2196">
        <v>1222175353</v>
      </c>
      <c r="I2196" t="s">
        <v>20</v>
      </c>
      <c r="K2196" t="s">
        <v>21</v>
      </c>
      <c r="L2196" t="s">
        <v>22</v>
      </c>
      <c r="M2196" t="s">
        <v>23</v>
      </c>
      <c r="N2196" t="s">
        <v>23</v>
      </c>
      <c r="O2196" t="s">
        <v>24</v>
      </c>
      <c r="P2196" s="8" t="s">
        <v>2688</v>
      </c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</row>
    <row r="2197" spans="1:51" x14ac:dyDescent="0.2">
      <c r="A2197" s="6" t="s">
        <v>17</v>
      </c>
      <c r="B2197" t="s">
        <v>65</v>
      </c>
      <c r="C2197" t="s">
        <v>66</v>
      </c>
      <c r="D2197" t="s">
        <v>2689</v>
      </c>
      <c r="E2197" s="2">
        <v>108.55</v>
      </c>
      <c r="F2197" s="3">
        <f t="shared" si="165"/>
        <v>45558</v>
      </c>
      <c r="G2197" s="3">
        <f t="shared" si="165"/>
        <v>45558</v>
      </c>
      <c r="H2197">
        <v>1222175354</v>
      </c>
      <c r="I2197" t="s">
        <v>20</v>
      </c>
      <c r="K2197" t="s">
        <v>21</v>
      </c>
      <c r="L2197" t="s">
        <v>22</v>
      </c>
      <c r="M2197" t="s">
        <v>23</v>
      </c>
      <c r="N2197" t="s">
        <v>23</v>
      </c>
      <c r="O2197" t="s">
        <v>24</v>
      </c>
      <c r="P2197" s="8" t="s">
        <v>2690</v>
      </c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</row>
    <row r="2198" spans="1:51" x14ac:dyDescent="0.2">
      <c r="A2198" s="6" t="s">
        <v>17</v>
      </c>
      <c r="B2198" t="s">
        <v>887</v>
      </c>
      <c r="C2198" t="s">
        <v>888</v>
      </c>
      <c r="D2198" t="s">
        <v>2691</v>
      </c>
      <c r="E2198" s="2">
        <v>1211.95</v>
      </c>
      <c r="F2198" s="3">
        <f t="shared" si="165"/>
        <v>45558</v>
      </c>
      <c r="G2198" s="3">
        <f t="shared" si="165"/>
        <v>45558</v>
      </c>
      <c r="H2198">
        <v>1222175355</v>
      </c>
      <c r="I2198" t="s">
        <v>20</v>
      </c>
      <c r="K2198" t="s">
        <v>21</v>
      </c>
      <c r="L2198" t="s">
        <v>22</v>
      </c>
      <c r="M2198" t="s">
        <v>23</v>
      </c>
      <c r="N2198" t="s">
        <v>23</v>
      </c>
      <c r="O2198" t="s">
        <v>24</v>
      </c>
      <c r="P2198" s="8" t="s">
        <v>2692</v>
      </c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</row>
    <row r="2199" spans="1:51" x14ac:dyDescent="0.2">
      <c r="A2199" s="6" t="s">
        <v>17</v>
      </c>
      <c r="B2199" t="s">
        <v>26</v>
      </c>
      <c r="C2199" t="s">
        <v>27</v>
      </c>
      <c r="D2199" t="s">
        <v>230</v>
      </c>
      <c r="E2199" s="2">
        <v>5.99</v>
      </c>
      <c r="F2199" s="3">
        <f>DATE(2024,9,20)</f>
        <v>45555</v>
      </c>
      <c r="G2199" s="3">
        <f>DATE(2024,9,20)</f>
        <v>45555</v>
      </c>
      <c r="H2199">
        <v>1222175448</v>
      </c>
      <c r="I2199" t="s">
        <v>51</v>
      </c>
      <c r="K2199" t="s">
        <v>21</v>
      </c>
      <c r="L2199" t="s">
        <v>22</v>
      </c>
      <c r="M2199" t="s">
        <v>23</v>
      </c>
      <c r="N2199" t="s">
        <v>23</v>
      </c>
      <c r="O2199" t="s">
        <v>24</v>
      </c>
      <c r="P2199" s="8" t="s">
        <v>2693</v>
      </c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</row>
    <row r="2200" spans="1:51" hidden="1" x14ac:dyDescent="0.2">
      <c r="A2200" s="6"/>
      <c r="E2200" s="2"/>
      <c r="F2200" s="3"/>
      <c r="G2200" s="3"/>
      <c r="P2200" s="8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</row>
    <row r="2201" spans="1:51" x14ac:dyDescent="0.2">
      <c r="A2201" s="6" t="s">
        <v>17</v>
      </c>
      <c r="B2201" t="s">
        <v>144</v>
      </c>
      <c r="C2201" t="s">
        <v>145</v>
      </c>
      <c r="D2201" t="s">
        <v>2694</v>
      </c>
      <c r="E2201" s="2">
        <v>24.25</v>
      </c>
      <c r="F2201" s="3">
        <f>DATE(2024,9,23)</f>
        <v>45558</v>
      </c>
      <c r="G2201" s="3">
        <f>DATE(2024,9,23)</f>
        <v>45558</v>
      </c>
      <c r="H2201">
        <v>1222784161</v>
      </c>
      <c r="I2201" t="s">
        <v>73</v>
      </c>
      <c r="K2201" t="s">
        <v>21</v>
      </c>
      <c r="L2201" t="s">
        <v>22</v>
      </c>
      <c r="M2201" t="s">
        <v>23</v>
      </c>
      <c r="N2201" t="s">
        <v>23</v>
      </c>
      <c r="O2201" t="s">
        <v>24</v>
      </c>
      <c r="P2201" s="8" t="s">
        <v>2695</v>
      </c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</row>
    <row r="2202" spans="1:51" x14ac:dyDescent="0.2">
      <c r="A2202" s="6" t="s">
        <v>17</v>
      </c>
      <c r="B2202" t="s">
        <v>223</v>
      </c>
      <c r="C2202" t="s">
        <v>223</v>
      </c>
      <c r="D2202" t="s">
        <v>2696</v>
      </c>
      <c r="E2202" s="2">
        <v>5787.85</v>
      </c>
      <c r="F2202" s="3">
        <f t="shared" ref="F2202:G2204" si="166">DATE(2024,9,25)</f>
        <v>45560</v>
      </c>
      <c r="G2202" s="3">
        <f t="shared" si="166"/>
        <v>45560</v>
      </c>
      <c r="H2202">
        <v>1228210452</v>
      </c>
      <c r="I2202" t="s">
        <v>20</v>
      </c>
      <c r="K2202" t="s">
        <v>21</v>
      </c>
      <c r="L2202" t="s">
        <v>22</v>
      </c>
      <c r="M2202" t="s">
        <v>23</v>
      </c>
      <c r="N2202" t="s">
        <v>23</v>
      </c>
      <c r="O2202" t="s">
        <v>24</v>
      </c>
      <c r="P2202" s="8" t="s">
        <v>2697</v>
      </c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</row>
    <row r="2203" spans="1:51" x14ac:dyDescent="0.2">
      <c r="A2203" s="6" t="s">
        <v>17</v>
      </c>
      <c r="B2203" t="s">
        <v>674</v>
      </c>
      <c r="C2203" t="s">
        <v>675</v>
      </c>
      <c r="D2203" t="s">
        <v>2698</v>
      </c>
      <c r="E2203" s="2">
        <v>440.27</v>
      </c>
      <c r="F2203" s="3">
        <f t="shared" si="166"/>
        <v>45560</v>
      </c>
      <c r="G2203" s="3">
        <f t="shared" si="166"/>
        <v>45560</v>
      </c>
      <c r="H2203">
        <v>1228210453</v>
      </c>
      <c r="I2203" t="s">
        <v>20</v>
      </c>
      <c r="K2203" t="s">
        <v>21</v>
      </c>
      <c r="L2203" t="s">
        <v>22</v>
      </c>
      <c r="M2203" t="s">
        <v>23</v>
      </c>
      <c r="N2203" t="s">
        <v>23</v>
      </c>
      <c r="O2203" t="s">
        <v>24</v>
      </c>
      <c r="P2203" s="8" t="s">
        <v>2699</v>
      </c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</row>
    <row r="2204" spans="1:51" x14ac:dyDescent="0.2">
      <c r="A2204" s="6" t="s">
        <v>17</v>
      </c>
      <c r="B2204" t="s">
        <v>261</v>
      </c>
      <c r="C2204" t="s">
        <v>262</v>
      </c>
      <c r="D2204" t="s">
        <v>2700</v>
      </c>
      <c r="E2204" s="2">
        <v>2961.72</v>
      </c>
      <c r="F2204" s="3">
        <f t="shared" si="166"/>
        <v>45560</v>
      </c>
      <c r="G2204" s="3">
        <f t="shared" si="166"/>
        <v>45560</v>
      </c>
      <c r="H2204">
        <v>1228210454</v>
      </c>
      <c r="I2204" t="s">
        <v>20</v>
      </c>
      <c r="K2204" t="s">
        <v>21</v>
      </c>
      <c r="L2204" t="s">
        <v>22</v>
      </c>
      <c r="M2204" t="s">
        <v>23</v>
      </c>
      <c r="N2204" t="s">
        <v>23</v>
      </c>
      <c r="O2204" t="s">
        <v>24</v>
      </c>
      <c r="P2204" s="8" t="s">
        <v>2701</v>
      </c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</row>
    <row r="2205" spans="1:51" hidden="1" x14ac:dyDescent="0.2">
      <c r="A2205" s="6"/>
      <c r="E2205" s="2"/>
      <c r="F2205" s="3"/>
      <c r="G2205" s="3"/>
      <c r="P2205" s="8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</row>
    <row r="2206" spans="1:51" hidden="1" x14ac:dyDescent="0.2">
      <c r="A2206" s="6"/>
      <c r="E2206" s="2"/>
      <c r="F2206" s="3"/>
      <c r="G2206" s="3"/>
      <c r="P2206" s="8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</row>
    <row r="2207" spans="1:51" x14ac:dyDescent="0.2">
      <c r="A2207" s="6" t="s">
        <v>17</v>
      </c>
      <c r="B2207" t="s">
        <v>232</v>
      </c>
      <c r="C2207" t="s">
        <v>233</v>
      </c>
      <c r="D2207" t="s">
        <v>2702</v>
      </c>
      <c r="E2207" s="2">
        <v>1039</v>
      </c>
      <c r="F2207" s="3">
        <f t="shared" ref="F2205:G2211" si="167">DATE(2024,9,24)</f>
        <v>45559</v>
      </c>
      <c r="G2207" s="3">
        <f t="shared" si="167"/>
        <v>45559</v>
      </c>
      <c r="H2207">
        <v>1228210457</v>
      </c>
      <c r="I2207" t="s">
        <v>20</v>
      </c>
      <c r="K2207" t="s">
        <v>21</v>
      </c>
      <c r="L2207" t="s">
        <v>22</v>
      </c>
      <c r="M2207" t="s">
        <v>23</v>
      </c>
      <c r="N2207" t="s">
        <v>23</v>
      </c>
      <c r="O2207" t="s">
        <v>24</v>
      </c>
      <c r="P2207" s="8" t="s">
        <v>2703</v>
      </c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</row>
    <row r="2208" spans="1:51" hidden="1" x14ac:dyDescent="0.2">
      <c r="A2208" s="6"/>
      <c r="E2208" s="2"/>
      <c r="F2208" s="3"/>
      <c r="G2208" s="3"/>
      <c r="P2208" s="8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</row>
    <row r="2209" spans="1:51" hidden="1" x14ac:dyDescent="0.2">
      <c r="A2209" s="6"/>
      <c r="E2209" s="2"/>
      <c r="F2209" s="3"/>
      <c r="G2209" s="3"/>
      <c r="P2209" s="8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</row>
    <row r="2210" spans="1:51" x14ac:dyDescent="0.2">
      <c r="A2210" s="6" t="s">
        <v>17</v>
      </c>
      <c r="B2210" t="s">
        <v>2704</v>
      </c>
      <c r="C2210" t="s">
        <v>2705</v>
      </c>
      <c r="D2210" t="s">
        <v>2706</v>
      </c>
      <c r="E2210" s="2">
        <v>151.19999999999999</v>
      </c>
      <c r="F2210" s="3">
        <f t="shared" si="167"/>
        <v>45559</v>
      </c>
      <c r="G2210" s="3">
        <f t="shared" si="167"/>
        <v>45559</v>
      </c>
      <c r="H2210">
        <v>1228247946</v>
      </c>
      <c r="I2210" t="s">
        <v>73</v>
      </c>
      <c r="K2210" t="s">
        <v>21</v>
      </c>
      <c r="L2210" t="s">
        <v>22</v>
      </c>
      <c r="M2210" t="s">
        <v>23</v>
      </c>
      <c r="N2210" t="s">
        <v>23</v>
      </c>
      <c r="O2210" t="s">
        <v>24</v>
      </c>
      <c r="P2210" s="8" t="s">
        <v>2707</v>
      </c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</row>
    <row r="2211" spans="1:51" hidden="1" x14ac:dyDescent="0.2">
      <c r="A2211" s="6"/>
      <c r="E2211" s="2"/>
      <c r="F2211" s="3"/>
      <c r="G2211" s="3"/>
      <c r="P2211" s="8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</row>
    <row r="2212" spans="1:51" x14ac:dyDescent="0.2">
      <c r="A2212" s="6" t="s">
        <v>17</v>
      </c>
      <c r="B2212" t="s">
        <v>104</v>
      </c>
      <c r="C2212" t="s">
        <v>105</v>
      </c>
      <c r="D2212" t="s">
        <v>2708</v>
      </c>
      <c r="E2212" s="2">
        <v>68.400000000000006</v>
      </c>
      <c r="F2212" s="3">
        <f>DATE(2024,9,26)</f>
        <v>45561</v>
      </c>
      <c r="G2212" s="3">
        <f>DATE(2024,9,26)</f>
        <v>45561</v>
      </c>
      <c r="H2212">
        <v>1233108922</v>
      </c>
      <c r="I2212" t="s">
        <v>20</v>
      </c>
      <c r="K2212" t="s">
        <v>21</v>
      </c>
      <c r="L2212" t="s">
        <v>22</v>
      </c>
      <c r="M2212" t="s">
        <v>23</v>
      </c>
      <c r="N2212" t="s">
        <v>23</v>
      </c>
      <c r="O2212" t="s">
        <v>24</v>
      </c>
      <c r="P2212" s="8" t="s">
        <v>2709</v>
      </c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</row>
    <row r="2213" spans="1:51" x14ac:dyDescent="0.2">
      <c r="A2213" s="6" t="s">
        <v>17</v>
      </c>
      <c r="B2213" t="s">
        <v>104</v>
      </c>
      <c r="C2213" t="s">
        <v>105</v>
      </c>
      <c r="D2213" t="s">
        <v>2710</v>
      </c>
      <c r="E2213" s="2">
        <v>535.19000000000005</v>
      </c>
      <c r="F2213" s="3">
        <f>DATE(2024,9,26)</f>
        <v>45561</v>
      </c>
      <c r="G2213" s="3">
        <f>DATE(2024,9,26)</f>
        <v>45561</v>
      </c>
      <c r="H2213">
        <v>1233108923</v>
      </c>
      <c r="I2213" t="s">
        <v>20</v>
      </c>
      <c r="K2213" t="s">
        <v>21</v>
      </c>
      <c r="L2213" t="s">
        <v>22</v>
      </c>
      <c r="M2213" t="s">
        <v>23</v>
      </c>
      <c r="N2213" t="s">
        <v>23</v>
      </c>
      <c r="O2213" t="s">
        <v>24</v>
      </c>
      <c r="P2213" s="8" t="s">
        <v>2711</v>
      </c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</row>
    <row r="2214" spans="1:51" x14ac:dyDescent="0.2">
      <c r="A2214" s="6" t="s">
        <v>17</v>
      </c>
      <c r="B2214" t="s">
        <v>26</v>
      </c>
      <c r="C2214" t="s">
        <v>27</v>
      </c>
      <c r="D2214" t="s">
        <v>71</v>
      </c>
      <c r="E2214" s="2">
        <v>41.2</v>
      </c>
      <c r="F2214" s="3">
        <f>DATE(2024,9,24)</f>
        <v>45559</v>
      </c>
      <c r="G2214" s="3">
        <f>DATE(2024,9,24)</f>
        <v>45559</v>
      </c>
      <c r="H2214">
        <v>1233108929</v>
      </c>
      <c r="I2214" t="s">
        <v>51</v>
      </c>
      <c r="K2214" t="s">
        <v>21</v>
      </c>
      <c r="L2214" t="s">
        <v>22</v>
      </c>
      <c r="M2214" t="s">
        <v>23</v>
      </c>
      <c r="N2214" t="s">
        <v>23</v>
      </c>
      <c r="O2214" t="s">
        <v>24</v>
      </c>
      <c r="P2214" s="8" t="s">
        <v>2712</v>
      </c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</row>
    <row r="2215" spans="1:51" x14ac:dyDescent="0.2">
      <c r="A2215" s="6" t="s">
        <v>17</v>
      </c>
      <c r="B2215" t="s">
        <v>100</v>
      </c>
      <c r="C2215" t="s">
        <v>101</v>
      </c>
      <c r="D2215" t="s">
        <v>1658</v>
      </c>
      <c r="E2215" s="2">
        <v>21.86</v>
      </c>
      <c r="F2215" s="3">
        <f>DATE(2024,9,24)</f>
        <v>45559</v>
      </c>
      <c r="G2215" s="3">
        <f>DATE(2024,9,24)</f>
        <v>45559</v>
      </c>
      <c r="H2215">
        <v>1233108930</v>
      </c>
      <c r="I2215" t="s">
        <v>51</v>
      </c>
      <c r="K2215" t="s">
        <v>21</v>
      </c>
      <c r="L2215" t="s">
        <v>22</v>
      </c>
      <c r="M2215" t="s">
        <v>23</v>
      </c>
      <c r="N2215" t="s">
        <v>23</v>
      </c>
      <c r="O2215" t="s">
        <v>24</v>
      </c>
      <c r="P2215" s="8" t="s">
        <v>2713</v>
      </c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</row>
    <row r="2216" spans="1:51" x14ac:dyDescent="0.2">
      <c r="A2216" s="6" t="s">
        <v>17</v>
      </c>
      <c r="B2216" t="s">
        <v>232</v>
      </c>
      <c r="C2216" t="s">
        <v>233</v>
      </c>
      <c r="D2216" t="s">
        <v>2714</v>
      </c>
      <c r="E2216" s="2">
        <v>20283</v>
      </c>
      <c r="F2216" s="3">
        <f t="shared" ref="F2216:G2218" si="168">DATE(2024,9,26)</f>
        <v>45561</v>
      </c>
      <c r="G2216" s="3">
        <f t="shared" si="168"/>
        <v>45561</v>
      </c>
      <c r="H2216">
        <v>1237119532</v>
      </c>
      <c r="I2216" t="s">
        <v>20</v>
      </c>
      <c r="K2216" t="s">
        <v>21</v>
      </c>
      <c r="L2216" t="s">
        <v>22</v>
      </c>
      <c r="M2216" t="s">
        <v>23</v>
      </c>
      <c r="N2216" t="s">
        <v>23</v>
      </c>
      <c r="O2216" t="s">
        <v>24</v>
      </c>
      <c r="P2216" s="8" t="s">
        <v>2715</v>
      </c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</row>
    <row r="2217" spans="1:51" hidden="1" x14ac:dyDescent="0.2">
      <c r="A2217" s="6"/>
      <c r="E2217" s="2"/>
      <c r="F2217" s="3"/>
      <c r="G2217" s="3"/>
      <c r="P2217" s="8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</row>
    <row r="2218" spans="1:51" hidden="1" x14ac:dyDescent="0.2">
      <c r="A2218" s="6"/>
      <c r="E2218" s="2"/>
      <c r="F2218" s="3"/>
      <c r="G2218" s="3"/>
      <c r="P2218" s="8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</row>
    <row r="2219" spans="1:51" x14ac:dyDescent="0.2">
      <c r="A2219" s="6" t="s">
        <v>17</v>
      </c>
      <c r="B2219" t="s">
        <v>57</v>
      </c>
      <c r="C2219" t="s">
        <v>58</v>
      </c>
      <c r="D2219" t="s">
        <v>2716</v>
      </c>
      <c r="E2219" s="2">
        <v>64.98</v>
      </c>
      <c r="F2219" s="3">
        <f>DATE(2024,9,27)</f>
        <v>45562</v>
      </c>
      <c r="G2219" s="3">
        <f>DATE(2024,9,27)</f>
        <v>45562</v>
      </c>
      <c r="H2219">
        <v>1237119535</v>
      </c>
      <c r="I2219" t="s">
        <v>20</v>
      </c>
      <c r="K2219" t="s">
        <v>21</v>
      </c>
      <c r="L2219" t="s">
        <v>22</v>
      </c>
      <c r="M2219" t="s">
        <v>23</v>
      </c>
      <c r="N2219" t="s">
        <v>23</v>
      </c>
      <c r="O2219" t="s">
        <v>24</v>
      </c>
      <c r="P2219" s="8" t="s">
        <v>2717</v>
      </c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</row>
    <row r="2220" spans="1:51" x14ac:dyDescent="0.2">
      <c r="A2220" s="6" t="s">
        <v>17</v>
      </c>
      <c r="B2220" t="s">
        <v>26</v>
      </c>
      <c r="C2220" t="s">
        <v>27</v>
      </c>
      <c r="D2220" t="s">
        <v>71</v>
      </c>
      <c r="E2220" s="2">
        <v>6.99</v>
      </c>
      <c r="F2220" s="3">
        <f>DATE(2024,9,25)</f>
        <v>45560</v>
      </c>
      <c r="G2220" s="3">
        <f>DATE(2024,9,25)</f>
        <v>45560</v>
      </c>
      <c r="H2220">
        <v>1237119537</v>
      </c>
      <c r="I2220" t="s">
        <v>51</v>
      </c>
      <c r="K2220" t="s">
        <v>21</v>
      </c>
      <c r="L2220" t="s">
        <v>22</v>
      </c>
      <c r="M2220" t="s">
        <v>23</v>
      </c>
      <c r="N2220" t="s">
        <v>23</v>
      </c>
      <c r="O2220" t="s">
        <v>24</v>
      </c>
      <c r="P2220" s="8" t="s">
        <v>2718</v>
      </c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</row>
    <row r="2221" spans="1:51" hidden="1" x14ac:dyDescent="0.2">
      <c r="A2221" s="6"/>
      <c r="E2221" s="2"/>
      <c r="F2221" s="3"/>
      <c r="G2221" s="3"/>
      <c r="P2221" s="8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</row>
    <row r="2222" spans="1:51" x14ac:dyDescent="0.2">
      <c r="A2222" s="6" t="s">
        <v>17</v>
      </c>
      <c r="B2222" t="s">
        <v>100</v>
      </c>
      <c r="C2222" t="s">
        <v>101</v>
      </c>
      <c r="D2222" t="s">
        <v>1658</v>
      </c>
      <c r="E2222" s="2">
        <v>24.68</v>
      </c>
      <c r="F2222" s="3">
        <f>DATE(2024,9,26)</f>
        <v>45561</v>
      </c>
      <c r="G2222" s="3">
        <f>DATE(2024,9,26)</f>
        <v>45561</v>
      </c>
      <c r="H2222">
        <v>1240081673</v>
      </c>
      <c r="I2222" t="s">
        <v>51</v>
      </c>
      <c r="K2222" t="s">
        <v>21</v>
      </c>
      <c r="L2222" t="s">
        <v>22</v>
      </c>
      <c r="M2222" t="s">
        <v>23</v>
      </c>
      <c r="N2222" t="s">
        <v>23</v>
      </c>
      <c r="O2222" t="s">
        <v>24</v>
      </c>
      <c r="P2222" s="8" t="s">
        <v>2719</v>
      </c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</row>
    <row r="2223" spans="1:51" hidden="1" x14ac:dyDescent="0.2">
      <c r="A2223" s="6"/>
      <c r="E2223" s="2"/>
      <c r="F2223" s="3"/>
      <c r="G2223" s="3"/>
      <c r="P2223" s="8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</row>
    <row r="2224" spans="1:51" hidden="1" x14ac:dyDescent="0.2">
      <c r="A2224" s="6"/>
      <c r="E2224" s="2"/>
      <c r="F2224" s="3"/>
      <c r="G2224" s="3"/>
      <c r="P2224" s="8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</row>
    <row r="2225" spans="1:51" x14ac:dyDescent="0.2">
      <c r="A2225" s="6" t="s">
        <v>17</v>
      </c>
      <c r="B2225" t="s">
        <v>110</v>
      </c>
      <c r="C2225" t="s">
        <v>111</v>
      </c>
      <c r="D2225" t="s">
        <v>2720</v>
      </c>
      <c r="E2225" s="2">
        <v>4.0599999999999996</v>
      </c>
      <c r="F2225" s="3">
        <f t="shared" ref="F2223:G2230" si="169">DATE(2024,9,27)</f>
        <v>45562</v>
      </c>
      <c r="G2225" s="3">
        <f t="shared" si="169"/>
        <v>45562</v>
      </c>
      <c r="H2225">
        <v>1240094516</v>
      </c>
      <c r="I2225" t="s">
        <v>73</v>
      </c>
      <c r="K2225" t="s">
        <v>21</v>
      </c>
      <c r="L2225" t="s">
        <v>22</v>
      </c>
      <c r="M2225" t="s">
        <v>23</v>
      </c>
      <c r="N2225" t="s">
        <v>23</v>
      </c>
      <c r="O2225" t="s">
        <v>24</v>
      </c>
      <c r="P2225" s="8" t="s">
        <v>2721</v>
      </c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</row>
    <row r="2226" spans="1:51" hidden="1" x14ac:dyDescent="0.2">
      <c r="A2226" s="6"/>
      <c r="E2226" s="2"/>
      <c r="F2226" s="3"/>
      <c r="G2226" s="3"/>
      <c r="P2226" s="8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</row>
    <row r="2227" spans="1:51" hidden="1" x14ac:dyDescent="0.2">
      <c r="A2227" s="6"/>
      <c r="E2227" s="2"/>
      <c r="F2227" s="3"/>
      <c r="G2227" s="3"/>
      <c r="P2227" s="8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</row>
    <row r="2228" spans="1:51" x14ac:dyDescent="0.2">
      <c r="A2228" s="6" t="s">
        <v>17</v>
      </c>
      <c r="B2228" t="s">
        <v>144</v>
      </c>
      <c r="C2228" t="s">
        <v>145</v>
      </c>
      <c r="D2228" t="s">
        <v>157</v>
      </c>
      <c r="E2228" s="2">
        <v>2</v>
      </c>
      <c r="F2228" s="3">
        <f t="shared" si="169"/>
        <v>45562</v>
      </c>
      <c r="G2228" s="3">
        <f t="shared" si="169"/>
        <v>45562</v>
      </c>
      <c r="H2228">
        <v>1242520205</v>
      </c>
      <c r="I2228" t="s">
        <v>51</v>
      </c>
      <c r="K2228" t="s">
        <v>21</v>
      </c>
      <c r="L2228" t="s">
        <v>22</v>
      </c>
      <c r="M2228" t="s">
        <v>23</v>
      </c>
      <c r="N2228" t="s">
        <v>23</v>
      </c>
      <c r="O2228" t="s">
        <v>24</v>
      </c>
      <c r="P2228" s="8" t="s">
        <v>2722</v>
      </c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</row>
    <row r="2229" spans="1:51" x14ac:dyDescent="0.2">
      <c r="A2229" s="6" t="s">
        <v>17</v>
      </c>
      <c r="B2229" t="s">
        <v>144</v>
      </c>
      <c r="C2229" t="s">
        <v>145</v>
      </c>
      <c r="D2229" t="s">
        <v>2723</v>
      </c>
      <c r="E2229" s="2">
        <v>14.2</v>
      </c>
      <c r="F2229" s="3">
        <f t="shared" si="169"/>
        <v>45562</v>
      </c>
      <c r="G2229" s="3">
        <f t="shared" si="169"/>
        <v>45562</v>
      </c>
      <c r="H2229">
        <v>1242520206</v>
      </c>
      <c r="I2229" t="s">
        <v>51</v>
      </c>
      <c r="K2229" t="s">
        <v>21</v>
      </c>
      <c r="L2229" t="s">
        <v>22</v>
      </c>
      <c r="M2229" t="s">
        <v>23</v>
      </c>
      <c r="N2229" t="s">
        <v>23</v>
      </c>
      <c r="O2229" t="s">
        <v>24</v>
      </c>
      <c r="P2229" s="8" t="s">
        <v>2724</v>
      </c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</row>
    <row r="2230" spans="1:51" x14ac:dyDescent="0.2">
      <c r="A2230" s="6" t="s">
        <v>17</v>
      </c>
      <c r="B2230" t="s">
        <v>144</v>
      </c>
      <c r="C2230" t="s">
        <v>145</v>
      </c>
      <c r="D2230" t="s">
        <v>146</v>
      </c>
      <c r="E2230" s="2">
        <v>1</v>
      </c>
      <c r="F2230" s="3">
        <f t="shared" si="169"/>
        <v>45562</v>
      </c>
      <c r="G2230" s="3">
        <f t="shared" si="169"/>
        <v>45562</v>
      </c>
      <c r="H2230">
        <v>1242520207</v>
      </c>
      <c r="I2230" t="s">
        <v>51</v>
      </c>
      <c r="K2230" t="s">
        <v>21</v>
      </c>
      <c r="L2230" t="s">
        <v>22</v>
      </c>
      <c r="M2230" t="s">
        <v>23</v>
      </c>
      <c r="N2230" t="s">
        <v>23</v>
      </c>
      <c r="O2230" t="s">
        <v>24</v>
      </c>
      <c r="P2230" s="8" t="s">
        <v>2725</v>
      </c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</row>
    <row r="2231" spans="1:51" hidden="1" x14ac:dyDescent="0.2">
      <c r="A2231" s="6"/>
      <c r="E2231" s="2"/>
      <c r="F2231" s="3"/>
      <c r="G2231" s="3"/>
      <c r="P2231" s="8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</row>
    <row r="2232" spans="1:51" x14ac:dyDescent="0.2">
      <c r="A2232" s="6" t="s">
        <v>17</v>
      </c>
      <c r="B2232" t="s">
        <v>674</v>
      </c>
      <c r="C2232" t="s">
        <v>675</v>
      </c>
      <c r="D2232" t="s">
        <v>2726</v>
      </c>
      <c r="E2232" s="2">
        <v>2245.0300000000002</v>
      </c>
      <c r="F2232" s="3">
        <f t="shared" ref="F2231:G2240" si="170">DATE(2024,9,30)</f>
        <v>45565</v>
      </c>
      <c r="G2232" s="3">
        <f t="shared" si="170"/>
        <v>45565</v>
      </c>
      <c r="H2232">
        <v>1246969059</v>
      </c>
      <c r="I2232" t="s">
        <v>20</v>
      </c>
      <c r="K2232" t="s">
        <v>21</v>
      </c>
      <c r="L2232" t="s">
        <v>22</v>
      </c>
      <c r="M2232" t="s">
        <v>23</v>
      </c>
      <c r="N2232" t="s">
        <v>23</v>
      </c>
      <c r="O2232" t="s">
        <v>24</v>
      </c>
      <c r="P2232" s="8" t="s">
        <v>2727</v>
      </c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</row>
    <row r="2233" spans="1:51" x14ac:dyDescent="0.2">
      <c r="A2233" s="6" t="s">
        <v>17</v>
      </c>
      <c r="B2233" t="s">
        <v>175</v>
      </c>
      <c r="C2233" t="s">
        <v>176</v>
      </c>
      <c r="D2233" t="s">
        <v>2728</v>
      </c>
      <c r="E2233" s="2">
        <v>434.57</v>
      </c>
      <c r="F2233" s="3">
        <f t="shared" si="170"/>
        <v>45565</v>
      </c>
      <c r="G2233" s="3">
        <f t="shared" si="170"/>
        <v>45565</v>
      </c>
      <c r="H2233">
        <v>1246969060</v>
      </c>
      <c r="I2233" t="s">
        <v>20</v>
      </c>
      <c r="K2233" t="s">
        <v>21</v>
      </c>
      <c r="L2233" t="s">
        <v>22</v>
      </c>
      <c r="M2233" t="s">
        <v>23</v>
      </c>
      <c r="N2233" t="s">
        <v>23</v>
      </c>
      <c r="O2233" t="s">
        <v>24</v>
      </c>
      <c r="P2233" s="8" t="s">
        <v>2729</v>
      </c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</row>
    <row r="2234" spans="1:51" x14ac:dyDescent="0.2">
      <c r="A2234" s="6" t="s">
        <v>17</v>
      </c>
      <c r="B2234" t="s">
        <v>363</v>
      </c>
      <c r="C2234" t="s">
        <v>364</v>
      </c>
      <c r="D2234" t="s">
        <v>2730</v>
      </c>
      <c r="E2234" s="2">
        <v>413.2</v>
      </c>
      <c r="F2234" s="3">
        <f t="shared" si="170"/>
        <v>45565</v>
      </c>
      <c r="G2234" s="3">
        <f t="shared" si="170"/>
        <v>45565</v>
      </c>
      <c r="H2234">
        <v>1246969061</v>
      </c>
      <c r="I2234" t="s">
        <v>20</v>
      </c>
      <c r="K2234" t="s">
        <v>21</v>
      </c>
      <c r="L2234" t="s">
        <v>22</v>
      </c>
      <c r="M2234" t="s">
        <v>23</v>
      </c>
      <c r="N2234" t="s">
        <v>23</v>
      </c>
      <c r="O2234" t="s">
        <v>24</v>
      </c>
      <c r="P2234" s="8" t="s">
        <v>2731</v>
      </c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</row>
    <row r="2235" spans="1:51" x14ac:dyDescent="0.2">
      <c r="A2235" s="6" t="s">
        <v>17</v>
      </c>
      <c r="B2235" t="s">
        <v>887</v>
      </c>
      <c r="C2235" t="s">
        <v>888</v>
      </c>
      <c r="D2235" t="s">
        <v>2732</v>
      </c>
      <c r="E2235" s="2">
        <v>447.71</v>
      </c>
      <c r="F2235" s="3">
        <f t="shared" si="170"/>
        <v>45565</v>
      </c>
      <c r="G2235" s="3">
        <f t="shared" si="170"/>
        <v>45565</v>
      </c>
      <c r="H2235">
        <v>1246969062</v>
      </c>
      <c r="I2235" t="s">
        <v>20</v>
      </c>
      <c r="K2235" t="s">
        <v>21</v>
      </c>
      <c r="L2235" t="s">
        <v>22</v>
      </c>
      <c r="M2235" t="s">
        <v>23</v>
      </c>
      <c r="N2235" t="s">
        <v>23</v>
      </c>
      <c r="O2235" t="s">
        <v>24</v>
      </c>
      <c r="P2235" s="8" t="s">
        <v>2733</v>
      </c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</row>
    <row r="2236" spans="1:51" x14ac:dyDescent="0.2">
      <c r="A2236" s="6" t="s">
        <v>17</v>
      </c>
      <c r="B2236" t="s">
        <v>44</v>
      </c>
      <c r="C2236" t="s">
        <v>45</v>
      </c>
      <c r="D2236" t="s">
        <v>2734</v>
      </c>
      <c r="E2236" s="2">
        <v>279.31</v>
      </c>
      <c r="F2236" s="3">
        <f t="shared" si="170"/>
        <v>45565</v>
      </c>
      <c r="G2236" s="3">
        <f t="shared" si="170"/>
        <v>45565</v>
      </c>
      <c r="H2236">
        <v>1246969063</v>
      </c>
      <c r="I2236" t="s">
        <v>20</v>
      </c>
      <c r="K2236" t="s">
        <v>21</v>
      </c>
      <c r="L2236" t="s">
        <v>22</v>
      </c>
      <c r="M2236" t="s">
        <v>23</v>
      </c>
      <c r="N2236" t="s">
        <v>23</v>
      </c>
      <c r="O2236" t="s">
        <v>24</v>
      </c>
      <c r="P2236" s="8" t="s">
        <v>2735</v>
      </c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</row>
    <row r="2237" spans="1:51" hidden="1" x14ac:dyDescent="0.2">
      <c r="A2237" s="6"/>
      <c r="E2237" s="2"/>
      <c r="F2237" s="3"/>
      <c r="G2237" s="3"/>
      <c r="P2237" s="8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</row>
    <row r="2238" spans="1:51" hidden="1" x14ac:dyDescent="0.2">
      <c r="A2238" s="6"/>
      <c r="E2238" s="2"/>
      <c r="F2238" s="3"/>
      <c r="G2238" s="3"/>
      <c r="P2238" s="8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</row>
    <row r="2239" spans="1:51" hidden="1" x14ac:dyDescent="0.2">
      <c r="A2239" s="6"/>
      <c r="E2239" s="2"/>
      <c r="F2239" s="3"/>
      <c r="G2239" s="3"/>
      <c r="P2239" s="8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</row>
    <row r="2240" spans="1:51" x14ac:dyDescent="0.2">
      <c r="A2240" s="6" t="s">
        <v>17</v>
      </c>
      <c r="B2240" t="s">
        <v>61</v>
      </c>
      <c r="C2240" t="s">
        <v>62</v>
      </c>
      <c r="D2240" t="s">
        <v>2736</v>
      </c>
      <c r="E2240" s="2">
        <v>778.5</v>
      </c>
      <c r="F2240" s="3">
        <f t="shared" si="170"/>
        <v>45565</v>
      </c>
      <c r="G2240" s="3">
        <f t="shared" si="170"/>
        <v>45565</v>
      </c>
      <c r="H2240">
        <v>1246969067</v>
      </c>
      <c r="I2240" t="s">
        <v>20</v>
      </c>
      <c r="K2240" t="s">
        <v>21</v>
      </c>
      <c r="L2240" t="s">
        <v>22</v>
      </c>
      <c r="M2240" t="s">
        <v>23</v>
      </c>
      <c r="N2240" t="s">
        <v>23</v>
      </c>
      <c r="O2240" t="s">
        <v>24</v>
      </c>
      <c r="P2240" s="8" t="s">
        <v>2737</v>
      </c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</row>
    <row r="2241" spans="1:51" hidden="1" x14ac:dyDescent="0.2">
      <c r="A2241" s="6"/>
      <c r="E2241" s="2"/>
      <c r="F2241" s="3"/>
      <c r="G2241" s="3"/>
      <c r="P2241" s="8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</row>
    <row r="2242" spans="1:51" x14ac:dyDescent="0.2">
      <c r="A2242" s="6" t="s">
        <v>17</v>
      </c>
      <c r="B2242" t="s">
        <v>655</v>
      </c>
      <c r="C2242" t="s">
        <v>656</v>
      </c>
      <c r="D2242" t="s">
        <v>2738</v>
      </c>
      <c r="E2242" s="2">
        <v>1648.04</v>
      </c>
      <c r="F2242" s="3">
        <f>DATE(2024,9,30)</f>
        <v>45565</v>
      </c>
      <c r="G2242" s="3">
        <f>DATE(2024,9,30)</f>
        <v>45565</v>
      </c>
      <c r="H2242">
        <v>1246969069</v>
      </c>
      <c r="I2242" t="s">
        <v>20</v>
      </c>
      <c r="K2242" t="s">
        <v>21</v>
      </c>
      <c r="L2242" t="s">
        <v>22</v>
      </c>
      <c r="M2242" t="s">
        <v>23</v>
      </c>
      <c r="N2242" t="s">
        <v>23</v>
      </c>
      <c r="O2242" t="s">
        <v>24</v>
      </c>
      <c r="P2242" s="8" t="s">
        <v>2739</v>
      </c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</row>
    <row r="2243" spans="1:51" hidden="1" x14ac:dyDescent="0.2">
      <c r="A2243" s="6"/>
      <c r="E2243" s="2"/>
      <c r="F2243" s="3"/>
      <c r="G2243" s="3"/>
      <c r="P2243" s="8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</row>
    <row r="2244" spans="1:51" x14ac:dyDescent="0.2">
      <c r="A2244" s="6" t="s">
        <v>17</v>
      </c>
      <c r="B2244" t="s">
        <v>611</v>
      </c>
      <c r="C2244" t="s">
        <v>612</v>
      </c>
      <c r="D2244" t="s">
        <v>2740</v>
      </c>
      <c r="E2244" s="2">
        <v>3372.05</v>
      </c>
      <c r="F2244" s="3">
        <f t="shared" ref="F2244:G2246" si="171">DATE(2024,9,30)</f>
        <v>45565</v>
      </c>
      <c r="G2244" s="3">
        <f t="shared" si="171"/>
        <v>45565</v>
      </c>
      <c r="H2244">
        <v>1246969071</v>
      </c>
      <c r="I2244" t="s">
        <v>20</v>
      </c>
      <c r="K2244" t="s">
        <v>21</v>
      </c>
      <c r="L2244" t="s">
        <v>22</v>
      </c>
      <c r="M2244" t="s">
        <v>23</v>
      </c>
      <c r="N2244" t="s">
        <v>23</v>
      </c>
      <c r="O2244" t="s">
        <v>24</v>
      </c>
      <c r="P2244" s="8" t="s">
        <v>2741</v>
      </c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</row>
    <row r="2245" spans="1:51" hidden="1" x14ac:dyDescent="0.2">
      <c r="A2245" s="6"/>
      <c r="E2245" s="2"/>
      <c r="F2245" s="3"/>
      <c r="G2245" s="3"/>
      <c r="P2245" s="8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</row>
    <row r="2246" spans="1:51" x14ac:dyDescent="0.2">
      <c r="A2246" s="6" t="s">
        <v>17</v>
      </c>
      <c r="B2246" t="s">
        <v>34</v>
      </c>
      <c r="C2246" t="s">
        <v>35</v>
      </c>
      <c r="D2246" t="s">
        <v>2742</v>
      </c>
      <c r="E2246" s="2">
        <v>190.08</v>
      </c>
      <c r="F2246" s="3">
        <f t="shared" si="171"/>
        <v>45565</v>
      </c>
      <c r="G2246" s="3">
        <f t="shared" si="171"/>
        <v>45565</v>
      </c>
      <c r="H2246">
        <v>1246969073</v>
      </c>
      <c r="I2246" t="s">
        <v>20</v>
      </c>
      <c r="K2246" t="s">
        <v>21</v>
      </c>
      <c r="L2246" t="s">
        <v>22</v>
      </c>
      <c r="M2246" t="s">
        <v>23</v>
      </c>
      <c r="N2246" t="s">
        <v>23</v>
      </c>
      <c r="O2246" t="s">
        <v>24</v>
      </c>
      <c r="P2246" s="8" t="s">
        <v>2743</v>
      </c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</row>
    <row r="2247" spans="1:51" hidden="1" x14ac:dyDescent="0.2">
      <c r="A2247" s="6"/>
      <c r="E2247" s="2"/>
      <c r="F2247" s="3"/>
      <c r="G2247" s="3"/>
      <c r="P2247" s="8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</row>
    <row r="2248" spans="1:51" x14ac:dyDescent="0.2">
      <c r="A2248" s="6" t="s">
        <v>17</v>
      </c>
      <c r="B2248" t="s">
        <v>30</v>
      </c>
      <c r="C2248" t="s">
        <v>31</v>
      </c>
      <c r="D2248" t="s">
        <v>2744</v>
      </c>
      <c r="E2248" s="2">
        <v>1313.46</v>
      </c>
      <c r="F2248" s="3">
        <f>DATE(2024,10,1)</f>
        <v>45566</v>
      </c>
      <c r="G2248" s="3">
        <f>DATE(2024,10,1)</f>
        <v>45566</v>
      </c>
      <c r="H2248">
        <v>1246969075</v>
      </c>
      <c r="I2248" t="s">
        <v>20</v>
      </c>
      <c r="K2248" t="s">
        <v>21</v>
      </c>
      <c r="L2248" t="s">
        <v>22</v>
      </c>
      <c r="M2248" t="s">
        <v>23</v>
      </c>
      <c r="N2248" t="s">
        <v>23</v>
      </c>
      <c r="O2248" t="s">
        <v>24</v>
      </c>
      <c r="P2248" s="8" t="s">
        <v>2745</v>
      </c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</row>
    <row r="2249" spans="1:51" hidden="1" x14ac:dyDescent="0.2">
      <c r="A2249" s="6"/>
      <c r="E2249" s="2"/>
      <c r="F2249" s="3"/>
      <c r="G2249" s="3"/>
      <c r="P2249" s="8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</row>
    <row r="2250" spans="1:51" x14ac:dyDescent="0.2">
      <c r="A2250" s="6" t="s">
        <v>17</v>
      </c>
      <c r="B2250" t="s">
        <v>18</v>
      </c>
      <c r="C2250" t="s">
        <v>18</v>
      </c>
      <c r="D2250" t="s">
        <v>2746</v>
      </c>
      <c r="E2250" s="2">
        <v>12.92</v>
      </c>
      <c r="F2250" s="3">
        <f t="shared" ref="F2250:G2252" si="172">DATE(2024,10,1)</f>
        <v>45566</v>
      </c>
      <c r="G2250" s="3">
        <f t="shared" si="172"/>
        <v>45566</v>
      </c>
      <c r="H2250">
        <v>1253378970</v>
      </c>
      <c r="I2250" t="s">
        <v>20</v>
      </c>
      <c r="K2250" t="s">
        <v>21</v>
      </c>
      <c r="L2250" t="s">
        <v>22</v>
      </c>
      <c r="M2250" t="s">
        <v>23</v>
      </c>
      <c r="N2250" t="s">
        <v>23</v>
      </c>
      <c r="O2250" t="s">
        <v>24</v>
      </c>
      <c r="P2250" s="8" t="s">
        <v>2747</v>
      </c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</row>
    <row r="2251" spans="1:51" x14ac:dyDescent="0.2">
      <c r="A2251" s="6" t="s">
        <v>17</v>
      </c>
      <c r="B2251" t="s">
        <v>18</v>
      </c>
      <c r="C2251" t="s">
        <v>18</v>
      </c>
      <c r="D2251" t="s">
        <v>1224</v>
      </c>
      <c r="E2251" s="2">
        <v>82.5</v>
      </c>
      <c r="F2251" s="3">
        <f t="shared" si="172"/>
        <v>45566</v>
      </c>
      <c r="G2251" s="3">
        <f t="shared" si="172"/>
        <v>45566</v>
      </c>
      <c r="H2251">
        <v>1253378971</v>
      </c>
      <c r="I2251" t="s">
        <v>20</v>
      </c>
      <c r="K2251" t="s">
        <v>21</v>
      </c>
      <c r="L2251" t="s">
        <v>22</v>
      </c>
      <c r="M2251" t="s">
        <v>23</v>
      </c>
      <c r="N2251" t="s">
        <v>23</v>
      </c>
      <c r="O2251" t="s">
        <v>24</v>
      </c>
      <c r="P2251" s="8" t="s">
        <v>2748</v>
      </c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</row>
    <row r="2252" spans="1:51" x14ac:dyDescent="0.2">
      <c r="A2252" s="6" t="s">
        <v>17</v>
      </c>
      <c r="B2252" t="s">
        <v>34</v>
      </c>
      <c r="C2252" t="s">
        <v>35</v>
      </c>
      <c r="D2252" t="s">
        <v>2749</v>
      </c>
      <c r="E2252" s="2">
        <v>102.16</v>
      </c>
      <c r="F2252" s="3">
        <f t="shared" si="172"/>
        <v>45566</v>
      </c>
      <c r="G2252" s="3">
        <f t="shared" si="172"/>
        <v>45566</v>
      </c>
      <c r="H2252">
        <v>1253378972</v>
      </c>
      <c r="I2252" t="s">
        <v>20</v>
      </c>
      <c r="K2252" t="s">
        <v>21</v>
      </c>
      <c r="L2252" t="s">
        <v>22</v>
      </c>
      <c r="M2252" t="s">
        <v>23</v>
      </c>
      <c r="N2252" t="s">
        <v>23</v>
      </c>
      <c r="O2252" t="s">
        <v>24</v>
      </c>
      <c r="P2252" s="8" t="s">
        <v>2750</v>
      </c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</row>
    <row r="2253" spans="1:51" hidden="1" x14ac:dyDescent="0.2">
      <c r="A2253" s="6"/>
      <c r="E2253" s="2"/>
      <c r="F2253" s="3"/>
      <c r="G2253" s="3"/>
      <c r="P2253" s="8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</row>
    <row r="2254" spans="1:51" hidden="1" x14ac:dyDescent="0.2">
      <c r="A2254" s="6"/>
      <c r="E2254" s="2"/>
      <c r="F2254" s="3"/>
      <c r="G2254" s="3"/>
      <c r="P2254" s="8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</row>
    <row r="2255" spans="1:51" hidden="1" x14ac:dyDescent="0.2">
      <c r="A2255" s="6"/>
      <c r="E2255" s="2"/>
      <c r="F2255" s="3"/>
      <c r="G2255" s="3"/>
      <c r="P2255" s="8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</row>
    <row r="2256" spans="1:51" x14ac:dyDescent="0.2">
      <c r="A2256" s="6" t="s">
        <v>17</v>
      </c>
      <c r="B2256" t="s">
        <v>18</v>
      </c>
      <c r="C2256" t="s">
        <v>18</v>
      </c>
      <c r="D2256" t="s">
        <v>86</v>
      </c>
      <c r="E2256" s="2">
        <v>12</v>
      </c>
      <c r="F2256" s="3">
        <f t="shared" ref="F2254:G2256" si="173">DATE(2024,10,1)</f>
        <v>45566</v>
      </c>
      <c r="G2256" s="3">
        <f t="shared" si="173"/>
        <v>45566</v>
      </c>
      <c r="H2256">
        <v>1253511287</v>
      </c>
      <c r="I2256" t="s">
        <v>73</v>
      </c>
      <c r="K2256" t="s">
        <v>21</v>
      </c>
      <c r="L2256" t="s">
        <v>22</v>
      </c>
      <c r="M2256" t="s">
        <v>23</v>
      </c>
      <c r="N2256" t="s">
        <v>23</v>
      </c>
      <c r="O2256" t="s">
        <v>24</v>
      </c>
      <c r="P2256" s="8" t="s">
        <v>2751</v>
      </c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</row>
    <row r="2257" spans="1:51" hidden="1" x14ac:dyDescent="0.2">
      <c r="A2257" s="6"/>
      <c r="E2257" s="2"/>
      <c r="F2257" s="3"/>
      <c r="G2257" s="3"/>
      <c r="P2257" s="8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</row>
    <row r="2258" spans="1:51" hidden="1" x14ac:dyDescent="0.2">
      <c r="A2258" s="6"/>
      <c r="E2258" s="2"/>
      <c r="F2258" s="3"/>
      <c r="G2258" s="3"/>
      <c r="P2258" s="8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</row>
    <row r="2259" spans="1:51" x14ac:dyDescent="0.2">
      <c r="A2259" s="6" t="s">
        <v>17</v>
      </c>
      <c r="B2259" t="s">
        <v>30</v>
      </c>
      <c r="C2259" t="s">
        <v>31</v>
      </c>
      <c r="D2259" t="s">
        <v>2752</v>
      </c>
      <c r="E2259" s="2">
        <v>3829.92</v>
      </c>
      <c r="F2259" s="3">
        <f>DATE(2024,10,3)</f>
        <v>45568</v>
      </c>
      <c r="G2259" s="3">
        <f>DATE(2024,10,3)</f>
        <v>45568</v>
      </c>
      <c r="H2259">
        <v>1258321127</v>
      </c>
      <c r="I2259" t="s">
        <v>20</v>
      </c>
      <c r="K2259" t="s">
        <v>21</v>
      </c>
      <c r="L2259" t="s">
        <v>22</v>
      </c>
      <c r="M2259" t="s">
        <v>23</v>
      </c>
      <c r="N2259" t="s">
        <v>23</v>
      </c>
      <c r="O2259" t="s">
        <v>24</v>
      </c>
      <c r="P2259" s="8" t="s">
        <v>2753</v>
      </c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</row>
    <row r="2260" spans="1:51" hidden="1" x14ac:dyDescent="0.2">
      <c r="A2260" s="6"/>
      <c r="E2260" s="2"/>
      <c r="F2260" s="3"/>
      <c r="G2260" s="3"/>
      <c r="P2260" s="8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</row>
    <row r="2261" spans="1:51" x14ac:dyDescent="0.2">
      <c r="A2261" s="6" t="s">
        <v>17</v>
      </c>
      <c r="B2261" t="s">
        <v>34</v>
      </c>
      <c r="C2261" t="s">
        <v>35</v>
      </c>
      <c r="D2261" t="s">
        <v>2754</v>
      </c>
      <c r="E2261" s="2">
        <v>89</v>
      </c>
      <c r="F2261" s="3">
        <f>DATE(2024,10,2)</f>
        <v>45567</v>
      </c>
      <c r="G2261" s="3">
        <f>DATE(2024,10,2)</f>
        <v>45567</v>
      </c>
      <c r="H2261">
        <v>1258321129</v>
      </c>
      <c r="I2261" t="s">
        <v>20</v>
      </c>
      <c r="K2261" t="s">
        <v>21</v>
      </c>
      <c r="L2261" t="s">
        <v>22</v>
      </c>
      <c r="M2261" t="s">
        <v>23</v>
      </c>
      <c r="N2261" t="s">
        <v>23</v>
      </c>
      <c r="O2261" t="s">
        <v>24</v>
      </c>
      <c r="P2261" s="8" t="s">
        <v>2755</v>
      </c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</row>
    <row r="2262" spans="1:51" x14ac:dyDescent="0.2">
      <c r="A2262" s="6" t="s">
        <v>17</v>
      </c>
      <c r="B2262" t="s">
        <v>26</v>
      </c>
      <c r="C2262" t="s">
        <v>27</v>
      </c>
      <c r="D2262" t="s">
        <v>50</v>
      </c>
      <c r="E2262" s="2">
        <v>199.99</v>
      </c>
      <c r="F2262" s="3">
        <f>DATE(2024,10,1)</f>
        <v>45566</v>
      </c>
      <c r="G2262" s="3">
        <f>DATE(2024,10,1)</f>
        <v>45566</v>
      </c>
      <c r="H2262">
        <v>1258321130</v>
      </c>
      <c r="I2262" t="s">
        <v>51</v>
      </c>
      <c r="K2262" t="s">
        <v>21</v>
      </c>
      <c r="L2262" t="s">
        <v>22</v>
      </c>
      <c r="M2262" t="s">
        <v>23</v>
      </c>
      <c r="N2262" t="s">
        <v>23</v>
      </c>
      <c r="O2262" t="s">
        <v>24</v>
      </c>
      <c r="P2262" s="8" t="s">
        <v>2756</v>
      </c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</row>
    <row r="2263" spans="1:51" x14ac:dyDescent="0.2">
      <c r="A2263" s="6" t="s">
        <v>17</v>
      </c>
      <c r="B2263" t="s">
        <v>110</v>
      </c>
      <c r="C2263" t="s">
        <v>111</v>
      </c>
      <c r="D2263" t="s">
        <v>2757</v>
      </c>
      <c r="E2263" s="2">
        <v>1.03</v>
      </c>
      <c r="F2263" s="3">
        <f t="shared" ref="F2263:G2266" si="174">DATE(2024,10,2)</f>
        <v>45567</v>
      </c>
      <c r="G2263" s="3">
        <f t="shared" si="174"/>
        <v>45567</v>
      </c>
      <c r="H2263">
        <v>1258350497</v>
      </c>
      <c r="I2263" t="s">
        <v>73</v>
      </c>
      <c r="K2263" t="s">
        <v>21</v>
      </c>
      <c r="L2263" t="s">
        <v>22</v>
      </c>
      <c r="M2263" t="s">
        <v>23</v>
      </c>
      <c r="N2263" t="s">
        <v>23</v>
      </c>
      <c r="O2263" t="s">
        <v>24</v>
      </c>
      <c r="P2263" s="8" t="s">
        <v>2758</v>
      </c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</row>
    <row r="2264" spans="1:51" hidden="1" x14ac:dyDescent="0.2">
      <c r="A2264" s="6"/>
      <c r="E2264" s="2"/>
      <c r="F2264" s="3"/>
      <c r="G2264" s="3"/>
      <c r="P2264" s="8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</row>
    <row r="2265" spans="1:51" hidden="1" x14ac:dyDescent="0.2">
      <c r="A2265" s="6"/>
      <c r="E2265" s="2"/>
      <c r="F2265" s="3"/>
      <c r="G2265" s="3"/>
      <c r="P2265" s="8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</row>
    <row r="2266" spans="1:51" x14ac:dyDescent="0.2">
      <c r="A2266" s="6" t="s">
        <v>17</v>
      </c>
      <c r="B2266" t="s">
        <v>44</v>
      </c>
      <c r="C2266" t="s">
        <v>45</v>
      </c>
      <c r="D2266" t="s">
        <v>2759</v>
      </c>
      <c r="E2266" s="2">
        <v>22.47</v>
      </c>
      <c r="F2266" s="3">
        <f t="shared" si="174"/>
        <v>45567</v>
      </c>
      <c r="G2266" s="3">
        <f t="shared" si="174"/>
        <v>45567</v>
      </c>
      <c r="H2266">
        <v>1258350500</v>
      </c>
      <c r="I2266" t="s">
        <v>73</v>
      </c>
      <c r="K2266" t="s">
        <v>21</v>
      </c>
      <c r="L2266" t="s">
        <v>22</v>
      </c>
      <c r="M2266" t="s">
        <v>23</v>
      </c>
      <c r="N2266" t="s">
        <v>23</v>
      </c>
      <c r="O2266" t="s">
        <v>24</v>
      </c>
      <c r="P2266" s="8" t="s">
        <v>2760</v>
      </c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</row>
    <row r="2267" spans="1:51" x14ac:dyDescent="0.2">
      <c r="A2267" s="6" t="s">
        <v>17</v>
      </c>
      <c r="B2267" t="s">
        <v>191</v>
      </c>
      <c r="C2267" t="s">
        <v>192</v>
      </c>
      <c r="D2267" t="s">
        <v>2761</v>
      </c>
      <c r="E2267" s="2">
        <v>2027.46</v>
      </c>
      <c r="F2267" s="3">
        <f t="shared" ref="F2267:G2272" si="175">DATE(2024,10,3)</f>
        <v>45568</v>
      </c>
      <c r="G2267" s="3">
        <f t="shared" si="175"/>
        <v>45568</v>
      </c>
      <c r="H2267">
        <v>1262103506</v>
      </c>
      <c r="I2267" t="s">
        <v>20</v>
      </c>
      <c r="K2267" t="s">
        <v>21</v>
      </c>
      <c r="L2267" t="s">
        <v>22</v>
      </c>
      <c r="M2267" t="s">
        <v>23</v>
      </c>
      <c r="N2267" t="s">
        <v>23</v>
      </c>
      <c r="O2267" t="s">
        <v>24</v>
      </c>
      <c r="P2267" s="8" t="s">
        <v>2762</v>
      </c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</row>
    <row r="2268" spans="1:51" hidden="1" x14ac:dyDescent="0.2">
      <c r="A2268" s="6"/>
      <c r="E2268" s="2"/>
      <c r="F2268" s="3"/>
      <c r="G2268" s="3"/>
      <c r="P2268" s="8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</row>
    <row r="2269" spans="1:51" x14ac:dyDescent="0.2">
      <c r="A2269" s="6" t="s">
        <v>17</v>
      </c>
      <c r="B2269" t="s">
        <v>104</v>
      </c>
      <c r="C2269" t="s">
        <v>105</v>
      </c>
      <c r="D2269" t="s">
        <v>2763</v>
      </c>
      <c r="E2269" s="2">
        <v>221.47</v>
      </c>
      <c r="F2269" s="3">
        <f t="shared" si="175"/>
        <v>45568</v>
      </c>
      <c r="G2269" s="3">
        <f t="shared" si="175"/>
        <v>45568</v>
      </c>
      <c r="H2269">
        <v>1262103508</v>
      </c>
      <c r="I2269" t="s">
        <v>20</v>
      </c>
      <c r="K2269" t="s">
        <v>21</v>
      </c>
      <c r="L2269" t="s">
        <v>22</v>
      </c>
      <c r="M2269" t="s">
        <v>23</v>
      </c>
      <c r="N2269" t="s">
        <v>23</v>
      </c>
      <c r="O2269" t="s">
        <v>24</v>
      </c>
      <c r="P2269" s="8" t="s">
        <v>2764</v>
      </c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</row>
    <row r="2270" spans="1:51" x14ac:dyDescent="0.2">
      <c r="A2270" s="6" t="s">
        <v>17</v>
      </c>
      <c r="B2270" t="s">
        <v>191</v>
      </c>
      <c r="C2270" t="s">
        <v>192</v>
      </c>
      <c r="D2270" t="s">
        <v>2765</v>
      </c>
      <c r="E2270" s="2">
        <v>20608.23</v>
      </c>
      <c r="F2270" s="3">
        <f t="shared" si="175"/>
        <v>45568</v>
      </c>
      <c r="G2270" s="3">
        <f t="shared" si="175"/>
        <v>45568</v>
      </c>
      <c r="H2270">
        <v>1262103509</v>
      </c>
      <c r="I2270" t="s">
        <v>20</v>
      </c>
      <c r="K2270" t="s">
        <v>21</v>
      </c>
      <c r="L2270" t="s">
        <v>22</v>
      </c>
      <c r="M2270" t="s">
        <v>23</v>
      </c>
      <c r="N2270" t="s">
        <v>23</v>
      </c>
      <c r="O2270" t="s">
        <v>24</v>
      </c>
      <c r="P2270" s="8" t="s">
        <v>2766</v>
      </c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</row>
    <row r="2271" spans="1:51" hidden="1" x14ac:dyDescent="0.2">
      <c r="A2271" s="6"/>
      <c r="E2271" s="2"/>
      <c r="F2271" s="3"/>
      <c r="G2271" s="3"/>
      <c r="P2271" s="8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</row>
    <row r="2272" spans="1:51" hidden="1" x14ac:dyDescent="0.2">
      <c r="A2272" s="6"/>
      <c r="E2272" s="2"/>
      <c r="F2272" s="3"/>
      <c r="G2272" s="3"/>
      <c r="P2272" s="8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</row>
    <row r="2273" spans="1:51" x14ac:dyDescent="0.2">
      <c r="A2273" s="6" t="s">
        <v>17</v>
      </c>
      <c r="B2273" t="s">
        <v>363</v>
      </c>
      <c r="C2273" t="s">
        <v>364</v>
      </c>
      <c r="D2273" t="s">
        <v>2767</v>
      </c>
      <c r="E2273" s="2">
        <v>786</v>
      </c>
      <c r="F2273" s="3">
        <f t="shared" ref="F2273:G2294" si="176">DATE(2024,10,4)</f>
        <v>45569</v>
      </c>
      <c r="G2273" s="3">
        <f t="shared" si="176"/>
        <v>45569</v>
      </c>
      <c r="H2273">
        <v>1265412203</v>
      </c>
      <c r="I2273" t="s">
        <v>20</v>
      </c>
      <c r="K2273" t="s">
        <v>21</v>
      </c>
      <c r="L2273" t="s">
        <v>22</v>
      </c>
      <c r="M2273" t="s">
        <v>23</v>
      </c>
      <c r="N2273" t="s">
        <v>23</v>
      </c>
      <c r="O2273" t="s">
        <v>24</v>
      </c>
      <c r="P2273" s="8" t="s">
        <v>2768</v>
      </c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</row>
    <row r="2274" spans="1:51" x14ac:dyDescent="0.2">
      <c r="A2274" s="6" t="s">
        <v>17</v>
      </c>
      <c r="B2274" t="s">
        <v>57</v>
      </c>
      <c r="C2274" t="s">
        <v>58</v>
      </c>
      <c r="D2274" t="s">
        <v>2769</v>
      </c>
      <c r="E2274" s="2">
        <v>163.32</v>
      </c>
      <c r="F2274" s="3">
        <f t="shared" si="176"/>
        <v>45569</v>
      </c>
      <c r="G2274" s="3">
        <f t="shared" si="176"/>
        <v>45569</v>
      </c>
      <c r="H2274">
        <v>1265412204</v>
      </c>
      <c r="I2274" t="s">
        <v>20</v>
      </c>
      <c r="K2274" t="s">
        <v>21</v>
      </c>
      <c r="L2274" t="s">
        <v>22</v>
      </c>
      <c r="M2274" t="s">
        <v>23</v>
      </c>
      <c r="N2274" t="s">
        <v>23</v>
      </c>
      <c r="O2274" t="s">
        <v>24</v>
      </c>
      <c r="P2274" s="8" t="s">
        <v>2770</v>
      </c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</row>
    <row r="2275" spans="1:51" x14ac:dyDescent="0.2">
      <c r="A2275" s="6" t="s">
        <v>17</v>
      </c>
      <c r="B2275" t="s">
        <v>44</v>
      </c>
      <c r="C2275" t="s">
        <v>45</v>
      </c>
      <c r="D2275" t="s">
        <v>2771</v>
      </c>
      <c r="E2275" s="2">
        <v>500.02</v>
      </c>
      <c r="F2275" s="3">
        <f t="shared" si="176"/>
        <v>45569</v>
      </c>
      <c r="G2275" s="3">
        <f t="shared" si="176"/>
        <v>45569</v>
      </c>
      <c r="H2275">
        <v>1265412205</v>
      </c>
      <c r="I2275" t="s">
        <v>20</v>
      </c>
      <c r="K2275" t="s">
        <v>21</v>
      </c>
      <c r="L2275" t="s">
        <v>22</v>
      </c>
      <c r="M2275" t="s">
        <v>23</v>
      </c>
      <c r="N2275" t="s">
        <v>23</v>
      </c>
      <c r="O2275" t="s">
        <v>24</v>
      </c>
      <c r="P2275" s="8" t="s">
        <v>2772</v>
      </c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</row>
    <row r="2276" spans="1:51" x14ac:dyDescent="0.2">
      <c r="A2276" s="6" t="s">
        <v>17</v>
      </c>
      <c r="B2276" t="s">
        <v>191</v>
      </c>
      <c r="C2276" t="s">
        <v>192</v>
      </c>
      <c r="D2276" t="s">
        <v>2773</v>
      </c>
      <c r="E2276" s="2">
        <v>1067.97</v>
      </c>
      <c r="F2276" s="3">
        <f t="shared" si="176"/>
        <v>45569</v>
      </c>
      <c r="G2276" s="3">
        <f t="shared" si="176"/>
        <v>45569</v>
      </c>
      <c r="H2276">
        <v>1265412206</v>
      </c>
      <c r="I2276" t="s">
        <v>20</v>
      </c>
      <c r="K2276" t="s">
        <v>21</v>
      </c>
      <c r="L2276" t="s">
        <v>22</v>
      </c>
      <c r="M2276" t="s">
        <v>23</v>
      </c>
      <c r="N2276" t="s">
        <v>23</v>
      </c>
      <c r="O2276" t="s">
        <v>24</v>
      </c>
      <c r="P2276" s="8" t="s">
        <v>2774</v>
      </c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</row>
    <row r="2277" spans="1:51" x14ac:dyDescent="0.2">
      <c r="A2277" s="6" t="s">
        <v>17</v>
      </c>
      <c r="B2277" t="s">
        <v>363</v>
      </c>
      <c r="C2277" t="s">
        <v>364</v>
      </c>
      <c r="D2277" t="s">
        <v>2775</v>
      </c>
      <c r="E2277" s="2">
        <v>845</v>
      </c>
      <c r="F2277" s="3">
        <f t="shared" si="176"/>
        <v>45569</v>
      </c>
      <c r="G2277" s="3">
        <f t="shared" si="176"/>
        <v>45569</v>
      </c>
      <c r="H2277">
        <v>1265412207</v>
      </c>
      <c r="I2277" t="s">
        <v>20</v>
      </c>
      <c r="K2277" t="s">
        <v>21</v>
      </c>
      <c r="L2277" t="s">
        <v>22</v>
      </c>
      <c r="M2277" t="s">
        <v>23</v>
      </c>
      <c r="N2277" t="s">
        <v>23</v>
      </c>
      <c r="O2277" t="s">
        <v>24</v>
      </c>
      <c r="P2277" s="8" t="s">
        <v>2776</v>
      </c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</row>
    <row r="2278" spans="1:51" x14ac:dyDescent="0.2">
      <c r="A2278" s="6" t="s">
        <v>17</v>
      </c>
      <c r="B2278" t="s">
        <v>611</v>
      </c>
      <c r="C2278" t="s">
        <v>612</v>
      </c>
      <c r="D2278" t="s">
        <v>2777</v>
      </c>
      <c r="E2278" s="2">
        <v>286.37</v>
      </c>
      <c r="F2278" s="3">
        <f t="shared" si="176"/>
        <v>45569</v>
      </c>
      <c r="G2278" s="3">
        <f t="shared" si="176"/>
        <v>45569</v>
      </c>
      <c r="H2278">
        <v>1265412208</v>
      </c>
      <c r="I2278" t="s">
        <v>20</v>
      </c>
      <c r="K2278" t="s">
        <v>21</v>
      </c>
      <c r="L2278" t="s">
        <v>22</v>
      </c>
      <c r="M2278" t="s">
        <v>23</v>
      </c>
      <c r="N2278" t="s">
        <v>23</v>
      </c>
      <c r="O2278" t="s">
        <v>24</v>
      </c>
      <c r="P2278" s="8" t="s">
        <v>2778</v>
      </c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</row>
    <row r="2279" spans="1:51" x14ac:dyDescent="0.2">
      <c r="A2279" s="6" t="s">
        <v>17</v>
      </c>
      <c r="B2279" t="s">
        <v>110</v>
      </c>
      <c r="C2279" t="s">
        <v>111</v>
      </c>
      <c r="D2279" t="s">
        <v>2779</v>
      </c>
      <c r="E2279" s="2">
        <v>718.46</v>
      </c>
      <c r="F2279" s="3">
        <f t="shared" si="176"/>
        <v>45569</v>
      </c>
      <c r="G2279" s="3">
        <f t="shared" si="176"/>
        <v>45569</v>
      </c>
      <c r="H2279">
        <v>1265412209</v>
      </c>
      <c r="I2279" t="s">
        <v>20</v>
      </c>
      <c r="K2279" t="s">
        <v>21</v>
      </c>
      <c r="L2279" t="s">
        <v>22</v>
      </c>
      <c r="M2279" t="s">
        <v>23</v>
      </c>
      <c r="N2279" t="s">
        <v>23</v>
      </c>
      <c r="O2279" t="s">
        <v>24</v>
      </c>
      <c r="P2279" s="8" t="s">
        <v>2780</v>
      </c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</row>
    <row r="2280" spans="1:51" hidden="1" x14ac:dyDescent="0.2">
      <c r="A2280" s="6"/>
      <c r="E2280" s="2"/>
      <c r="F2280" s="3"/>
      <c r="G2280" s="3"/>
      <c r="P2280" s="8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</row>
    <row r="2281" spans="1:51" x14ac:dyDescent="0.2">
      <c r="A2281" s="6" t="s">
        <v>17</v>
      </c>
      <c r="B2281" t="s">
        <v>110</v>
      </c>
      <c r="C2281" t="s">
        <v>111</v>
      </c>
      <c r="D2281" t="s">
        <v>2781</v>
      </c>
      <c r="E2281" s="2">
        <v>762.84</v>
      </c>
      <c r="F2281" s="3">
        <f t="shared" si="176"/>
        <v>45569</v>
      </c>
      <c r="G2281" s="3">
        <f t="shared" si="176"/>
        <v>45569</v>
      </c>
      <c r="H2281">
        <v>1265412211</v>
      </c>
      <c r="I2281" t="s">
        <v>20</v>
      </c>
      <c r="K2281" t="s">
        <v>21</v>
      </c>
      <c r="L2281" t="s">
        <v>22</v>
      </c>
      <c r="M2281" t="s">
        <v>23</v>
      </c>
      <c r="N2281" t="s">
        <v>23</v>
      </c>
      <c r="O2281" t="s">
        <v>24</v>
      </c>
      <c r="P2281" s="8" t="s">
        <v>2782</v>
      </c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</row>
    <row r="2282" spans="1:51" x14ac:dyDescent="0.2">
      <c r="A2282" s="6" t="s">
        <v>17</v>
      </c>
      <c r="B2282" t="s">
        <v>110</v>
      </c>
      <c r="C2282" t="s">
        <v>111</v>
      </c>
      <c r="D2282" t="s">
        <v>2783</v>
      </c>
      <c r="E2282" s="2">
        <v>266.76</v>
      </c>
      <c r="F2282" s="3">
        <f t="shared" si="176"/>
        <v>45569</v>
      </c>
      <c r="G2282" s="3">
        <f t="shared" si="176"/>
        <v>45569</v>
      </c>
      <c r="H2282">
        <v>1265412212</v>
      </c>
      <c r="I2282" t="s">
        <v>20</v>
      </c>
      <c r="K2282" t="s">
        <v>21</v>
      </c>
      <c r="L2282" t="s">
        <v>22</v>
      </c>
      <c r="M2282" t="s">
        <v>23</v>
      </c>
      <c r="N2282" t="s">
        <v>23</v>
      </c>
      <c r="O2282" t="s">
        <v>24</v>
      </c>
      <c r="P2282" s="8" t="s">
        <v>2784</v>
      </c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</row>
    <row r="2283" spans="1:51" x14ac:dyDescent="0.2">
      <c r="A2283" s="6" t="s">
        <v>17</v>
      </c>
      <c r="B2283" t="s">
        <v>191</v>
      </c>
      <c r="C2283" t="s">
        <v>192</v>
      </c>
      <c r="D2283" t="s">
        <v>2785</v>
      </c>
      <c r="E2283" s="2">
        <v>15626.42</v>
      </c>
      <c r="F2283" s="3">
        <f t="shared" si="176"/>
        <v>45569</v>
      </c>
      <c r="G2283" s="3">
        <f t="shared" si="176"/>
        <v>45569</v>
      </c>
      <c r="H2283">
        <v>1265412213</v>
      </c>
      <c r="I2283" t="s">
        <v>20</v>
      </c>
      <c r="K2283" t="s">
        <v>21</v>
      </c>
      <c r="L2283" t="s">
        <v>22</v>
      </c>
      <c r="M2283" t="s">
        <v>23</v>
      </c>
      <c r="N2283" t="s">
        <v>23</v>
      </c>
      <c r="O2283" t="s">
        <v>24</v>
      </c>
      <c r="P2283" s="8" t="s">
        <v>2786</v>
      </c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</row>
    <row r="2284" spans="1:51" x14ac:dyDescent="0.2">
      <c r="A2284" s="6" t="s">
        <v>17</v>
      </c>
      <c r="B2284" t="s">
        <v>110</v>
      </c>
      <c r="C2284" t="s">
        <v>111</v>
      </c>
      <c r="D2284" t="s">
        <v>2787</v>
      </c>
      <c r="E2284" s="2">
        <v>36.72</v>
      </c>
      <c r="F2284" s="3">
        <f t="shared" si="176"/>
        <v>45569</v>
      </c>
      <c r="G2284" s="3">
        <f t="shared" si="176"/>
        <v>45569</v>
      </c>
      <c r="H2284">
        <v>1265412214</v>
      </c>
      <c r="I2284" t="s">
        <v>20</v>
      </c>
      <c r="K2284" t="s">
        <v>21</v>
      </c>
      <c r="L2284" t="s">
        <v>22</v>
      </c>
      <c r="M2284" t="s">
        <v>23</v>
      </c>
      <c r="N2284" t="s">
        <v>23</v>
      </c>
      <c r="O2284" t="s">
        <v>24</v>
      </c>
      <c r="P2284" s="8" t="s">
        <v>2788</v>
      </c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</row>
    <row r="2285" spans="1:51" hidden="1" x14ac:dyDescent="0.2">
      <c r="A2285" s="6"/>
      <c r="E2285" s="2"/>
      <c r="F2285" s="3"/>
      <c r="G2285" s="3"/>
      <c r="P2285" s="8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</row>
    <row r="2286" spans="1:51" x14ac:dyDescent="0.2">
      <c r="A2286" s="6" t="s">
        <v>17</v>
      </c>
      <c r="B2286" t="s">
        <v>110</v>
      </c>
      <c r="C2286" t="s">
        <v>111</v>
      </c>
      <c r="D2286" t="s">
        <v>2789</v>
      </c>
      <c r="E2286" s="2">
        <v>254.02</v>
      </c>
      <c r="F2286" s="3">
        <f t="shared" si="176"/>
        <v>45569</v>
      </c>
      <c r="G2286" s="3">
        <f t="shared" si="176"/>
        <v>45569</v>
      </c>
      <c r="H2286">
        <v>1265412216</v>
      </c>
      <c r="I2286" t="s">
        <v>20</v>
      </c>
      <c r="K2286" t="s">
        <v>21</v>
      </c>
      <c r="L2286" t="s">
        <v>22</v>
      </c>
      <c r="M2286" t="s">
        <v>23</v>
      </c>
      <c r="N2286" t="s">
        <v>23</v>
      </c>
      <c r="O2286" t="s">
        <v>24</v>
      </c>
      <c r="P2286" s="8" t="s">
        <v>2790</v>
      </c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</row>
    <row r="2287" spans="1:51" x14ac:dyDescent="0.2">
      <c r="A2287" s="6" t="s">
        <v>17</v>
      </c>
      <c r="B2287" t="s">
        <v>1046</v>
      </c>
      <c r="C2287" t="s">
        <v>1047</v>
      </c>
      <c r="D2287" t="s">
        <v>2791</v>
      </c>
      <c r="E2287" s="2">
        <v>1207.53</v>
      </c>
      <c r="F2287" s="3">
        <f t="shared" si="176"/>
        <v>45569</v>
      </c>
      <c r="G2287" s="3">
        <f t="shared" si="176"/>
        <v>45569</v>
      </c>
      <c r="H2287">
        <v>1265412217</v>
      </c>
      <c r="I2287" t="s">
        <v>20</v>
      </c>
      <c r="K2287" t="s">
        <v>21</v>
      </c>
      <c r="L2287" t="s">
        <v>22</v>
      </c>
      <c r="M2287" t="s">
        <v>23</v>
      </c>
      <c r="N2287" t="s">
        <v>23</v>
      </c>
      <c r="O2287" t="s">
        <v>24</v>
      </c>
      <c r="P2287" s="8" t="s">
        <v>2792</v>
      </c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</row>
    <row r="2288" spans="1:51" x14ac:dyDescent="0.2">
      <c r="A2288" s="6" t="s">
        <v>17</v>
      </c>
      <c r="B2288" t="s">
        <v>179</v>
      </c>
      <c r="C2288" t="s">
        <v>180</v>
      </c>
      <c r="D2288" t="s">
        <v>2793</v>
      </c>
      <c r="E2288" s="2">
        <v>112.25</v>
      </c>
      <c r="F2288" s="3">
        <f t="shared" si="176"/>
        <v>45569</v>
      </c>
      <c r="G2288" s="3">
        <f t="shared" si="176"/>
        <v>45569</v>
      </c>
      <c r="H2288">
        <v>1265412218</v>
      </c>
      <c r="I2288" t="s">
        <v>20</v>
      </c>
      <c r="K2288" t="s">
        <v>21</v>
      </c>
      <c r="L2288" t="s">
        <v>22</v>
      </c>
      <c r="M2288" t="s">
        <v>23</v>
      </c>
      <c r="N2288" t="s">
        <v>23</v>
      </c>
      <c r="O2288" t="s">
        <v>24</v>
      </c>
      <c r="P2288" s="8" t="s">
        <v>2794</v>
      </c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</row>
    <row r="2289" spans="1:51" x14ac:dyDescent="0.2">
      <c r="A2289" s="6" t="s">
        <v>17</v>
      </c>
      <c r="B2289" t="s">
        <v>363</v>
      </c>
      <c r="C2289" t="s">
        <v>364</v>
      </c>
      <c r="D2289" t="s">
        <v>2795</v>
      </c>
      <c r="E2289" s="2">
        <v>695</v>
      </c>
      <c r="F2289" s="3">
        <f t="shared" si="176"/>
        <v>45569</v>
      </c>
      <c r="G2289" s="3">
        <f t="shared" si="176"/>
        <v>45569</v>
      </c>
      <c r="H2289">
        <v>1265412219</v>
      </c>
      <c r="I2289" t="s">
        <v>20</v>
      </c>
      <c r="K2289" t="s">
        <v>21</v>
      </c>
      <c r="L2289" t="s">
        <v>22</v>
      </c>
      <c r="M2289" t="s">
        <v>23</v>
      </c>
      <c r="N2289" t="s">
        <v>23</v>
      </c>
      <c r="O2289" t="s">
        <v>24</v>
      </c>
      <c r="P2289" s="8" t="s">
        <v>2796</v>
      </c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</row>
    <row r="2290" spans="1:51" x14ac:dyDescent="0.2">
      <c r="A2290" s="6" t="s">
        <v>17</v>
      </c>
      <c r="B2290" t="s">
        <v>179</v>
      </c>
      <c r="C2290" t="s">
        <v>180</v>
      </c>
      <c r="D2290" t="s">
        <v>2797</v>
      </c>
      <c r="E2290" s="2">
        <v>1331.12</v>
      </c>
      <c r="F2290" s="3">
        <f t="shared" si="176"/>
        <v>45569</v>
      </c>
      <c r="G2290" s="3">
        <f t="shared" si="176"/>
        <v>45569</v>
      </c>
      <c r="H2290">
        <v>1265412220</v>
      </c>
      <c r="I2290" t="s">
        <v>20</v>
      </c>
      <c r="K2290" t="s">
        <v>21</v>
      </c>
      <c r="L2290" t="s">
        <v>22</v>
      </c>
      <c r="M2290" t="s">
        <v>23</v>
      </c>
      <c r="N2290" t="s">
        <v>23</v>
      </c>
      <c r="O2290" t="s">
        <v>24</v>
      </c>
      <c r="P2290" s="8" t="s">
        <v>2798</v>
      </c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</row>
    <row r="2291" spans="1:51" hidden="1" x14ac:dyDescent="0.2">
      <c r="A2291" s="6"/>
      <c r="E2291" s="2"/>
      <c r="F2291" s="3"/>
      <c r="G2291" s="3"/>
      <c r="P2291" s="8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</row>
    <row r="2292" spans="1:51" x14ac:dyDescent="0.2">
      <c r="A2292" s="6" t="s">
        <v>17</v>
      </c>
      <c r="B2292" t="s">
        <v>363</v>
      </c>
      <c r="C2292" t="s">
        <v>364</v>
      </c>
      <c r="D2292" t="s">
        <v>2799</v>
      </c>
      <c r="E2292" s="2">
        <v>55</v>
      </c>
      <c r="F2292" s="3">
        <f t="shared" si="176"/>
        <v>45569</v>
      </c>
      <c r="G2292" s="3">
        <f t="shared" si="176"/>
        <v>45569</v>
      </c>
      <c r="H2292">
        <v>1265412222</v>
      </c>
      <c r="I2292" t="s">
        <v>20</v>
      </c>
      <c r="K2292" t="s">
        <v>21</v>
      </c>
      <c r="L2292" t="s">
        <v>22</v>
      </c>
      <c r="M2292" t="s">
        <v>23</v>
      </c>
      <c r="N2292" t="s">
        <v>23</v>
      </c>
      <c r="O2292" t="s">
        <v>24</v>
      </c>
      <c r="P2292" s="8" t="s">
        <v>2800</v>
      </c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</row>
    <row r="2293" spans="1:51" x14ac:dyDescent="0.2">
      <c r="A2293" s="6" t="s">
        <v>17</v>
      </c>
      <c r="B2293" t="s">
        <v>34</v>
      </c>
      <c r="C2293" t="s">
        <v>35</v>
      </c>
      <c r="D2293" t="s">
        <v>2801</v>
      </c>
      <c r="E2293" s="2">
        <v>87.3</v>
      </c>
      <c r="F2293" s="3">
        <f t="shared" si="176"/>
        <v>45569</v>
      </c>
      <c r="G2293" s="3">
        <f t="shared" si="176"/>
        <v>45569</v>
      </c>
      <c r="H2293">
        <v>1265412223</v>
      </c>
      <c r="I2293" t="s">
        <v>20</v>
      </c>
      <c r="K2293" t="s">
        <v>21</v>
      </c>
      <c r="L2293" t="s">
        <v>22</v>
      </c>
      <c r="M2293" t="s">
        <v>23</v>
      </c>
      <c r="N2293" t="s">
        <v>23</v>
      </c>
      <c r="O2293" t="s">
        <v>24</v>
      </c>
      <c r="P2293" s="8" t="s">
        <v>2802</v>
      </c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</row>
    <row r="2294" spans="1:51" hidden="1" x14ac:dyDescent="0.2">
      <c r="A2294" s="6"/>
      <c r="E2294" s="2"/>
      <c r="F2294" s="3"/>
      <c r="G2294" s="3"/>
      <c r="P2294" s="8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</row>
    <row r="2295" spans="1:51" x14ac:dyDescent="0.2">
      <c r="A2295" s="6" t="s">
        <v>17</v>
      </c>
      <c r="B2295" t="s">
        <v>74</v>
      </c>
      <c r="C2295" t="s">
        <v>75</v>
      </c>
      <c r="D2295" t="s">
        <v>2803</v>
      </c>
      <c r="E2295" s="2">
        <v>255.81</v>
      </c>
      <c r="F2295" s="3">
        <f>DATE(2024,10,5)</f>
        <v>45570</v>
      </c>
      <c r="G2295" s="3">
        <f>DATE(2024,10,5)</f>
        <v>45570</v>
      </c>
      <c r="H2295">
        <v>1265421177</v>
      </c>
      <c r="I2295" t="s">
        <v>73</v>
      </c>
      <c r="K2295" t="s">
        <v>21</v>
      </c>
      <c r="L2295" t="s">
        <v>22</v>
      </c>
      <c r="M2295" t="s">
        <v>23</v>
      </c>
      <c r="N2295" t="s">
        <v>23</v>
      </c>
      <c r="O2295" t="s">
        <v>24</v>
      </c>
      <c r="P2295" s="8" t="s">
        <v>2804</v>
      </c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</row>
    <row r="2296" spans="1:51" x14ac:dyDescent="0.2">
      <c r="A2296" s="6" t="s">
        <v>17</v>
      </c>
      <c r="B2296" t="s">
        <v>363</v>
      </c>
      <c r="C2296" t="s">
        <v>364</v>
      </c>
      <c r="D2296" t="s">
        <v>2805</v>
      </c>
      <c r="E2296" s="2">
        <v>18.600000000000001</v>
      </c>
      <c r="F2296" s="3">
        <f>DATE(2024,10,4)</f>
        <v>45569</v>
      </c>
      <c r="G2296" s="3">
        <f>DATE(2024,10,4)</f>
        <v>45569</v>
      </c>
      <c r="H2296">
        <v>1265421178</v>
      </c>
      <c r="I2296" t="s">
        <v>73</v>
      </c>
      <c r="K2296" t="s">
        <v>21</v>
      </c>
      <c r="L2296" t="s">
        <v>22</v>
      </c>
      <c r="M2296" t="s">
        <v>23</v>
      </c>
      <c r="N2296" t="s">
        <v>23</v>
      </c>
      <c r="O2296" t="s">
        <v>24</v>
      </c>
      <c r="P2296" s="8" t="s">
        <v>2806</v>
      </c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</row>
    <row r="2297" spans="1:51" hidden="1" x14ac:dyDescent="0.2">
      <c r="A2297" s="6"/>
      <c r="E2297" s="2"/>
      <c r="F2297" s="3"/>
      <c r="G2297" s="3"/>
      <c r="P2297" s="8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</row>
    <row r="2298" spans="1:51" x14ac:dyDescent="0.2">
      <c r="A2298" s="6" t="s">
        <v>17</v>
      </c>
      <c r="B2298" t="s">
        <v>74</v>
      </c>
      <c r="C2298" t="s">
        <v>75</v>
      </c>
      <c r="D2298" t="s">
        <v>2807</v>
      </c>
      <c r="E2298" s="2">
        <v>3597.05</v>
      </c>
      <c r="F2298" s="3">
        <f>DATE(2024,10,5)</f>
        <v>45570</v>
      </c>
      <c r="G2298" s="3">
        <f>DATE(2024,10,5)</f>
        <v>45570</v>
      </c>
      <c r="H2298">
        <v>1265421180</v>
      </c>
      <c r="I2298" t="s">
        <v>73</v>
      </c>
      <c r="K2298" t="s">
        <v>21</v>
      </c>
      <c r="L2298" t="s">
        <v>22</v>
      </c>
      <c r="M2298" t="s">
        <v>23</v>
      </c>
      <c r="N2298" t="s">
        <v>23</v>
      </c>
      <c r="O2298" t="s">
        <v>24</v>
      </c>
      <c r="P2298" s="8" t="s">
        <v>2808</v>
      </c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</row>
    <row r="2299" spans="1:51" hidden="1" x14ac:dyDescent="0.2">
      <c r="A2299" s="6"/>
      <c r="E2299" s="2"/>
      <c r="F2299" s="3"/>
      <c r="G2299" s="3"/>
      <c r="P2299" s="8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</row>
    <row r="2300" spans="1:51" x14ac:dyDescent="0.2">
      <c r="A2300" s="6" t="s">
        <v>17</v>
      </c>
      <c r="B2300" t="s">
        <v>110</v>
      </c>
      <c r="C2300" t="s">
        <v>111</v>
      </c>
      <c r="D2300" t="s">
        <v>2809</v>
      </c>
      <c r="E2300" s="2">
        <v>1.02</v>
      </c>
      <c r="F2300" s="3">
        <f t="shared" ref="F2299:G2301" si="177">DATE(2024,10,4)</f>
        <v>45569</v>
      </c>
      <c r="G2300" s="3">
        <f t="shared" si="177"/>
        <v>45569</v>
      </c>
      <c r="H2300">
        <v>1265421182</v>
      </c>
      <c r="I2300" t="s">
        <v>73</v>
      </c>
      <c r="K2300" t="s">
        <v>21</v>
      </c>
      <c r="L2300" t="s">
        <v>22</v>
      </c>
      <c r="M2300" t="s">
        <v>23</v>
      </c>
      <c r="N2300" t="s">
        <v>23</v>
      </c>
      <c r="O2300" t="s">
        <v>24</v>
      </c>
      <c r="P2300" s="8" t="s">
        <v>2810</v>
      </c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</row>
    <row r="2301" spans="1:51" hidden="1" x14ac:dyDescent="0.2">
      <c r="A2301" s="6"/>
      <c r="E2301" s="2"/>
      <c r="F2301" s="3"/>
      <c r="G2301" s="3"/>
      <c r="P2301" s="8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</row>
    <row r="2302" spans="1:51" x14ac:dyDescent="0.2">
      <c r="A2302" s="6" t="s">
        <v>17</v>
      </c>
      <c r="B2302" t="s">
        <v>80</v>
      </c>
      <c r="C2302" t="s">
        <v>81</v>
      </c>
      <c r="D2302" t="s">
        <v>2811</v>
      </c>
      <c r="E2302" s="2">
        <v>2173.2800000000002</v>
      </c>
      <c r="F2302" s="3">
        <f>DATE(2024,10,7)</f>
        <v>45572</v>
      </c>
      <c r="G2302" s="3">
        <f>DATE(2024,10,7)</f>
        <v>45572</v>
      </c>
      <c r="H2302">
        <v>1272494216</v>
      </c>
      <c r="I2302" t="s">
        <v>20</v>
      </c>
      <c r="K2302" t="s">
        <v>21</v>
      </c>
      <c r="L2302" t="s">
        <v>22</v>
      </c>
      <c r="M2302" t="s">
        <v>23</v>
      </c>
      <c r="N2302" t="s">
        <v>23</v>
      </c>
      <c r="O2302" t="s">
        <v>24</v>
      </c>
      <c r="P2302" s="8" t="s">
        <v>2812</v>
      </c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</row>
    <row r="2303" spans="1:51" hidden="1" x14ac:dyDescent="0.2">
      <c r="A2303" s="6"/>
      <c r="E2303" s="2"/>
      <c r="F2303" s="3"/>
      <c r="G2303" s="3"/>
      <c r="P2303" s="8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</row>
    <row r="2304" spans="1:51" hidden="1" x14ac:dyDescent="0.2">
      <c r="A2304" s="6"/>
      <c r="E2304" s="2"/>
      <c r="F2304" s="3"/>
      <c r="G2304" s="3"/>
      <c r="P2304" s="8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</row>
    <row r="2305" spans="1:51" x14ac:dyDescent="0.2">
      <c r="A2305" s="6" t="s">
        <v>17</v>
      </c>
      <c r="B2305" t="s">
        <v>34</v>
      </c>
      <c r="C2305" t="s">
        <v>35</v>
      </c>
      <c r="D2305" t="s">
        <v>98</v>
      </c>
      <c r="E2305" s="2">
        <v>500</v>
      </c>
      <c r="F2305" s="3">
        <f t="shared" ref="F2304:G2308" si="178">DATE(2024,10,7)</f>
        <v>45572</v>
      </c>
      <c r="G2305" s="3">
        <f t="shared" si="178"/>
        <v>45572</v>
      </c>
      <c r="H2305">
        <v>1272494219</v>
      </c>
      <c r="I2305" t="s">
        <v>20</v>
      </c>
      <c r="K2305" t="s">
        <v>21</v>
      </c>
      <c r="L2305" t="s">
        <v>22</v>
      </c>
      <c r="M2305" t="s">
        <v>23</v>
      </c>
      <c r="N2305" t="s">
        <v>23</v>
      </c>
      <c r="O2305" t="s">
        <v>24</v>
      </c>
      <c r="P2305" s="8" t="s">
        <v>2813</v>
      </c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</row>
    <row r="2306" spans="1:51" hidden="1" x14ac:dyDescent="0.2">
      <c r="A2306" s="6"/>
      <c r="E2306" s="2"/>
      <c r="F2306" s="3"/>
      <c r="G2306" s="3"/>
      <c r="P2306" s="8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</row>
    <row r="2307" spans="1:51" hidden="1" x14ac:dyDescent="0.2">
      <c r="A2307" s="6"/>
      <c r="E2307" s="2"/>
      <c r="F2307" s="3"/>
      <c r="G2307" s="3"/>
      <c r="P2307" s="8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</row>
    <row r="2308" spans="1:51" x14ac:dyDescent="0.2">
      <c r="A2308" s="6" t="s">
        <v>17</v>
      </c>
      <c r="B2308" t="s">
        <v>674</v>
      </c>
      <c r="C2308" t="s">
        <v>675</v>
      </c>
      <c r="D2308" t="s">
        <v>2814</v>
      </c>
      <c r="E2308" s="2">
        <v>535.51</v>
      </c>
      <c r="F2308" s="3">
        <f t="shared" si="178"/>
        <v>45572</v>
      </c>
      <c r="G2308" s="3">
        <f t="shared" si="178"/>
        <v>45572</v>
      </c>
      <c r="H2308">
        <v>1272494222</v>
      </c>
      <c r="I2308" t="s">
        <v>20</v>
      </c>
      <c r="K2308" t="s">
        <v>21</v>
      </c>
      <c r="L2308" t="s">
        <v>22</v>
      </c>
      <c r="M2308" t="s">
        <v>23</v>
      </c>
      <c r="N2308" t="s">
        <v>23</v>
      </c>
      <c r="O2308" t="s">
        <v>24</v>
      </c>
      <c r="P2308" s="8" t="s">
        <v>2815</v>
      </c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</row>
    <row r="2309" spans="1:51" hidden="1" x14ac:dyDescent="0.2">
      <c r="A2309" s="6"/>
      <c r="E2309" s="2"/>
      <c r="F2309" s="3"/>
      <c r="G2309" s="3"/>
      <c r="P2309" s="8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</row>
    <row r="2310" spans="1:51" hidden="1" x14ac:dyDescent="0.2">
      <c r="A2310" s="6"/>
      <c r="E2310" s="2"/>
      <c r="F2310" s="3"/>
      <c r="G2310" s="3"/>
      <c r="P2310" s="8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</row>
    <row r="2311" spans="1:51" x14ac:dyDescent="0.2">
      <c r="A2311" s="6" t="s">
        <v>17</v>
      </c>
      <c r="B2311" t="s">
        <v>191</v>
      </c>
      <c r="C2311" t="s">
        <v>192</v>
      </c>
      <c r="D2311" t="s">
        <v>2816</v>
      </c>
      <c r="E2311" s="2">
        <v>669.71</v>
      </c>
      <c r="F2311" s="3">
        <f t="shared" ref="F2310:G2317" si="179">DATE(2024,10,7)</f>
        <v>45572</v>
      </c>
      <c r="G2311" s="3">
        <f t="shared" si="179"/>
        <v>45572</v>
      </c>
      <c r="H2311">
        <v>1272494225</v>
      </c>
      <c r="I2311" t="s">
        <v>20</v>
      </c>
      <c r="K2311" t="s">
        <v>21</v>
      </c>
      <c r="L2311" t="s">
        <v>22</v>
      </c>
      <c r="M2311" t="s">
        <v>23</v>
      </c>
      <c r="N2311" t="s">
        <v>23</v>
      </c>
      <c r="O2311" t="s">
        <v>24</v>
      </c>
      <c r="P2311" s="8" t="s">
        <v>2817</v>
      </c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</row>
    <row r="2312" spans="1:51" x14ac:dyDescent="0.2">
      <c r="A2312" s="6" t="s">
        <v>17</v>
      </c>
      <c r="B2312" t="s">
        <v>80</v>
      </c>
      <c r="C2312" t="s">
        <v>81</v>
      </c>
      <c r="D2312" t="s">
        <v>2818</v>
      </c>
      <c r="E2312" s="2">
        <v>950.99</v>
      </c>
      <c r="F2312" s="3">
        <f t="shared" si="179"/>
        <v>45572</v>
      </c>
      <c r="G2312" s="3">
        <f t="shared" si="179"/>
        <v>45572</v>
      </c>
      <c r="H2312">
        <v>1272494226</v>
      </c>
      <c r="I2312" t="s">
        <v>20</v>
      </c>
      <c r="K2312" t="s">
        <v>21</v>
      </c>
      <c r="L2312" t="s">
        <v>22</v>
      </c>
      <c r="M2312" t="s">
        <v>23</v>
      </c>
      <c r="N2312" t="s">
        <v>23</v>
      </c>
      <c r="O2312" t="s">
        <v>24</v>
      </c>
      <c r="P2312" s="8" t="s">
        <v>2819</v>
      </c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</row>
    <row r="2313" spans="1:51" x14ac:dyDescent="0.2">
      <c r="A2313" s="6" t="s">
        <v>17</v>
      </c>
      <c r="B2313" t="s">
        <v>18</v>
      </c>
      <c r="C2313" t="s">
        <v>18</v>
      </c>
      <c r="D2313" t="s">
        <v>2820</v>
      </c>
      <c r="E2313" s="2">
        <v>382.01</v>
      </c>
      <c r="F2313" s="3">
        <f t="shared" si="179"/>
        <v>45572</v>
      </c>
      <c r="G2313" s="3">
        <f t="shared" si="179"/>
        <v>45572</v>
      </c>
      <c r="H2313">
        <v>1272494227</v>
      </c>
      <c r="I2313" t="s">
        <v>20</v>
      </c>
      <c r="K2313" t="s">
        <v>21</v>
      </c>
      <c r="L2313" t="s">
        <v>22</v>
      </c>
      <c r="M2313" t="s">
        <v>23</v>
      </c>
      <c r="N2313" t="s">
        <v>23</v>
      </c>
      <c r="O2313" t="s">
        <v>24</v>
      </c>
      <c r="P2313" s="8" t="s">
        <v>2821</v>
      </c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</row>
    <row r="2314" spans="1:51" x14ac:dyDescent="0.2">
      <c r="A2314" s="6" t="s">
        <v>17</v>
      </c>
      <c r="B2314" t="s">
        <v>611</v>
      </c>
      <c r="C2314" t="s">
        <v>612</v>
      </c>
      <c r="D2314" t="s">
        <v>2822</v>
      </c>
      <c r="E2314" s="2">
        <v>300.95999999999998</v>
      </c>
      <c r="F2314" s="3">
        <f t="shared" si="179"/>
        <v>45572</v>
      </c>
      <c r="G2314" s="3">
        <f t="shared" si="179"/>
        <v>45572</v>
      </c>
      <c r="H2314">
        <v>1272494228</v>
      </c>
      <c r="I2314" t="s">
        <v>20</v>
      </c>
      <c r="K2314" t="s">
        <v>21</v>
      </c>
      <c r="L2314" t="s">
        <v>22</v>
      </c>
      <c r="M2314" t="s">
        <v>23</v>
      </c>
      <c r="N2314" t="s">
        <v>23</v>
      </c>
      <c r="O2314" t="s">
        <v>24</v>
      </c>
      <c r="P2314" s="8" t="s">
        <v>2823</v>
      </c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</row>
    <row r="2315" spans="1:51" x14ac:dyDescent="0.2">
      <c r="A2315" s="6" t="s">
        <v>17</v>
      </c>
      <c r="B2315" t="s">
        <v>674</v>
      </c>
      <c r="C2315" t="s">
        <v>675</v>
      </c>
      <c r="D2315" t="s">
        <v>2824</v>
      </c>
      <c r="E2315" s="2">
        <v>173.61</v>
      </c>
      <c r="F2315" s="3">
        <f t="shared" si="179"/>
        <v>45572</v>
      </c>
      <c r="G2315" s="3">
        <f t="shared" si="179"/>
        <v>45572</v>
      </c>
      <c r="H2315">
        <v>1272494229</v>
      </c>
      <c r="I2315" t="s">
        <v>20</v>
      </c>
      <c r="K2315" t="s">
        <v>21</v>
      </c>
      <c r="L2315" t="s">
        <v>22</v>
      </c>
      <c r="M2315" t="s">
        <v>23</v>
      </c>
      <c r="N2315" t="s">
        <v>23</v>
      </c>
      <c r="O2315" t="s">
        <v>24</v>
      </c>
      <c r="P2315" s="8" t="s">
        <v>2825</v>
      </c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</row>
    <row r="2316" spans="1:51" x14ac:dyDescent="0.2">
      <c r="A2316" s="6" t="s">
        <v>17</v>
      </c>
      <c r="B2316" t="s">
        <v>57</v>
      </c>
      <c r="C2316" t="s">
        <v>58</v>
      </c>
      <c r="D2316" t="s">
        <v>2826</v>
      </c>
      <c r="E2316" s="2">
        <v>52.5</v>
      </c>
      <c r="F2316" s="3">
        <f t="shared" si="179"/>
        <v>45572</v>
      </c>
      <c r="G2316" s="3">
        <f t="shared" si="179"/>
        <v>45572</v>
      </c>
      <c r="H2316">
        <v>1272494230</v>
      </c>
      <c r="I2316" t="s">
        <v>20</v>
      </c>
      <c r="K2316" t="s">
        <v>21</v>
      </c>
      <c r="L2316" t="s">
        <v>22</v>
      </c>
      <c r="M2316" t="s">
        <v>23</v>
      </c>
      <c r="N2316" t="s">
        <v>23</v>
      </c>
      <c r="O2316" t="s">
        <v>24</v>
      </c>
      <c r="P2316" s="8" t="s">
        <v>2827</v>
      </c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</row>
    <row r="2317" spans="1:51" x14ac:dyDescent="0.2">
      <c r="A2317" s="6" t="s">
        <v>17</v>
      </c>
      <c r="B2317" t="s">
        <v>611</v>
      </c>
      <c r="C2317" t="s">
        <v>612</v>
      </c>
      <c r="D2317" t="s">
        <v>2828</v>
      </c>
      <c r="E2317" s="2">
        <v>264.24</v>
      </c>
      <c r="F2317" s="3">
        <f t="shared" si="179"/>
        <v>45572</v>
      </c>
      <c r="G2317" s="3">
        <f t="shared" si="179"/>
        <v>45572</v>
      </c>
      <c r="H2317">
        <v>1272494231</v>
      </c>
      <c r="I2317" t="s">
        <v>20</v>
      </c>
      <c r="K2317" t="s">
        <v>21</v>
      </c>
      <c r="L2317" t="s">
        <v>22</v>
      </c>
      <c r="M2317" t="s">
        <v>23</v>
      </c>
      <c r="N2317" t="s">
        <v>23</v>
      </c>
      <c r="O2317" t="s">
        <v>24</v>
      </c>
      <c r="P2317" s="8" t="s">
        <v>2829</v>
      </c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</row>
    <row r="2318" spans="1:51" x14ac:dyDescent="0.2">
      <c r="A2318" s="6" t="s">
        <v>17</v>
      </c>
      <c r="B2318" t="s">
        <v>104</v>
      </c>
      <c r="C2318" t="s">
        <v>105</v>
      </c>
      <c r="D2318" t="s">
        <v>2830</v>
      </c>
      <c r="E2318" s="2">
        <v>27.63</v>
      </c>
      <c r="F2318" s="3">
        <f>DATE(2024,10,6)</f>
        <v>45571</v>
      </c>
      <c r="G2318" s="3">
        <f>DATE(2024,10,6)</f>
        <v>45571</v>
      </c>
      <c r="H2318">
        <v>1272494469</v>
      </c>
      <c r="I2318" t="s">
        <v>51</v>
      </c>
      <c r="K2318" t="s">
        <v>21</v>
      </c>
      <c r="L2318" t="s">
        <v>22</v>
      </c>
      <c r="M2318" t="s">
        <v>23</v>
      </c>
      <c r="N2318" t="s">
        <v>23</v>
      </c>
      <c r="O2318" t="s">
        <v>24</v>
      </c>
      <c r="P2318" s="8" t="s">
        <v>2831</v>
      </c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</row>
    <row r="2319" spans="1:51" x14ac:dyDescent="0.2">
      <c r="A2319" s="6" t="s">
        <v>17</v>
      </c>
      <c r="B2319" t="s">
        <v>223</v>
      </c>
      <c r="C2319" t="s">
        <v>223</v>
      </c>
      <c r="D2319" t="s">
        <v>2832</v>
      </c>
      <c r="E2319" s="2">
        <v>92.45</v>
      </c>
      <c r="F2319" s="3">
        <f>DATE(2024,10,5)</f>
        <v>45570</v>
      </c>
      <c r="G2319" s="3">
        <f>DATE(2024,10,5)</f>
        <v>45570</v>
      </c>
      <c r="H2319">
        <v>1272494470</v>
      </c>
      <c r="I2319" t="s">
        <v>51</v>
      </c>
      <c r="K2319" t="s">
        <v>21</v>
      </c>
      <c r="L2319" t="s">
        <v>22</v>
      </c>
      <c r="M2319" t="s">
        <v>23</v>
      </c>
      <c r="N2319" t="s">
        <v>23</v>
      </c>
      <c r="O2319" t="s">
        <v>24</v>
      </c>
      <c r="P2319" s="8" t="s">
        <v>2833</v>
      </c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</row>
    <row r="2320" spans="1:51" hidden="1" x14ac:dyDescent="0.2">
      <c r="A2320" s="6"/>
      <c r="E2320" s="2"/>
      <c r="F2320" s="3"/>
      <c r="G2320" s="3"/>
      <c r="P2320" s="8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</row>
    <row r="2321" spans="1:51" x14ac:dyDescent="0.2">
      <c r="A2321" s="6" t="s">
        <v>17</v>
      </c>
      <c r="B2321" t="s">
        <v>30</v>
      </c>
      <c r="C2321" t="s">
        <v>31</v>
      </c>
      <c r="D2321" t="s">
        <v>2834</v>
      </c>
      <c r="E2321" s="2">
        <v>871.08</v>
      </c>
      <c r="F2321" s="3">
        <f>DATE(2024,10,9)</f>
        <v>45574</v>
      </c>
      <c r="G2321" s="3">
        <f>DATE(2024,10,9)</f>
        <v>45574</v>
      </c>
      <c r="H2321">
        <v>1278628744</v>
      </c>
      <c r="I2321" t="s">
        <v>20</v>
      </c>
      <c r="K2321" t="s">
        <v>21</v>
      </c>
      <c r="L2321" t="s">
        <v>22</v>
      </c>
      <c r="M2321" t="s">
        <v>23</v>
      </c>
      <c r="N2321" t="s">
        <v>23</v>
      </c>
      <c r="O2321" t="s">
        <v>24</v>
      </c>
      <c r="P2321" s="8" t="s">
        <v>2835</v>
      </c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</row>
    <row r="2322" spans="1:51" x14ac:dyDescent="0.2">
      <c r="A2322" s="6" t="s">
        <v>17</v>
      </c>
      <c r="B2322" t="s">
        <v>30</v>
      </c>
      <c r="C2322" t="s">
        <v>31</v>
      </c>
      <c r="D2322" t="s">
        <v>2836</v>
      </c>
      <c r="E2322" s="2">
        <v>1156.0999999999999</v>
      </c>
      <c r="F2322" s="3">
        <f>DATE(2024,10,9)</f>
        <v>45574</v>
      </c>
      <c r="G2322" s="3">
        <f>DATE(2024,10,9)</f>
        <v>45574</v>
      </c>
      <c r="H2322">
        <v>1278628745</v>
      </c>
      <c r="I2322" t="s">
        <v>20</v>
      </c>
      <c r="K2322" t="s">
        <v>21</v>
      </c>
      <c r="L2322" t="s">
        <v>22</v>
      </c>
      <c r="M2322" t="s">
        <v>23</v>
      </c>
      <c r="N2322" t="s">
        <v>23</v>
      </c>
      <c r="O2322" t="s">
        <v>24</v>
      </c>
      <c r="P2322" s="8" t="s">
        <v>2837</v>
      </c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</row>
    <row r="2323" spans="1:51" x14ac:dyDescent="0.2">
      <c r="A2323" s="6" t="s">
        <v>17</v>
      </c>
      <c r="B2323" t="s">
        <v>100</v>
      </c>
      <c r="C2323" t="s">
        <v>101</v>
      </c>
      <c r="D2323" t="s">
        <v>1658</v>
      </c>
      <c r="E2323" s="2">
        <v>109.86</v>
      </c>
      <c r="F2323" s="3">
        <f t="shared" ref="F2323:G2325" si="180">DATE(2024,10,7)</f>
        <v>45572</v>
      </c>
      <c r="G2323" s="3">
        <f t="shared" si="180"/>
        <v>45572</v>
      </c>
      <c r="H2323">
        <v>1278628746</v>
      </c>
      <c r="I2323" t="s">
        <v>51</v>
      </c>
      <c r="K2323" t="s">
        <v>21</v>
      </c>
      <c r="L2323" t="s">
        <v>22</v>
      </c>
      <c r="M2323" t="s">
        <v>23</v>
      </c>
      <c r="N2323" t="s">
        <v>23</v>
      </c>
      <c r="O2323" t="s">
        <v>24</v>
      </c>
      <c r="P2323" s="8" t="s">
        <v>2838</v>
      </c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</row>
    <row r="2324" spans="1:51" x14ac:dyDescent="0.2">
      <c r="A2324" s="6" t="s">
        <v>17</v>
      </c>
      <c r="B2324" t="s">
        <v>44</v>
      </c>
      <c r="C2324" t="s">
        <v>45</v>
      </c>
      <c r="D2324" t="s">
        <v>2839</v>
      </c>
      <c r="E2324" s="2">
        <v>64.400000000000006</v>
      </c>
      <c r="F2324" s="3">
        <f t="shared" si="180"/>
        <v>45572</v>
      </c>
      <c r="G2324" s="3">
        <f t="shared" si="180"/>
        <v>45572</v>
      </c>
      <c r="H2324">
        <v>1278628747</v>
      </c>
      <c r="I2324" t="s">
        <v>51</v>
      </c>
      <c r="K2324" t="s">
        <v>21</v>
      </c>
      <c r="L2324" t="s">
        <v>22</v>
      </c>
      <c r="M2324" t="s">
        <v>23</v>
      </c>
      <c r="N2324" t="s">
        <v>23</v>
      </c>
      <c r="O2324" t="s">
        <v>24</v>
      </c>
      <c r="P2324" s="8" t="s">
        <v>2840</v>
      </c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</row>
    <row r="2325" spans="1:51" x14ac:dyDescent="0.2">
      <c r="A2325" s="6" t="s">
        <v>17</v>
      </c>
      <c r="B2325" t="s">
        <v>110</v>
      </c>
      <c r="C2325" t="s">
        <v>111</v>
      </c>
      <c r="D2325" t="s">
        <v>2841</v>
      </c>
      <c r="E2325" s="2">
        <v>3.2</v>
      </c>
      <c r="F2325" s="3">
        <f t="shared" si="180"/>
        <v>45572</v>
      </c>
      <c r="G2325" s="3">
        <f t="shared" si="180"/>
        <v>45572</v>
      </c>
      <c r="H2325">
        <v>1278628748</v>
      </c>
      <c r="I2325" t="s">
        <v>51</v>
      </c>
      <c r="K2325" t="s">
        <v>21</v>
      </c>
      <c r="L2325" t="s">
        <v>22</v>
      </c>
      <c r="M2325" t="s">
        <v>23</v>
      </c>
      <c r="N2325" t="s">
        <v>23</v>
      </c>
      <c r="O2325" t="s">
        <v>24</v>
      </c>
      <c r="P2325" s="8" t="s">
        <v>2842</v>
      </c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</row>
    <row r="2326" spans="1:51" hidden="1" x14ac:dyDescent="0.2">
      <c r="A2326" s="6"/>
      <c r="E2326" s="2"/>
      <c r="F2326" s="3"/>
      <c r="G2326" s="3"/>
      <c r="P2326" s="8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</row>
    <row r="2327" spans="1:51" hidden="1" x14ac:dyDescent="0.2">
      <c r="A2327" s="6"/>
      <c r="E2327" s="2"/>
      <c r="F2327" s="3"/>
      <c r="G2327" s="3"/>
      <c r="P2327" s="8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</row>
    <row r="2328" spans="1:51" x14ac:dyDescent="0.2">
      <c r="A2328" s="6" t="s">
        <v>17</v>
      </c>
      <c r="B2328" t="s">
        <v>110</v>
      </c>
      <c r="C2328" t="s">
        <v>111</v>
      </c>
      <c r="D2328" t="s">
        <v>2843</v>
      </c>
      <c r="E2328" s="2">
        <v>1.56</v>
      </c>
      <c r="F2328" s="3">
        <f t="shared" ref="F2326:G2328" si="181">DATE(2024,10,8)</f>
        <v>45573</v>
      </c>
      <c r="G2328" s="3">
        <f t="shared" si="181"/>
        <v>45573</v>
      </c>
      <c r="H2328">
        <v>1278672817</v>
      </c>
      <c r="I2328" t="s">
        <v>73</v>
      </c>
      <c r="K2328" t="s">
        <v>21</v>
      </c>
      <c r="L2328" t="s">
        <v>22</v>
      </c>
      <c r="M2328" t="s">
        <v>23</v>
      </c>
      <c r="N2328" t="s">
        <v>23</v>
      </c>
      <c r="O2328" t="s">
        <v>24</v>
      </c>
      <c r="P2328" s="8" t="s">
        <v>2844</v>
      </c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</row>
    <row r="2329" spans="1:51" x14ac:dyDescent="0.2">
      <c r="A2329" s="6" t="s">
        <v>17</v>
      </c>
      <c r="B2329" t="s">
        <v>655</v>
      </c>
      <c r="C2329" t="s">
        <v>656</v>
      </c>
      <c r="D2329" t="s">
        <v>2845</v>
      </c>
      <c r="E2329" s="2">
        <v>2789.18</v>
      </c>
      <c r="F2329" s="3">
        <f>DATE(2024,10,10)</f>
        <v>45575</v>
      </c>
      <c r="G2329" s="3">
        <f>DATE(2024,10,10)</f>
        <v>45575</v>
      </c>
      <c r="H2329">
        <v>1283298403</v>
      </c>
      <c r="I2329" t="s">
        <v>20</v>
      </c>
      <c r="K2329" t="s">
        <v>21</v>
      </c>
      <c r="L2329" t="s">
        <v>22</v>
      </c>
      <c r="M2329" t="s">
        <v>23</v>
      </c>
      <c r="N2329" t="s">
        <v>23</v>
      </c>
      <c r="O2329" t="s">
        <v>24</v>
      </c>
      <c r="P2329" s="8" t="s">
        <v>2846</v>
      </c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</row>
    <row r="2330" spans="1:51" hidden="1" x14ac:dyDescent="0.2">
      <c r="A2330" s="6"/>
      <c r="E2330" s="2"/>
      <c r="F2330" s="3"/>
      <c r="G2330" s="3"/>
      <c r="P2330" s="8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</row>
    <row r="2331" spans="1:51" x14ac:dyDescent="0.2">
      <c r="A2331" s="6" t="s">
        <v>17</v>
      </c>
      <c r="B2331" t="s">
        <v>100</v>
      </c>
      <c r="C2331" t="s">
        <v>101</v>
      </c>
      <c r="D2331" t="s">
        <v>2847</v>
      </c>
      <c r="E2331" s="2">
        <v>2.1</v>
      </c>
      <c r="F2331" s="3">
        <f>DATE(2024,10,8)</f>
        <v>45573</v>
      </c>
      <c r="G2331" s="3">
        <f>DATE(2024,10,8)</f>
        <v>45573</v>
      </c>
      <c r="H2331">
        <v>1283298406</v>
      </c>
      <c r="I2331" t="s">
        <v>51</v>
      </c>
      <c r="K2331" t="s">
        <v>21</v>
      </c>
      <c r="L2331" t="s">
        <v>22</v>
      </c>
      <c r="M2331" t="s">
        <v>23</v>
      </c>
      <c r="N2331" t="s">
        <v>23</v>
      </c>
      <c r="O2331" t="s">
        <v>24</v>
      </c>
      <c r="P2331" s="8" t="s">
        <v>2848</v>
      </c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</row>
    <row r="2332" spans="1:51" hidden="1" x14ac:dyDescent="0.2">
      <c r="A2332" s="6"/>
      <c r="E2332" s="2"/>
      <c r="F2332" s="3"/>
      <c r="G2332" s="3"/>
      <c r="P2332" s="8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</row>
    <row r="2333" spans="1:51" hidden="1" x14ac:dyDescent="0.2">
      <c r="A2333" s="6"/>
      <c r="E2333" s="2"/>
      <c r="F2333" s="3"/>
      <c r="G2333" s="3"/>
      <c r="P2333" s="8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</row>
    <row r="2334" spans="1:51" x14ac:dyDescent="0.2">
      <c r="A2334" s="6" t="s">
        <v>17</v>
      </c>
      <c r="B2334" t="s">
        <v>26</v>
      </c>
      <c r="C2334" t="s">
        <v>27</v>
      </c>
      <c r="D2334" t="s">
        <v>2849</v>
      </c>
      <c r="E2334" s="2">
        <v>30</v>
      </c>
      <c r="F2334" s="3">
        <f>DATE(2024,10,11)</f>
        <v>45576</v>
      </c>
      <c r="G2334" s="3">
        <f>DATE(2024,10,11)</f>
        <v>45576</v>
      </c>
      <c r="H2334">
        <v>1287691502</v>
      </c>
      <c r="I2334" t="s">
        <v>20</v>
      </c>
      <c r="K2334" t="s">
        <v>21</v>
      </c>
      <c r="L2334" t="s">
        <v>22</v>
      </c>
      <c r="M2334" t="s">
        <v>23</v>
      </c>
      <c r="N2334" t="s">
        <v>23</v>
      </c>
      <c r="O2334" t="s">
        <v>24</v>
      </c>
      <c r="P2334" s="8" t="s">
        <v>2850</v>
      </c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</row>
    <row r="2335" spans="1:51" x14ac:dyDescent="0.2">
      <c r="A2335" s="6" t="s">
        <v>17</v>
      </c>
      <c r="B2335" t="s">
        <v>2851</v>
      </c>
      <c r="C2335" t="s">
        <v>2852</v>
      </c>
      <c r="D2335" t="s">
        <v>2853</v>
      </c>
      <c r="E2335" s="2">
        <v>125</v>
      </c>
      <c r="F2335" s="3">
        <f t="shared" ref="F2335:G2343" si="182">DATE(2024,10,10)</f>
        <v>45575</v>
      </c>
      <c r="G2335" s="3">
        <f t="shared" si="182"/>
        <v>45575</v>
      </c>
      <c r="H2335">
        <v>1287691503</v>
      </c>
      <c r="I2335" t="s">
        <v>20</v>
      </c>
      <c r="K2335" t="s">
        <v>21</v>
      </c>
      <c r="L2335" t="s">
        <v>22</v>
      </c>
      <c r="M2335" t="s">
        <v>23</v>
      </c>
      <c r="N2335" t="s">
        <v>23</v>
      </c>
      <c r="O2335" t="s">
        <v>24</v>
      </c>
      <c r="P2335" s="8" t="s">
        <v>2854</v>
      </c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</row>
    <row r="2336" spans="1:51" x14ac:dyDescent="0.2">
      <c r="A2336" s="6" t="s">
        <v>17</v>
      </c>
      <c r="B2336" t="s">
        <v>34</v>
      </c>
      <c r="C2336" t="s">
        <v>35</v>
      </c>
      <c r="D2336" t="s">
        <v>2855</v>
      </c>
      <c r="E2336" s="2">
        <v>143.30000000000001</v>
      </c>
      <c r="F2336" s="3">
        <f t="shared" si="182"/>
        <v>45575</v>
      </c>
      <c r="G2336" s="3">
        <f t="shared" si="182"/>
        <v>45575</v>
      </c>
      <c r="H2336">
        <v>1287691504</v>
      </c>
      <c r="I2336" t="s">
        <v>20</v>
      </c>
      <c r="K2336" t="s">
        <v>21</v>
      </c>
      <c r="L2336" t="s">
        <v>22</v>
      </c>
      <c r="M2336" t="s">
        <v>23</v>
      </c>
      <c r="N2336" t="s">
        <v>23</v>
      </c>
      <c r="O2336" t="s">
        <v>24</v>
      </c>
      <c r="P2336" s="8" t="s">
        <v>2856</v>
      </c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</row>
    <row r="2337" spans="1:51" hidden="1" x14ac:dyDescent="0.2">
      <c r="A2337" s="6"/>
      <c r="E2337" s="2"/>
      <c r="F2337" s="3"/>
      <c r="G2337" s="3"/>
      <c r="P2337" s="8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</row>
    <row r="2338" spans="1:51" x14ac:dyDescent="0.2">
      <c r="A2338" s="6" t="s">
        <v>17</v>
      </c>
      <c r="B2338" t="s">
        <v>137</v>
      </c>
      <c r="C2338" t="s">
        <v>138</v>
      </c>
      <c r="D2338" t="s">
        <v>2857</v>
      </c>
      <c r="E2338" s="2">
        <v>118.8</v>
      </c>
      <c r="F2338" s="3">
        <f t="shared" si="182"/>
        <v>45575</v>
      </c>
      <c r="G2338" s="3">
        <f t="shared" si="182"/>
        <v>45575</v>
      </c>
      <c r="H2338">
        <v>1287691506</v>
      </c>
      <c r="I2338" t="s">
        <v>20</v>
      </c>
      <c r="K2338" t="s">
        <v>21</v>
      </c>
      <c r="L2338" t="s">
        <v>22</v>
      </c>
      <c r="M2338" t="s">
        <v>23</v>
      </c>
      <c r="N2338" t="s">
        <v>23</v>
      </c>
      <c r="O2338" t="s">
        <v>24</v>
      </c>
      <c r="P2338" s="8" t="s">
        <v>2858</v>
      </c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</row>
    <row r="2339" spans="1:51" x14ac:dyDescent="0.2">
      <c r="A2339" s="6" t="s">
        <v>17</v>
      </c>
      <c r="B2339" t="s">
        <v>104</v>
      </c>
      <c r="C2339" t="s">
        <v>105</v>
      </c>
      <c r="D2339" t="s">
        <v>2859</v>
      </c>
      <c r="E2339" s="2">
        <v>478.87</v>
      </c>
      <c r="F2339" s="3">
        <f t="shared" si="182"/>
        <v>45575</v>
      </c>
      <c r="G2339" s="3">
        <f t="shared" si="182"/>
        <v>45575</v>
      </c>
      <c r="H2339">
        <v>1287691507</v>
      </c>
      <c r="I2339" t="s">
        <v>20</v>
      </c>
      <c r="K2339" t="s">
        <v>21</v>
      </c>
      <c r="L2339" t="s">
        <v>22</v>
      </c>
      <c r="M2339" t="s">
        <v>23</v>
      </c>
      <c r="N2339" t="s">
        <v>23</v>
      </c>
      <c r="O2339" t="s">
        <v>24</v>
      </c>
      <c r="P2339" s="8" t="s">
        <v>2860</v>
      </c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</row>
    <row r="2340" spans="1:51" hidden="1" x14ac:dyDescent="0.2">
      <c r="A2340" s="6"/>
      <c r="E2340" s="2"/>
      <c r="F2340" s="3"/>
      <c r="G2340" s="3"/>
      <c r="P2340" s="8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</row>
    <row r="2341" spans="1:51" x14ac:dyDescent="0.2">
      <c r="A2341" s="6" t="s">
        <v>17</v>
      </c>
      <c r="B2341" t="s">
        <v>2851</v>
      </c>
      <c r="C2341" t="s">
        <v>2852</v>
      </c>
      <c r="D2341" t="s">
        <v>2861</v>
      </c>
      <c r="E2341" s="2">
        <v>125</v>
      </c>
      <c r="F2341" s="3">
        <f t="shared" si="182"/>
        <v>45575</v>
      </c>
      <c r="G2341" s="3">
        <f t="shared" si="182"/>
        <v>45575</v>
      </c>
      <c r="H2341">
        <v>1287691509</v>
      </c>
      <c r="I2341" t="s">
        <v>20</v>
      </c>
      <c r="K2341" t="s">
        <v>21</v>
      </c>
      <c r="L2341" t="s">
        <v>22</v>
      </c>
      <c r="M2341" t="s">
        <v>23</v>
      </c>
      <c r="N2341" t="s">
        <v>23</v>
      </c>
      <c r="O2341" t="s">
        <v>24</v>
      </c>
      <c r="P2341" s="8" t="s">
        <v>2862</v>
      </c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</row>
    <row r="2342" spans="1:51" x14ac:dyDescent="0.2">
      <c r="A2342" s="6" t="s">
        <v>17</v>
      </c>
      <c r="B2342" t="s">
        <v>44</v>
      </c>
      <c r="C2342" t="s">
        <v>45</v>
      </c>
      <c r="D2342" t="s">
        <v>2863</v>
      </c>
      <c r="E2342" s="2">
        <v>75.8</v>
      </c>
      <c r="F2342" s="3">
        <f t="shared" si="182"/>
        <v>45575</v>
      </c>
      <c r="G2342" s="3">
        <f t="shared" si="182"/>
        <v>45575</v>
      </c>
      <c r="H2342">
        <v>1287691510</v>
      </c>
      <c r="I2342" t="s">
        <v>20</v>
      </c>
      <c r="K2342" t="s">
        <v>21</v>
      </c>
      <c r="L2342" t="s">
        <v>22</v>
      </c>
      <c r="M2342" t="s">
        <v>23</v>
      </c>
      <c r="N2342" t="s">
        <v>23</v>
      </c>
      <c r="O2342" t="s">
        <v>24</v>
      </c>
      <c r="P2342" s="8" t="s">
        <v>2864</v>
      </c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</row>
    <row r="2343" spans="1:51" x14ac:dyDescent="0.2">
      <c r="A2343" s="6" t="s">
        <v>17</v>
      </c>
      <c r="B2343" t="s">
        <v>674</v>
      </c>
      <c r="C2343" t="s">
        <v>675</v>
      </c>
      <c r="D2343" t="s">
        <v>2865</v>
      </c>
      <c r="E2343" s="2">
        <v>2202.1</v>
      </c>
      <c r="F2343" s="3">
        <f t="shared" si="182"/>
        <v>45575</v>
      </c>
      <c r="G2343" s="3">
        <f t="shared" si="182"/>
        <v>45575</v>
      </c>
      <c r="H2343">
        <v>1287691511</v>
      </c>
      <c r="I2343" t="s">
        <v>20</v>
      </c>
      <c r="K2343" t="s">
        <v>21</v>
      </c>
      <c r="L2343" t="s">
        <v>22</v>
      </c>
      <c r="M2343" t="s">
        <v>23</v>
      </c>
      <c r="N2343" t="s">
        <v>23</v>
      </c>
      <c r="O2343" t="s">
        <v>24</v>
      </c>
      <c r="P2343" s="8" t="s">
        <v>2866</v>
      </c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</row>
    <row r="2344" spans="1:51" x14ac:dyDescent="0.2">
      <c r="A2344" s="6" t="s">
        <v>17</v>
      </c>
      <c r="B2344" t="s">
        <v>104</v>
      </c>
      <c r="C2344" t="s">
        <v>105</v>
      </c>
      <c r="D2344" t="s">
        <v>2356</v>
      </c>
      <c r="E2344" s="2">
        <v>73.569999999999993</v>
      </c>
      <c r="F2344" s="3">
        <f>DATE(2024,10,8)</f>
        <v>45573</v>
      </c>
      <c r="G2344" s="3">
        <f>DATE(2024,10,8)</f>
        <v>45573</v>
      </c>
      <c r="H2344">
        <v>1287691512</v>
      </c>
      <c r="I2344" t="s">
        <v>51</v>
      </c>
      <c r="K2344" t="s">
        <v>21</v>
      </c>
      <c r="L2344" t="s">
        <v>22</v>
      </c>
      <c r="M2344" t="s">
        <v>23</v>
      </c>
      <c r="N2344" t="s">
        <v>23</v>
      </c>
      <c r="O2344" t="s">
        <v>24</v>
      </c>
      <c r="P2344" s="8" t="s">
        <v>2867</v>
      </c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</row>
    <row r="2345" spans="1:51" hidden="1" x14ac:dyDescent="0.2">
      <c r="A2345" s="6"/>
      <c r="E2345" s="2"/>
      <c r="F2345" s="3"/>
      <c r="G2345" s="3"/>
      <c r="P2345" s="8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</row>
    <row r="2346" spans="1:51" x14ac:dyDescent="0.2">
      <c r="A2346" s="6" t="s">
        <v>17</v>
      </c>
      <c r="B2346" t="s">
        <v>110</v>
      </c>
      <c r="C2346" t="s">
        <v>111</v>
      </c>
      <c r="D2346" t="s">
        <v>2868</v>
      </c>
      <c r="E2346" s="2">
        <v>1.1000000000000001</v>
      </c>
      <c r="F2346" s="3">
        <f t="shared" ref="F2345:G2348" si="183">DATE(2024,10,10)</f>
        <v>45575</v>
      </c>
      <c r="G2346" s="3">
        <f t="shared" si="183"/>
        <v>45575</v>
      </c>
      <c r="H2346">
        <v>1287761971</v>
      </c>
      <c r="I2346" t="s">
        <v>73</v>
      </c>
      <c r="K2346" t="s">
        <v>21</v>
      </c>
      <c r="L2346" t="s">
        <v>22</v>
      </c>
      <c r="M2346" t="s">
        <v>23</v>
      </c>
      <c r="N2346" t="s">
        <v>23</v>
      </c>
      <c r="O2346" t="s">
        <v>24</v>
      </c>
      <c r="P2346" s="8" t="s">
        <v>2869</v>
      </c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</row>
    <row r="2347" spans="1:51" x14ac:dyDescent="0.2">
      <c r="A2347" s="6" t="s">
        <v>17</v>
      </c>
      <c r="B2347" t="s">
        <v>363</v>
      </c>
      <c r="C2347" t="s">
        <v>364</v>
      </c>
      <c r="D2347" t="s">
        <v>2870</v>
      </c>
      <c r="E2347" s="2">
        <v>3</v>
      </c>
      <c r="F2347" s="3">
        <f t="shared" si="183"/>
        <v>45575</v>
      </c>
      <c r="G2347" s="3">
        <f t="shared" si="183"/>
        <v>45575</v>
      </c>
      <c r="H2347">
        <v>1287761972</v>
      </c>
      <c r="I2347" t="s">
        <v>73</v>
      </c>
      <c r="K2347" t="s">
        <v>21</v>
      </c>
      <c r="L2347" t="s">
        <v>22</v>
      </c>
      <c r="M2347" t="s">
        <v>23</v>
      </c>
      <c r="N2347" t="s">
        <v>23</v>
      </c>
      <c r="O2347" t="s">
        <v>24</v>
      </c>
      <c r="P2347" s="8" t="s">
        <v>2871</v>
      </c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</row>
    <row r="2348" spans="1:51" hidden="1" x14ac:dyDescent="0.2">
      <c r="A2348" s="6"/>
      <c r="E2348" s="2"/>
      <c r="F2348" s="3"/>
      <c r="G2348" s="3"/>
      <c r="P2348" s="8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</row>
    <row r="2349" spans="1:51" x14ac:dyDescent="0.2">
      <c r="A2349" s="6" t="s">
        <v>17</v>
      </c>
      <c r="B2349" t="s">
        <v>316</v>
      </c>
      <c r="C2349" t="s">
        <v>316</v>
      </c>
      <c r="D2349" t="s">
        <v>2872</v>
      </c>
      <c r="E2349" s="2">
        <v>120</v>
      </c>
      <c r="F2349" s="3">
        <f t="shared" ref="F2349:G2352" si="184">DATE(2024,10,11)</f>
        <v>45576</v>
      </c>
      <c r="G2349" s="3">
        <f t="shared" si="184"/>
        <v>45576</v>
      </c>
      <c r="H2349">
        <v>1291129256</v>
      </c>
      <c r="I2349" t="s">
        <v>20</v>
      </c>
      <c r="K2349" t="s">
        <v>21</v>
      </c>
      <c r="L2349" t="s">
        <v>22</v>
      </c>
      <c r="M2349" t="s">
        <v>23</v>
      </c>
      <c r="N2349" t="s">
        <v>23</v>
      </c>
      <c r="O2349" t="s">
        <v>24</v>
      </c>
      <c r="P2349" s="8" t="s">
        <v>2873</v>
      </c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</row>
    <row r="2350" spans="1:51" x14ac:dyDescent="0.2">
      <c r="A2350" s="6" t="s">
        <v>17</v>
      </c>
      <c r="B2350" t="s">
        <v>611</v>
      </c>
      <c r="C2350" t="s">
        <v>612</v>
      </c>
      <c r="D2350" t="s">
        <v>2874</v>
      </c>
      <c r="E2350" s="2">
        <v>913.68</v>
      </c>
      <c r="F2350" s="3">
        <f t="shared" si="184"/>
        <v>45576</v>
      </c>
      <c r="G2350" s="3">
        <f t="shared" si="184"/>
        <v>45576</v>
      </c>
      <c r="H2350">
        <v>1291129257</v>
      </c>
      <c r="I2350" t="s">
        <v>20</v>
      </c>
      <c r="K2350" t="s">
        <v>21</v>
      </c>
      <c r="L2350" t="s">
        <v>22</v>
      </c>
      <c r="M2350" t="s">
        <v>23</v>
      </c>
      <c r="N2350" t="s">
        <v>23</v>
      </c>
      <c r="O2350" t="s">
        <v>24</v>
      </c>
      <c r="P2350" s="8" t="s">
        <v>2875</v>
      </c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</row>
    <row r="2351" spans="1:51" hidden="1" x14ac:dyDescent="0.2">
      <c r="A2351" s="6"/>
      <c r="E2351" s="2"/>
      <c r="F2351" s="3"/>
      <c r="G2351" s="3"/>
      <c r="P2351" s="8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</row>
    <row r="2352" spans="1:51" hidden="1" x14ac:dyDescent="0.2">
      <c r="A2352" s="6"/>
      <c r="E2352" s="2"/>
      <c r="F2352" s="3"/>
      <c r="G2352" s="3"/>
      <c r="P2352" s="8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</row>
    <row r="2353" spans="1:51" x14ac:dyDescent="0.2">
      <c r="A2353" s="6" t="s">
        <v>17</v>
      </c>
      <c r="B2353" t="s">
        <v>179</v>
      </c>
      <c r="C2353" t="s">
        <v>180</v>
      </c>
      <c r="D2353" t="s">
        <v>1940</v>
      </c>
      <c r="E2353" s="2">
        <v>58.38</v>
      </c>
      <c r="F2353" s="3">
        <f>DATE(2024,10,10)</f>
        <v>45575</v>
      </c>
      <c r="G2353" s="3">
        <f>DATE(2024,10,10)</f>
        <v>45575</v>
      </c>
      <c r="H2353">
        <v>1291129260</v>
      </c>
      <c r="I2353" t="s">
        <v>51</v>
      </c>
      <c r="K2353" t="s">
        <v>21</v>
      </c>
      <c r="L2353" t="s">
        <v>22</v>
      </c>
      <c r="M2353" t="s">
        <v>23</v>
      </c>
      <c r="N2353" t="s">
        <v>23</v>
      </c>
      <c r="O2353" t="s">
        <v>24</v>
      </c>
      <c r="P2353" s="8" t="s">
        <v>2876</v>
      </c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</row>
    <row r="2354" spans="1:51" x14ac:dyDescent="0.2">
      <c r="A2354" s="6" t="s">
        <v>17</v>
      </c>
      <c r="B2354" t="s">
        <v>110</v>
      </c>
      <c r="C2354" t="s">
        <v>111</v>
      </c>
      <c r="D2354" t="s">
        <v>2877</v>
      </c>
      <c r="E2354" s="2">
        <v>0.62</v>
      </c>
      <c r="F2354" s="3">
        <f t="shared" ref="F2354:G2359" si="185">DATE(2024,10,11)</f>
        <v>45576</v>
      </c>
      <c r="G2354" s="3">
        <f t="shared" si="185"/>
        <v>45576</v>
      </c>
      <c r="H2354">
        <v>1291145671</v>
      </c>
      <c r="I2354" t="s">
        <v>73</v>
      </c>
      <c r="K2354" t="s">
        <v>21</v>
      </c>
      <c r="L2354" t="s">
        <v>22</v>
      </c>
      <c r="M2354" t="s">
        <v>23</v>
      </c>
      <c r="N2354" t="s">
        <v>23</v>
      </c>
      <c r="O2354" t="s">
        <v>24</v>
      </c>
      <c r="P2354" s="8" t="s">
        <v>2878</v>
      </c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</row>
    <row r="2355" spans="1:51" hidden="1" x14ac:dyDescent="0.2">
      <c r="A2355" s="6"/>
      <c r="E2355" s="2"/>
      <c r="F2355" s="3"/>
      <c r="G2355" s="3"/>
      <c r="P2355" s="8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</row>
    <row r="2356" spans="1:51" hidden="1" x14ac:dyDescent="0.2">
      <c r="A2356" s="6"/>
      <c r="E2356" s="2"/>
      <c r="F2356" s="3"/>
      <c r="G2356" s="3"/>
      <c r="P2356" s="8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</row>
    <row r="2357" spans="1:51" hidden="1" x14ac:dyDescent="0.2">
      <c r="A2357" s="6"/>
      <c r="E2357" s="2"/>
      <c r="F2357" s="3"/>
      <c r="G2357" s="3"/>
      <c r="P2357" s="8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</row>
    <row r="2358" spans="1:51" hidden="1" x14ac:dyDescent="0.2">
      <c r="A2358" s="6"/>
      <c r="E2358" s="2"/>
      <c r="F2358" s="3"/>
      <c r="G2358" s="3"/>
      <c r="P2358" s="8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</row>
    <row r="2359" spans="1:51" x14ac:dyDescent="0.2">
      <c r="A2359" s="6" t="s">
        <v>17</v>
      </c>
      <c r="B2359" t="s">
        <v>18</v>
      </c>
      <c r="C2359" t="s">
        <v>18</v>
      </c>
      <c r="D2359" t="s">
        <v>2879</v>
      </c>
      <c r="E2359" s="2">
        <v>30.23</v>
      </c>
      <c r="F2359" s="3">
        <f t="shared" si="185"/>
        <v>45576</v>
      </c>
      <c r="G2359" s="3">
        <f t="shared" si="185"/>
        <v>45576</v>
      </c>
      <c r="H2359">
        <v>1291145676</v>
      </c>
      <c r="I2359" t="s">
        <v>73</v>
      </c>
      <c r="K2359" t="s">
        <v>21</v>
      </c>
      <c r="L2359" t="s">
        <v>22</v>
      </c>
      <c r="M2359" t="s">
        <v>23</v>
      </c>
      <c r="N2359" t="s">
        <v>23</v>
      </c>
      <c r="O2359" t="s">
        <v>24</v>
      </c>
      <c r="P2359" s="8" t="s">
        <v>2880</v>
      </c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</row>
    <row r="2360" spans="1:51" hidden="1" x14ac:dyDescent="0.2">
      <c r="A2360" s="6"/>
      <c r="E2360" s="2"/>
      <c r="F2360" s="3"/>
      <c r="G2360" s="3"/>
      <c r="P2360" s="8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</row>
    <row r="2361" spans="1:51" hidden="1" x14ac:dyDescent="0.2">
      <c r="A2361" s="6"/>
      <c r="E2361" s="2"/>
      <c r="F2361" s="3"/>
      <c r="G2361" s="3"/>
      <c r="P2361" s="8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</row>
    <row r="2362" spans="1:51" x14ac:dyDescent="0.2">
      <c r="A2362" s="6" t="s">
        <v>17</v>
      </c>
      <c r="B2362" t="s">
        <v>316</v>
      </c>
      <c r="C2362" t="s">
        <v>316</v>
      </c>
      <c r="D2362" t="s">
        <v>2881</v>
      </c>
      <c r="E2362" s="2">
        <v>73.5</v>
      </c>
      <c r="F2362" s="3">
        <f>DATE(2024,10,11)</f>
        <v>45576</v>
      </c>
      <c r="G2362" s="3">
        <f>DATE(2024,10,11)</f>
        <v>45576</v>
      </c>
      <c r="H2362">
        <v>1293881889</v>
      </c>
      <c r="I2362" t="s">
        <v>51</v>
      </c>
      <c r="K2362" t="s">
        <v>21</v>
      </c>
      <c r="L2362" t="s">
        <v>22</v>
      </c>
      <c r="M2362" t="s">
        <v>23</v>
      </c>
      <c r="N2362" t="s">
        <v>23</v>
      </c>
      <c r="O2362" t="s">
        <v>24</v>
      </c>
      <c r="P2362" s="8" t="s">
        <v>2882</v>
      </c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</row>
    <row r="2363" spans="1:51" hidden="1" x14ac:dyDescent="0.2">
      <c r="A2363" s="6"/>
      <c r="E2363" s="2"/>
      <c r="F2363" s="3"/>
      <c r="G2363" s="3"/>
      <c r="P2363" s="8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</row>
    <row r="2364" spans="1:51" hidden="1" x14ac:dyDescent="0.2">
      <c r="A2364" s="6"/>
      <c r="E2364" s="2"/>
      <c r="F2364" s="3"/>
      <c r="G2364" s="3"/>
      <c r="P2364" s="8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</row>
    <row r="2365" spans="1:51" hidden="1" x14ac:dyDescent="0.2">
      <c r="A2365" s="6"/>
      <c r="E2365" s="2"/>
      <c r="F2365" s="3"/>
      <c r="G2365" s="3"/>
      <c r="P2365" s="8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</row>
    <row r="2366" spans="1:51" x14ac:dyDescent="0.2">
      <c r="A2366" s="6" t="s">
        <v>17</v>
      </c>
      <c r="B2366" t="s">
        <v>887</v>
      </c>
      <c r="C2366" t="s">
        <v>888</v>
      </c>
      <c r="D2366" t="s">
        <v>2883</v>
      </c>
      <c r="E2366" s="2">
        <v>1542.01</v>
      </c>
      <c r="F2366" s="3">
        <f t="shared" ref="F2363:G2366" si="186">DATE(2024,10,14)</f>
        <v>45579</v>
      </c>
      <c r="G2366" s="3">
        <f t="shared" si="186"/>
        <v>45579</v>
      </c>
      <c r="H2366">
        <v>1298651219</v>
      </c>
      <c r="I2366" t="s">
        <v>20</v>
      </c>
      <c r="K2366" t="s">
        <v>21</v>
      </c>
      <c r="L2366" t="s">
        <v>22</v>
      </c>
      <c r="M2366" t="s">
        <v>23</v>
      </c>
      <c r="N2366" t="s">
        <v>23</v>
      </c>
      <c r="O2366" t="s">
        <v>24</v>
      </c>
      <c r="P2366" s="8" t="s">
        <v>2884</v>
      </c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</row>
    <row r="2367" spans="1:51" x14ac:dyDescent="0.2">
      <c r="A2367" s="6" t="s">
        <v>17</v>
      </c>
      <c r="B2367" t="s">
        <v>191</v>
      </c>
      <c r="C2367" t="s">
        <v>192</v>
      </c>
      <c r="D2367" t="s">
        <v>2885</v>
      </c>
      <c r="E2367" s="2">
        <v>860</v>
      </c>
      <c r="F2367" s="3">
        <f>DATE(2024,10,15)</f>
        <v>45580</v>
      </c>
      <c r="G2367" s="3">
        <f>DATE(2024,10,15)</f>
        <v>45580</v>
      </c>
      <c r="H2367">
        <v>1298651220</v>
      </c>
      <c r="I2367" t="s">
        <v>20</v>
      </c>
      <c r="K2367" t="s">
        <v>21</v>
      </c>
      <c r="L2367" t="s">
        <v>22</v>
      </c>
      <c r="M2367" t="s">
        <v>23</v>
      </c>
      <c r="N2367" t="s">
        <v>23</v>
      </c>
      <c r="O2367" t="s">
        <v>24</v>
      </c>
      <c r="P2367" s="8" t="s">
        <v>2886</v>
      </c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</row>
    <row r="2368" spans="1:51" x14ac:dyDescent="0.2">
      <c r="A2368" s="6" t="s">
        <v>17</v>
      </c>
      <c r="B2368" t="s">
        <v>34</v>
      </c>
      <c r="C2368" t="s">
        <v>35</v>
      </c>
      <c r="D2368" t="s">
        <v>2887</v>
      </c>
      <c r="E2368" s="2">
        <v>9287.94</v>
      </c>
      <c r="F2368" s="3">
        <f>DATE(2024,10,15)</f>
        <v>45580</v>
      </c>
      <c r="G2368" s="3">
        <f>DATE(2024,10,15)</f>
        <v>45580</v>
      </c>
      <c r="H2368">
        <v>1298651221</v>
      </c>
      <c r="I2368" t="s">
        <v>20</v>
      </c>
      <c r="K2368" t="s">
        <v>21</v>
      </c>
      <c r="L2368" t="s">
        <v>22</v>
      </c>
      <c r="M2368" t="s">
        <v>23</v>
      </c>
      <c r="N2368" t="s">
        <v>23</v>
      </c>
      <c r="O2368" t="s">
        <v>24</v>
      </c>
      <c r="P2368" s="8" t="s">
        <v>2888</v>
      </c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</row>
    <row r="2369" spans="1:51" x14ac:dyDescent="0.2">
      <c r="A2369" s="6" t="s">
        <v>17</v>
      </c>
      <c r="B2369" t="s">
        <v>80</v>
      </c>
      <c r="C2369" t="s">
        <v>81</v>
      </c>
      <c r="D2369" t="s">
        <v>2889</v>
      </c>
      <c r="E2369" s="2">
        <v>42</v>
      </c>
      <c r="F2369" s="3">
        <f>DATE(2024,10,14)</f>
        <v>45579</v>
      </c>
      <c r="G2369" s="3">
        <f>DATE(2024,10,14)</f>
        <v>45579</v>
      </c>
      <c r="H2369">
        <v>1298651222</v>
      </c>
      <c r="I2369" t="s">
        <v>20</v>
      </c>
      <c r="K2369" t="s">
        <v>21</v>
      </c>
      <c r="L2369" t="s">
        <v>22</v>
      </c>
      <c r="M2369" t="s">
        <v>23</v>
      </c>
      <c r="N2369" t="s">
        <v>23</v>
      </c>
      <c r="O2369" t="s">
        <v>24</v>
      </c>
      <c r="P2369" s="8" t="s">
        <v>2890</v>
      </c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</row>
    <row r="2370" spans="1:51" hidden="1" x14ac:dyDescent="0.2">
      <c r="A2370" s="6"/>
      <c r="E2370" s="2"/>
      <c r="F2370" s="3"/>
      <c r="G2370" s="3"/>
      <c r="P2370" s="8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</row>
    <row r="2371" spans="1:51" x14ac:dyDescent="0.2">
      <c r="A2371" s="6" t="s">
        <v>17</v>
      </c>
      <c r="B2371" t="s">
        <v>191</v>
      </c>
      <c r="C2371" t="s">
        <v>192</v>
      </c>
      <c r="D2371" t="s">
        <v>2891</v>
      </c>
      <c r="E2371" s="2">
        <v>1000</v>
      </c>
      <c r="F2371" s="3">
        <f>DATE(2024,10,15)</f>
        <v>45580</v>
      </c>
      <c r="G2371" s="3">
        <f>DATE(2024,10,15)</f>
        <v>45580</v>
      </c>
      <c r="H2371">
        <v>1298651224</v>
      </c>
      <c r="I2371" t="s">
        <v>20</v>
      </c>
      <c r="K2371" t="s">
        <v>21</v>
      </c>
      <c r="L2371" t="s">
        <v>22</v>
      </c>
      <c r="M2371" t="s">
        <v>23</v>
      </c>
      <c r="N2371" t="s">
        <v>24</v>
      </c>
      <c r="O2371" t="s">
        <v>24</v>
      </c>
      <c r="P2371" s="8" t="s">
        <v>2892</v>
      </c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</row>
    <row r="2372" spans="1:51" x14ac:dyDescent="0.2">
      <c r="A2372" s="6" t="s">
        <v>17</v>
      </c>
      <c r="B2372" t="s">
        <v>1060</v>
      </c>
      <c r="C2372" t="s">
        <v>1061</v>
      </c>
      <c r="D2372" t="s">
        <v>2893</v>
      </c>
      <c r="E2372" s="2">
        <v>132.54</v>
      </c>
      <c r="F2372" s="3">
        <f>DATE(2024,10,14)</f>
        <v>45579</v>
      </c>
      <c r="G2372" s="3">
        <f>DATE(2024,10,14)</f>
        <v>45579</v>
      </c>
      <c r="H2372">
        <v>1298651225</v>
      </c>
      <c r="I2372" t="s">
        <v>20</v>
      </c>
      <c r="K2372" t="s">
        <v>21</v>
      </c>
      <c r="L2372" t="s">
        <v>22</v>
      </c>
      <c r="M2372" t="s">
        <v>23</v>
      </c>
      <c r="N2372" t="s">
        <v>23</v>
      </c>
      <c r="O2372" t="s">
        <v>24</v>
      </c>
      <c r="P2372" s="8" t="s">
        <v>2894</v>
      </c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</row>
    <row r="2373" spans="1:51" x14ac:dyDescent="0.2">
      <c r="A2373" s="6" t="s">
        <v>17</v>
      </c>
      <c r="B2373" t="s">
        <v>34</v>
      </c>
      <c r="C2373" t="s">
        <v>35</v>
      </c>
      <c r="D2373" t="s">
        <v>2602</v>
      </c>
      <c r="E2373" s="2">
        <v>40</v>
      </c>
      <c r="F2373" s="3">
        <f>DATE(2024,10,13)</f>
        <v>45578</v>
      </c>
      <c r="G2373" s="3">
        <f>DATE(2024,10,13)</f>
        <v>45578</v>
      </c>
      <c r="H2373">
        <v>1298651226</v>
      </c>
      <c r="I2373" t="s">
        <v>51</v>
      </c>
      <c r="K2373" t="s">
        <v>21</v>
      </c>
      <c r="L2373" t="s">
        <v>22</v>
      </c>
      <c r="M2373" t="s">
        <v>23</v>
      </c>
      <c r="N2373" t="s">
        <v>23</v>
      </c>
      <c r="O2373" t="s">
        <v>24</v>
      </c>
      <c r="P2373" s="8" t="s">
        <v>2895</v>
      </c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</row>
    <row r="2374" spans="1:51" x14ac:dyDescent="0.2">
      <c r="A2374" s="6" t="s">
        <v>17</v>
      </c>
      <c r="B2374" t="s">
        <v>44</v>
      </c>
      <c r="C2374" t="s">
        <v>45</v>
      </c>
      <c r="D2374" t="s">
        <v>831</v>
      </c>
      <c r="E2374" s="2">
        <v>17.149999999999999</v>
      </c>
      <c r="F2374" s="3">
        <f>DATE(2024,10,11)</f>
        <v>45576</v>
      </c>
      <c r="G2374" s="3">
        <f>DATE(2024,10,11)</f>
        <v>45576</v>
      </c>
      <c r="H2374">
        <v>1298651227</v>
      </c>
      <c r="I2374" t="s">
        <v>51</v>
      </c>
      <c r="K2374" t="s">
        <v>21</v>
      </c>
      <c r="L2374" t="s">
        <v>22</v>
      </c>
      <c r="M2374" t="s">
        <v>23</v>
      </c>
      <c r="N2374" t="s">
        <v>23</v>
      </c>
      <c r="O2374" t="s">
        <v>24</v>
      </c>
      <c r="P2374" s="8" t="s">
        <v>2896</v>
      </c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</row>
    <row r="2375" spans="1:51" x14ac:dyDescent="0.2">
      <c r="A2375" s="6" t="s">
        <v>17</v>
      </c>
      <c r="B2375" t="s">
        <v>100</v>
      </c>
      <c r="C2375" t="s">
        <v>101</v>
      </c>
      <c r="D2375" t="s">
        <v>1658</v>
      </c>
      <c r="E2375" s="2">
        <v>63.8</v>
      </c>
      <c r="F2375" s="3">
        <f>DATE(2024,10,12)</f>
        <v>45577</v>
      </c>
      <c r="G2375" s="3">
        <f>DATE(2024,10,12)</f>
        <v>45577</v>
      </c>
      <c r="H2375">
        <v>1298651228</v>
      </c>
      <c r="I2375" t="s">
        <v>51</v>
      </c>
      <c r="K2375" t="s">
        <v>21</v>
      </c>
      <c r="L2375" t="s">
        <v>22</v>
      </c>
      <c r="M2375" t="s">
        <v>23</v>
      </c>
      <c r="N2375" t="s">
        <v>23</v>
      </c>
      <c r="O2375" t="s">
        <v>24</v>
      </c>
      <c r="P2375" s="8" t="s">
        <v>2897</v>
      </c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</row>
    <row r="2376" spans="1:51" hidden="1" x14ac:dyDescent="0.2">
      <c r="A2376" s="6"/>
      <c r="E2376" s="2"/>
      <c r="F2376" s="3"/>
      <c r="G2376" s="3"/>
      <c r="P2376" s="8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</row>
    <row r="2377" spans="1:51" hidden="1" x14ac:dyDescent="0.2">
      <c r="A2377" s="6"/>
      <c r="E2377" s="2"/>
      <c r="F2377" s="3"/>
      <c r="G2377" s="3"/>
      <c r="P2377" s="8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</row>
    <row r="2378" spans="1:51" hidden="1" x14ac:dyDescent="0.2">
      <c r="A2378" s="6"/>
      <c r="E2378" s="2"/>
      <c r="F2378" s="3"/>
      <c r="G2378" s="3"/>
      <c r="P2378" s="8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</row>
    <row r="2379" spans="1:51" hidden="1" x14ac:dyDescent="0.2">
      <c r="A2379" s="6"/>
      <c r="E2379" s="2"/>
      <c r="F2379" s="3"/>
      <c r="G2379" s="3"/>
      <c r="P2379" s="8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</row>
    <row r="2380" spans="1:51" x14ac:dyDescent="0.2">
      <c r="A2380" s="6" t="s">
        <v>17</v>
      </c>
      <c r="B2380" t="s">
        <v>57</v>
      </c>
      <c r="C2380" t="s">
        <v>58</v>
      </c>
      <c r="D2380" t="s">
        <v>2898</v>
      </c>
      <c r="E2380" s="2">
        <v>143.91999999999999</v>
      </c>
      <c r="F2380" s="3">
        <f t="shared" ref="F2379:G2385" si="187">DATE(2024,10,15)</f>
        <v>45580</v>
      </c>
      <c r="G2380" s="3">
        <f t="shared" si="187"/>
        <v>45580</v>
      </c>
      <c r="H2380">
        <v>1305039307</v>
      </c>
      <c r="I2380" t="s">
        <v>20</v>
      </c>
      <c r="K2380" t="s">
        <v>21</v>
      </c>
      <c r="L2380" t="s">
        <v>22</v>
      </c>
      <c r="M2380" t="s">
        <v>23</v>
      </c>
      <c r="N2380" t="s">
        <v>23</v>
      </c>
      <c r="O2380" t="s">
        <v>24</v>
      </c>
      <c r="P2380" s="8" t="s">
        <v>2899</v>
      </c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</row>
    <row r="2381" spans="1:51" x14ac:dyDescent="0.2">
      <c r="A2381" s="6" t="s">
        <v>17</v>
      </c>
      <c r="B2381" t="s">
        <v>18</v>
      </c>
      <c r="C2381" t="s">
        <v>18</v>
      </c>
      <c r="D2381" t="s">
        <v>2900</v>
      </c>
      <c r="E2381" s="2">
        <v>0.99</v>
      </c>
      <c r="F2381" s="3">
        <f t="shared" si="187"/>
        <v>45580</v>
      </c>
      <c r="G2381" s="3">
        <f t="shared" si="187"/>
        <v>45580</v>
      </c>
      <c r="H2381">
        <v>1305039308</v>
      </c>
      <c r="I2381" t="s">
        <v>20</v>
      </c>
      <c r="K2381" t="s">
        <v>21</v>
      </c>
      <c r="L2381" t="s">
        <v>22</v>
      </c>
      <c r="M2381" t="s">
        <v>23</v>
      </c>
      <c r="N2381" t="s">
        <v>23</v>
      </c>
      <c r="O2381" t="s">
        <v>24</v>
      </c>
      <c r="P2381" s="8" t="s">
        <v>2901</v>
      </c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</row>
    <row r="2382" spans="1:51" x14ac:dyDescent="0.2">
      <c r="A2382" s="6" t="s">
        <v>17</v>
      </c>
      <c r="B2382" t="s">
        <v>61</v>
      </c>
      <c r="C2382" t="s">
        <v>62</v>
      </c>
      <c r="D2382" t="s">
        <v>2902</v>
      </c>
      <c r="E2382" s="2">
        <v>398.4</v>
      </c>
      <c r="F2382" s="3">
        <f t="shared" si="187"/>
        <v>45580</v>
      </c>
      <c r="G2382" s="3">
        <f t="shared" si="187"/>
        <v>45580</v>
      </c>
      <c r="H2382">
        <v>1305039309</v>
      </c>
      <c r="I2382" t="s">
        <v>20</v>
      </c>
      <c r="K2382" t="s">
        <v>21</v>
      </c>
      <c r="L2382" t="s">
        <v>22</v>
      </c>
      <c r="M2382" t="s">
        <v>23</v>
      </c>
      <c r="N2382" t="s">
        <v>23</v>
      </c>
      <c r="O2382" t="s">
        <v>24</v>
      </c>
      <c r="P2382" s="8" t="s">
        <v>2903</v>
      </c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</row>
    <row r="2383" spans="1:51" hidden="1" x14ac:dyDescent="0.2">
      <c r="A2383" s="6"/>
      <c r="E2383" s="2"/>
      <c r="F2383" s="3"/>
      <c r="G2383" s="3"/>
      <c r="P2383" s="8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</row>
    <row r="2384" spans="1:51" hidden="1" x14ac:dyDescent="0.2">
      <c r="A2384" s="6"/>
      <c r="E2384" s="2"/>
      <c r="F2384" s="3"/>
      <c r="G2384" s="3"/>
      <c r="P2384" s="8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</row>
    <row r="2385" spans="1:51" hidden="1" x14ac:dyDescent="0.2">
      <c r="A2385" s="6"/>
      <c r="E2385" s="2"/>
      <c r="F2385" s="3"/>
      <c r="G2385" s="3"/>
      <c r="P2385" s="8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</row>
    <row r="2386" spans="1:51" x14ac:dyDescent="0.2">
      <c r="A2386" s="6" t="s">
        <v>17</v>
      </c>
      <c r="B2386" t="s">
        <v>887</v>
      </c>
      <c r="C2386" t="s">
        <v>888</v>
      </c>
      <c r="D2386" t="s">
        <v>2904</v>
      </c>
      <c r="E2386" s="2">
        <v>51.5</v>
      </c>
      <c r="F2386" s="3">
        <f>DATE(2024,10,14)</f>
        <v>45579</v>
      </c>
      <c r="G2386" s="3">
        <f>DATE(2024,10,14)</f>
        <v>45579</v>
      </c>
      <c r="H2386">
        <v>1305039313</v>
      </c>
      <c r="I2386" t="s">
        <v>51</v>
      </c>
      <c r="K2386" t="s">
        <v>21</v>
      </c>
      <c r="L2386" t="s">
        <v>22</v>
      </c>
      <c r="M2386" t="s">
        <v>23</v>
      </c>
      <c r="N2386" t="s">
        <v>23</v>
      </c>
      <c r="O2386" t="s">
        <v>24</v>
      </c>
      <c r="P2386" s="8" t="s">
        <v>2905</v>
      </c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</row>
    <row r="2387" spans="1:51" x14ac:dyDescent="0.2">
      <c r="A2387" s="6" t="s">
        <v>17</v>
      </c>
      <c r="B2387" t="s">
        <v>104</v>
      </c>
      <c r="C2387" t="s">
        <v>105</v>
      </c>
      <c r="D2387" t="s">
        <v>835</v>
      </c>
      <c r="E2387" s="2">
        <v>55.08</v>
      </c>
      <c r="F2387" s="3">
        <f>DATE(2024,10,14)</f>
        <v>45579</v>
      </c>
      <c r="G2387" s="3">
        <f>DATE(2024,10,14)</f>
        <v>45579</v>
      </c>
      <c r="H2387">
        <v>1305039314</v>
      </c>
      <c r="I2387" t="s">
        <v>51</v>
      </c>
      <c r="K2387" t="s">
        <v>21</v>
      </c>
      <c r="L2387" t="s">
        <v>22</v>
      </c>
      <c r="M2387" t="s">
        <v>23</v>
      </c>
      <c r="N2387" t="s">
        <v>23</v>
      </c>
      <c r="O2387" t="s">
        <v>24</v>
      </c>
      <c r="P2387" s="8" t="s">
        <v>2906</v>
      </c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</row>
    <row r="2388" spans="1:51" x14ac:dyDescent="0.2">
      <c r="A2388" s="6" t="s">
        <v>17</v>
      </c>
      <c r="B2388" t="s">
        <v>44</v>
      </c>
      <c r="C2388" t="s">
        <v>45</v>
      </c>
      <c r="D2388" t="s">
        <v>831</v>
      </c>
      <c r="E2388" s="2">
        <v>60.96</v>
      </c>
      <c r="F2388" s="3">
        <f>DATE(2024,10,13)</f>
        <v>45578</v>
      </c>
      <c r="G2388" s="3">
        <f>DATE(2024,10,13)</f>
        <v>45578</v>
      </c>
      <c r="H2388">
        <v>1305039315</v>
      </c>
      <c r="I2388" t="s">
        <v>51</v>
      </c>
      <c r="K2388" t="s">
        <v>21</v>
      </c>
      <c r="L2388" t="s">
        <v>22</v>
      </c>
      <c r="M2388" t="s">
        <v>23</v>
      </c>
      <c r="N2388" t="s">
        <v>23</v>
      </c>
      <c r="O2388" t="s">
        <v>24</v>
      </c>
      <c r="P2388" s="8" t="s">
        <v>2907</v>
      </c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</row>
    <row r="2389" spans="1:51" x14ac:dyDescent="0.2">
      <c r="A2389" s="6" t="s">
        <v>17</v>
      </c>
      <c r="B2389" t="s">
        <v>44</v>
      </c>
      <c r="C2389" t="s">
        <v>45</v>
      </c>
      <c r="D2389" t="s">
        <v>2908</v>
      </c>
      <c r="E2389" s="2">
        <v>169.24</v>
      </c>
      <c r="F2389" s="3">
        <f>DATE(2024,10,14)</f>
        <v>45579</v>
      </c>
      <c r="G2389" s="3">
        <f>DATE(2024,10,14)</f>
        <v>45579</v>
      </c>
      <c r="H2389">
        <v>1305039316</v>
      </c>
      <c r="I2389" t="s">
        <v>51</v>
      </c>
      <c r="K2389" t="s">
        <v>21</v>
      </c>
      <c r="L2389" t="s">
        <v>22</v>
      </c>
      <c r="M2389" t="s">
        <v>23</v>
      </c>
      <c r="N2389" t="s">
        <v>23</v>
      </c>
      <c r="O2389" t="s">
        <v>24</v>
      </c>
      <c r="P2389" s="8" t="s">
        <v>2909</v>
      </c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</row>
    <row r="2390" spans="1:51" x14ac:dyDescent="0.2">
      <c r="A2390" s="6" t="s">
        <v>17</v>
      </c>
      <c r="B2390" t="s">
        <v>179</v>
      </c>
      <c r="C2390" t="s">
        <v>180</v>
      </c>
      <c r="D2390" t="s">
        <v>2910</v>
      </c>
      <c r="E2390" s="2">
        <v>58.43</v>
      </c>
      <c r="F2390" s="3">
        <f>DATE(2024,10,15)</f>
        <v>45580</v>
      </c>
      <c r="G2390" s="3">
        <f>DATE(2024,10,15)</f>
        <v>45580</v>
      </c>
      <c r="H2390">
        <v>1305147056</v>
      </c>
      <c r="I2390" t="s">
        <v>73</v>
      </c>
      <c r="K2390" t="s">
        <v>21</v>
      </c>
      <c r="L2390" t="s">
        <v>22</v>
      </c>
      <c r="M2390" t="s">
        <v>23</v>
      </c>
      <c r="N2390" t="s">
        <v>23</v>
      </c>
      <c r="O2390" t="s">
        <v>24</v>
      </c>
      <c r="P2390" s="8" t="s">
        <v>2911</v>
      </c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</row>
    <row r="2391" spans="1:51" hidden="1" x14ac:dyDescent="0.2">
      <c r="A2391" s="6"/>
      <c r="E2391" s="2"/>
      <c r="F2391" s="3"/>
      <c r="G2391" s="3"/>
      <c r="P2391" s="8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</row>
    <row r="2392" spans="1:51" hidden="1" x14ac:dyDescent="0.2">
      <c r="A2392" s="6"/>
      <c r="E2392" s="2"/>
      <c r="F2392" s="3"/>
      <c r="G2392" s="3"/>
      <c r="P2392" s="8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</row>
    <row r="2393" spans="1:51" x14ac:dyDescent="0.2">
      <c r="A2393" s="6" t="s">
        <v>17</v>
      </c>
      <c r="B2393" t="s">
        <v>34</v>
      </c>
      <c r="C2393" t="s">
        <v>35</v>
      </c>
      <c r="D2393" t="s">
        <v>2912</v>
      </c>
      <c r="E2393" s="2">
        <v>220.4</v>
      </c>
      <c r="F2393" s="3">
        <f t="shared" ref="F2392:G2394" si="188">DATE(2024,10,16)</f>
        <v>45581</v>
      </c>
      <c r="G2393" s="3">
        <f t="shared" si="188"/>
        <v>45581</v>
      </c>
      <c r="H2393">
        <v>1310135873</v>
      </c>
      <c r="I2393" t="s">
        <v>20</v>
      </c>
      <c r="K2393" t="s">
        <v>21</v>
      </c>
      <c r="L2393" t="s">
        <v>22</v>
      </c>
      <c r="M2393" t="s">
        <v>23</v>
      </c>
      <c r="N2393" t="s">
        <v>23</v>
      </c>
      <c r="O2393" t="s">
        <v>24</v>
      </c>
      <c r="P2393" s="8" t="s">
        <v>2913</v>
      </c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</row>
    <row r="2394" spans="1:51" x14ac:dyDescent="0.2">
      <c r="A2394" s="6" t="s">
        <v>17</v>
      </c>
      <c r="B2394" t="s">
        <v>61</v>
      </c>
      <c r="C2394" t="s">
        <v>62</v>
      </c>
      <c r="D2394" t="s">
        <v>2914</v>
      </c>
      <c r="E2394" s="2">
        <v>180</v>
      </c>
      <c r="F2394" s="3">
        <f t="shared" si="188"/>
        <v>45581</v>
      </c>
      <c r="G2394" s="3">
        <f t="shared" si="188"/>
        <v>45581</v>
      </c>
      <c r="H2394">
        <v>1310135874</v>
      </c>
      <c r="I2394" t="s">
        <v>20</v>
      </c>
      <c r="K2394" t="s">
        <v>21</v>
      </c>
      <c r="L2394" t="s">
        <v>22</v>
      </c>
      <c r="M2394" t="s">
        <v>23</v>
      </c>
      <c r="N2394" t="s">
        <v>23</v>
      </c>
      <c r="O2394" t="s">
        <v>24</v>
      </c>
      <c r="P2394" s="8" t="s">
        <v>2915</v>
      </c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</row>
    <row r="2395" spans="1:51" hidden="1" x14ac:dyDescent="0.2">
      <c r="A2395" s="6"/>
      <c r="E2395" s="2"/>
      <c r="F2395" s="3"/>
      <c r="G2395" s="3"/>
      <c r="P2395" s="8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</row>
    <row r="2396" spans="1:51" x14ac:dyDescent="0.2">
      <c r="A2396" s="6" t="s">
        <v>17</v>
      </c>
      <c r="B2396" t="s">
        <v>179</v>
      </c>
      <c r="C2396" t="s">
        <v>180</v>
      </c>
      <c r="D2396" t="s">
        <v>2916</v>
      </c>
      <c r="E2396" s="2">
        <v>3568.02</v>
      </c>
      <c r="F2396" s="3">
        <f t="shared" ref="F2396:G2398" si="189">DATE(2024,10,16)</f>
        <v>45581</v>
      </c>
      <c r="G2396" s="3">
        <f t="shared" si="189"/>
        <v>45581</v>
      </c>
      <c r="H2396">
        <v>1310135876</v>
      </c>
      <c r="I2396" t="s">
        <v>20</v>
      </c>
      <c r="K2396" t="s">
        <v>21</v>
      </c>
      <c r="L2396" t="s">
        <v>22</v>
      </c>
      <c r="M2396" t="s">
        <v>23</v>
      </c>
      <c r="N2396" t="s">
        <v>23</v>
      </c>
      <c r="O2396" t="s">
        <v>24</v>
      </c>
      <c r="P2396" s="8" t="s">
        <v>2917</v>
      </c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</row>
    <row r="2397" spans="1:51" x14ac:dyDescent="0.2">
      <c r="A2397" s="6" t="s">
        <v>17</v>
      </c>
      <c r="B2397" t="s">
        <v>61</v>
      </c>
      <c r="C2397" t="s">
        <v>62</v>
      </c>
      <c r="D2397" t="s">
        <v>2918</v>
      </c>
      <c r="E2397" s="2">
        <v>150</v>
      </c>
      <c r="F2397" s="3">
        <f t="shared" si="189"/>
        <v>45581</v>
      </c>
      <c r="G2397" s="3">
        <f t="shared" si="189"/>
        <v>45581</v>
      </c>
      <c r="H2397">
        <v>1310135877</v>
      </c>
      <c r="I2397" t="s">
        <v>20</v>
      </c>
      <c r="K2397" t="s">
        <v>21</v>
      </c>
      <c r="L2397" t="s">
        <v>22</v>
      </c>
      <c r="M2397" t="s">
        <v>23</v>
      </c>
      <c r="N2397" t="s">
        <v>23</v>
      </c>
      <c r="O2397" t="s">
        <v>24</v>
      </c>
      <c r="P2397" s="8" t="s">
        <v>2919</v>
      </c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</row>
    <row r="2398" spans="1:51" hidden="1" x14ac:dyDescent="0.2">
      <c r="A2398" s="6"/>
      <c r="E2398" s="2"/>
      <c r="F2398" s="3"/>
      <c r="G2398" s="3"/>
      <c r="P2398" s="8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</row>
    <row r="2399" spans="1:51" hidden="1" x14ac:dyDescent="0.2">
      <c r="A2399" s="6"/>
      <c r="E2399" s="2"/>
      <c r="F2399" s="3"/>
      <c r="G2399" s="3"/>
      <c r="P2399" s="8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</row>
    <row r="2400" spans="1:51" x14ac:dyDescent="0.2">
      <c r="A2400" s="6" t="s">
        <v>17</v>
      </c>
      <c r="B2400" t="s">
        <v>674</v>
      </c>
      <c r="C2400" t="s">
        <v>675</v>
      </c>
      <c r="D2400" t="s">
        <v>2920</v>
      </c>
      <c r="E2400" s="2">
        <v>548.54</v>
      </c>
      <c r="F2400" s="3">
        <f t="shared" ref="F2400:G2406" si="190">DATE(2024,10,16)</f>
        <v>45581</v>
      </c>
      <c r="G2400" s="3">
        <f t="shared" si="190"/>
        <v>45581</v>
      </c>
      <c r="H2400">
        <v>1310135880</v>
      </c>
      <c r="I2400" t="s">
        <v>20</v>
      </c>
      <c r="K2400" t="s">
        <v>21</v>
      </c>
      <c r="L2400" t="s">
        <v>22</v>
      </c>
      <c r="M2400" t="s">
        <v>23</v>
      </c>
      <c r="N2400" t="s">
        <v>23</v>
      </c>
      <c r="O2400" t="s">
        <v>24</v>
      </c>
      <c r="P2400" s="8" t="s">
        <v>2921</v>
      </c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</row>
    <row r="2401" spans="1:51" x14ac:dyDescent="0.2">
      <c r="A2401" s="6" t="s">
        <v>17</v>
      </c>
      <c r="B2401" t="s">
        <v>312</v>
      </c>
      <c r="C2401" t="s">
        <v>313</v>
      </c>
      <c r="D2401" t="s">
        <v>2922</v>
      </c>
      <c r="E2401" s="2">
        <v>328.95</v>
      </c>
      <c r="F2401" s="3">
        <f t="shared" si="190"/>
        <v>45581</v>
      </c>
      <c r="G2401" s="3">
        <f t="shared" si="190"/>
        <v>45581</v>
      </c>
      <c r="H2401">
        <v>1310135881</v>
      </c>
      <c r="I2401" t="s">
        <v>20</v>
      </c>
      <c r="K2401" t="s">
        <v>21</v>
      </c>
      <c r="L2401" t="s">
        <v>22</v>
      </c>
      <c r="M2401" t="s">
        <v>23</v>
      </c>
      <c r="N2401" t="s">
        <v>23</v>
      </c>
      <c r="O2401" t="s">
        <v>24</v>
      </c>
      <c r="P2401" s="8" t="s">
        <v>2923</v>
      </c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</row>
    <row r="2402" spans="1:51" x14ac:dyDescent="0.2">
      <c r="A2402" s="6" t="s">
        <v>17</v>
      </c>
      <c r="B2402" t="s">
        <v>183</v>
      </c>
      <c r="C2402" t="s">
        <v>184</v>
      </c>
      <c r="D2402" t="s">
        <v>2924</v>
      </c>
      <c r="E2402" s="2">
        <v>12385</v>
      </c>
      <c r="F2402" s="3">
        <f t="shared" si="190"/>
        <v>45581</v>
      </c>
      <c r="G2402" s="3">
        <f t="shared" si="190"/>
        <v>45581</v>
      </c>
      <c r="H2402">
        <v>1310135882</v>
      </c>
      <c r="I2402" t="s">
        <v>20</v>
      </c>
      <c r="K2402" t="s">
        <v>21</v>
      </c>
      <c r="L2402" t="s">
        <v>22</v>
      </c>
      <c r="M2402" t="s">
        <v>23</v>
      </c>
      <c r="N2402" t="s">
        <v>23</v>
      </c>
      <c r="O2402" t="s">
        <v>24</v>
      </c>
      <c r="P2402" s="8" t="s">
        <v>2925</v>
      </c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</row>
    <row r="2403" spans="1:51" x14ac:dyDescent="0.2">
      <c r="A2403" s="6" t="s">
        <v>17</v>
      </c>
      <c r="B2403" t="s">
        <v>65</v>
      </c>
      <c r="C2403" t="s">
        <v>66</v>
      </c>
      <c r="D2403" t="s">
        <v>2926</v>
      </c>
      <c r="E2403" s="2">
        <v>972.4</v>
      </c>
      <c r="F2403" s="3">
        <f t="shared" si="190"/>
        <v>45581</v>
      </c>
      <c r="G2403" s="3">
        <f t="shared" si="190"/>
        <v>45581</v>
      </c>
      <c r="H2403">
        <v>1310135883</v>
      </c>
      <c r="I2403" t="s">
        <v>20</v>
      </c>
      <c r="K2403" t="s">
        <v>21</v>
      </c>
      <c r="L2403" t="s">
        <v>22</v>
      </c>
      <c r="M2403" t="s">
        <v>23</v>
      </c>
      <c r="N2403" t="s">
        <v>23</v>
      </c>
      <c r="O2403" t="s">
        <v>24</v>
      </c>
      <c r="P2403" s="8" t="s">
        <v>2927</v>
      </c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</row>
    <row r="2404" spans="1:51" x14ac:dyDescent="0.2">
      <c r="A2404" s="6" t="s">
        <v>17</v>
      </c>
      <c r="B2404" t="s">
        <v>175</v>
      </c>
      <c r="C2404" t="s">
        <v>176</v>
      </c>
      <c r="D2404" t="s">
        <v>2928</v>
      </c>
      <c r="E2404" s="2">
        <v>597.6</v>
      </c>
      <c r="F2404" s="3">
        <f t="shared" si="190"/>
        <v>45581</v>
      </c>
      <c r="G2404" s="3">
        <f t="shared" si="190"/>
        <v>45581</v>
      </c>
      <c r="H2404">
        <v>1310135884</v>
      </c>
      <c r="I2404" t="s">
        <v>20</v>
      </c>
      <c r="K2404" t="s">
        <v>21</v>
      </c>
      <c r="L2404" t="s">
        <v>22</v>
      </c>
      <c r="M2404" t="s">
        <v>23</v>
      </c>
      <c r="N2404" t="s">
        <v>24</v>
      </c>
      <c r="O2404" t="s">
        <v>24</v>
      </c>
      <c r="P2404" s="8" t="s">
        <v>2929</v>
      </c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</row>
    <row r="2405" spans="1:51" x14ac:dyDescent="0.2">
      <c r="A2405" s="6" t="s">
        <v>17</v>
      </c>
      <c r="B2405" t="s">
        <v>1046</v>
      </c>
      <c r="C2405" t="s">
        <v>1047</v>
      </c>
      <c r="D2405" t="s">
        <v>2930</v>
      </c>
      <c r="E2405" s="2">
        <v>1014.48</v>
      </c>
      <c r="F2405" s="3">
        <f t="shared" si="190"/>
        <v>45581</v>
      </c>
      <c r="G2405" s="3">
        <f t="shared" si="190"/>
        <v>45581</v>
      </c>
      <c r="H2405">
        <v>1310135885</v>
      </c>
      <c r="I2405" t="s">
        <v>20</v>
      </c>
      <c r="K2405" t="s">
        <v>21</v>
      </c>
      <c r="L2405" t="s">
        <v>22</v>
      </c>
      <c r="M2405" t="s">
        <v>23</v>
      </c>
      <c r="N2405" t="s">
        <v>23</v>
      </c>
      <c r="O2405" t="s">
        <v>24</v>
      </c>
      <c r="P2405" s="8" t="s">
        <v>2931</v>
      </c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</row>
    <row r="2406" spans="1:51" x14ac:dyDescent="0.2">
      <c r="A2406" s="6" t="s">
        <v>17</v>
      </c>
      <c r="B2406" t="s">
        <v>110</v>
      </c>
      <c r="C2406" t="s">
        <v>111</v>
      </c>
      <c r="D2406" t="s">
        <v>2932</v>
      </c>
      <c r="E2406" s="2">
        <v>80.900000000000006</v>
      </c>
      <c r="F2406" s="3">
        <f t="shared" si="190"/>
        <v>45581</v>
      </c>
      <c r="G2406" s="3">
        <f t="shared" si="190"/>
        <v>45581</v>
      </c>
      <c r="H2406">
        <v>1310135886</v>
      </c>
      <c r="I2406" t="s">
        <v>20</v>
      </c>
      <c r="K2406" t="s">
        <v>21</v>
      </c>
      <c r="L2406" t="s">
        <v>22</v>
      </c>
      <c r="M2406" t="s">
        <v>23</v>
      </c>
      <c r="N2406" t="s">
        <v>23</v>
      </c>
      <c r="O2406" t="s">
        <v>24</v>
      </c>
      <c r="P2406" s="8" t="s">
        <v>2933</v>
      </c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</row>
    <row r="2407" spans="1:51" x14ac:dyDescent="0.2">
      <c r="A2407" s="6" t="s">
        <v>17</v>
      </c>
      <c r="B2407" t="s">
        <v>44</v>
      </c>
      <c r="C2407" t="s">
        <v>45</v>
      </c>
      <c r="D2407" t="s">
        <v>831</v>
      </c>
      <c r="E2407" s="2">
        <v>41.66</v>
      </c>
      <c r="F2407" s="3">
        <f t="shared" ref="F2407:G2410" si="191">DATE(2024,10,15)</f>
        <v>45580</v>
      </c>
      <c r="G2407" s="3">
        <f t="shared" si="191"/>
        <v>45580</v>
      </c>
      <c r="H2407">
        <v>1310135887</v>
      </c>
      <c r="I2407" t="s">
        <v>51</v>
      </c>
      <c r="K2407" t="s">
        <v>21</v>
      </c>
      <c r="L2407" t="s">
        <v>22</v>
      </c>
      <c r="M2407" t="s">
        <v>23</v>
      </c>
      <c r="N2407" t="s">
        <v>23</v>
      </c>
      <c r="O2407" t="s">
        <v>24</v>
      </c>
      <c r="P2407" s="8" t="s">
        <v>2934</v>
      </c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</row>
    <row r="2408" spans="1:51" x14ac:dyDescent="0.2">
      <c r="A2408" s="6" t="s">
        <v>17</v>
      </c>
      <c r="B2408" t="s">
        <v>44</v>
      </c>
      <c r="C2408" t="s">
        <v>45</v>
      </c>
      <c r="D2408" t="s">
        <v>2935</v>
      </c>
      <c r="E2408" s="2">
        <v>6.99</v>
      </c>
      <c r="F2408" s="3">
        <f t="shared" si="191"/>
        <v>45580</v>
      </c>
      <c r="G2408" s="3">
        <f t="shared" si="191"/>
        <v>45580</v>
      </c>
      <c r="H2408">
        <v>1310135888</v>
      </c>
      <c r="I2408" t="s">
        <v>51</v>
      </c>
      <c r="K2408" t="s">
        <v>21</v>
      </c>
      <c r="L2408" t="s">
        <v>22</v>
      </c>
      <c r="M2408" t="s">
        <v>23</v>
      </c>
      <c r="N2408" t="s">
        <v>23</v>
      </c>
      <c r="O2408" t="s">
        <v>24</v>
      </c>
      <c r="P2408" s="8" t="s">
        <v>2936</v>
      </c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</row>
    <row r="2409" spans="1:51" x14ac:dyDescent="0.2">
      <c r="A2409" s="6" t="s">
        <v>17</v>
      </c>
      <c r="B2409" t="s">
        <v>100</v>
      </c>
      <c r="C2409" t="s">
        <v>101</v>
      </c>
      <c r="D2409" t="s">
        <v>1658</v>
      </c>
      <c r="E2409" s="2">
        <v>100.46</v>
      </c>
      <c r="F2409" s="3">
        <f t="shared" si="191"/>
        <v>45580</v>
      </c>
      <c r="G2409" s="3">
        <f t="shared" si="191"/>
        <v>45580</v>
      </c>
      <c r="H2409">
        <v>1310135889</v>
      </c>
      <c r="I2409" t="s">
        <v>51</v>
      </c>
      <c r="K2409" t="s">
        <v>21</v>
      </c>
      <c r="L2409" t="s">
        <v>22</v>
      </c>
      <c r="M2409" t="s">
        <v>23</v>
      </c>
      <c r="N2409" t="s">
        <v>23</v>
      </c>
      <c r="O2409" t="s">
        <v>24</v>
      </c>
      <c r="P2409" s="8" t="s">
        <v>2937</v>
      </c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</row>
    <row r="2410" spans="1:51" x14ac:dyDescent="0.2">
      <c r="A2410" s="6" t="s">
        <v>17</v>
      </c>
      <c r="B2410" t="s">
        <v>44</v>
      </c>
      <c r="C2410" t="s">
        <v>45</v>
      </c>
      <c r="D2410" t="s">
        <v>831</v>
      </c>
      <c r="E2410" s="2">
        <v>46.49</v>
      </c>
      <c r="F2410" s="3">
        <f t="shared" si="191"/>
        <v>45580</v>
      </c>
      <c r="G2410" s="3">
        <f t="shared" si="191"/>
        <v>45580</v>
      </c>
      <c r="H2410">
        <v>1310135890</v>
      </c>
      <c r="I2410" t="s">
        <v>51</v>
      </c>
      <c r="K2410" t="s">
        <v>21</v>
      </c>
      <c r="L2410" t="s">
        <v>22</v>
      </c>
      <c r="M2410" t="s">
        <v>23</v>
      </c>
      <c r="N2410" t="s">
        <v>23</v>
      </c>
      <c r="O2410" t="s">
        <v>24</v>
      </c>
      <c r="P2410" s="8" t="s">
        <v>2938</v>
      </c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</row>
    <row r="2411" spans="1:51" x14ac:dyDescent="0.2">
      <c r="A2411" s="6" t="s">
        <v>17</v>
      </c>
      <c r="B2411" t="s">
        <v>44</v>
      </c>
      <c r="C2411" t="s">
        <v>45</v>
      </c>
      <c r="D2411" t="s">
        <v>831</v>
      </c>
      <c r="E2411" s="2">
        <v>44.58</v>
      </c>
      <c r="F2411" s="3">
        <f>DATE(2024,10,14)</f>
        <v>45579</v>
      </c>
      <c r="G2411" s="3">
        <f>DATE(2024,10,14)</f>
        <v>45579</v>
      </c>
      <c r="H2411">
        <v>1310135891</v>
      </c>
      <c r="I2411" t="s">
        <v>51</v>
      </c>
      <c r="K2411" t="s">
        <v>21</v>
      </c>
      <c r="L2411" t="s">
        <v>22</v>
      </c>
      <c r="M2411" t="s">
        <v>23</v>
      </c>
      <c r="N2411" t="s">
        <v>23</v>
      </c>
      <c r="O2411" t="s">
        <v>24</v>
      </c>
      <c r="P2411" s="8" t="s">
        <v>2939</v>
      </c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</row>
    <row r="2412" spans="1:51" x14ac:dyDescent="0.2">
      <c r="A2412" s="6" t="s">
        <v>17</v>
      </c>
      <c r="B2412" t="s">
        <v>65</v>
      </c>
      <c r="C2412" t="s">
        <v>66</v>
      </c>
      <c r="D2412" t="s">
        <v>2089</v>
      </c>
      <c r="E2412" s="2">
        <v>14</v>
      </c>
      <c r="F2412" s="3">
        <f>DATE(2024,10,15)</f>
        <v>45580</v>
      </c>
      <c r="G2412" s="3">
        <f>DATE(2024,10,15)</f>
        <v>45580</v>
      </c>
      <c r="H2412">
        <v>1310135892</v>
      </c>
      <c r="I2412" t="s">
        <v>51</v>
      </c>
      <c r="K2412" t="s">
        <v>21</v>
      </c>
      <c r="L2412" t="s">
        <v>22</v>
      </c>
      <c r="M2412" t="s">
        <v>23</v>
      </c>
      <c r="N2412" t="s">
        <v>23</v>
      </c>
      <c r="O2412" t="s">
        <v>24</v>
      </c>
      <c r="P2412" s="8" t="s">
        <v>2940</v>
      </c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</row>
    <row r="2413" spans="1:51" x14ac:dyDescent="0.2">
      <c r="A2413" s="6" t="s">
        <v>17</v>
      </c>
      <c r="B2413" t="s">
        <v>44</v>
      </c>
      <c r="C2413" t="s">
        <v>45</v>
      </c>
      <c r="D2413" t="s">
        <v>831</v>
      </c>
      <c r="E2413" s="2">
        <v>37.700000000000003</v>
      </c>
      <c r="F2413" s="3">
        <f>DATE(2024,10,13)</f>
        <v>45578</v>
      </c>
      <c r="G2413" s="3">
        <f>DATE(2024,10,13)</f>
        <v>45578</v>
      </c>
      <c r="H2413">
        <v>1310135893</v>
      </c>
      <c r="I2413" t="s">
        <v>51</v>
      </c>
      <c r="K2413" t="s">
        <v>21</v>
      </c>
      <c r="L2413" t="s">
        <v>22</v>
      </c>
      <c r="M2413" t="s">
        <v>23</v>
      </c>
      <c r="N2413" t="s">
        <v>23</v>
      </c>
      <c r="O2413" t="s">
        <v>24</v>
      </c>
      <c r="P2413" s="8" t="s">
        <v>2941</v>
      </c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</row>
    <row r="2414" spans="1:51" x14ac:dyDescent="0.2">
      <c r="A2414" s="6" t="s">
        <v>17</v>
      </c>
      <c r="B2414" t="s">
        <v>26</v>
      </c>
      <c r="C2414" t="s">
        <v>27</v>
      </c>
      <c r="D2414" t="s">
        <v>71</v>
      </c>
      <c r="E2414" s="2">
        <v>7.5</v>
      </c>
      <c r="F2414" s="3">
        <f>DATE(2024,10,15)</f>
        <v>45580</v>
      </c>
      <c r="G2414" s="3">
        <f>DATE(2024,10,15)</f>
        <v>45580</v>
      </c>
      <c r="H2414">
        <v>1310135894</v>
      </c>
      <c r="I2414" t="s">
        <v>51</v>
      </c>
      <c r="K2414" t="s">
        <v>21</v>
      </c>
      <c r="L2414" t="s">
        <v>22</v>
      </c>
      <c r="M2414" t="s">
        <v>23</v>
      </c>
      <c r="N2414" t="s">
        <v>23</v>
      </c>
      <c r="O2414" t="s">
        <v>24</v>
      </c>
      <c r="P2414" s="8" t="s">
        <v>2942</v>
      </c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</row>
    <row r="2415" spans="1:51" x14ac:dyDescent="0.2">
      <c r="A2415" s="6" t="s">
        <v>17</v>
      </c>
      <c r="B2415" t="s">
        <v>44</v>
      </c>
      <c r="C2415" t="s">
        <v>45</v>
      </c>
      <c r="D2415" t="s">
        <v>831</v>
      </c>
      <c r="E2415" s="2">
        <v>10.4</v>
      </c>
      <c r="F2415" s="3">
        <f>DATE(2024,10,14)</f>
        <v>45579</v>
      </c>
      <c r="G2415" s="3">
        <f>DATE(2024,10,14)</f>
        <v>45579</v>
      </c>
      <c r="H2415">
        <v>1310135895</v>
      </c>
      <c r="I2415" t="s">
        <v>51</v>
      </c>
      <c r="K2415" t="s">
        <v>21</v>
      </c>
      <c r="L2415" t="s">
        <v>22</v>
      </c>
      <c r="M2415" t="s">
        <v>23</v>
      </c>
      <c r="N2415" t="s">
        <v>23</v>
      </c>
      <c r="O2415" t="s">
        <v>24</v>
      </c>
      <c r="P2415" s="8" t="s">
        <v>2943</v>
      </c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</row>
    <row r="2416" spans="1:51" x14ac:dyDescent="0.2">
      <c r="A2416" s="6" t="s">
        <v>17</v>
      </c>
      <c r="B2416" t="s">
        <v>18</v>
      </c>
      <c r="C2416" t="s">
        <v>18</v>
      </c>
      <c r="D2416" t="s">
        <v>189</v>
      </c>
      <c r="E2416" s="2">
        <v>55.24</v>
      </c>
      <c r="F2416" s="3">
        <f>DATE(2024,10,16)</f>
        <v>45581</v>
      </c>
      <c r="G2416" s="3">
        <f>DATE(2024,10,16)</f>
        <v>45581</v>
      </c>
      <c r="H2416">
        <v>1310192846</v>
      </c>
      <c r="I2416" t="s">
        <v>73</v>
      </c>
      <c r="K2416" t="s">
        <v>21</v>
      </c>
      <c r="L2416" t="s">
        <v>22</v>
      </c>
      <c r="M2416" t="s">
        <v>23</v>
      </c>
      <c r="N2416" t="s">
        <v>24</v>
      </c>
      <c r="O2416" t="s">
        <v>24</v>
      </c>
      <c r="P2416" s="8" t="s">
        <v>2944</v>
      </c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</row>
    <row r="2417" spans="1:51" hidden="1" x14ac:dyDescent="0.2">
      <c r="A2417" s="6"/>
      <c r="E2417" s="2"/>
      <c r="F2417" s="3"/>
      <c r="G2417" s="3"/>
      <c r="P2417" s="8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</row>
    <row r="2418" spans="1:51" x14ac:dyDescent="0.2">
      <c r="A2418" s="6" t="s">
        <v>17</v>
      </c>
      <c r="B2418" t="s">
        <v>223</v>
      </c>
      <c r="C2418" t="s">
        <v>223</v>
      </c>
      <c r="D2418" t="s">
        <v>2945</v>
      </c>
      <c r="E2418" s="2">
        <v>1408.64</v>
      </c>
      <c r="F2418" s="3">
        <f t="shared" ref="F2418:G2422" si="192">DATE(2024,10,17)</f>
        <v>45582</v>
      </c>
      <c r="G2418" s="3">
        <f t="shared" si="192"/>
        <v>45582</v>
      </c>
      <c r="H2418">
        <v>1314624730</v>
      </c>
      <c r="I2418" t="s">
        <v>20</v>
      </c>
      <c r="K2418" t="s">
        <v>21</v>
      </c>
      <c r="L2418" t="s">
        <v>22</v>
      </c>
      <c r="M2418" t="s">
        <v>23</v>
      </c>
      <c r="N2418" t="s">
        <v>23</v>
      </c>
      <c r="O2418" t="s">
        <v>24</v>
      </c>
      <c r="P2418" s="8" t="s">
        <v>2946</v>
      </c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</row>
    <row r="2419" spans="1:51" hidden="1" x14ac:dyDescent="0.2">
      <c r="A2419" s="6"/>
      <c r="E2419" s="2"/>
      <c r="F2419" s="3"/>
      <c r="G2419" s="3"/>
      <c r="P2419" s="8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</row>
    <row r="2420" spans="1:51" x14ac:dyDescent="0.2">
      <c r="A2420" s="6" t="s">
        <v>17</v>
      </c>
      <c r="B2420" t="s">
        <v>104</v>
      </c>
      <c r="C2420" t="s">
        <v>105</v>
      </c>
      <c r="D2420" t="s">
        <v>2947</v>
      </c>
      <c r="E2420" s="2">
        <v>239.67</v>
      </c>
      <c r="F2420" s="3">
        <f t="shared" si="192"/>
        <v>45582</v>
      </c>
      <c r="G2420" s="3">
        <f t="shared" si="192"/>
        <v>45582</v>
      </c>
      <c r="H2420">
        <v>1314624732</v>
      </c>
      <c r="I2420" t="s">
        <v>20</v>
      </c>
      <c r="K2420" t="s">
        <v>21</v>
      </c>
      <c r="L2420" t="s">
        <v>22</v>
      </c>
      <c r="M2420" t="s">
        <v>23</v>
      </c>
      <c r="N2420" t="s">
        <v>23</v>
      </c>
      <c r="O2420" t="s">
        <v>24</v>
      </c>
      <c r="P2420" s="8" t="s">
        <v>2948</v>
      </c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</row>
    <row r="2421" spans="1:51" hidden="1" x14ac:dyDescent="0.2">
      <c r="A2421" s="6"/>
      <c r="E2421" s="2"/>
      <c r="F2421" s="3"/>
      <c r="G2421" s="3"/>
      <c r="P2421" s="8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</row>
    <row r="2422" spans="1:51" x14ac:dyDescent="0.2">
      <c r="A2422" s="6" t="s">
        <v>17</v>
      </c>
      <c r="B2422" t="s">
        <v>65</v>
      </c>
      <c r="C2422" t="s">
        <v>66</v>
      </c>
      <c r="D2422" t="s">
        <v>2949</v>
      </c>
      <c r="E2422" s="2">
        <v>545.55999999999995</v>
      </c>
      <c r="F2422" s="3">
        <f t="shared" si="192"/>
        <v>45582</v>
      </c>
      <c r="G2422" s="3">
        <f t="shared" si="192"/>
        <v>45582</v>
      </c>
      <c r="H2422">
        <v>1314624734</v>
      </c>
      <c r="I2422" t="s">
        <v>20</v>
      </c>
      <c r="K2422" t="s">
        <v>21</v>
      </c>
      <c r="L2422" t="s">
        <v>22</v>
      </c>
      <c r="M2422" t="s">
        <v>23</v>
      </c>
      <c r="N2422" t="s">
        <v>23</v>
      </c>
      <c r="O2422" t="s">
        <v>24</v>
      </c>
      <c r="P2422" s="8" t="s">
        <v>2950</v>
      </c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</row>
    <row r="2423" spans="1:51" hidden="1" x14ac:dyDescent="0.2">
      <c r="A2423" s="6"/>
      <c r="E2423" s="2"/>
      <c r="F2423" s="3"/>
      <c r="G2423" s="3"/>
      <c r="P2423" s="8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</row>
    <row r="2424" spans="1:51" x14ac:dyDescent="0.2">
      <c r="A2424" s="6" t="s">
        <v>17</v>
      </c>
      <c r="B2424" t="s">
        <v>100</v>
      </c>
      <c r="C2424" t="s">
        <v>101</v>
      </c>
      <c r="D2424" t="s">
        <v>1658</v>
      </c>
      <c r="E2424" s="2">
        <v>74.36</v>
      </c>
      <c r="F2424" s="3">
        <f t="shared" ref="F2424:G2426" si="193">DATE(2024,10,16)</f>
        <v>45581</v>
      </c>
      <c r="G2424" s="3">
        <f t="shared" si="193"/>
        <v>45581</v>
      </c>
      <c r="H2424">
        <v>1314624736</v>
      </c>
      <c r="I2424" t="s">
        <v>51</v>
      </c>
      <c r="K2424" t="s">
        <v>21</v>
      </c>
      <c r="L2424" t="s">
        <v>22</v>
      </c>
      <c r="M2424" t="s">
        <v>23</v>
      </c>
      <c r="N2424" t="s">
        <v>23</v>
      </c>
      <c r="O2424" t="s">
        <v>24</v>
      </c>
      <c r="P2424" s="8" t="s">
        <v>2951</v>
      </c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</row>
    <row r="2425" spans="1:51" x14ac:dyDescent="0.2">
      <c r="A2425" s="6" t="s">
        <v>17</v>
      </c>
      <c r="B2425" t="s">
        <v>61</v>
      </c>
      <c r="C2425" t="s">
        <v>62</v>
      </c>
      <c r="D2425" t="s">
        <v>2952</v>
      </c>
      <c r="E2425" s="2">
        <v>100.38</v>
      </c>
      <c r="F2425" s="3">
        <f t="shared" si="193"/>
        <v>45581</v>
      </c>
      <c r="G2425" s="3">
        <f t="shared" si="193"/>
        <v>45581</v>
      </c>
      <c r="H2425">
        <v>1314624737</v>
      </c>
      <c r="I2425" t="s">
        <v>51</v>
      </c>
      <c r="K2425" t="s">
        <v>21</v>
      </c>
      <c r="L2425" t="s">
        <v>22</v>
      </c>
      <c r="M2425" t="s">
        <v>23</v>
      </c>
      <c r="N2425" t="s">
        <v>23</v>
      </c>
      <c r="O2425" t="s">
        <v>24</v>
      </c>
      <c r="P2425" s="8" t="s">
        <v>2953</v>
      </c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</row>
    <row r="2426" spans="1:51" x14ac:dyDescent="0.2">
      <c r="A2426" s="6" t="s">
        <v>17</v>
      </c>
      <c r="B2426" t="s">
        <v>674</v>
      </c>
      <c r="C2426" t="s">
        <v>675</v>
      </c>
      <c r="D2426" t="s">
        <v>676</v>
      </c>
      <c r="E2426" s="2">
        <v>47.85</v>
      </c>
      <c r="F2426" s="3">
        <f t="shared" si="193"/>
        <v>45581</v>
      </c>
      <c r="G2426" s="3">
        <f t="shared" si="193"/>
        <v>45581</v>
      </c>
      <c r="H2426">
        <v>1314624738</v>
      </c>
      <c r="I2426" t="s">
        <v>51</v>
      </c>
      <c r="K2426" t="s">
        <v>21</v>
      </c>
      <c r="L2426" t="s">
        <v>22</v>
      </c>
      <c r="M2426" t="s">
        <v>23</v>
      </c>
      <c r="N2426" t="s">
        <v>23</v>
      </c>
      <c r="O2426" t="s">
        <v>24</v>
      </c>
      <c r="P2426" s="8" t="s">
        <v>2954</v>
      </c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</row>
    <row r="2427" spans="1:51" hidden="1" x14ac:dyDescent="0.2">
      <c r="A2427" s="6"/>
      <c r="E2427" s="2"/>
      <c r="F2427" s="3"/>
      <c r="G2427" s="3"/>
      <c r="P2427" s="8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</row>
    <row r="2428" spans="1:51" hidden="1" x14ac:dyDescent="0.2">
      <c r="A2428" s="6"/>
      <c r="E2428" s="2"/>
      <c r="F2428" s="3"/>
      <c r="G2428" s="3"/>
      <c r="P2428" s="8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</row>
    <row r="2429" spans="1:51" x14ac:dyDescent="0.2">
      <c r="A2429" s="6" t="s">
        <v>17</v>
      </c>
      <c r="B2429" t="s">
        <v>144</v>
      </c>
      <c r="C2429" t="s">
        <v>145</v>
      </c>
      <c r="D2429" t="s">
        <v>2955</v>
      </c>
      <c r="E2429" s="2">
        <v>109</v>
      </c>
      <c r="F2429" s="3">
        <f t="shared" ref="F2427:G2429" si="194">DATE(2024,10,17)</f>
        <v>45582</v>
      </c>
      <c r="G2429" s="3">
        <f t="shared" si="194"/>
        <v>45582</v>
      </c>
      <c r="H2429">
        <v>1314637977</v>
      </c>
      <c r="I2429" t="s">
        <v>73</v>
      </c>
      <c r="K2429" t="s">
        <v>21</v>
      </c>
      <c r="L2429" t="s">
        <v>22</v>
      </c>
      <c r="M2429" t="s">
        <v>23</v>
      </c>
      <c r="N2429" t="s">
        <v>23</v>
      </c>
      <c r="O2429" t="s">
        <v>24</v>
      </c>
      <c r="P2429" s="8" t="s">
        <v>2956</v>
      </c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</row>
    <row r="2430" spans="1:51" hidden="1" x14ac:dyDescent="0.2">
      <c r="A2430" s="6"/>
      <c r="E2430" s="2"/>
      <c r="F2430" s="3"/>
      <c r="G2430" s="3"/>
      <c r="P2430" s="8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</row>
    <row r="2431" spans="1:51" x14ac:dyDescent="0.2">
      <c r="A2431" s="6" t="s">
        <v>17</v>
      </c>
      <c r="B2431" t="s">
        <v>44</v>
      </c>
      <c r="C2431" t="s">
        <v>45</v>
      </c>
      <c r="D2431" t="s">
        <v>831</v>
      </c>
      <c r="E2431" s="2">
        <v>28.79</v>
      </c>
      <c r="F2431" s="3">
        <f>DATE(2024,10,17)</f>
        <v>45582</v>
      </c>
      <c r="G2431" s="3">
        <f>DATE(2024,10,17)</f>
        <v>45582</v>
      </c>
      <c r="H2431">
        <v>1317997337</v>
      </c>
      <c r="I2431" t="s">
        <v>51</v>
      </c>
      <c r="K2431" t="s">
        <v>21</v>
      </c>
      <c r="L2431" t="s">
        <v>22</v>
      </c>
      <c r="M2431" t="s">
        <v>23</v>
      </c>
      <c r="N2431" t="s">
        <v>23</v>
      </c>
      <c r="O2431" t="s">
        <v>24</v>
      </c>
      <c r="P2431" s="8" t="s">
        <v>2957</v>
      </c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</row>
    <row r="2432" spans="1:51" x14ac:dyDescent="0.2">
      <c r="A2432" s="6" t="s">
        <v>17</v>
      </c>
      <c r="B2432" t="s">
        <v>144</v>
      </c>
      <c r="C2432" t="s">
        <v>145</v>
      </c>
      <c r="D2432" t="s">
        <v>2958</v>
      </c>
      <c r="E2432" s="2">
        <v>139</v>
      </c>
      <c r="F2432" s="3">
        <f t="shared" ref="F2432:G2437" si="195">DATE(2024,10,18)</f>
        <v>45583</v>
      </c>
      <c r="G2432" s="3">
        <f t="shared" si="195"/>
        <v>45583</v>
      </c>
      <c r="H2432">
        <v>1317998777</v>
      </c>
      <c r="I2432" t="s">
        <v>73</v>
      </c>
      <c r="K2432" t="s">
        <v>21</v>
      </c>
      <c r="L2432" t="s">
        <v>22</v>
      </c>
      <c r="M2432" t="s">
        <v>23</v>
      </c>
      <c r="N2432" t="s">
        <v>23</v>
      </c>
      <c r="O2432" t="s">
        <v>24</v>
      </c>
      <c r="P2432" s="8" t="s">
        <v>2959</v>
      </c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</row>
    <row r="2433" spans="1:51" hidden="1" x14ac:dyDescent="0.2">
      <c r="A2433" s="6"/>
      <c r="E2433" s="2"/>
      <c r="F2433" s="3"/>
      <c r="G2433" s="3"/>
      <c r="P2433" s="8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</row>
    <row r="2434" spans="1:51" hidden="1" x14ac:dyDescent="0.2">
      <c r="A2434" s="6"/>
      <c r="E2434" s="2"/>
      <c r="F2434" s="3"/>
      <c r="G2434" s="3"/>
      <c r="P2434" s="8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</row>
    <row r="2435" spans="1:51" hidden="1" x14ac:dyDescent="0.2">
      <c r="A2435" s="6"/>
      <c r="E2435" s="2"/>
      <c r="F2435" s="3"/>
      <c r="G2435" s="3"/>
      <c r="P2435" s="8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</row>
    <row r="2436" spans="1:51" x14ac:dyDescent="0.2">
      <c r="A2436" s="6" t="s">
        <v>17</v>
      </c>
      <c r="B2436" t="s">
        <v>144</v>
      </c>
      <c r="C2436" t="s">
        <v>145</v>
      </c>
      <c r="D2436" t="s">
        <v>2960</v>
      </c>
      <c r="E2436" s="2">
        <v>7.8</v>
      </c>
      <c r="F2436" s="3">
        <f t="shared" si="195"/>
        <v>45583</v>
      </c>
      <c r="G2436" s="3">
        <f t="shared" si="195"/>
        <v>45583</v>
      </c>
      <c r="H2436">
        <v>1317998781</v>
      </c>
      <c r="I2436" t="s">
        <v>73</v>
      </c>
      <c r="K2436" t="s">
        <v>21</v>
      </c>
      <c r="L2436" t="s">
        <v>22</v>
      </c>
      <c r="M2436" t="s">
        <v>23</v>
      </c>
      <c r="N2436" t="s">
        <v>23</v>
      </c>
      <c r="O2436" t="s">
        <v>24</v>
      </c>
      <c r="P2436" s="8" t="s">
        <v>2961</v>
      </c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</row>
    <row r="2437" spans="1:51" x14ac:dyDescent="0.2">
      <c r="A2437" s="6" t="s">
        <v>17</v>
      </c>
      <c r="B2437" t="s">
        <v>144</v>
      </c>
      <c r="C2437" t="s">
        <v>145</v>
      </c>
      <c r="D2437" t="s">
        <v>2962</v>
      </c>
      <c r="E2437" s="2">
        <v>123</v>
      </c>
      <c r="F2437" s="3">
        <f t="shared" si="195"/>
        <v>45583</v>
      </c>
      <c r="G2437" s="3">
        <f t="shared" si="195"/>
        <v>45583</v>
      </c>
      <c r="H2437">
        <v>1317998782</v>
      </c>
      <c r="I2437" t="s">
        <v>73</v>
      </c>
      <c r="K2437" t="s">
        <v>21</v>
      </c>
      <c r="L2437" t="s">
        <v>22</v>
      </c>
      <c r="M2437" t="s">
        <v>23</v>
      </c>
      <c r="N2437" t="s">
        <v>23</v>
      </c>
      <c r="O2437" t="s">
        <v>24</v>
      </c>
      <c r="P2437" s="8" t="s">
        <v>2963</v>
      </c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</row>
    <row r="2438" spans="1:51" x14ac:dyDescent="0.2">
      <c r="A2438" s="6" t="s">
        <v>17</v>
      </c>
      <c r="B2438" t="s">
        <v>655</v>
      </c>
      <c r="C2438" t="s">
        <v>656</v>
      </c>
      <c r="D2438" t="s">
        <v>2964</v>
      </c>
      <c r="E2438" s="2">
        <v>1067.9000000000001</v>
      </c>
      <c r="F2438" s="3">
        <f>DATE(2024,10,21)</f>
        <v>45586</v>
      </c>
      <c r="G2438" s="3">
        <f>DATE(2024,10,21)</f>
        <v>45586</v>
      </c>
      <c r="H2438">
        <v>1320924322</v>
      </c>
      <c r="I2438" t="s">
        <v>20</v>
      </c>
      <c r="K2438" t="s">
        <v>21</v>
      </c>
      <c r="L2438" t="s">
        <v>22</v>
      </c>
      <c r="M2438" t="s">
        <v>23</v>
      </c>
      <c r="N2438" t="s">
        <v>23</v>
      </c>
      <c r="O2438" t="s">
        <v>24</v>
      </c>
      <c r="P2438" s="8" t="s">
        <v>2965</v>
      </c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</row>
    <row r="2439" spans="1:51" hidden="1" x14ac:dyDescent="0.2">
      <c r="A2439" s="6"/>
      <c r="E2439" s="2"/>
      <c r="F2439" s="3"/>
      <c r="G2439" s="3"/>
      <c r="P2439" s="8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</row>
    <row r="2440" spans="1:51" hidden="1" x14ac:dyDescent="0.2">
      <c r="A2440" s="6"/>
      <c r="E2440" s="2"/>
      <c r="F2440" s="3"/>
      <c r="G2440" s="3"/>
      <c r="P2440" s="8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</row>
    <row r="2441" spans="1:51" x14ac:dyDescent="0.2">
      <c r="A2441" s="6" t="s">
        <v>17</v>
      </c>
      <c r="B2441" t="s">
        <v>674</v>
      </c>
      <c r="C2441" t="s">
        <v>675</v>
      </c>
      <c r="D2441" t="s">
        <v>2966</v>
      </c>
      <c r="E2441" s="2">
        <v>1878.38</v>
      </c>
      <c r="F2441" s="3">
        <f t="shared" ref="F2441:G2450" si="196">DATE(2024,10,21)</f>
        <v>45586</v>
      </c>
      <c r="G2441" s="3">
        <f t="shared" si="196"/>
        <v>45586</v>
      </c>
      <c r="H2441">
        <v>1326242367</v>
      </c>
      <c r="I2441" t="s">
        <v>20</v>
      </c>
      <c r="K2441" t="s">
        <v>21</v>
      </c>
      <c r="L2441" t="s">
        <v>22</v>
      </c>
      <c r="M2441" t="s">
        <v>23</v>
      </c>
      <c r="N2441" t="s">
        <v>23</v>
      </c>
      <c r="O2441" t="s">
        <v>24</v>
      </c>
      <c r="P2441" s="8" t="s">
        <v>2967</v>
      </c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</row>
    <row r="2442" spans="1:51" x14ac:dyDescent="0.2">
      <c r="A2442" s="6" t="s">
        <v>17</v>
      </c>
      <c r="B2442" t="s">
        <v>57</v>
      </c>
      <c r="C2442" t="s">
        <v>58</v>
      </c>
      <c r="D2442" t="s">
        <v>2968</v>
      </c>
      <c r="E2442" s="2">
        <v>51.99</v>
      </c>
      <c r="F2442" s="3">
        <f t="shared" si="196"/>
        <v>45586</v>
      </c>
      <c r="G2442" s="3">
        <f t="shared" si="196"/>
        <v>45586</v>
      </c>
      <c r="H2442">
        <v>1326242368</v>
      </c>
      <c r="I2442" t="s">
        <v>20</v>
      </c>
      <c r="K2442" t="s">
        <v>21</v>
      </c>
      <c r="L2442" t="s">
        <v>22</v>
      </c>
      <c r="M2442" t="s">
        <v>23</v>
      </c>
      <c r="N2442" t="s">
        <v>23</v>
      </c>
      <c r="O2442" t="s">
        <v>24</v>
      </c>
      <c r="P2442" s="8" t="s">
        <v>2969</v>
      </c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</row>
    <row r="2443" spans="1:51" hidden="1" x14ac:dyDescent="0.2">
      <c r="A2443" s="6"/>
      <c r="E2443" s="2"/>
      <c r="F2443" s="3"/>
      <c r="G2443" s="3"/>
      <c r="P2443" s="8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</row>
    <row r="2444" spans="1:51" hidden="1" x14ac:dyDescent="0.2">
      <c r="A2444" s="6"/>
      <c r="E2444" s="2"/>
      <c r="F2444" s="3"/>
      <c r="G2444" s="3"/>
      <c r="P2444" s="8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</row>
    <row r="2445" spans="1:51" hidden="1" x14ac:dyDescent="0.2">
      <c r="A2445" s="6"/>
      <c r="E2445" s="2"/>
      <c r="F2445" s="3"/>
      <c r="G2445" s="3"/>
      <c r="P2445" s="8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</row>
    <row r="2446" spans="1:51" x14ac:dyDescent="0.2">
      <c r="A2446" s="6" t="s">
        <v>17</v>
      </c>
      <c r="B2446" t="s">
        <v>57</v>
      </c>
      <c r="C2446" t="s">
        <v>58</v>
      </c>
      <c r="D2446" t="s">
        <v>2970</v>
      </c>
      <c r="E2446" s="2">
        <v>72.95</v>
      </c>
      <c r="F2446" s="3">
        <f t="shared" si="196"/>
        <v>45586</v>
      </c>
      <c r="G2446" s="3">
        <f t="shared" si="196"/>
        <v>45586</v>
      </c>
      <c r="H2446">
        <v>1326242372</v>
      </c>
      <c r="I2446" t="s">
        <v>20</v>
      </c>
      <c r="K2446" t="s">
        <v>21</v>
      </c>
      <c r="L2446" t="s">
        <v>22</v>
      </c>
      <c r="M2446" t="s">
        <v>23</v>
      </c>
      <c r="N2446" t="s">
        <v>23</v>
      </c>
      <c r="O2446" t="s">
        <v>24</v>
      </c>
      <c r="P2446" s="8" t="s">
        <v>2971</v>
      </c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</row>
    <row r="2447" spans="1:51" x14ac:dyDescent="0.2">
      <c r="A2447" s="6" t="s">
        <v>17</v>
      </c>
      <c r="B2447" t="s">
        <v>57</v>
      </c>
      <c r="C2447" t="s">
        <v>58</v>
      </c>
      <c r="D2447" t="s">
        <v>2972</v>
      </c>
      <c r="E2447" s="2">
        <v>96</v>
      </c>
      <c r="F2447" s="3">
        <f t="shared" si="196"/>
        <v>45586</v>
      </c>
      <c r="G2447" s="3">
        <f t="shared" si="196"/>
        <v>45586</v>
      </c>
      <c r="H2447">
        <v>1326242373</v>
      </c>
      <c r="I2447" t="s">
        <v>20</v>
      </c>
      <c r="K2447" t="s">
        <v>21</v>
      </c>
      <c r="L2447" t="s">
        <v>22</v>
      </c>
      <c r="M2447" t="s">
        <v>23</v>
      </c>
      <c r="N2447" t="s">
        <v>23</v>
      </c>
      <c r="O2447" t="s">
        <v>24</v>
      </c>
      <c r="P2447" s="8" t="s">
        <v>2973</v>
      </c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</row>
    <row r="2448" spans="1:51" x14ac:dyDescent="0.2">
      <c r="A2448" s="6" t="s">
        <v>17</v>
      </c>
      <c r="B2448" t="s">
        <v>57</v>
      </c>
      <c r="C2448" t="s">
        <v>58</v>
      </c>
      <c r="D2448" t="s">
        <v>2974</v>
      </c>
      <c r="E2448" s="2">
        <v>80.400000000000006</v>
      </c>
      <c r="F2448" s="3">
        <f t="shared" si="196"/>
        <v>45586</v>
      </c>
      <c r="G2448" s="3">
        <f t="shared" si="196"/>
        <v>45586</v>
      </c>
      <c r="H2448">
        <v>1326242374</v>
      </c>
      <c r="I2448" t="s">
        <v>20</v>
      </c>
      <c r="K2448" t="s">
        <v>21</v>
      </c>
      <c r="L2448" t="s">
        <v>22</v>
      </c>
      <c r="M2448" t="s">
        <v>23</v>
      </c>
      <c r="N2448" t="s">
        <v>23</v>
      </c>
      <c r="O2448" t="s">
        <v>24</v>
      </c>
      <c r="P2448" s="8" t="s">
        <v>2975</v>
      </c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</row>
    <row r="2449" spans="1:51" x14ac:dyDescent="0.2">
      <c r="A2449" s="6" t="s">
        <v>17</v>
      </c>
      <c r="B2449" t="s">
        <v>1060</v>
      </c>
      <c r="C2449" t="s">
        <v>1061</v>
      </c>
      <c r="D2449" t="s">
        <v>2976</v>
      </c>
      <c r="E2449" s="2">
        <v>110.82</v>
      </c>
      <c r="F2449" s="3">
        <f t="shared" si="196"/>
        <v>45586</v>
      </c>
      <c r="G2449" s="3">
        <f t="shared" si="196"/>
        <v>45586</v>
      </c>
      <c r="H2449">
        <v>1326242375</v>
      </c>
      <c r="I2449" t="s">
        <v>20</v>
      </c>
      <c r="K2449" t="s">
        <v>21</v>
      </c>
      <c r="L2449" t="s">
        <v>22</v>
      </c>
      <c r="M2449" t="s">
        <v>23</v>
      </c>
      <c r="N2449" t="s">
        <v>23</v>
      </c>
      <c r="O2449" t="s">
        <v>24</v>
      </c>
      <c r="P2449" s="8" t="s">
        <v>2977</v>
      </c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</row>
    <row r="2450" spans="1:51" x14ac:dyDescent="0.2">
      <c r="A2450" s="6" t="s">
        <v>17</v>
      </c>
      <c r="B2450" t="s">
        <v>26</v>
      </c>
      <c r="C2450" t="s">
        <v>27</v>
      </c>
      <c r="D2450" t="s">
        <v>2978</v>
      </c>
      <c r="E2450" s="2">
        <v>40.04</v>
      </c>
      <c r="F2450" s="3">
        <f t="shared" si="196"/>
        <v>45586</v>
      </c>
      <c r="G2450" s="3">
        <f t="shared" si="196"/>
        <v>45586</v>
      </c>
      <c r="H2450">
        <v>1326242376</v>
      </c>
      <c r="I2450" t="s">
        <v>20</v>
      </c>
      <c r="K2450" t="s">
        <v>21</v>
      </c>
      <c r="L2450" t="s">
        <v>22</v>
      </c>
      <c r="M2450" t="s">
        <v>23</v>
      </c>
      <c r="N2450" t="s">
        <v>23</v>
      </c>
      <c r="O2450" t="s">
        <v>24</v>
      </c>
      <c r="P2450" s="8" t="s">
        <v>2979</v>
      </c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</row>
    <row r="2451" spans="1:51" hidden="1" x14ac:dyDescent="0.2">
      <c r="A2451" s="6"/>
      <c r="E2451" s="2"/>
      <c r="F2451" s="3"/>
      <c r="G2451" s="3"/>
      <c r="P2451" s="8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</row>
    <row r="2452" spans="1:51" x14ac:dyDescent="0.2">
      <c r="A2452" s="6" t="s">
        <v>17</v>
      </c>
      <c r="B2452" t="s">
        <v>887</v>
      </c>
      <c r="C2452" t="s">
        <v>888</v>
      </c>
      <c r="D2452" t="s">
        <v>2980</v>
      </c>
      <c r="E2452" s="2">
        <v>473.08</v>
      </c>
      <c r="F2452" s="3">
        <f>DATE(2024,10,21)</f>
        <v>45586</v>
      </c>
      <c r="G2452" s="3">
        <f>DATE(2024,10,21)</f>
        <v>45586</v>
      </c>
      <c r="H2452">
        <v>1326242378</v>
      </c>
      <c r="I2452" t="s">
        <v>20</v>
      </c>
      <c r="K2452" t="s">
        <v>21</v>
      </c>
      <c r="L2452" t="s">
        <v>22</v>
      </c>
      <c r="M2452" t="s">
        <v>23</v>
      </c>
      <c r="N2452" t="s">
        <v>23</v>
      </c>
      <c r="O2452" t="s">
        <v>24</v>
      </c>
      <c r="P2452" s="8" t="s">
        <v>2981</v>
      </c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</row>
    <row r="2453" spans="1:51" hidden="1" x14ac:dyDescent="0.2">
      <c r="A2453" s="6"/>
      <c r="E2453" s="2"/>
      <c r="F2453" s="3"/>
      <c r="G2453" s="3"/>
      <c r="P2453" s="8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</row>
    <row r="2454" spans="1:51" x14ac:dyDescent="0.2">
      <c r="A2454" s="6" t="s">
        <v>17</v>
      </c>
      <c r="B2454" t="s">
        <v>144</v>
      </c>
      <c r="C2454" t="s">
        <v>145</v>
      </c>
      <c r="D2454" t="s">
        <v>692</v>
      </c>
      <c r="E2454" s="2">
        <v>311</v>
      </c>
      <c r="F2454" s="3">
        <f>DATE(2024,10,19)</f>
        <v>45584</v>
      </c>
      <c r="G2454" s="3">
        <f>DATE(2024,10,19)</f>
        <v>45584</v>
      </c>
      <c r="H2454">
        <v>1326242380</v>
      </c>
      <c r="I2454" t="s">
        <v>51</v>
      </c>
      <c r="K2454" t="s">
        <v>21</v>
      </c>
      <c r="L2454" t="s">
        <v>22</v>
      </c>
      <c r="M2454" t="s">
        <v>23</v>
      </c>
      <c r="N2454" t="s">
        <v>23</v>
      </c>
      <c r="O2454" t="s">
        <v>24</v>
      </c>
      <c r="P2454" s="8" t="s">
        <v>2982</v>
      </c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</row>
    <row r="2455" spans="1:51" x14ac:dyDescent="0.2">
      <c r="A2455" s="6" t="s">
        <v>17</v>
      </c>
      <c r="B2455" t="s">
        <v>179</v>
      </c>
      <c r="C2455" t="s">
        <v>180</v>
      </c>
      <c r="D2455" t="s">
        <v>1940</v>
      </c>
      <c r="E2455" s="2">
        <v>58.51</v>
      </c>
      <c r="F2455" s="3">
        <f>DATE(2024,10,18)</f>
        <v>45583</v>
      </c>
      <c r="G2455" s="3">
        <f>DATE(2024,10,18)</f>
        <v>45583</v>
      </c>
      <c r="H2455">
        <v>1326242381</v>
      </c>
      <c r="I2455" t="s">
        <v>51</v>
      </c>
      <c r="K2455" t="s">
        <v>21</v>
      </c>
      <c r="L2455" t="s">
        <v>22</v>
      </c>
      <c r="M2455" t="s">
        <v>23</v>
      </c>
      <c r="N2455" t="s">
        <v>23</v>
      </c>
      <c r="O2455" t="s">
        <v>24</v>
      </c>
      <c r="P2455" s="8" t="s">
        <v>2983</v>
      </c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</row>
    <row r="2456" spans="1:51" x14ac:dyDescent="0.2">
      <c r="A2456" s="6" t="s">
        <v>17</v>
      </c>
      <c r="B2456" t="s">
        <v>144</v>
      </c>
      <c r="C2456" t="s">
        <v>145</v>
      </c>
      <c r="D2456" t="s">
        <v>2984</v>
      </c>
      <c r="E2456" s="2">
        <v>132</v>
      </c>
      <c r="F2456" s="3">
        <f>DATE(2024,10,21)</f>
        <v>45586</v>
      </c>
      <c r="G2456" s="3">
        <f>DATE(2024,10,21)</f>
        <v>45586</v>
      </c>
      <c r="H2456">
        <v>1326338484</v>
      </c>
      <c r="I2456" t="s">
        <v>73</v>
      </c>
      <c r="K2456" t="s">
        <v>21</v>
      </c>
      <c r="L2456" t="s">
        <v>22</v>
      </c>
      <c r="M2456" t="s">
        <v>23</v>
      </c>
      <c r="N2456" t="s">
        <v>23</v>
      </c>
      <c r="O2456" t="s">
        <v>24</v>
      </c>
      <c r="P2456" s="8" t="s">
        <v>2985</v>
      </c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</row>
    <row r="2457" spans="1:51" hidden="1" x14ac:dyDescent="0.2">
      <c r="A2457" s="6"/>
      <c r="E2457" s="2"/>
      <c r="F2457" s="3"/>
      <c r="G2457" s="3"/>
      <c r="P2457" s="8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</row>
    <row r="2458" spans="1:51" x14ac:dyDescent="0.2">
      <c r="A2458" s="6" t="s">
        <v>17</v>
      </c>
      <c r="B2458" t="s">
        <v>312</v>
      </c>
      <c r="C2458" t="s">
        <v>313</v>
      </c>
      <c r="D2458" t="s">
        <v>2986</v>
      </c>
      <c r="E2458" s="2">
        <v>65.790000000000006</v>
      </c>
      <c r="F2458" s="3">
        <f t="shared" ref="F2458:G2460" si="197">DATE(2024,10,22)</f>
        <v>45587</v>
      </c>
      <c r="G2458" s="3">
        <f t="shared" si="197"/>
        <v>45587</v>
      </c>
      <c r="H2458">
        <v>1331139753</v>
      </c>
      <c r="I2458" t="s">
        <v>20</v>
      </c>
      <c r="K2458" t="s">
        <v>21</v>
      </c>
      <c r="L2458" t="s">
        <v>22</v>
      </c>
      <c r="M2458" t="s">
        <v>23</v>
      </c>
      <c r="N2458" t="s">
        <v>23</v>
      </c>
      <c r="O2458" t="s">
        <v>24</v>
      </c>
      <c r="P2458" s="8" t="s">
        <v>2987</v>
      </c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</row>
    <row r="2459" spans="1:51" hidden="1" x14ac:dyDescent="0.2">
      <c r="A2459" s="6"/>
      <c r="E2459" s="2"/>
      <c r="F2459" s="3"/>
      <c r="G2459" s="3"/>
      <c r="P2459" s="8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</row>
    <row r="2460" spans="1:51" x14ac:dyDescent="0.2">
      <c r="A2460" s="6" t="s">
        <v>17</v>
      </c>
      <c r="B2460" t="s">
        <v>18</v>
      </c>
      <c r="C2460" t="s">
        <v>18</v>
      </c>
      <c r="D2460" t="s">
        <v>2988</v>
      </c>
      <c r="E2460" s="2">
        <v>2.3199999999999998</v>
      </c>
      <c r="F2460" s="3">
        <f t="shared" si="197"/>
        <v>45587</v>
      </c>
      <c r="G2460" s="3">
        <f t="shared" si="197"/>
        <v>45587</v>
      </c>
      <c r="H2460">
        <v>1331139755</v>
      </c>
      <c r="I2460" t="s">
        <v>20</v>
      </c>
      <c r="K2460" t="s">
        <v>21</v>
      </c>
      <c r="L2460" t="s">
        <v>22</v>
      </c>
      <c r="M2460" t="s">
        <v>23</v>
      </c>
      <c r="N2460" t="s">
        <v>23</v>
      </c>
      <c r="O2460" t="s">
        <v>24</v>
      </c>
      <c r="P2460" s="8" t="s">
        <v>2989</v>
      </c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</row>
    <row r="2461" spans="1:51" x14ac:dyDescent="0.2">
      <c r="A2461" s="6" t="s">
        <v>17</v>
      </c>
      <c r="B2461" t="s">
        <v>44</v>
      </c>
      <c r="C2461" t="s">
        <v>45</v>
      </c>
      <c r="D2461" t="s">
        <v>831</v>
      </c>
      <c r="E2461" s="2">
        <v>29.32</v>
      </c>
      <c r="F2461" s="3">
        <f>DATE(2024,10,21)</f>
        <v>45586</v>
      </c>
      <c r="G2461" s="3">
        <f>DATE(2024,10,21)</f>
        <v>45586</v>
      </c>
      <c r="H2461">
        <v>1331139756</v>
      </c>
      <c r="I2461" t="s">
        <v>51</v>
      </c>
      <c r="K2461" t="s">
        <v>21</v>
      </c>
      <c r="L2461" t="s">
        <v>22</v>
      </c>
      <c r="M2461" t="s">
        <v>23</v>
      </c>
      <c r="N2461" t="s">
        <v>23</v>
      </c>
      <c r="O2461" t="s">
        <v>24</v>
      </c>
      <c r="P2461" s="8" t="s">
        <v>2990</v>
      </c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</row>
    <row r="2462" spans="1:51" x14ac:dyDescent="0.2">
      <c r="A2462" s="6" t="s">
        <v>17</v>
      </c>
      <c r="B2462" t="s">
        <v>26</v>
      </c>
      <c r="C2462" t="s">
        <v>27</v>
      </c>
      <c r="D2462" t="s">
        <v>2991</v>
      </c>
      <c r="E2462" s="2">
        <v>83.05</v>
      </c>
      <c r="F2462" s="3">
        <f>DATE(2024,10,20)</f>
        <v>45585</v>
      </c>
      <c r="G2462" s="3">
        <f>DATE(2024,10,20)</f>
        <v>45585</v>
      </c>
      <c r="H2462">
        <v>1331139757</v>
      </c>
      <c r="I2462" t="s">
        <v>51</v>
      </c>
      <c r="K2462" t="s">
        <v>21</v>
      </c>
      <c r="L2462" t="s">
        <v>22</v>
      </c>
      <c r="M2462" t="s">
        <v>23</v>
      </c>
      <c r="N2462" t="s">
        <v>23</v>
      </c>
      <c r="O2462" t="s">
        <v>24</v>
      </c>
      <c r="P2462" s="8" t="s">
        <v>2992</v>
      </c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</row>
    <row r="2463" spans="1:51" x14ac:dyDescent="0.2">
      <c r="A2463" s="6" t="s">
        <v>17</v>
      </c>
      <c r="B2463" t="s">
        <v>44</v>
      </c>
      <c r="C2463" t="s">
        <v>45</v>
      </c>
      <c r="D2463" t="s">
        <v>2993</v>
      </c>
      <c r="E2463" s="2">
        <v>36.549999999999997</v>
      </c>
      <c r="F2463" s="3">
        <f>DATE(2024,10,21)</f>
        <v>45586</v>
      </c>
      <c r="G2463" s="3">
        <f>DATE(2024,10,21)</f>
        <v>45586</v>
      </c>
      <c r="H2463">
        <v>1331139758</v>
      </c>
      <c r="I2463" t="s">
        <v>51</v>
      </c>
      <c r="K2463" t="s">
        <v>21</v>
      </c>
      <c r="L2463" t="s">
        <v>22</v>
      </c>
      <c r="M2463" t="s">
        <v>23</v>
      </c>
      <c r="N2463" t="s">
        <v>23</v>
      </c>
      <c r="O2463" t="s">
        <v>24</v>
      </c>
      <c r="P2463" s="8" t="s">
        <v>2994</v>
      </c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</row>
    <row r="2464" spans="1:51" x14ac:dyDescent="0.2">
      <c r="A2464" s="6" t="s">
        <v>17</v>
      </c>
      <c r="B2464" t="s">
        <v>44</v>
      </c>
      <c r="C2464" t="s">
        <v>45</v>
      </c>
      <c r="D2464" t="s">
        <v>2993</v>
      </c>
      <c r="E2464" s="2">
        <v>40.58</v>
      </c>
      <c r="F2464" s="3">
        <f>DATE(2024,10,21)</f>
        <v>45586</v>
      </c>
      <c r="G2464" s="3">
        <f>DATE(2024,10,21)</f>
        <v>45586</v>
      </c>
      <c r="H2464">
        <v>1331139759</v>
      </c>
      <c r="I2464" t="s">
        <v>51</v>
      </c>
      <c r="K2464" t="s">
        <v>21</v>
      </c>
      <c r="L2464" t="s">
        <v>22</v>
      </c>
      <c r="M2464" t="s">
        <v>23</v>
      </c>
      <c r="N2464" t="s">
        <v>23</v>
      </c>
      <c r="O2464" t="s">
        <v>24</v>
      </c>
      <c r="P2464" s="8" t="s">
        <v>2995</v>
      </c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</row>
    <row r="2465" spans="1:51" x14ac:dyDescent="0.2">
      <c r="A2465" s="6" t="s">
        <v>17</v>
      </c>
      <c r="B2465" t="s">
        <v>26</v>
      </c>
      <c r="C2465" t="s">
        <v>27</v>
      </c>
      <c r="D2465" t="s">
        <v>230</v>
      </c>
      <c r="E2465" s="2">
        <v>5.99</v>
      </c>
      <c r="F2465" s="3">
        <f>DATE(2024,10,20)</f>
        <v>45585</v>
      </c>
      <c r="G2465" s="3">
        <f>DATE(2024,10,20)</f>
        <v>45585</v>
      </c>
      <c r="H2465">
        <v>1331139760</v>
      </c>
      <c r="I2465" t="s">
        <v>51</v>
      </c>
      <c r="K2465" t="s">
        <v>21</v>
      </c>
      <c r="L2465" t="s">
        <v>22</v>
      </c>
      <c r="M2465" t="s">
        <v>23</v>
      </c>
      <c r="N2465" t="s">
        <v>23</v>
      </c>
      <c r="O2465" t="s">
        <v>24</v>
      </c>
      <c r="P2465" s="8" t="s">
        <v>2996</v>
      </c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</row>
    <row r="2466" spans="1:51" x14ac:dyDescent="0.2">
      <c r="A2466" s="6" t="s">
        <v>17</v>
      </c>
      <c r="B2466" t="s">
        <v>175</v>
      </c>
      <c r="C2466" t="s">
        <v>176</v>
      </c>
      <c r="D2466" t="s">
        <v>2997</v>
      </c>
      <c r="E2466" s="2">
        <v>200</v>
      </c>
      <c r="F2466" s="3">
        <f>DATE(2024,10,24)</f>
        <v>45589</v>
      </c>
      <c r="G2466" s="3">
        <f>DATE(2024,10,24)</f>
        <v>45589</v>
      </c>
      <c r="H2466">
        <v>1335891135</v>
      </c>
      <c r="I2466" t="s">
        <v>20</v>
      </c>
      <c r="K2466" t="s">
        <v>21</v>
      </c>
      <c r="L2466" t="s">
        <v>22</v>
      </c>
      <c r="M2466" t="s">
        <v>23</v>
      </c>
      <c r="N2466" t="s">
        <v>23</v>
      </c>
      <c r="O2466" t="s">
        <v>24</v>
      </c>
      <c r="P2466" s="8" t="s">
        <v>2998</v>
      </c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</row>
    <row r="2467" spans="1:51" hidden="1" x14ac:dyDescent="0.2">
      <c r="A2467" s="6"/>
      <c r="E2467" s="2"/>
      <c r="F2467" s="3"/>
      <c r="G2467" s="3"/>
      <c r="P2467" s="8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</row>
    <row r="2468" spans="1:51" x14ac:dyDescent="0.2">
      <c r="A2468" s="6" t="s">
        <v>17</v>
      </c>
      <c r="B2468" t="s">
        <v>1046</v>
      </c>
      <c r="C2468" t="s">
        <v>1047</v>
      </c>
      <c r="D2468" t="s">
        <v>2999</v>
      </c>
      <c r="E2468" s="2">
        <v>1029.27</v>
      </c>
      <c r="F2468" s="3">
        <f t="shared" ref="F2467:G2471" si="198">DATE(2024,10,23)</f>
        <v>45588</v>
      </c>
      <c r="G2468" s="3">
        <f t="shared" si="198"/>
        <v>45588</v>
      </c>
      <c r="H2468">
        <v>1335891137</v>
      </c>
      <c r="I2468" t="s">
        <v>20</v>
      </c>
      <c r="K2468" t="s">
        <v>21</v>
      </c>
      <c r="L2468" t="s">
        <v>22</v>
      </c>
      <c r="M2468" t="s">
        <v>23</v>
      </c>
      <c r="N2468" t="s">
        <v>23</v>
      </c>
      <c r="O2468" t="s">
        <v>24</v>
      </c>
      <c r="P2468" s="8" t="s">
        <v>3000</v>
      </c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</row>
    <row r="2469" spans="1:51" x14ac:dyDescent="0.2">
      <c r="A2469" s="6" t="s">
        <v>17</v>
      </c>
      <c r="B2469" t="s">
        <v>110</v>
      </c>
      <c r="C2469" t="s">
        <v>111</v>
      </c>
      <c r="D2469" t="s">
        <v>3001</v>
      </c>
      <c r="E2469" s="2">
        <v>92.52</v>
      </c>
      <c r="F2469" s="3">
        <f t="shared" si="198"/>
        <v>45588</v>
      </c>
      <c r="G2469" s="3">
        <f t="shared" si="198"/>
        <v>45588</v>
      </c>
      <c r="H2469">
        <v>1335891138</v>
      </c>
      <c r="I2469" t="s">
        <v>20</v>
      </c>
      <c r="K2469" t="s">
        <v>21</v>
      </c>
      <c r="L2469" t="s">
        <v>22</v>
      </c>
      <c r="M2469" t="s">
        <v>23</v>
      </c>
      <c r="N2469" t="s">
        <v>23</v>
      </c>
      <c r="O2469" t="s">
        <v>24</v>
      </c>
      <c r="P2469" s="8" t="s">
        <v>3002</v>
      </c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</row>
    <row r="2470" spans="1:51" x14ac:dyDescent="0.2">
      <c r="A2470" s="6" t="s">
        <v>17</v>
      </c>
      <c r="B2470" t="s">
        <v>104</v>
      </c>
      <c r="C2470" t="s">
        <v>105</v>
      </c>
      <c r="D2470" t="s">
        <v>3003</v>
      </c>
      <c r="E2470" s="2">
        <v>1152.69</v>
      </c>
      <c r="F2470" s="3">
        <f t="shared" si="198"/>
        <v>45588</v>
      </c>
      <c r="G2470" s="3">
        <f t="shared" si="198"/>
        <v>45588</v>
      </c>
      <c r="H2470">
        <v>1335891139</v>
      </c>
      <c r="I2470" t="s">
        <v>20</v>
      </c>
      <c r="K2470" t="s">
        <v>21</v>
      </c>
      <c r="L2470" t="s">
        <v>22</v>
      </c>
      <c r="M2470" t="s">
        <v>23</v>
      </c>
      <c r="N2470" t="s">
        <v>23</v>
      </c>
      <c r="O2470" t="s">
        <v>24</v>
      </c>
      <c r="P2470" s="8" t="s">
        <v>3004</v>
      </c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</row>
    <row r="2471" spans="1:51" hidden="1" x14ac:dyDescent="0.2">
      <c r="A2471" s="6"/>
      <c r="E2471" s="2"/>
      <c r="F2471" s="3"/>
      <c r="G2471" s="3"/>
      <c r="P2471" s="8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</row>
    <row r="2472" spans="1:51" x14ac:dyDescent="0.2">
      <c r="A2472" s="6" t="s">
        <v>17</v>
      </c>
      <c r="B2472" t="s">
        <v>175</v>
      </c>
      <c r="C2472" t="s">
        <v>176</v>
      </c>
      <c r="D2472" t="s">
        <v>3005</v>
      </c>
      <c r="E2472" s="2">
        <v>600</v>
      </c>
      <c r="F2472" s="3">
        <f>DATE(2024,10,24)</f>
        <v>45589</v>
      </c>
      <c r="G2472" s="3">
        <f>DATE(2024,10,24)</f>
        <v>45589</v>
      </c>
      <c r="H2472">
        <v>1335891141</v>
      </c>
      <c r="I2472" t="s">
        <v>20</v>
      </c>
      <c r="K2472" t="s">
        <v>21</v>
      </c>
      <c r="L2472" t="s">
        <v>22</v>
      </c>
      <c r="M2472" t="s">
        <v>23</v>
      </c>
      <c r="N2472" t="s">
        <v>23</v>
      </c>
      <c r="O2472" t="s">
        <v>24</v>
      </c>
      <c r="P2472" s="8" t="s">
        <v>3006</v>
      </c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</row>
    <row r="2473" spans="1:51" hidden="1" x14ac:dyDescent="0.2">
      <c r="A2473" s="6"/>
      <c r="E2473" s="2"/>
      <c r="F2473" s="3"/>
      <c r="G2473" s="3"/>
      <c r="P2473" s="8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</row>
    <row r="2474" spans="1:51" x14ac:dyDescent="0.2">
      <c r="A2474" s="6" t="s">
        <v>17</v>
      </c>
      <c r="B2474" t="s">
        <v>611</v>
      </c>
      <c r="C2474" t="s">
        <v>612</v>
      </c>
      <c r="D2474" t="s">
        <v>3007</v>
      </c>
      <c r="E2474" s="2">
        <v>502.88</v>
      </c>
      <c r="F2474" s="3">
        <f t="shared" ref="F2473:G2476" si="199">DATE(2024,10,23)</f>
        <v>45588</v>
      </c>
      <c r="G2474" s="3">
        <f t="shared" si="199"/>
        <v>45588</v>
      </c>
      <c r="H2474">
        <v>1335891143</v>
      </c>
      <c r="I2474" t="s">
        <v>20</v>
      </c>
      <c r="K2474" t="s">
        <v>21</v>
      </c>
      <c r="L2474" t="s">
        <v>22</v>
      </c>
      <c r="M2474" t="s">
        <v>23</v>
      </c>
      <c r="N2474" t="s">
        <v>23</v>
      </c>
      <c r="O2474" t="s">
        <v>24</v>
      </c>
      <c r="P2474" s="8" t="s">
        <v>3008</v>
      </c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</row>
    <row r="2475" spans="1:51" x14ac:dyDescent="0.2">
      <c r="A2475" s="6" t="s">
        <v>17</v>
      </c>
      <c r="B2475" t="s">
        <v>232</v>
      </c>
      <c r="C2475" t="s">
        <v>233</v>
      </c>
      <c r="D2475" t="s">
        <v>3009</v>
      </c>
      <c r="E2475" s="2">
        <v>616</v>
      </c>
      <c r="F2475" s="3">
        <f t="shared" si="199"/>
        <v>45588</v>
      </c>
      <c r="G2475" s="3">
        <f t="shared" si="199"/>
        <v>45588</v>
      </c>
      <c r="H2475">
        <v>1335891144</v>
      </c>
      <c r="I2475" t="s">
        <v>20</v>
      </c>
      <c r="K2475" t="s">
        <v>21</v>
      </c>
      <c r="L2475" t="s">
        <v>22</v>
      </c>
      <c r="M2475" t="s">
        <v>23</v>
      </c>
      <c r="N2475" t="s">
        <v>23</v>
      </c>
      <c r="O2475" t="s">
        <v>24</v>
      </c>
      <c r="P2475" s="8" t="s">
        <v>3010</v>
      </c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</row>
    <row r="2476" spans="1:51" hidden="1" x14ac:dyDescent="0.2">
      <c r="A2476" s="6"/>
      <c r="E2476" s="2"/>
      <c r="F2476" s="3"/>
      <c r="G2476" s="3"/>
      <c r="P2476" s="8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</row>
    <row r="2477" spans="1:51" x14ac:dyDescent="0.2">
      <c r="A2477" s="6" t="s">
        <v>17</v>
      </c>
      <c r="B2477" t="s">
        <v>61</v>
      </c>
      <c r="C2477" t="s">
        <v>62</v>
      </c>
      <c r="D2477" t="s">
        <v>3011</v>
      </c>
      <c r="E2477" s="2">
        <v>23.99</v>
      </c>
      <c r="F2477" s="3">
        <f>DATE(2024,10,22)</f>
        <v>45587</v>
      </c>
      <c r="G2477" s="3">
        <f>DATE(2024,10,22)</f>
        <v>45587</v>
      </c>
      <c r="H2477">
        <v>1335891146</v>
      </c>
      <c r="I2477" t="s">
        <v>51</v>
      </c>
      <c r="K2477" t="s">
        <v>21</v>
      </c>
      <c r="L2477" t="s">
        <v>22</v>
      </c>
      <c r="M2477" t="s">
        <v>23</v>
      </c>
      <c r="N2477" t="s">
        <v>23</v>
      </c>
      <c r="O2477" t="s">
        <v>24</v>
      </c>
      <c r="P2477" s="8" t="s">
        <v>3012</v>
      </c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</row>
    <row r="2478" spans="1:51" hidden="1" x14ac:dyDescent="0.2">
      <c r="A2478" s="6"/>
      <c r="E2478" s="2"/>
      <c r="F2478" s="3"/>
      <c r="G2478" s="3"/>
      <c r="P2478" s="8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</row>
    <row r="2479" spans="1:51" x14ac:dyDescent="0.2">
      <c r="A2479" s="6" t="s">
        <v>17</v>
      </c>
      <c r="B2479" t="s">
        <v>104</v>
      </c>
      <c r="C2479" t="s">
        <v>105</v>
      </c>
      <c r="D2479" t="s">
        <v>3013</v>
      </c>
      <c r="E2479" s="2">
        <v>514.05999999999995</v>
      </c>
      <c r="F2479" s="3">
        <f t="shared" ref="F2479:G2482" si="200">DATE(2024,10,24)</f>
        <v>45589</v>
      </c>
      <c r="G2479" s="3">
        <f t="shared" si="200"/>
        <v>45589</v>
      </c>
      <c r="H2479">
        <v>1339689747</v>
      </c>
      <c r="I2479" t="s">
        <v>20</v>
      </c>
      <c r="K2479" t="s">
        <v>21</v>
      </c>
      <c r="L2479" t="s">
        <v>22</v>
      </c>
      <c r="M2479" t="s">
        <v>23</v>
      </c>
      <c r="N2479" t="s">
        <v>23</v>
      </c>
      <c r="O2479" t="s">
        <v>24</v>
      </c>
      <c r="P2479" s="8" t="s">
        <v>3014</v>
      </c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</row>
    <row r="2480" spans="1:51" x14ac:dyDescent="0.2">
      <c r="A2480" s="6" t="s">
        <v>17</v>
      </c>
      <c r="B2480" t="s">
        <v>887</v>
      </c>
      <c r="C2480" t="s">
        <v>888</v>
      </c>
      <c r="D2480" t="s">
        <v>3015</v>
      </c>
      <c r="E2480" s="2">
        <v>1018.38</v>
      </c>
      <c r="F2480" s="3">
        <f t="shared" si="200"/>
        <v>45589</v>
      </c>
      <c r="G2480" s="3">
        <f t="shared" si="200"/>
        <v>45589</v>
      </c>
      <c r="H2480">
        <v>1339689748</v>
      </c>
      <c r="I2480" t="s">
        <v>20</v>
      </c>
      <c r="K2480" t="s">
        <v>21</v>
      </c>
      <c r="L2480" t="s">
        <v>22</v>
      </c>
      <c r="M2480" t="s">
        <v>23</v>
      </c>
      <c r="N2480" t="s">
        <v>23</v>
      </c>
      <c r="O2480" t="s">
        <v>24</v>
      </c>
      <c r="P2480" s="8" t="s">
        <v>3016</v>
      </c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</row>
    <row r="2481" spans="1:51" hidden="1" x14ac:dyDescent="0.2">
      <c r="A2481" s="6"/>
      <c r="E2481" s="2"/>
      <c r="F2481" s="3"/>
      <c r="G2481" s="3"/>
      <c r="P2481" s="8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</row>
    <row r="2482" spans="1:51" x14ac:dyDescent="0.2">
      <c r="A2482" s="6" t="s">
        <v>17</v>
      </c>
      <c r="B2482" t="s">
        <v>223</v>
      </c>
      <c r="C2482" t="s">
        <v>223</v>
      </c>
      <c r="D2482" t="s">
        <v>3017</v>
      </c>
      <c r="E2482" s="2">
        <v>3430.97</v>
      </c>
      <c r="F2482" s="3">
        <f t="shared" si="200"/>
        <v>45589</v>
      </c>
      <c r="G2482" s="3">
        <f t="shared" si="200"/>
        <v>45589</v>
      </c>
      <c r="H2482">
        <v>1339689750</v>
      </c>
      <c r="I2482" t="s">
        <v>20</v>
      </c>
      <c r="K2482" t="s">
        <v>21</v>
      </c>
      <c r="L2482" t="s">
        <v>22</v>
      </c>
      <c r="M2482" t="s">
        <v>23</v>
      </c>
      <c r="N2482" t="s">
        <v>23</v>
      </c>
      <c r="O2482" t="s">
        <v>24</v>
      </c>
      <c r="P2482" s="8" t="s">
        <v>3018</v>
      </c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</row>
    <row r="2483" spans="1:51" x14ac:dyDescent="0.2">
      <c r="A2483" s="6" t="s">
        <v>17</v>
      </c>
      <c r="B2483" t="s">
        <v>316</v>
      </c>
      <c r="C2483" t="s">
        <v>316</v>
      </c>
      <c r="D2483" t="s">
        <v>3019</v>
      </c>
      <c r="E2483" s="2">
        <v>12</v>
      </c>
      <c r="F2483" s="3">
        <f>DATE(2024,10,25)</f>
        <v>45590</v>
      </c>
      <c r="G2483" s="3">
        <f>DATE(2024,10,25)</f>
        <v>45590</v>
      </c>
      <c r="H2483">
        <v>1339689751</v>
      </c>
      <c r="I2483" t="s">
        <v>20</v>
      </c>
      <c r="K2483" t="s">
        <v>21</v>
      </c>
      <c r="L2483" t="s">
        <v>22</v>
      </c>
      <c r="M2483" t="s">
        <v>23</v>
      </c>
      <c r="N2483" t="s">
        <v>23</v>
      </c>
      <c r="O2483" t="s">
        <v>24</v>
      </c>
      <c r="P2483" s="8" t="s">
        <v>3020</v>
      </c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</row>
    <row r="2484" spans="1:51" hidden="1" x14ac:dyDescent="0.2">
      <c r="A2484" s="6"/>
      <c r="E2484" s="2"/>
      <c r="F2484" s="3"/>
      <c r="G2484" s="3"/>
      <c r="P2484" s="8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</row>
    <row r="2485" spans="1:51" hidden="1" x14ac:dyDescent="0.2">
      <c r="A2485" s="6"/>
      <c r="E2485" s="2"/>
      <c r="F2485" s="3"/>
      <c r="G2485" s="3"/>
      <c r="P2485" s="8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</row>
    <row r="2486" spans="1:51" hidden="1" x14ac:dyDescent="0.2">
      <c r="A2486" s="6"/>
      <c r="E2486" s="2"/>
      <c r="F2486" s="3"/>
      <c r="G2486" s="3"/>
      <c r="P2486" s="8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</row>
    <row r="2487" spans="1:51" x14ac:dyDescent="0.2">
      <c r="A2487" s="6" t="s">
        <v>17</v>
      </c>
      <c r="B2487" t="s">
        <v>179</v>
      </c>
      <c r="C2487" t="s">
        <v>180</v>
      </c>
      <c r="D2487" t="s">
        <v>1940</v>
      </c>
      <c r="E2487" s="2">
        <v>111.43</v>
      </c>
      <c r="F2487" s="3">
        <f>DATE(2024,10,23)</f>
        <v>45588</v>
      </c>
      <c r="G2487" s="3">
        <f>DATE(2024,10,23)</f>
        <v>45588</v>
      </c>
      <c r="H2487">
        <v>1339689771</v>
      </c>
      <c r="I2487" t="s">
        <v>51</v>
      </c>
      <c r="K2487" t="s">
        <v>21</v>
      </c>
      <c r="L2487" t="s">
        <v>22</v>
      </c>
      <c r="M2487" t="s">
        <v>23</v>
      </c>
      <c r="N2487" t="s">
        <v>23</v>
      </c>
      <c r="O2487" t="s">
        <v>24</v>
      </c>
      <c r="P2487" s="8" t="s">
        <v>3021</v>
      </c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</row>
    <row r="2488" spans="1:51" x14ac:dyDescent="0.2">
      <c r="A2488" s="6" t="s">
        <v>17</v>
      </c>
      <c r="B2488" t="s">
        <v>44</v>
      </c>
      <c r="C2488" t="s">
        <v>45</v>
      </c>
      <c r="D2488" t="s">
        <v>1648</v>
      </c>
      <c r="E2488" s="2">
        <v>191.67</v>
      </c>
      <c r="F2488" s="3">
        <f>DATE(2024,10,23)</f>
        <v>45588</v>
      </c>
      <c r="G2488" s="3">
        <f>DATE(2024,10,23)</f>
        <v>45588</v>
      </c>
      <c r="H2488">
        <v>1339689772</v>
      </c>
      <c r="I2488" t="s">
        <v>51</v>
      </c>
      <c r="K2488" t="s">
        <v>21</v>
      </c>
      <c r="L2488" t="s">
        <v>22</v>
      </c>
      <c r="M2488" t="s">
        <v>23</v>
      </c>
      <c r="N2488" t="s">
        <v>23</v>
      </c>
      <c r="O2488" t="s">
        <v>24</v>
      </c>
      <c r="P2488" s="8" t="s">
        <v>3022</v>
      </c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</row>
    <row r="2489" spans="1:51" x14ac:dyDescent="0.2">
      <c r="A2489" s="6" t="s">
        <v>17</v>
      </c>
      <c r="B2489" t="s">
        <v>110</v>
      </c>
      <c r="C2489" t="s">
        <v>111</v>
      </c>
      <c r="D2489" t="s">
        <v>3023</v>
      </c>
      <c r="E2489" s="2">
        <v>1.45</v>
      </c>
      <c r="F2489" s="3">
        <f t="shared" ref="F2489:G2491" si="201">DATE(2024,10,24)</f>
        <v>45589</v>
      </c>
      <c r="G2489" s="3">
        <f t="shared" si="201"/>
        <v>45589</v>
      </c>
      <c r="H2489">
        <v>1339695825</v>
      </c>
      <c r="I2489" t="s">
        <v>73</v>
      </c>
      <c r="K2489" t="s">
        <v>21</v>
      </c>
      <c r="L2489" t="s">
        <v>22</v>
      </c>
      <c r="M2489" t="s">
        <v>23</v>
      </c>
      <c r="N2489" t="s">
        <v>23</v>
      </c>
      <c r="O2489" t="s">
        <v>24</v>
      </c>
      <c r="P2489" s="8" t="s">
        <v>3024</v>
      </c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</row>
    <row r="2490" spans="1:51" hidden="1" x14ac:dyDescent="0.2">
      <c r="A2490" s="6"/>
      <c r="E2490" s="2"/>
      <c r="F2490" s="3"/>
      <c r="G2490" s="3"/>
      <c r="P2490" s="8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</row>
    <row r="2491" spans="1:51" hidden="1" x14ac:dyDescent="0.2">
      <c r="A2491" s="6"/>
      <c r="E2491" s="2"/>
      <c r="F2491" s="3"/>
      <c r="G2491" s="3"/>
      <c r="P2491" s="8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</row>
    <row r="2492" spans="1:51" x14ac:dyDescent="0.2">
      <c r="A2492" s="6" t="s">
        <v>17</v>
      </c>
      <c r="B2492" t="s">
        <v>1496</v>
      </c>
      <c r="C2492" t="s">
        <v>1497</v>
      </c>
      <c r="D2492" t="s">
        <v>3025</v>
      </c>
      <c r="E2492" s="2">
        <v>20771</v>
      </c>
      <c r="F2492" s="3">
        <f t="shared" ref="F2492:G2501" si="202">DATE(2024,10,25)</f>
        <v>45590</v>
      </c>
      <c r="G2492" s="3">
        <f t="shared" si="202"/>
        <v>45590</v>
      </c>
      <c r="H2492">
        <v>1342817841</v>
      </c>
      <c r="I2492" t="s">
        <v>20</v>
      </c>
      <c r="K2492" t="s">
        <v>21</v>
      </c>
      <c r="L2492" t="s">
        <v>22</v>
      </c>
      <c r="M2492" t="s">
        <v>23</v>
      </c>
      <c r="N2492" t="s">
        <v>23</v>
      </c>
      <c r="O2492" t="s">
        <v>24</v>
      </c>
      <c r="P2492" s="8" t="s">
        <v>3026</v>
      </c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</row>
    <row r="2493" spans="1:51" x14ac:dyDescent="0.2">
      <c r="A2493" s="6" t="s">
        <v>17</v>
      </c>
      <c r="B2493" t="s">
        <v>179</v>
      </c>
      <c r="C2493" t="s">
        <v>180</v>
      </c>
      <c r="D2493" t="s">
        <v>3027</v>
      </c>
      <c r="E2493" s="2">
        <v>56.13</v>
      </c>
      <c r="F2493" s="3">
        <f t="shared" si="202"/>
        <v>45590</v>
      </c>
      <c r="G2493" s="3">
        <f t="shared" si="202"/>
        <v>45590</v>
      </c>
      <c r="H2493">
        <v>1342817842</v>
      </c>
      <c r="I2493" t="s">
        <v>20</v>
      </c>
      <c r="K2493" t="s">
        <v>21</v>
      </c>
      <c r="L2493" t="s">
        <v>22</v>
      </c>
      <c r="M2493" t="s">
        <v>23</v>
      </c>
      <c r="N2493" t="s">
        <v>23</v>
      </c>
      <c r="O2493" t="s">
        <v>24</v>
      </c>
      <c r="P2493" s="8" t="s">
        <v>3028</v>
      </c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</row>
    <row r="2494" spans="1:51" x14ac:dyDescent="0.2">
      <c r="A2494" s="6" t="s">
        <v>17</v>
      </c>
      <c r="B2494" t="s">
        <v>674</v>
      </c>
      <c r="C2494" t="s">
        <v>675</v>
      </c>
      <c r="D2494" t="s">
        <v>3029</v>
      </c>
      <c r="E2494" s="2">
        <v>594.29999999999995</v>
      </c>
      <c r="F2494" s="3">
        <f t="shared" si="202"/>
        <v>45590</v>
      </c>
      <c r="G2494" s="3">
        <f t="shared" si="202"/>
        <v>45590</v>
      </c>
      <c r="H2494">
        <v>1342817843</v>
      </c>
      <c r="I2494" t="s">
        <v>20</v>
      </c>
      <c r="K2494" t="s">
        <v>21</v>
      </c>
      <c r="L2494" t="s">
        <v>22</v>
      </c>
      <c r="M2494" t="s">
        <v>23</v>
      </c>
      <c r="N2494" t="s">
        <v>23</v>
      </c>
      <c r="O2494" t="s">
        <v>24</v>
      </c>
      <c r="P2494" s="8" t="s">
        <v>3030</v>
      </c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</row>
    <row r="2495" spans="1:51" x14ac:dyDescent="0.2">
      <c r="A2495" s="6" t="s">
        <v>17</v>
      </c>
      <c r="B2495" t="s">
        <v>137</v>
      </c>
      <c r="C2495" t="s">
        <v>138</v>
      </c>
      <c r="D2495" t="s">
        <v>3031</v>
      </c>
      <c r="E2495" s="2">
        <v>180</v>
      </c>
      <c r="F2495" s="3">
        <f t="shared" si="202"/>
        <v>45590</v>
      </c>
      <c r="G2495" s="3">
        <f t="shared" si="202"/>
        <v>45590</v>
      </c>
      <c r="H2495">
        <v>1342817844</v>
      </c>
      <c r="I2495" t="s">
        <v>20</v>
      </c>
      <c r="K2495" t="s">
        <v>21</v>
      </c>
      <c r="L2495" t="s">
        <v>22</v>
      </c>
      <c r="M2495" t="s">
        <v>23</v>
      </c>
      <c r="N2495" t="s">
        <v>23</v>
      </c>
      <c r="O2495" t="s">
        <v>24</v>
      </c>
      <c r="P2495" s="8" t="s">
        <v>3032</v>
      </c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</row>
    <row r="2496" spans="1:51" x14ac:dyDescent="0.2">
      <c r="A2496" s="6" t="s">
        <v>17</v>
      </c>
      <c r="B2496" t="s">
        <v>61</v>
      </c>
      <c r="C2496" t="s">
        <v>62</v>
      </c>
      <c r="D2496" t="s">
        <v>3033</v>
      </c>
      <c r="E2496" s="2">
        <v>720</v>
      </c>
      <c r="F2496" s="3">
        <f t="shared" si="202"/>
        <v>45590</v>
      </c>
      <c r="G2496" s="3">
        <f t="shared" si="202"/>
        <v>45590</v>
      </c>
      <c r="H2496">
        <v>1342817845</v>
      </c>
      <c r="I2496" t="s">
        <v>20</v>
      </c>
      <c r="K2496" t="s">
        <v>21</v>
      </c>
      <c r="L2496" t="s">
        <v>22</v>
      </c>
      <c r="M2496" t="s">
        <v>23</v>
      </c>
      <c r="N2496" t="s">
        <v>23</v>
      </c>
      <c r="O2496" t="s">
        <v>24</v>
      </c>
      <c r="P2496" s="8" t="s">
        <v>3034</v>
      </c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</row>
    <row r="2497" spans="1:51" x14ac:dyDescent="0.2">
      <c r="A2497" s="6" t="s">
        <v>17</v>
      </c>
      <c r="B2497" t="s">
        <v>179</v>
      </c>
      <c r="C2497" t="s">
        <v>180</v>
      </c>
      <c r="D2497" t="s">
        <v>3035</v>
      </c>
      <c r="E2497" s="2">
        <v>472.64</v>
      </c>
      <c r="F2497" s="3">
        <f t="shared" si="202"/>
        <v>45590</v>
      </c>
      <c r="G2497" s="3">
        <f t="shared" si="202"/>
        <v>45590</v>
      </c>
      <c r="H2497">
        <v>1342817846</v>
      </c>
      <c r="I2497" t="s">
        <v>20</v>
      </c>
      <c r="K2497" t="s">
        <v>21</v>
      </c>
      <c r="L2497" t="s">
        <v>22</v>
      </c>
      <c r="M2497" t="s">
        <v>23</v>
      </c>
      <c r="N2497" t="s">
        <v>23</v>
      </c>
      <c r="O2497" t="s">
        <v>24</v>
      </c>
      <c r="P2497" s="8" t="s">
        <v>3036</v>
      </c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</row>
    <row r="2498" spans="1:51" x14ac:dyDescent="0.2">
      <c r="A2498" s="6" t="s">
        <v>17</v>
      </c>
      <c r="B2498" t="s">
        <v>261</v>
      </c>
      <c r="C2498" t="s">
        <v>262</v>
      </c>
      <c r="D2498" t="s">
        <v>3037</v>
      </c>
      <c r="E2498" s="2">
        <v>2623.06</v>
      </c>
      <c r="F2498" s="3">
        <f t="shared" si="202"/>
        <v>45590</v>
      </c>
      <c r="G2498" s="3">
        <f t="shared" si="202"/>
        <v>45590</v>
      </c>
      <c r="H2498">
        <v>1342817847</v>
      </c>
      <c r="I2498" t="s">
        <v>20</v>
      </c>
      <c r="K2498" t="s">
        <v>21</v>
      </c>
      <c r="L2498" t="s">
        <v>22</v>
      </c>
      <c r="M2498" t="s">
        <v>23</v>
      </c>
      <c r="N2498" t="s">
        <v>23</v>
      </c>
      <c r="O2498" t="s">
        <v>24</v>
      </c>
      <c r="P2498" s="8" t="s">
        <v>3038</v>
      </c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</row>
    <row r="2499" spans="1:51" x14ac:dyDescent="0.2">
      <c r="A2499" s="6" t="s">
        <v>17</v>
      </c>
      <c r="B2499" t="s">
        <v>61</v>
      </c>
      <c r="C2499" t="s">
        <v>62</v>
      </c>
      <c r="D2499" t="s">
        <v>3039</v>
      </c>
      <c r="E2499" s="2">
        <v>720</v>
      </c>
      <c r="F2499" s="3">
        <f t="shared" si="202"/>
        <v>45590</v>
      </c>
      <c r="G2499" s="3">
        <f t="shared" si="202"/>
        <v>45590</v>
      </c>
      <c r="H2499">
        <v>1342817848</v>
      </c>
      <c r="I2499" t="s">
        <v>20</v>
      </c>
      <c r="K2499" t="s">
        <v>21</v>
      </c>
      <c r="L2499" t="s">
        <v>22</v>
      </c>
      <c r="M2499" t="s">
        <v>23</v>
      </c>
      <c r="N2499" t="s">
        <v>23</v>
      </c>
      <c r="O2499" t="s">
        <v>24</v>
      </c>
      <c r="P2499" s="8" t="s">
        <v>3040</v>
      </c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</row>
    <row r="2500" spans="1:51" hidden="1" x14ac:dyDescent="0.2">
      <c r="A2500" s="6"/>
      <c r="E2500" s="2"/>
      <c r="F2500" s="3"/>
      <c r="G2500" s="3"/>
      <c r="P2500" s="8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</row>
    <row r="2501" spans="1:51" hidden="1" x14ac:dyDescent="0.2">
      <c r="A2501" s="6"/>
      <c r="E2501" s="2"/>
      <c r="F2501" s="3"/>
      <c r="G2501" s="3"/>
      <c r="P2501" s="8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</row>
    <row r="2502" spans="1:51" hidden="1" x14ac:dyDescent="0.2">
      <c r="A2502" s="6"/>
      <c r="E2502" s="2"/>
      <c r="F2502" s="3"/>
      <c r="G2502" s="3"/>
      <c r="P2502" s="8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</row>
    <row r="2503" spans="1:51" hidden="1" x14ac:dyDescent="0.2">
      <c r="A2503" s="6"/>
      <c r="E2503" s="2"/>
      <c r="F2503" s="3"/>
      <c r="G2503" s="3"/>
      <c r="P2503" s="8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</row>
    <row r="2504" spans="1:51" x14ac:dyDescent="0.2">
      <c r="A2504" s="6" t="s">
        <v>17</v>
      </c>
      <c r="B2504" t="s">
        <v>57</v>
      </c>
      <c r="C2504" t="s">
        <v>58</v>
      </c>
      <c r="D2504" t="s">
        <v>3041</v>
      </c>
      <c r="E2504" s="2">
        <v>64.98</v>
      </c>
      <c r="F2504" s="3">
        <f t="shared" ref="F2504:G2508" si="203">DATE(2024,10,28)</f>
        <v>45593</v>
      </c>
      <c r="G2504" s="3">
        <f t="shared" si="203"/>
        <v>45593</v>
      </c>
      <c r="H2504">
        <v>1350419894</v>
      </c>
      <c r="I2504" t="s">
        <v>20</v>
      </c>
      <c r="K2504" t="s">
        <v>21</v>
      </c>
      <c r="L2504" t="s">
        <v>22</v>
      </c>
      <c r="M2504" t="s">
        <v>23</v>
      </c>
      <c r="N2504" t="s">
        <v>23</v>
      </c>
      <c r="O2504" t="s">
        <v>24</v>
      </c>
      <c r="P2504" s="8" t="s">
        <v>3042</v>
      </c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</row>
    <row r="2505" spans="1:51" hidden="1" x14ac:dyDescent="0.2">
      <c r="A2505" s="6"/>
      <c r="E2505" s="2"/>
      <c r="F2505" s="3"/>
      <c r="G2505" s="3"/>
      <c r="P2505" s="8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</row>
    <row r="2506" spans="1:51" hidden="1" x14ac:dyDescent="0.2">
      <c r="A2506" s="6"/>
      <c r="E2506" s="2"/>
      <c r="F2506" s="3"/>
      <c r="G2506" s="3"/>
      <c r="P2506" s="8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</row>
    <row r="2507" spans="1:51" hidden="1" x14ac:dyDescent="0.2">
      <c r="A2507" s="6"/>
      <c r="E2507" s="2"/>
      <c r="F2507" s="3"/>
      <c r="G2507" s="3"/>
      <c r="P2507" s="8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</row>
    <row r="2508" spans="1:51" hidden="1" x14ac:dyDescent="0.2">
      <c r="A2508" s="6"/>
      <c r="E2508" s="2"/>
      <c r="F2508" s="3"/>
      <c r="G2508" s="3"/>
      <c r="P2508" s="8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</row>
    <row r="2509" spans="1:51" x14ac:dyDescent="0.2">
      <c r="A2509" s="6" t="s">
        <v>17</v>
      </c>
      <c r="B2509" t="s">
        <v>316</v>
      </c>
      <c r="C2509" t="s">
        <v>316</v>
      </c>
      <c r="D2509" t="s">
        <v>3043</v>
      </c>
      <c r="E2509" s="2">
        <v>100</v>
      </c>
      <c r="F2509" s="3">
        <f>DATE(2024,10,26)</f>
        <v>45591</v>
      </c>
      <c r="G2509" s="3">
        <f>DATE(2024,10,26)</f>
        <v>45591</v>
      </c>
      <c r="H2509">
        <v>1350419899</v>
      </c>
      <c r="I2509" t="s">
        <v>51</v>
      </c>
      <c r="K2509" t="s">
        <v>21</v>
      </c>
      <c r="L2509" t="s">
        <v>22</v>
      </c>
      <c r="M2509" t="s">
        <v>23</v>
      </c>
      <c r="N2509" t="s">
        <v>23</v>
      </c>
      <c r="O2509" t="s">
        <v>24</v>
      </c>
      <c r="P2509" s="8" t="s">
        <v>3044</v>
      </c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</row>
    <row r="2510" spans="1:51" hidden="1" x14ac:dyDescent="0.2">
      <c r="A2510" s="6"/>
      <c r="E2510" s="2"/>
      <c r="F2510" s="3"/>
      <c r="G2510" s="3"/>
      <c r="P2510" s="8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</row>
    <row r="2511" spans="1:51" hidden="1" x14ac:dyDescent="0.2">
      <c r="A2511" s="6"/>
      <c r="E2511" s="2"/>
      <c r="F2511" s="3"/>
      <c r="G2511" s="3"/>
      <c r="P2511" s="8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</row>
    <row r="2512" spans="1:51" hidden="1" x14ac:dyDescent="0.2">
      <c r="A2512" s="6"/>
      <c r="E2512" s="2"/>
      <c r="F2512" s="3"/>
      <c r="G2512" s="3"/>
      <c r="P2512" s="8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</row>
    <row r="2513" spans="1:51" hidden="1" x14ac:dyDescent="0.2">
      <c r="A2513" s="6"/>
      <c r="E2513" s="2"/>
      <c r="F2513" s="3"/>
      <c r="G2513" s="3"/>
      <c r="P2513" s="8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</row>
    <row r="2514" spans="1:51" x14ac:dyDescent="0.2">
      <c r="A2514" s="6" t="s">
        <v>17</v>
      </c>
      <c r="B2514" t="s">
        <v>232</v>
      </c>
      <c r="C2514" t="s">
        <v>233</v>
      </c>
      <c r="D2514" t="s">
        <v>3045</v>
      </c>
      <c r="E2514" s="2">
        <v>12146</v>
      </c>
      <c r="F2514" s="3">
        <f>DATE(2024,10,29)</f>
        <v>45594</v>
      </c>
      <c r="G2514" s="3">
        <f>DATE(2024,10,29)</f>
        <v>45594</v>
      </c>
      <c r="H2514">
        <v>1356235022</v>
      </c>
      <c r="I2514" t="s">
        <v>20</v>
      </c>
      <c r="K2514" t="s">
        <v>21</v>
      </c>
      <c r="L2514" t="s">
        <v>22</v>
      </c>
      <c r="M2514" t="s">
        <v>23</v>
      </c>
      <c r="N2514" t="s">
        <v>23</v>
      </c>
      <c r="O2514" t="s">
        <v>24</v>
      </c>
      <c r="P2514" s="8" t="s">
        <v>3046</v>
      </c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</row>
    <row r="2515" spans="1:51" x14ac:dyDescent="0.2">
      <c r="A2515" s="6" t="s">
        <v>17</v>
      </c>
      <c r="B2515" t="s">
        <v>655</v>
      </c>
      <c r="C2515" t="s">
        <v>656</v>
      </c>
      <c r="D2515" t="s">
        <v>3047</v>
      </c>
      <c r="E2515" s="2">
        <v>1391.88</v>
      </c>
      <c r="F2515" s="3">
        <f>DATE(2024,10,30)</f>
        <v>45595</v>
      </c>
      <c r="G2515" s="3">
        <f>DATE(2024,10,30)</f>
        <v>45595</v>
      </c>
      <c r="H2515">
        <v>1356235023</v>
      </c>
      <c r="I2515" t="s">
        <v>20</v>
      </c>
      <c r="K2515" t="s">
        <v>21</v>
      </c>
      <c r="L2515" t="s">
        <v>22</v>
      </c>
      <c r="M2515" t="s">
        <v>23</v>
      </c>
      <c r="N2515" t="s">
        <v>23</v>
      </c>
      <c r="O2515" t="s">
        <v>24</v>
      </c>
      <c r="P2515" s="8" t="s">
        <v>3048</v>
      </c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</row>
    <row r="2516" spans="1:51" x14ac:dyDescent="0.2">
      <c r="A2516" s="6" t="s">
        <v>17</v>
      </c>
      <c r="B2516" t="s">
        <v>144</v>
      </c>
      <c r="C2516" t="s">
        <v>145</v>
      </c>
      <c r="D2516" t="s">
        <v>3049</v>
      </c>
      <c r="E2516" s="2">
        <v>49</v>
      </c>
      <c r="F2516" s="3">
        <f>DATE(2024,10,28)</f>
        <v>45593</v>
      </c>
      <c r="G2516" s="3">
        <f>DATE(2024,10,28)</f>
        <v>45593</v>
      </c>
      <c r="H2516">
        <v>1356235024</v>
      </c>
      <c r="I2516" t="s">
        <v>51</v>
      </c>
      <c r="K2516" t="s">
        <v>21</v>
      </c>
      <c r="L2516" t="s">
        <v>22</v>
      </c>
      <c r="M2516" t="s">
        <v>23</v>
      </c>
      <c r="N2516" t="s">
        <v>23</v>
      </c>
      <c r="O2516" t="s">
        <v>24</v>
      </c>
      <c r="P2516" s="8" t="s">
        <v>3050</v>
      </c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</row>
    <row r="2517" spans="1:51" x14ac:dyDescent="0.2">
      <c r="A2517" s="6" t="s">
        <v>17</v>
      </c>
      <c r="B2517" t="s">
        <v>144</v>
      </c>
      <c r="C2517" t="s">
        <v>145</v>
      </c>
      <c r="D2517" t="s">
        <v>3049</v>
      </c>
      <c r="E2517" s="2">
        <v>537</v>
      </c>
      <c r="F2517" s="3">
        <f>DATE(2024,10,28)</f>
        <v>45593</v>
      </c>
      <c r="G2517" s="3">
        <f>DATE(2024,10,28)</f>
        <v>45593</v>
      </c>
      <c r="H2517">
        <v>1356235025</v>
      </c>
      <c r="I2517" t="s">
        <v>51</v>
      </c>
      <c r="K2517" t="s">
        <v>21</v>
      </c>
      <c r="L2517" t="s">
        <v>22</v>
      </c>
      <c r="M2517" t="s">
        <v>23</v>
      </c>
      <c r="N2517" t="s">
        <v>23</v>
      </c>
      <c r="O2517" t="s">
        <v>24</v>
      </c>
      <c r="P2517" s="8" t="s">
        <v>3051</v>
      </c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</row>
    <row r="2518" spans="1:51" hidden="1" x14ac:dyDescent="0.2">
      <c r="A2518" s="6"/>
      <c r="E2518" s="2"/>
      <c r="F2518" s="3"/>
      <c r="G2518" s="3"/>
      <c r="P2518" s="8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</row>
    <row r="2519" spans="1:51" hidden="1" x14ac:dyDescent="0.2">
      <c r="A2519" s="6"/>
      <c r="E2519" s="2"/>
      <c r="F2519" s="3"/>
      <c r="G2519" s="3"/>
      <c r="P2519" s="8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</row>
    <row r="2520" spans="1:51" x14ac:dyDescent="0.2">
      <c r="A2520" s="6" t="s">
        <v>17</v>
      </c>
      <c r="B2520" t="s">
        <v>312</v>
      </c>
      <c r="C2520" t="s">
        <v>313</v>
      </c>
      <c r="D2520" t="s">
        <v>3052</v>
      </c>
      <c r="E2520" s="2">
        <v>573</v>
      </c>
      <c r="F2520" s="3">
        <f t="shared" ref="F2519:G2523" si="204">DATE(2024,10,30)</f>
        <v>45595</v>
      </c>
      <c r="G2520" s="3">
        <f t="shared" si="204"/>
        <v>45595</v>
      </c>
      <c r="H2520">
        <v>1361208603</v>
      </c>
      <c r="I2520" t="s">
        <v>20</v>
      </c>
      <c r="K2520" t="s">
        <v>21</v>
      </c>
      <c r="L2520" t="s">
        <v>22</v>
      </c>
      <c r="M2520" t="s">
        <v>23</v>
      </c>
      <c r="N2520" t="s">
        <v>23</v>
      </c>
      <c r="O2520" t="s">
        <v>24</v>
      </c>
      <c r="P2520" s="8" t="s">
        <v>3053</v>
      </c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</row>
    <row r="2521" spans="1:51" x14ac:dyDescent="0.2">
      <c r="A2521" s="6" t="s">
        <v>17</v>
      </c>
      <c r="B2521" t="s">
        <v>65</v>
      </c>
      <c r="C2521" t="s">
        <v>66</v>
      </c>
      <c r="D2521" t="s">
        <v>3054</v>
      </c>
      <c r="E2521" s="2">
        <v>397.2</v>
      </c>
      <c r="F2521" s="3">
        <f t="shared" si="204"/>
        <v>45595</v>
      </c>
      <c r="G2521" s="3">
        <f t="shared" si="204"/>
        <v>45595</v>
      </c>
      <c r="H2521">
        <v>1361208604</v>
      </c>
      <c r="I2521" t="s">
        <v>20</v>
      </c>
      <c r="K2521" t="s">
        <v>21</v>
      </c>
      <c r="L2521" t="s">
        <v>22</v>
      </c>
      <c r="M2521" t="s">
        <v>23</v>
      </c>
      <c r="N2521" t="s">
        <v>23</v>
      </c>
      <c r="O2521" t="s">
        <v>24</v>
      </c>
      <c r="P2521" s="8" t="s">
        <v>3055</v>
      </c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</row>
    <row r="2522" spans="1:51" hidden="1" x14ac:dyDescent="0.2">
      <c r="A2522" s="6"/>
      <c r="E2522" s="2"/>
      <c r="F2522" s="3"/>
      <c r="G2522" s="3"/>
      <c r="P2522" s="8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</row>
    <row r="2523" spans="1:51" x14ac:dyDescent="0.2">
      <c r="A2523" s="6" t="s">
        <v>17</v>
      </c>
      <c r="B2523" t="s">
        <v>44</v>
      </c>
      <c r="C2523" t="s">
        <v>45</v>
      </c>
      <c r="D2523" t="s">
        <v>3056</v>
      </c>
      <c r="E2523" s="2">
        <v>422.83</v>
      </c>
      <c r="F2523" s="3">
        <f t="shared" si="204"/>
        <v>45595</v>
      </c>
      <c r="G2523" s="3">
        <f t="shared" si="204"/>
        <v>45595</v>
      </c>
      <c r="H2523">
        <v>1361208606</v>
      </c>
      <c r="I2523" t="s">
        <v>20</v>
      </c>
      <c r="K2523" t="s">
        <v>21</v>
      </c>
      <c r="L2523" t="s">
        <v>22</v>
      </c>
      <c r="M2523" t="s">
        <v>23</v>
      </c>
      <c r="N2523" t="s">
        <v>23</v>
      </c>
      <c r="O2523" t="s">
        <v>24</v>
      </c>
      <c r="P2523" s="8" t="s">
        <v>3057</v>
      </c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</row>
    <row r="2524" spans="1:51" x14ac:dyDescent="0.2">
      <c r="A2524" s="6" t="s">
        <v>17</v>
      </c>
      <c r="B2524" t="s">
        <v>611</v>
      </c>
      <c r="C2524" t="s">
        <v>612</v>
      </c>
      <c r="D2524" t="s">
        <v>3058</v>
      </c>
      <c r="E2524" s="2">
        <v>2191.87</v>
      </c>
      <c r="F2524" s="3">
        <f>DATE(2024,10,31)</f>
        <v>45596</v>
      </c>
      <c r="G2524" s="3">
        <f>DATE(2024,10,31)</f>
        <v>45596</v>
      </c>
      <c r="H2524">
        <v>1361208607</v>
      </c>
      <c r="I2524" t="s">
        <v>20</v>
      </c>
      <c r="K2524" t="s">
        <v>21</v>
      </c>
      <c r="L2524" t="s">
        <v>22</v>
      </c>
      <c r="M2524" t="s">
        <v>23</v>
      </c>
      <c r="N2524" t="s">
        <v>23</v>
      </c>
      <c r="O2524" t="s">
        <v>24</v>
      </c>
      <c r="P2524" s="8" t="s">
        <v>3059</v>
      </c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</row>
    <row r="2525" spans="1:51" x14ac:dyDescent="0.2">
      <c r="A2525" s="6" t="s">
        <v>17</v>
      </c>
      <c r="B2525" t="s">
        <v>44</v>
      </c>
      <c r="C2525" t="s">
        <v>45</v>
      </c>
      <c r="D2525" t="s">
        <v>3060</v>
      </c>
      <c r="E2525" s="2">
        <v>588.11</v>
      </c>
      <c r="F2525" s="3">
        <f>DATE(2024,10,31)</f>
        <v>45596</v>
      </c>
      <c r="G2525" s="3">
        <f>DATE(2024,10,31)</f>
        <v>45596</v>
      </c>
      <c r="H2525">
        <v>1361208608</v>
      </c>
      <c r="I2525" t="s">
        <v>20</v>
      </c>
      <c r="K2525" t="s">
        <v>21</v>
      </c>
      <c r="L2525" t="s">
        <v>22</v>
      </c>
      <c r="M2525" t="s">
        <v>23</v>
      </c>
      <c r="N2525" t="s">
        <v>23</v>
      </c>
      <c r="O2525" t="s">
        <v>24</v>
      </c>
      <c r="P2525" s="8" t="s">
        <v>3061</v>
      </c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</row>
    <row r="2526" spans="1:51" x14ac:dyDescent="0.2">
      <c r="A2526" s="6" t="s">
        <v>17</v>
      </c>
      <c r="B2526" t="s">
        <v>179</v>
      </c>
      <c r="C2526" t="s">
        <v>180</v>
      </c>
      <c r="D2526" t="s">
        <v>3062</v>
      </c>
      <c r="E2526" s="2">
        <v>362.97</v>
      </c>
      <c r="F2526" s="3">
        <f t="shared" ref="F2526:G2534" si="205">DATE(2024,10,30)</f>
        <v>45595</v>
      </c>
      <c r="G2526" s="3">
        <f t="shared" si="205"/>
        <v>45595</v>
      </c>
      <c r="H2526">
        <v>1361208609</v>
      </c>
      <c r="I2526" t="s">
        <v>20</v>
      </c>
      <c r="K2526" t="s">
        <v>21</v>
      </c>
      <c r="L2526" t="s">
        <v>22</v>
      </c>
      <c r="M2526" t="s">
        <v>23</v>
      </c>
      <c r="N2526" t="s">
        <v>23</v>
      </c>
      <c r="O2526" t="s">
        <v>24</v>
      </c>
      <c r="P2526" s="8" t="s">
        <v>3063</v>
      </c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</row>
    <row r="2527" spans="1:51" x14ac:dyDescent="0.2">
      <c r="A2527" s="6" t="s">
        <v>17</v>
      </c>
      <c r="B2527" t="s">
        <v>611</v>
      </c>
      <c r="C2527" t="s">
        <v>612</v>
      </c>
      <c r="D2527" t="s">
        <v>3064</v>
      </c>
      <c r="E2527" s="2">
        <v>504</v>
      </c>
      <c r="F2527" s="3">
        <f t="shared" si="205"/>
        <v>45595</v>
      </c>
      <c r="G2527" s="3">
        <f t="shared" si="205"/>
        <v>45595</v>
      </c>
      <c r="H2527">
        <v>1361208610</v>
      </c>
      <c r="I2527" t="s">
        <v>20</v>
      </c>
      <c r="K2527" t="s">
        <v>21</v>
      </c>
      <c r="L2527" t="s">
        <v>22</v>
      </c>
      <c r="M2527" t="s">
        <v>23</v>
      </c>
      <c r="N2527" t="s">
        <v>23</v>
      </c>
      <c r="O2527" t="s">
        <v>24</v>
      </c>
      <c r="P2527" s="8" t="s">
        <v>3065</v>
      </c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</row>
    <row r="2528" spans="1:51" x14ac:dyDescent="0.2">
      <c r="A2528" s="6" t="s">
        <v>17</v>
      </c>
      <c r="B2528" t="s">
        <v>110</v>
      </c>
      <c r="C2528" t="s">
        <v>111</v>
      </c>
      <c r="D2528" t="s">
        <v>3066</v>
      </c>
      <c r="E2528" s="2">
        <v>612.19000000000005</v>
      </c>
      <c r="F2528" s="3">
        <f t="shared" si="205"/>
        <v>45595</v>
      </c>
      <c r="G2528" s="3">
        <f t="shared" si="205"/>
        <v>45595</v>
      </c>
      <c r="H2528">
        <v>1361208611</v>
      </c>
      <c r="I2528" t="s">
        <v>20</v>
      </c>
      <c r="K2528" t="s">
        <v>21</v>
      </c>
      <c r="L2528" t="s">
        <v>22</v>
      </c>
      <c r="M2528" t="s">
        <v>23</v>
      </c>
      <c r="N2528" t="s">
        <v>23</v>
      </c>
      <c r="O2528" t="s">
        <v>24</v>
      </c>
      <c r="P2528" s="8" t="s">
        <v>3067</v>
      </c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</row>
    <row r="2529" spans="1:51" x14ac:dyDescent="0.2">
      <c r="A2529" s="6" t="s">
        <v>17</v>
      </c>
      <c r="B2529" t="s">
        <v>674</v>
      </c>
      <c r="C2529" t="s">
        <v>675</v>
      </c>
      <c r="D2529" t="s">
        <v>3068</v>
      </c>
      <c r="E2529" s="2">
        <v>3411.02</v>
      </c>
      <c r="F2529" s="3">
        <f t="shared" si="205"/>
        <v>45595</v>
      </c>
      <c r="G2529" s="3">
        <f t="shared" si="205"/>
        <v>45595</v>
      </c>
      <c r="H2529">
        <v>1361208612</v>
      </c>
      <c r="I2529" t="s">
        <v>20</v>
      </c>
      <c r="K2529" t="s">
        <v>21</v>
      </c>
      <c r="L2529" t="s">
        <v>22</v>
      </c>
      <c r="M2529" t="s">
        <v>23</v>
      </c>
      <c r="N2529" t="s">
        <v>23</v>
      </c>
      <c r="O2529" t="s">
        <v>24</v>
      </c>
      <c r="P2529" s="8" t="s">
        <v>3069</v>
      </c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</row>
    <row r="2530" spans="1:51" x14ac:dyDescent="0.2">
      <c r="A2530" s="6" t="s">
        <v>17</v>
      </c>
      <c r="B2530" t="s">
        <v>26</v>
      </c>
      <c r="C2530" t="s">
        <v>27</v>
      </c>
      <c r="D2530" t="s">
        <v>3070</v>
      </c>
      <c r="E2530" s="2">
        <v>200</v>
      </c>
      <c r="F2530" s="3">
        <f t="shared" si="205"/>
        <v>45595</v>
      </c>
      <c r="G2530" s="3">
        <f t="shared" si="205"/>
        <v>45595</v>
      </c>
      <c r="H2530">
        <v>1361208613</v>
      </c>
      <c r="I2530" t="s">
        <v>20</v>
      </c>
      <c r="K2530" t="s">
        <v>21</v>
      </c>
      <c r="L2530" t="s">
        <v>22</v>
      </c>
      <c r="M2530" t="s">
        <v>23</v>
      </c>
      <c r="N2530" t="s">
        <v>23</v>
      </c>
      <c r="O2530" t="s">
        <v>24</v>
      </c>
      <c r="P2530" s="8" t="s">
        <v>3071</v>
      </c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</row>
    <row r="2531" spans="1:51" x14ac:dyDescent="0.2">
      <c r="A2531" s="6" t="s">
        <v>17</v>
      </c>
      <c r="B2531" t="s">
        <v>312</v>
      </c>
      <c r="C2531" t="s">
        <v>313</v>
      </c>
      <c r="D2531" t="s">
        <v>3072</v>
      </c>
      <c r="E2531" s="2">
        <v>4230</v>
      </c>
      <c r="F2531" s="3">
        <f t="shared" si="205"/>
        <v>45595</v>
      </c>
      <c r="G2531" s="3">
        <f t="shared" si="205"/>
        <v>45595</v>
      </c>
      <c r="H2531">
        <v>1361208614</v>
      </c>
      <c r="I2531" t="s">
        <v>20</v>
      </c>
      <c r="K2531" t="s">
        <v>21</v>
      </c>
      <c r="L2531" t="s">
        <v>22</v>
      </c>
      <c r="M2531" t="s">
        <v>23</v>
      </c>
      <c r="N2531" t="s">
        <v>23</v>
      </c>
      <c r="O2531" t="s">
        <v>24</v>
      </c>
      <c r="P2531" s="8" t="s">
        <v>3073</v>
      </c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</row>
    <row r="2532" spans="1:51" x14ac:dyDescent="0.2">
      <c r="A2532" s="6" t="s">
        <v>17</v>
      </c>
      <c r="B2532" t="s">
        <v>363</v>
      </c>
      <c r="C2532" t="s">
        <v>364</v>
      </c>
      <c r="D2532" t="s">
        <v>3074</v>
      </c>
      <c r="E2532" s="2">
        <v>480</v>
      </c>
      <c r="F2532" s="3">
        <f t="shared" si="205"/>
        <v>45595</v>
      </c>
      <c r="G2532" s="3">
        <f t="shared" si="205"/>
        <v>45595</v>
      </c>
      <c r="H2532">
        <v>1361208615</v>
      </c>
      <c r="I2532" t="s">
        <v>20</v>
      </c>
      <c r="K2532" t="s">
        <v>21</v>
      </c>
      <c r="L2532" t="s">
        <v>22</v>
      </c>
      <c r="M2532" t="s">
        <v>23</v>
      </c>
      <c r="N2532" t="s">
        <v>23</v>
      </c>
      <c r="O2532" t="s">
        <v>24</v>
      </c>
      <c r="P2532" s="8" t="s">
        <v>3075</v>
      </c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</row>
    <row r="2533" spans="1:51" x14ac:dyDescent="0.2">
      <c r="A2533" s="6" t="s">
        <v>17</v>
      </c>
      <c r="B2533" t="s">
        <v>61</v>
      </c>
      <c r="C2533" t="s">
        <v>62</v>
      </c>
      <c r="D2533" t="s">
        <v>3076</v>
      </c>
      <c r="E2533" s="2">
        <v>120.27</v>
      </c>
      <c r="F2533" s="3">
        <f t="shared" si="205"/>
        <v>45595</v>
      </c>
      <c r="G2533" s="3">
        <f t="shared" si="205"/>
        <v>45595</v>
      </c>
      <c r="H2533">
        <v>1361208616</v>
      </c>
      <c r="I2533" t="s">
        <v>20</v>
      </c>
      <c r="K2533" t="s">
        <v>21</v>
      </c>
      <c r="L2533" t="s">
        <v>22</v>
      </c>
      <c r="M2533" t="s">
        <v>23</v>
      </c>
      <c r="N2533" t="s">
        <v>23</v>
      </c>
      <c r="O2533" t="s">
        <v>24</v>
      </c>
      <c r="P2533" s="8" t="s">
        <v>3077</v>
      </c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</row>
    <row r="2534" spans="1:51" x14ac:dyDescent="0.2">
      <c r="A2534" s="6" t="s">
        <v>17</v>
      </c>
      <c r="B2534" t="s">
        <v>363</v>
      </c>
      <c r="C2534" t="s">
        <v>364</v>
      </c>
      <c r="D2534" t="s">
        <v>3078</v>
      </c>
      <c r="E2534" s="2">
        <v>317.39999999999998</v>
      </c>
      <c r="F2534" s="3">
        <f t="shared" si="205"/>
        <v>45595</v>
      </c>
      <c r="G2534" s="3">
        <f t="shared" si="205"/>
        <v>45595</v>
      </c>
      <c r="H2534">
        <v>1361208617</v>
      </c>
      <c r="I2534" t="s">
        <v>20</v>
      </c>
      <c r="K2534" t="s">
        <v>21</v>
      </c>
      <c r="L2534" t="s">
        <v>22</v>
      </c>
      <c r="M2534" t="s">
        <v>23</v>
      </c>
      <c r="N2534" t="s">
        <v>23</v>
      </c>
      <c r="O2534" t="s">
        <v>24</v>
      </c>
      <c r="P2534" s="8" t="s">
        <v>3079</v>
      </c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</row>
    <row r="2535" spans="1:51" x14ac:dyDescent="0.2">
      <c r="A2535" s="6" t="s">
        <v>17</v>
      </c>
      <c r="B2535" t="s">
        <v>611</v>
      </c>
      <c r="C2535" t="s">
        <v>612</v>
      </c>
      <c r="D2535" t="s">
        <v>3080</v>
      </c>
      <c r="E2535" s="2">
        <v>641.27</v>
      </c>
      <c r="F2535" s="3">
        <f>DATE(2024,10,29)</f>
        <v>45594</v>
      </c>
      <c r="G2535" s="3">
        <f>DATE(2024,10,29)</f>
        <v>45594</v>
      </c>
      <c r="H2535">
        <v>1361208618</v>
      </c>
      <c r="I2535" t="s">
        <v>51</v>
      </c>
      <c r="K2535" t="s">
        <v>21</v>
      </c>
      <c r="L2535" t="s">
        <v>22</v>
      </c>
      <c r="M2535" t="s">
        <v>23</v>
      </c>
      <c r="N2535" t="s">
        <v>23</v>
      </c>
      <c r="O2535" t="s">
        <v>24</v>
      </c>
      <c r="P2535" s="8" t="s">
        <v>3081</v>
      </c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</row>
    <row r="2536" spans="1:51" x14ac:dyDescent="0.2">
      <c r="A2536" s="6" t="s">
        <v>17</v>
      </c>
      <c r="B2536" t="s">
        <v>26</v>
      </c>
      <c r="C2536" t="s">
        <v>27</v>
      </c>
      <c r="D2536" t="s">
        <v>71</v>
      </c>
      <c r="E2536" s="2">
        <v>6.71</v>
      </c>
      <c r="F2536" s="3">
        <f>DATE(2024,10,29)</f>
        <v>45594</v>
      </c>
      <c r="G2536" s="3">
        <f>DATE(2024,10,29)</f>
        <v>45594</v>
      </c>
      <c r="H2536">
        <v>1361208619</v>
      </c>
      <c r="I2536" t="s">
        <v>51</v>
      </c>
      <c r="K2536" t="s">
        <v>21</v>
      </c>
      <c r="L2536" t="s">
        <v>22</v>
      </c>
      <c r="M2536" t="s">
        <v>23</v>
      </c>
      <c r="N2536" t="s">
        <v>23</v>
      </c>
      <c r="O2536" t="s">
        <v>24</v>
      </c>
      <c r="P2536" s="8" t="s">
        <v>3082</v>
      </c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</row>
    <row r="2537" spans="1:51" hidden="1" x14ac:dyDescent="0.2">
      <c r="A2537" s="6"/>
      <c r="E2537" s="2"/>
      <c r="F2537" s="3"/>
      <c r="G2537" s="3"/>
      <c r="P2537" s="8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</row>
    <row r="2538" spans="1:51" hidden="1" x14ac:dyDescent="0.2">
      <c r="A2538" s="6"/>
      <c r="E2538" s="2"/>
      <c r="F2538" s="3"/>
      <c r="G2538" s="3"/>
      <c r="P2538" s="8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</row>
    <row r="2539" spans="1:51" hidden="1" x14ac:dyDescent="0.2">
      <c r="A2539" s="6"/>
      <c r="E2539" s="2"/>
      <c r="F2539" s="3"/>
      <c r="G2539" s="3"/>
      <c r="P2539" s="8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</row>
    <row r="2540" spans="1:51" x14ac:dyDescent="0.2">
      <c r="A2540" s="6" t="s">
        <v>17</v>
      </c>
      <c r="B2540" t="s">
        <v>104</v>
      </c>
      <c r="C2540" t="s">
        <v>105</v>
      </c>
      <c r="D2540" t="s">
        <v>3083</v>
      </c>
      <c r="E2540" s="2">
        <v>105.74</v>
      </c>
      <c r="F2540" s="3">
        <f>DATE(2024,10,31)</f>
        <v>45596</v>
      </c>
      <c r="G2540" s="3">
        <f>DATE(2024,10,31)</f>
        <v>45596</v>
      </c>
      <c r="H2540">
        <v>1365791489</v>
      </c>
      <c r="I2540" t="s">
        <v>20</v>
      </c>
      <c r="K2540" t="s">
        <v>21</v>
      </c>
      <c r="L2540" t="s">
        <v>22</v>
      </c>
      <c r="M2540" t="s">
        <v>23</v>
      </c>
      <c r="N2540" t="s">
        <v>23</v>
      </c>
      <c r="O2540" t="s">
        <v>24</v>
      </c>
      <c r="P2540" s="8" t="s">
        <v>3084</v>
      </c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</row>
    <row r="2541" spans="1:51" x14ac:dyDescent="0.2">
      <c r="A2541" s="6" t="s">
        <v>17</v>
      </c>
      <c r="B2541" t="s">
        <v>30</v>
      </c>
      <c r="C2541" t="s">
        <v>31</v>
      </c>
      <c r="D2541" t="s">
        <v>3085</v>
      </c>
      <c r="E2541" s="2">
        <v>1313.46</v>
      </c>
      <c r="F2541" s="3">
        <f>DATE(2024,11,1)</f>
        <v>45597</v>
      </c>
      <c r="G2541" s="3">
        <f>DATE(2024,11,1)</f>
        <v>45597</v>
      </c>
      <c r="H2541">
        <v>1365791490</v>
      </c>
      <c r="I2541" t="s">
        <v>20</v>
      </c>
      <c r="K2541" t="s">
        <v>21</v>
      </c>
      <c r="L2541" t="s">
        <v>22</v>
      </c>
      <c r="M2541" t="s">
        <v>23</v>
      </c>
      <c r="N2541" t="s">
        <v>23</v>
      </c>
      <c r="O2541" t="s">
        <v>24</v>
      </c>
      <c r="P2541" s="8" t="s">
        <v>3086</v>
      </c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</row>
    <row r="2542" spans="1:51" x14ac:dyDescent="0.2">
      <c r="A2542" s="6" t="s">
        <v>17</v>
      </c>
      <c r="B2542" t="s">
        <v>887</v>
      </c>
      <c r="C2542" t="s">
        <v>888</v>
      </c>
      <c r="D2542" t="s">
        <v>3087</v>
      </c>
      <c r="E2542" s="2">
        <v>900.22</v>
      </c>
      <c r="F2542" s="3">
        <f t="shared" ref="F2542:G2544" si="206">DATE(2024,10,31)</f>
        <v>45596</v>
      </c>
      <c r="G2542" s="3">
        <f t="shared" si="206"/>
        <v>45596</v>
      </c>
      <c r="H2542">
        <v>1365791491</v>
      </c>
      <c r="I2542" t="s">
        <v>20</v>
      </c>
      <c r="K2542" t="s">
        <v>21</v>
      </c>
      <c r="L2542" t="s">
        <v>22</v>
      </c>
      <c r="M2542" t="s">
        <v>23</v>
      </c>
      <c r="N2542" t="s">
        <v>23</v>
      </c>
      <c r="O2542" t="s">
        <v>24</v>
      </c>
      <c r="P2542" s="8" t="s">
        <v>3088</v>
      </c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</row>
    <row r="2543" spans="1:51" hidden="1" x14ac:dyDescent="0.2">
      <c r="A2543" s="6"/>
      <c r="E2543" s="2"/>
      <c r="F2543" s="3"/>
      <c r="G2543" s="3"/>
      <c r="P2543" s="8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</row>
    <row r="2544" spans="1:51" hidden="1" x14ac:dyDescent="0.2">
      <c r="A2544" s="6"/>
      <c r="E2544" s="2"/>
      <c r="F2544" s="3"/>
      <c r="G2544" s="3"/>
      <c r="P2544" s="8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</row>
    <row r="2545" spans="1:51" x14ac:dyDescent="0.2">
      <c r="A2545" s="6" t="s">
        <v>17</v>
      </c>
      <c r="B2545" t="s">
        <v>100</v>
      </c>
      <c r="C2545" t="s">
        <v>101</v>
      </c>
      <c r="D2545" t="s">
        <v>1658</v>
      </c>
      <c r="E2545" s="2">
        <v>42.2</v>
      </c>
      <c r="F2545" s="3">
        <f>DATE(2024,10,30)</f>
        <v>45595</v>
      </c>
      <c r="G2545" s="3">
        <f>DATE(2024,10,30)</f>
        <v>45595</v>
      </c>
      <c r="H2545">
        <v>1365791499</v>
      </c>
      <c r="I2545" t="s">
        <v>51</v>
      </c>
      <c r="K2545" t="s">
        <v>21</v>
      </c>
      <c r="L2545" t="s">
        <v>22</v>
      </c>
      <c r="M2545" t="s">
        <v>23</v>
      </c>
      <c r="N2545" t="s">
        <v>23</v>
      </c>
      <c r="O2545" t="s">
        <v>24</v>
      </c>
      <c r="P2545" s="8" t="s">
        <v>3089</v>
      </c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</row>
    <row r="2546" spans="1:51" hidden="1" x14ac:dyDescent="0.2">
      <c r="A2546" s="6"/>
      <c r="E2546" s="2"/>
      <c r="F2546" s="3"/>
      <c r="G2546" s="3"/>
      <c r="P2546" s="8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</row>
    <row r="2547" spans="1:51" x14ac:dyDescent="0.2">
      <c r="A2547" s="6" t="s">
        <v>17</v>
      </c>
      <c r="B2547" t="s">
        <v>34</v>
      </c>
      <c r="C2547" t="s">
        <v>35</v>
      </c>
      <c r="D2547" t="s">
        <v>3090</v>
      </c>
      <c r="E2547" s="2">
        <v>102.16</v>
      </c>
      <c r="F2547" s="3">
        <f t="shared" ref="F2547:G2551" si="207">DATE(2024,11,1)</f>
        <v>45597</v>
      </c>
      <c r="G2547" s="3">
        <f t="shared" si="207"/>
        <v>45597</v>
      </c>
      <c r="H2547">
        <v>1369503241</v>
      </c>
      <c r="I2547" t="s">
        <v>20</v>
      </c>
      <c r="K2547" t="s">
        <v>21</v>
      </c>
      <c r="L2547" t="s">
        <v>22</v>
      </c>
      <c r="M2547" t="s">
        <v>23</v>
      </c>
      <c r="N2547" t="s">
        <v>23</v>
      </c>
      <c r="O2547" t="s">
        <v>24</v>
      </c>
      <c r="P2547" s="8" t="s">
        <v>3091</v>
      </c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</row>
    <row r="2548" spans="1:51" x14ac:dyDescent="0.2">
      <c r="A2548" s="6" t="s">
        <v>17</v>
      </c>
      <c r="B2548" t="s">
        <v>18</v>
      </c>
      <c r="C2548" t="s">
        <v>18</v>
      </c>
      <c r="D2548" t="s">
        <v>3092</v>
      </c>
      <c r="E2548" s="2">
        <v>12.92</v>
      </c>
      <c r="F2548" s="3">
        <f t="shared" si="207"/>
        <v>45597</v>
      </c>
      <c r="G2548" s="3">
        <f t="shared" si="207"/>
        <v>45597</v>
      </c>
      <c r="H2548">
        <v>1369503242</v>
      </c>
      <c r="I2548" t="s">
        <v>20</v>
      </c>
      <c r="K2548" t="s">
        <v>21</v>
      </c>
      <c r="L2548" t="s">
        <v>22</v>
      </c>
      <c r="M2548" t="s">
        <v>23</v>
      </c>
      <c r="N2548" t="s">
        <v>23</v>
      </c>
      <c r="O2548" t="s">
        <v>24</v>
      </c>
      <c r="P2548" s="8" t="s">
        <v>3093</v>
      </c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</row>
    <row r="2549" spans="1:51" hidden="1" x14ac:dyDescent="0.2">
      <c r="A2549" s="6"/>
      <c r="E2549" s="2"/>
      <c r="F2549" s="3"/>
      <c r="G2549" s="3"/>
      <c r="P2549" s="8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</row>
    <row r="2550" spans="1:51" hidden="1" x14ac:dyDescent="0.2">
      <c r="A2550" s="6"/>
      <c r="E2550" s="2"/>
      <c r="F2550" s="3"/>
      <c r="G2550" s="3"/>
      <c r="P2550" s="8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</row>
    <row r="2551" spans="1:51" hidden="1" x14ac:dyDescent="0.2">
      <c r="A2551" s="6"/>
      <c r="E2551" s="2"/>
      <c r="F2551" s="3"/>
      <c r="G2551" s="3"/>
      <c r="P2551" s="8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</row>
    <row r="2552" spans="1:51" x14ac:dyDescent="0.2">
      <c r="A2552" s="6" t="s">
        <v>17</v>
      </c>
      <c r="B2552" t="s">
        <v>179</v>
      </c>
      <c r="C2552" t="s">
        <v>180</v>
      </c>
      <c r="D2552" t="s">
        <v>1940</v>
      </c>
      <c r="E2552" s="2">
        <v>82.99</v>
      </c>
      <c r="F2552" s="3">
        <f>DATE(2024,10,31)</f>
        <v>45596</v>
      </c>
      <c r="G2552" s="3">
        <f>DATE(2024,10,31)</f>
        <v>45596</v>
      </c>
      <c r="H2552">
        <v>1372438411</v>
      </c>
      <c r="I2552" t="s">
        <v>51</v>
      </c>
      <c r="K2552" t="s">
        <v>21</v>
      </c>
      <c r="L2552" t="s">
        <v>22</v>
      </c>
      <c r="M2552" t="s">
        <v>23</v>
      </c>
      <c r="N2552" t="s">
        <v>23</v>
      </c>
      <c r="O2552" t="s">
        <v>24</v>
      </c>
      <c r="P2552" s="8" t="s">
        <v>3094</v>
      </c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</row>
    <row r="2553" spans="1:51" x14ac:dyDescent="0.2">
      <c r="A2553" s="6" t="s">
        <v>17</v>
      </c>
      <c r="B2553" t="s">
        <v>44</v>
      </c>
      <c r="C2553" t="s">
        <v>45</v>
      </c>
      <c r="D2553" t="s">
        <v>831</v>
      </c>
      <c r="E2553" s="2">
        <v>24.08</v>
      </c>
      <c r="F2553" s="3">
        <f>DATE(2024,10,30)</f>
        <v>45595</v>
      </c>
      <c r="G2553" s="3">
        <f>DATE(2024,10,30)</f>
        <v>45595</v>
      </c>
      <c r="H2553">
        <v>1372438412</v>
      </c>
      <c r="I2553" t="s">
        <v>51</v>
      </c>
      <c r="K2553" t="s">
        <v>21</v>
      </c>
      <c r="L2553" t="s">
        <v>22</v>
      </c>
      <c r="M2553" t="s">
        <v>23</v>
      </c>
      <c r="N2553" t="s">
        <v>23</v>
      </c>
      <c r="O2553" t="s">
        <v>24</v>
      </c>
      <c r="P2553" s="8" t="s">
        <v>3095</v>
      </c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</row>
    <row r="2554" spans="1:51" x14ac:dyDescent="0.2">
      <c r="A2554" s="6" t="s">
        <v>17</v>
      </c>
      <c r="B2554" t="s">
        <v>100</v>
      </c>
      <c r="C2554" t="s">
        <v>101</v>
      </c>
      <c r="D2554" t="s">
        <v>283</v>
      </c>
      <c r="E2554" s="2">
        <v>88.6</v>
      </c>
      <c r="F2554" s="3">
        <f>DATE(2024,10,31)</f>
        <v>45596</v>
      </c>
      <c r="G2554" s="3">
        <f>DATE(2024,10,31)</f>
        <v>45596</v>
      </c>
      <c r="H2554">
        <v>1372438413</v>
      </c>
      <c r="I2554" t="s">
        <v>51</v>
      </c>
      <c r="K2554" t="s">
        <v>21</v>
      </c>
      <c r="L2554" t="s">
        <v>22</v>
      </c>
      <c r="M2554" t="s">
        <v>23</v>
      </c>
      <c r="N2554" t="s">
        <v>23</v>
      </c>
      <c r="O2554" t="s">
        <v>24</v>
      </c>
      <c r="P2554" s="8" t="s">
        <v>3096</v>
      </c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</row>
    <row r="2555" spans="1:51" x14ac:dyDescent="0.2">
      <c r="A2555" s="6" t="s">
        <v>17</v>
      </c>
      <c r="B2555" t="s">
        <v>100</v>
      </c>
      <c r="C2555" t="s">
        <v>101</v>
      </c>
      <c r="D2555" t="s">
        <v>283</v>
      </c>
      <c r="E2555" s="2">
        <v>154.4</v>
      </c>
      <c r="F2555" s="3">
        <f>DATE(2024,10,31)</f>
        <v>45596</v>
      </c>
      <c r="G2555" s="3">
        <f>DATE(2024,10,31)</f>
        <v>45596</v>
      </c>
      <c r="H2555">
        <v>1372438414</v>
      </c>
      <c r="I2555" t="s">
        <v>51</v>
      </c>
      <c r="K2555" t="s">
        <v>21</v>
      </c>
      <c r="L2555" t="s">
        <v>22</v>
      </c>
      <c r="M2555" t="s">
        <v>23</v>
      </c>
      <c r="N2555" t="s">
        <v>23</v>
      </c>
      <c r="O2555" t="s">
        <v>24</v>
      </c>
      <c r="P2555" s="8" t="s">
        <v>3097</v>
      </c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</row>
    <row r="2556" spans="1:51" x14ac:dyDescent="0.2">
      <c r="A2556" s="6" t="s">
        <v>17</v>
      </c>
      <c r="B2556" t="s">
        <v>26</v>
      </c>
      <c r="C2556" t="s">
        <v>27</v>
      </c>
      <c r="D2556" t="s">
        <v>50</v>
      </c>
      <c r="E2556" s="2">
        <v>197.33</v>
      </c>
      <c r="F2556" s="3">
        <f>DATE(2024,11,1)</f>
        <v>45597</v>
      </c>
      <c r="G2556" s="3">
        <f>DATE(2024,11,1)</f>
        <v>45597</v>
      </c>
      <c r="H2556">
        <v>1372438415</v>
      </c>
      <c r="I2556" t="s">
        <v>51</v>
      </c>
      <c r="K2556" t="s">
        <v>21</v>
      </c>
      <c r="L2556" t="s">
        <v>22</v>
      </c>
      <c r="M2556" t="s">
        <v>23</v>
      </c>
      <c r="N2556" t="s">
        <v>23</v>
      </c>
      <c r="O2556" t="s">
        <v>24</v>
      </c>
      <c r="P2556" s="8" t="s">
        <v>3098</v>
      </c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</row>
    <row r="2557" spans="1:51" x14ac:dyDescent="0.2">
      <c r="A2557" s="6" t="s">
        <v>17</v>
      </c>
      <c r="B2557" t="s">
        <v>655</v>
      </c>
      <c r="C2557" t="s">
        <v>656</v>
      </c>
      <c r="D2557" t="s">
        <v>657</v>
      </c>
      <c r="E2557" s="2">
        <v>40.590000000000003</v>
      </c>
      <c r="F2557" s="3">
        <f>DATE(2024,10,30)</f>
        <v>45595</v>
      </c>
      <c r="G2557" s="3">
        <f>DATE(2024,10,30)</f>
        <v>45595</v>
      </c>
      <c r="H2557">
        <v>1372438416</v>
      </c>
      <c r="I2557" t="s">
        <v>51</v>
      </c>
      <c r="K2557" t="s">
        <v>21</v>
      </c>
      <c r="L2557" t="s">
        <v>22</v>
      </c>
      <c r="M2557" t="s">
        <v>23</v>
      </c>
      <c r="N2557" t="s">
        <v>23</v>
      </c>
      <c r="O2557" t="s">
        <v>24</v>
      </c>
      <c r="P2557" s="8" t="s">
        <v>3099</v>
      </c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</row>
    <row r="2558" spans="1:51" x14ac:dyDescent="0.2">
      <c r="A2558" s="6" t="s">
        <v>17</v>
      </c>
      <c r="B2558" t="s">
        <v>179</v>
      </c>
      <c r="C2558" t="s">
        <v>180</v>
      </c>
      <c r="D2558" t="s">
        <v>1940</v>
      </c>
      <c r="E2558" s="2">
        <v>73.400000000000006</v>
      </c>
      <c r="F2558" s="3">
        <f>DATE(2024,11,1)</f>
        <v>45597</v>
      </c>
      <c r="G2558" s="3">
        <f>DATE(2024,11,1)</f>
        <v>45597</v>
      </c>
      <c r="H2558">
        <v>1372438417</v>
      </c>
      <c r="I2558" t="s">
        <v>51</v>
      </c>
      <c r="K2558" t="s">
        <v>21</v>
      </c>
      <c r="L2558" t="s">
        <v>22</v>
      </c>
      <c r="M2558" t="s">
        <v>23</v>
      </c>
      <c r="N2558" t="s">
        <v>23</v>
      </c>
      <c r="O2558" t="s">
        <v>24</v>
      </c>
      <c r="P2558" s="8" t="s">
        <v>3100</v>
      </c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</row>
    <row r="2559" spans="1:51" x14ac:dyDescent="0.2">
      <c r="A2559" s="6" t="s">
        <v>17</v>
      </c>
      <c r="B2559" t="s">
        <v>57</v>
      </c>
      <c r="C2559" t="s">
        <v>58</v>
      </c>
      <c r="D2559" t="s">
        <v>3101</v>
      </c>
      <c r="E2559" s="2">
        <v>181.16</v>
      </c>
      <c r="F2559" s="3">
        <f t="shared" ref="F2559:G2568" si="208">DATE(2024,11,4)</f>
        <v>45600</v>
      </c>
      <c r="G2559" s="3">
        <f t="shared" si="208"/>
        <v>45600</v>
      </c>
      <c r="H2559">
        <v>1378745568</v>
      </c>
      <c r="I2559" t="s">
        <v>20</v>
      </c>
      <c r="K2559" t="s">
        <v>21</v>
      </c>
      <c r="L2559" t="s">
        <v>22</v>
      </c>
      <c r="M2559" t="s">
        <v>23</v>
      </c>
      <c r="N2559" t="s">
        <v>23</v>
      </c>
      <c r="O2559" t="s">
        <v>24</v>
      </c>
      <c r="P2559" s="8" t="s">
        <v>3102</v>
      </c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</row>
    <row r="2560" spans="1:51" hidden="1" x14ac:dyDescent="0.2">
      <c r="A2560" s="6"/>
      <c r="E2560" s="2"/>
      <c r="F2560" s="3"/>
      <c r="G2560" s="3"/>
      <c r="P2560" s="8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</row>
    <row r="2561" spans="1:51" hidden="1" x14ac:dyDescent="0.2">
      <c r="A2561" s="6"/>
      <c r="E2561" s="2"/>
      <c r="F2561" s="3"/>
      <c r="G2561" s="3"/>
      <c r="P2561" s="8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</row>
    <row r="2562" spans="1:51" hidden="1" x14ac:dyDescent="0.2">
      <c r="A2562" s="6"/>
      <c r="E2562" s="2"/>
      <c r="F2562" s="3"/>
      <c r="G2562" s="3"/>
      <c r="P2562" s="8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</row>
    <row r="2563" spans="1:51" hidden="1" x14ac:dyDescent="0.2">
      <c r="A2563" s="6"/>
      <c r="E2563" s="2"/>
      <c r="F2563" s="3"/>
      <c r="G2563" s="3"/>
      <c r="P2563" s="8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</row>
    <row r="2564" spans="1:51" hidden="1" x14ac:dyDescent="0.2">
      <c r="A2564" s="6"/>
      <c r="E2564" s="2"/>
      <c r="F2564" s="3"/>
      <c r="G2564" s="3"/>
      <c r="P2564" s="8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</row>
    <row r="2565" spans="1:51" hidden="1" x14ac:dyDescent="0.2">
      <c r="A2565" s="6"/>
      <c r="E2565" s="2"/>
      <c r="F2565" s="3"/>
      <c r="G2565" s="3"/>
      <c r="P2565" s="8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</row>
    <row r="2566" spans="1:51" x14ac:dyDescent="0.2">
      <c r="A2566" s="6" t="s">
        <v>17</v>
      </c>
      <c r="B2566" t="s">
        <v>191</v>
      </c>
      <c r="C2566" t="s">
        <v>192</v>
      </c>
      <c r="D2566" t="s">
        <v>3103</v>
      </c>
      <c r="E2566" s="2">
        <v>2027.46</v>
      </c>
      <c r="F2566" s="3">
        <f t="shared" si="208"/>
        <v>45600</v>
      </c>
      <c r="G2566" s="3">
        <f t="shared" si="208"/>
        <v>45600</v>
      </c>
      <c r="H2566">
        <v>1378745575</v>
      </c>
      <c r="I2566" t="s">
        <v>20</v>
      </c>
      <c r="K2566" t="s">
        <v>21</v>
      </c>
      <c r="L2566" t="s">
        <v>22</v>
      </c>
      <c r="M2566" t="s">
        <v>23</v>
      </c>
      <c r="N2566" t="s">
        <v>23</v>
      </c>
      <c r="O2566" t="s">
        <v>24</v>
      </c>
      <c r="P2566" s="8" t="s">
        <v>3104</v>
      </c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</row>
    <row r="2567" spans="1:51" hidden="1" x14ac:dyDescent="0.2">
      <c r="A2567" s="6"/>
      <c r="E2567" s="2"/>
      <c r="F2567" s="3"/>
      <c r="G2567" s="3"/>
      <c r="P2567" s="8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</row>
    <row r="2568" spans="1:51" hidden="1" x14ac:dyDescent="0.2">
      <c r="A2568" s="6"/>
      <c r="E2568" s="2"/>
      <c r="F2568" s="3"/>
      <c r="G2568" s="3"/>
      <c r="P2568" s="8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</row>
    <row r="2569" spans="1:51" x14ac:dyDescent="0.2">
      <c r="A2569" s="6" t="s">
        <v>17</v>
      </c>
      <c r="B2569" t="s">
        <v>30</v>
      </c>
      <c r="C2569" t="s">
        <v>31</v>
      </c>
      <c r="D2569" t="s">
        <v>3105</v>
      </c>
      <c r="E2569" s="2">
        <v>3829.92</v>
      </c>
      <c r="F2569" s="3">
        <f>DATE(2024,11,5)</f>
        <v>45601</v>
      </c>
      <c r="G2569" s="3">
        <f>DATE(2024,11,5)</f>
        <v>45601</v>
      </c>
      <c r="H2569">
        <v>1378745578</v>
      </c>
      <c r="I2569" t="s">
        <v>20</v>
      </c>
      <c r="K2569" t="s">
        <v>21</v>
      </c>
      <c r="L2569" t="s">
        <v>22</v>
      </c>
      <c r="M2569" t="s">
        <v>23</v>
      </c>
      <c r="N2569" t="s">
        <v>23</v>
      </c>
      <c r="O2569" t="s">
        <v>24</v>
      </c>
      <c r="P2569" s="8" t="s">
        <v>3106</v>
      </c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</row>
    <row r="2570" spans="1:51" x14ac:dyDescent="0.2">
      <c r="A2570" s="6" t="s">
        <v>17</v>
      </c>
      <c r="B2570" t="s">
        <v>316</v>
      </c>
      <c r="C2570" t="s">
        <v>316</v>
      </c>
      <c r="D2570" t="s">
        <v>3107</v>
      </c>
      <c r="E2570" s="2">
        <v>141.30000000000001</v>
      </c>
      <c r="F2570" s="3">
        <f>DATE(2024,11,2)</f>
        <v>45598</v>
      </c>
      <c r="G2570" s="3">
        <f>DATE(2024,11,2)</f>
        <v>45598</v>
      </c>
      <c r="H2570">
        <v>1378745667</v>
      </c>
      <c r="I2570" t="s">
        <v>51</v>
      </c>
      <c r="K2570" t="s">
        <v>21</v>
      </c>
      <c r="L2570" t="s">
        <v>22</v>
      </c>
      <c r="M2570" t="s">
        <v>23</v>
      </c>
      <c r="N2570" t="s">
        <v>23</v>
      </c>
      <c r="O2570" t="s">
        <v>24</v>
      </c>
      <c r="P2570" s="8" t="s">
        <v>3108</v>
      </c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</row>
    <row r="2571" spans="1:51" hidden="1" x14ac:dyDescent="0.2">
      <c r="A2571" s="6"/>
      <c r="E2571" s="2"/>
      <c r="F2571" s="3"/>
      <c r="G2571" s="3"/>
      <c r="P2571" s="8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</row>
    <row r="2572" spans="1:51" x14ac:dyDescent="0.2">
      <c r="A2572" s="6" t="s">
        <v>17</v>
      </c>
      <c r="B2572" t="s">
        <v>18</v>
      </c>
      <c r="C2572" t="s">
        <v>18</v>
      </c>
      <c r="D2572" t="s">
        <v>86</v>
      </c>
      <c r="E2572" s="2">
        <v>12</v>
      </c>
      <c r="F2572" s="3">
        <f t="shared" ref="F2571:G2573" si="209">DATE(2024,11,4)</f>
        <v>45600</v>
      </c>
      <c r="G2572" s="3">
        <f t="shared" si="209"/>
        <v>45600</v>
      </c>
      <c r="H2572">
        <v>1378806338</v>
      </c>
      <c r="I2572" t="s">
        <v>73</v>
      </c>
      <c r="K2572" t="s">
        <v>21</v>
      </c>
      <c r="L2572" t="s">
        <v>22</v>
      </c>
      <c r="M2572" t="s">
        <v>23</v>
      </c>
      <c r="N2572" t="s">
        <v>23</v>
      </c>
      <c r="O2572" t="s">
        <v>24</v>
      </c>
      <c r="P2572" s="8" t="s">
        <v>3109</v>
      </c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</row>
    <row r="2573" spans="1:51" hidden="1" x14ac:dyDescent="0.2">
      <c r="A2573" s="6"/>
      <c r="E2573" s="2"/>
      <c r="F2573" s="3"/>
      <c r="G2573" s="3"/>
      <c r="P2573" s="8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</row>
    <row r="2574" spans="1:51" x14ac:dyDescent="0.2">
      <c r="A2574" s="6" t="s">
        <v>17</v>
      </c>
      <c r="B2574" t="s">
        <v>74</v>
      </c>
      <c r="C2574" t="s">
        <v>75</v>
      </c>
      <c r="D2574" t="s">
        <v>3110</v>
      </c>
      <c r="E2574" s="2">
        <v>252.37</v>
      </c>
      <c r="F2574" s="3">
        <f>DATE(2024,11,5)</f>
        <v>45601</v>
      </c>
      <c r="G2574" s="3">
        <f>DATE(2024,11,5)</f>
        <v>45601</v>
      </c>
      <c r="H2574">
        <v>1378806340</v>
      </c>
      <c r="I2574" t="s">
        <v>73</v>
      </c>
      <c r="K2574" t="s">
        <v>21</v>
      </c>
      <c r="L2574" t="s">
        <v>22</v>
      </c>
      <c r="M2574" t="s">
        <v>23</v>
      </c>
      <c r="N2574" t="s">
        <v>23</v>
      </c>
      <c r="O2574" t="s">
        <v>24</v>
      </c>
      <c r="P2574" s="8" t="s">
        <v>3111</v>
      </c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</row>
    <row r="2575" spans="1:51" x14ac:dyDescent="0.2">
      <c r="A2575" s="6" t="s">
        <v>17</v>
      </c>
      <c r="B2575" t="s">
        <v>74</v>
      </c>
      <c r="C2575" t="s">
        <v>75</v>
      </c>
      <c r="D2575" t="s">
        <v>3112</v>
      </c>
      <c r="E2575" s="2">
        <v>3600.49</v>
      </c>
      <c r="F2575" s="3">
        <f>DATE(2024,11,5)</f>
        <v>45601</v>
      </c>
      <c r="G2575" s="3">
        <f>DATE(2024,11,5)</f>
        <v>45601</v>
      </c>
      <c r="H2575">
        <v>1378806341</v>
      </c>
      <c r="I2575" t="s">
        <v>73</v>
      </c>
      <c r="K2575" t="s">
        <v>21</v>
      </c>
      <c r="L2575" t="s">
        <v>22</v>
      </c>
      <c r="M2575" t="s">
        <v>23</v>
      </c>
      <c r="N2575" t="s">
        <v>23</v>
      </c>
      <c r="O2575" t="s">
        <v>24</v>
      </c>
      <c r="P2575" s="8" t="s">
        <v>3113</v>
      </c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</row>
    <row r="2576" spans="1:51" hidden="1" x14ac:dyDescent="0.2">
      <c r="A2576" s="6"/>
      <c r="E2576" s="2"/>
      <c r="F2576" s="3"/>
      <c r="G2576" s="3"/>
      <c r="P2576" s="8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</row>
    <row r="2577" spans="1:51" x14ac:dyDescent="0.2">
      <c r="A2577" s="6" t="s">
        <v>17</v>
      </c>
      <c r="B2577" t="s">
        <v>191</v>
      </c>
      <c r="C2577" t="s">
        <v>192</v>
      </c>
      <c r="D2577" t="s">
        <v>3114</v>
      </c>
      <c r="E2577" s="2">
        <v>23056.59</v>
      </c>
      <c r="F2577" s="3">
        <f>DATE(2024,11,6)</f>
        <v>45602</v>
      </c>
      <c r="G2577" s="3">
        <f>DATE(2024,11,6)</f>
        <v>45602</v>
      </c>
      <c r="H2577">
        <v>1384795839</v>
      </c>
      <c r="I2577" t="s">
        <v>20</v>
      </c>
      <c r="K2577" t="s">
        <v>21</v>
      </c>
      <c r="L2577" t="s">
        <v>22</v>
      </c>
      <c r="M2577" t="s">
        <v>23</v>
      </c>
      <c r="N2577" t="s">
        <v>23</v>
      </c>
      <c r="O2577" t="s">
        <v>24</v>
      </c>
      <c r="P2577" s="8" t="s">
        <v>3115</v>
      </c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</row>
    <row r="2578" spans="1:51" x14ac:dyDescent="0.2">
      <c r="A2578" s="6" t="s">
        <v>17</v>
      </c>
      <c r="B2578" t="s">
        <v>57</v>
      </c>
      <c r="C2578" t="s">
        <v>58</v>
      </c>
      <c r="D2578" t="s">
        <v>3116</v>
      </c>
      <c r="E2578" s="2">
        <v>52.5</v>
      </c>
      <c r="F2578" s="3">
        <f t="shared" ref="F2578:G2581" si="210">DATE(2024,11,5)</f>
        <v>45601</v>
      </c>
      <c r="G2578" s="3">
        <f t="shared" si="210"/>
        <v>45601</v>
      </c>
      <c r="H2578">
        <v>1384795840</v>
      </c>
      <c r="I2578" t="s">
        <v>20</v>
      </c>
      <c r="K2578" t="s">
        <v>21</v>
      </c>
      <c r="L2578" t="s">
        <v>22</v>
      </c>
      <c r="M2578" t="s">
        <v>23</v>
      </c>
      <c r="N2578" t="s">
        <v>23</v>
      </c>
      <c r="O2578" t="s">
        <v>24</v>
      </c>
      <c r="P2578" s="8" t="s">
        <v>3117</v>
      </c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</row>
    <row r="2579" spans="1:51" x14ac:dyDescent="0.2">
      <c r="A2579" s="6" t="s">
        <v>17</v>
      </c>
      <c r="B2579" t="s">
        <v>34</v>
      </c>
      <c r="C2579" t="s">
        <v>35</v>
      </c>
      <c r="D2579" t="s">
        <v>3118</v>
      </c>
      <c r="E2579" s="2">
        <v>89</v>
      </c>
      <c r="F2579" s="3">
        <f t="shared" si="210"/>
        <v>45601</v>
      </c>
      <c r="G2579" s="3">
        <f t="shared" si="210"/>
        <v>45601</v>
      </c>
      <c r="H2579">
        <v>1384795841</v>
      </c>
      <c r="I2579" t="s">
        <v>20</v>
      </c>
      <c r="K2579" t="s">
        <v>21</v>
      </c>
      <c r="L2579" t="s">
        <v>22</v>
      </c>
      <c r="M2579" t="s">
        <v>23</v>
      </c>
      <c r="N2579" t="s">
        <v>23</v>
      </c>
      <c r="O2579" t="s">
        <v>24</v>
      </c>
      <c r="P2579" s="8" t="s">
        <v>3119</v>
      </c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</row>
    <row r="2580" spans="1:51" x14ac:dyDescent="0.2">
      <c r="A2580" s="6" t="s">
        <v>17</v>
      </c>
      <c r="B2580" t="s">
        <v>61</v>
      </c>
      <c r="C2580" t="s">
        <v>62</v>
      </c>
      <c r="D2580" t="s">
        <v>3120</v>
      </c>
      <c r="E2580" s="2">
        <v>31.5</v>
      </c>
      <c r="F2580" s="3">
        <f t="shared" si="210"/>
        <v>45601</v>
      </c>
      <c r="G2580" s="3">
        <f t="shared" si="210"/>
        <v>45601</v>
      </c>
      <c r="H2580">
        <v>1384795842</v>
      </c>
      <c r="I2580" t="s">
        <v>20</v>
      </c>
      <c r="K2580" t="s">
        <v>21</v>
      </c>
      <c r="L2580" t="s">
        <v>22</v>
      </c>
      <c r="M2580" t="s">
        <v>23</v>
      </c>
      <c r="N2580" t="s">
        <v>23</v>
      </c>
      <c r="O2580" t="s">
        <v>24</v>
      </c>
      <c r="P2580" s="8" t="s">
        <v>3121</v>
      </c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</row>
    <row r="2581" spans="1:51" hidden="1" x14ac:dyDescent="0.2">
      <c r="A2581" s="6"/>
      <c r="E2581" s="2"/>
      <c r="F2581" s="3"/>
      <c r="G2581" s="3"/>
      <c r="P2581" s="8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</row>
    <row r="2582" spans="1:51" x14ac:dyDescent="0.2">
      <c r="A2582" s="6" t="s">
        <v>17</v>
      </c>
      <c r="B2582" t="s">
        <v>44</v>
      </c>
      <c r="C2582" t="s">
        <v>45</v>
      </c>
      <c r="D2582" t="s">
        <v>690</v>
      </c>
      <c r="E2582" s="2">
        <v>42.64</v>
      </c>
      <c r="F2582" s="3">
        <f>DATE(2024,11,3)</f>
        <v>45599</v>
      </c>
      <c r="G2582" s="3">
        <f>DATE(2024,11,3)</f>
        <v>45599</v>
      </c>
      <c r="H2582">
        <v>1384795850</v>
      </c>
      <c r="I2582" t="s">
        <v>51</v>
      </c>
      <c r="K2582" t="s">
        <v>21</v>
      </c>
      <c r="L2582" t="s">
        <v>22</v>
      </c>
      <c r="M2582" t="s">
        <v>23</v>
      </c>
      <c r="N2582" t="s">
        <v>23</v>
      </c>
      <c r="O2582" t="s">
        <v>24</v>
      </c>
      <c r="P2582" s="8" t="s">
        <v>3122</v>
      </c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</row>
    <row r="2583" spans="1:51" x14ac:dyDescent="0.2">
      <c r="A2583" s="6" t="s">
        <v>17</v>
      </c>
      <c r="B2583" t="s">
        <v>26</v>
      </c>
      <c r="C2583" t="s">
        <v>27</v>
      </c>
      <c r="D2583" t="s">
        <v>71</v>
      </c>
      <c r="E2583" s="2">
        <v>30.59</v>
      </c>
      <c r="F2583" s="3">
        <f>DATE(2024,11,4)</f>
        <v>45600</v>
      </c>
      <c r="G2583" s="3">
        <f>DATE(2024,11,4)</f>
        <v>45600</v>
      </c>
      <c r="H2583">
        <v>1384795851</v>
      </c>
      <c r="I2583" t="s">
        <v>51</v>
      </c>
      <c r="K2583" t="s">
        <v>21</v>
      </c>
      <c r="L2583" t="s">
        <v>22</v>
      </c>
      <c r="M2583" t="s">
        <v>23</v>
      </c>
      <c r="N2583" t="s">
        <v>23</v>
      </c>
      <c r="O2583" t="s">
        <v>24</v>
      </c>
      <c r="P2583" s="8" t="s">
        <v>3123</v>
      </c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</row>
    <row r="2584" spans="1:51" hidden="1" x14ac:dyDescent="0.2">
      <c r="A2584" s="6"/>
      <c r="E2584" s="2"/>
      <c r="F2584" s="3"/>
      <c r="G2584" s="3"/>
      <c r="P2584" s="8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</row>
    <row r="2585" spans="1:51" hidden="1" x14ac:dyDescent="0.2">
      <c r="A2585" s="6"/>
      <c r="E2585" s="2"/>
      <c r="F2585" s="3"/>
      <c r="G2585" s="3"/>
      <c r="P2585" s="8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</row>
    <row r="2586" spans="1:51" hidden="1" x14ac:dyDescent="0.2">
      <c r="A2586" s="6"/>
      <c r="E2586" s="2"/>
      <c r="F2586" s="3"/>
      <c r="G2586" s="3"/>
      <c r="P2586" s="8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</row>
    <row r="2587" spans="1:51" x14ac:dyDescent="0.2">
      <c r="A2587" s="6" t="s">
        <v>17</v>
      </c>
      <c r="B2587" t="s">
        <v>367</v>
      </c>
      <c r="C2587" t="s">
        <v>368</v>
      </c>
      <c r="D2587" t="s">
        <v>1694</v>
      </c>
      <c r="E2587" s="2">
        <v>1.55</v>
      </c>
      <c r="F2587" s="3">
        <f t="shared" ref="F2584:G2590" si="211">DATE(2024,11,5)</f>
        <v>45601</v>
      </c>
      <c r="G2587" s="3">
        <f t="shared" si="211"/>
        <v>45601</v>
      </c>
      <c r="H2587">
        <v>1384834514</v>
      </c>
      <c r="I2587" t="s">
        <v>73</v>
      </c>
      <c r="K2587" t="s">
        <v>21</v>
      </c>
      <c r="L2587" t="s">
        <v>22</v>
      </c>
      <c r="M2587" t="s">
        <v>23</v>
      </c>
      <c r="N2587" t="s">
        <v>23</v>
      </c>
      <c r="O2587" t="s">
        <v>24</v>
      </c>
      <c r="P2587" s="8" t="s">
        <v>3124</v>
      </c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</row>
    <row r="2588" spans="1:51" hidden="1" x14ac:dyDescent="0.2">
      <c r="A2588" s="6"/>
      <c r="E2588" s="2"/>
      <c r="F2588" s="3"/>
      <c r="G2588" s="3"/>
      <c r="P2588" s="8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</row>
    <row r="2589" spans="1:51" hidden="1" x14ac:dyDescent="0.2">
      <c r="A2589" s="6"/>
      <c r="E2589" s="2"/>
      <c r="F2589" s="3"/>
      <c r="G2589" s="3"/>
      <c r="P2589" s="8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</row>
    <row r="2590" spans="1:51" hidden="1" x14ac:dyDescent="0.2">
      <c r="A2590" s="6"/>
      <c r="E2590" s="2"/>
      <c r="F2590" s="3"/>
      <c r="G2590" s="3"/>
      <c r="P2590" s="8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</row>
    <row r="2591" spans="1:51" x14ac:dyDescent="0.2">
      <c r="A2591" s="6" t="s">
        <v>17</v>
      </c>
      <c r="B2591" t="s">
        <v>674</v>
      </c>
      <c r="C2591" t="s">
        <v>675</v>
      </c>
      <c r="D2591" t="s">
        <v>3125</v>
      </c>
      <c r="E2591" s="2">
        <v>340.46</v>
      </c>
      <c r="F2591" s="3">
        <f>DATE(2024,11,6)</f>
        <v>45602</v>
      </c>
      <c r="G2591" s="3">
        <f>DATE(2024,11,6)</f>
        <v>45602</v>
      </c>
      <c r="H2591">
        <v>1390771906</v>
      </c>
      <c r="I2591" t="s">
        <v>20</v>
      </c>
      <c r="K2591" t="s">
        <v>21</v>
      </c>
      <c r="L2591" t="s">
        <v>22</v>
      </c>
      <c r="M2591" t="s">
        <v>23</v>
      </c>
      <c r="N2591" t="s">
        <v>23</v>
      </c>
      <c r="O2591" t="s">
        <v>24</v>
      </c>
      <c r="P2591" s="8" t="s">
        <v>3126</v>
      </c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</row>
    <row r="2592" spans="1:51" x14ac:dyDescent="0.2">
      <c r="A2592" s="6" t="s">
        <v>17</v>
      </c>
      <c r="B2592" t="s">
        <v>261</v>
      </c>
      <c r="C2592" t="s">
        <v>262</v>
      </c>
      <c r="D2592" t="s">
        <v>3127</v>
      </c>
      <c r="E2592" s="2">
        <v>1385.47</v>
      </c>
      <c r="F2592" s="3">
        <f>DATE(2024,11,6)</f>
        <v>45602</v>
      </c>
      <c r="G2592" s="3">
        <f>DATE(2024,11,6)</f>
        <v>45602</v>
      </c>
      <c r="H2592">
        <v>1390771907</v>
      </c>
      <c r="I2592" t="s">
        <v>20</v>
      </c>
      <c r="K2592" t="s">
        <v>21</v>
      </c>
      <c r="L2592" t="s">
        <v>22</v>
      </c>
      <c r="M2592" t="s">
        <v>23</v>
      </c>
      <c r="N2592" t="s">
        <v>23</v>
      </c>
      <c r="O2592" t="s">
        <v>24</v>
      </c>
      <c r="P2592" s="8" t="s">
        <v>3128</v>
      </c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</row>
    <row r="2593" spans="1:51" x14ac:dyDescent="0.2">
      <c r="A2593" s="6" t="s">
        <v>17</v>
      </c>
      <c r="B2593" t="s">
        <v>34</v>
      </c>
      <c r="C2593" t="s">
        <v>35</v>
      </c>
      <c r="D2593" t="s">
        <v>98</v>
      </c>
      <c r="E2593" s="2">
        <v>500</v>
      </c>
      <c r="F2593" s="3">
        <f>DATE(2024,11,7)</f>
        <v>45603</v>
      </c>
      <c r="G2593" s="3">
        <f>DATE(2024,11,7)</f>
        <v>45603</v>
      </c>
      <c r="H2593">
        <v>1390771908</v>
      </c>
      <c r="I2593" t="s">
        <v>20</v>
      </c>
      <c r="K2593" t="s">
        <v>21</v>
      </c>
      <c r="L2593" t="s">
        <v>22</v>
      </c>
      <c r="M2593" t="s">
        <v>23</v>
      </c>
      <c r="N2593" t="s">
        <v>23</v>
      </c>
      <c r="O2593" t="s">
        <v>24</v>
      </c>
      <c r="P2593" s="8" t="s">
        <v>3129</v>
      </c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</row>
    <row r="2594" spans="1:51" hidden="1" x14ac:dyDescent="0.2">
      <c r="A2594" s="6"/>
      <c r="E2594" s="2"/>
      <c r="F2594" s="3"/>
      <c r="G2594" s="3"/>
      <c r="P2594" s="8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</row>
    <row r="2595" spans="1:51" hidden="1" x14ac:dyDescent="0.2">
      <c r="A2595" s="6"/>
      <c r="E2595" s="2"/>
      <c r="F2595" s="3"/>
      <c r="G2595" s="3"/>
      <c r="P2595" s="8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</row>
    <row r="2596" spans="1:51" x14ac:dyDescent="0.2">
      <c r="A2596" s="6" t="s">
        <v>17</v>
      </c>
      <c r="B2596" t="s">
        <v>261</v>
      </c>
      <c r="C2596" t="s">
        <v>262</v>
      </c>
      <c r="D2596" t="s">
        <v>3130</v>
      </c>
      <c r="E2596" s="2">
        <v>2586.5500000000002</v>
      </c>
      <c r="F2596" s="3">
        <f>DATE(2024,11,6)</f>
        <v>45602</v>
      </c>
      <c r="G2596" s="3">
        <f>DATE(2024,11,6)</f>
        <v>45602</v>
      </c>
      <c r="H2596">
        <v>1390771911</v>
      </c>
      <c r="I2596" t="s">
        <v>20</v>
      </c>
      <c r="K2596" t="s">
        <v>21</v>
      </c>
      <c r="L2596" t="s">
        <v>22</v>
      </c>
      <c r="M2596" t="s">
        <v>23</v>
      </c>
      <c r="N2596" t="s">
        <v>23</v>
      </c>
      <c r="O2596" t="s">
        <v>24</v>
      </c>
      <c r="P2596" s="8" t="s">
        <v>3131</v>
      </c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</row>
    <row r="2597" spans="1:51" x14ac:dyDescent="0.2">
      <c r="A2597" s="6" t="s">
        <v>17</v>
      </c>
      <c r="B2597" t="s">
        <v>223</v>
      </c>
      <c r="C2597" t="s">
        <v>223</v>
      </c>
      <c r="D2597" t="s">
        <v>3132</v>
      </c>
      <c r="E2597" s="2">
        <v>32.520000000000003</v>
      </c>
      <c r="F2597" s="3">
        <f t="shared" ref="F2597:G2603" si="212">DATE(2024,11,5)</f>
        <v>45601</v>
      </c>
      <c r="G2597" s="3">
        <f t="shared" si="212"/>
        <v>45601</v>
      </c>
      <c r="H2597">
        <v>1390772087</v>
      </c>
      <c r="I2597" t="s">
        <v>51</v>
      </c>
      <c r="K2597" t="s">
        <v>21</v>
      </c>
      <c r="L2597" t="s">
        <v>22</v>
      </c>
      <c r="M2597" t="s">
        <v>23</v>
      </c>
      <c r="N2597" t="s">
        <v>23</v>
      </c>
      <c r="O2597" t="s">
        <v>24</v>
      </c>
      <c r="P2597" s="8" t="s">
        <v>3133</v>
      </c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</row>
    <row r="2598" spans="1:51" x14ac:dyDescent="0.2">
      <c r="A2598" s="6" t="s">
        <v>17</v>
      </c>
      <c r="B2598" t="s">
        <v>316</v>
      </c>
      <c r="C2598" t="s">
        <v>316</v>
      </c>
      <c r="D2598" t="s">
        <v>141</v>
      </c>
      <c r="E2598" s="2">
        <v>22.3</v>
      </c>
      <c r="F2598" s="3">
        <f t="shared" si="212"/>
        <v>45601</v>
      </c>
      <c r="G2598" s="3">
        <f t="shared" si="212"/>
        <v>45601</v>
      </c>
      <c r="H2598">
        <v>1390772088</v>
      </c>
      <c r="I2598" t="s">
        <v>51</v>
      </c>
      <c r="K2598" t="s">
        <v>21</v>
      </c>
      <c r="L2598" t="s">
        <v>22</v>
      </c>
      <c r="M2598" t="s">
        <v>23</v>
      </c>
      <c r="N2598" t="s">
        <v>23</v>
      </c>
      <c r="O2598" t="s">
        <v>24</v>
      </c>
      <c r="P2598" s="8" t="s">
        <v>3134</v>
      </c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</row>
    <row r="2599" spans="1:51" x14ac:dyDescent="0.2">
      <c r="A2599" s="6" t="s">
        <v>17</v>
      </c>
      <c r="B2599" t="s">
        <v>144</v>
      </c>
      <c r="C2599" t="s">
        <v>145</v>
      </c>
      <c r="D2599" t="s">
        <v>146</v>
      </c>
      <c r="E2599" s="2">
        <v>1</v>
      </c>
      <c r="F2599" s="3">
        <f t="shared" si="212"/>
        <v>45601</v>
      </c>
      <c r="G2599" s="3">
        <f t="shared" si="212"/>
        <v>45601</v>
      </c>
      <c r="H2599">
        <v>1390772089</v>
      </c>
      <c r="I2599" t="s">
        <v>51</v>
      </c>
      <c r="K2599" t="s">
        <v>21</v>
      </c>
      <c r="L2599" t="s">
        <v>22</v>
      </c>
      <c r="M2599" t="s">
        <v>23</v>
      </c>
      <c r="N2599" t="s">
        <v>23</v>
      </c>
      <c r="O2599" t="s">
        <v>24</v>
      </c>
      <c r="P2599" s="8" t="s">
        <v>3135</v>
      </c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</row>
    <row r="2600" spans="1:51" x14ac:dyDescent="0.2">
      <c r="A2600" s="6" t="s">
        <v>17</v>
      </c>
      <c r="B2600" t="s">
        <v>144</v>
      </c>
      <c r="C2600" t="s">
        <v>145</v>
      </c>
      <c r="D2600" t="s">
        <v>146</v>
      </c>
      <c r="E2600" s="2">
        <v>1</v>
      </c>
      <c r="F2600" s="3">
        <f t="shared" si="212"/>
        <v>45601</v>
      </c>
      <c r="G2600" s="3">
        <f t="shared" si="212"/>
        <v>45601</v>
      </c>
      <c r="H2600">
        <v>1390772090</v>
      </c>
      <c r="I2600" t="s">
        <v>51</v>
      </c>
      <c r="K2600" t="s">
        <v>21</v>
      </c>
      <c r="L2600" t="s">
        <v>22</v>
      </c>
      <c r="M2600" t="s">
        <v>23</v>
      </c>
      <c r="N2600" t="s">
        <v>23</v>
      </c>
      <c r="O2600" t="s">
        <v>24</v>
      </c>
      <c r="P2600" s="8" t="s">
        <v>3136</v>
      </c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</row>
    <row r="2601" spans="1:51" x14ac:dyDescent="0.2">
      <c r="A2601" s="6" t="s">
        <v>17</v>
      </c>
      <c r="B2601" t="s">
        <v>144</v>
      </c>
      <c r="C2601" t="s">
        <v>145</v>
      </c>
      <c r="D2601" t="s">
        <v>3137</v>
      </c>
      <c r="E2601" s="2">
        <v>500</v>
      </c>
      <c r="F2601" s="3">
        <f t="shared" si="212"/>
        <v>45601</v>
      </c>
      <c r="G2601" s="3">
        <f t="shared" si="212"/>
        <v>45601</v>
      </c>
      <c r="H2601">
        <v>1390772091</v>
      </c>
      <c r="I2601" t="s">
        <v>51</v>
      </c>
      <c r="K2601" t="s">
        <v>21</v>
      </c>
      <c r="L2601" t="s">
        <v>22</v>
      </c>
      <c r="M2601" t="s">
        <v>23</v>
      </c>
      <c r="N2601" t="s">
        <v>23</v>
      </c>
      <c r="O2601" t="s">
        <v>24</v>
      </c>
      <c r="P2601" s="8" t="s">
        <v>3138</v>
      </c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</row>
    <row r="2602" spans="1:51" x14ac:dyDescent="0.2">
      <c r="A2602" s="6" t="s">
        <v>17</v>
      </c>
      <c r="B2602" t="s">
        <v>144</v>
      </c>
      <c r="C2602" t="s">
        <v>145</v>
      </c>
      <c r="D2602" t="s">
        <v>3139</v>
      </c>
      <c r="E2602" s="2">
        <v>369</v>
      </c>
      <c r="F2602" s="3">
        <f t="shared" si="212"/>
        <v>45601</v>
      </c>
      <c r="G2602" s="3">
        <f t="shared" si="212"/>
        <v>45601</v>
      </c>
      <c r="H2602">
        <v>1390772092</v>
      </c>
      <c r="I2602" t="s">
        <v>51</v>
      </c>
      <c r="K2602" t="s">
        <v>21</v>
      </c>
      <c r="L2602" t="s">
        <v>22</v>
      </c>
      <c r="M2602" t="s">
        <v>23</v>
      </c>
      <c r="N2602" t="s">
        <v>23</v>
      </c>
      <c r="O2602" t="s">
        <v>24</v>
      </c>
      <c r="P2602" s="8" t="s">
        <v>3140</v>
      </c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</row>
    <row r="2603" spans="1:51" x14ac:dyDescent="0.2">
      <c r="A2603" s="6" t="s">
        <v>17</v>
      </c>
      <c r="B2603" t="s">
        <v>144</v>
      </c>
      <c r="C2603" t="s">
        <v>145</v>
      </c>
      <c r="D2603" t="s">
        <v>1646</v>
      </c>
      <c r="E2603" s="2">
        <v>37.19</v>
      </c>
      <c r="F2603" s="3">
        <f t="shared" si="212"/>
        <v>45601</v>
      </c>
      <c r="G2603" s="3">
        <f t="shared" si="212"/>
        <v>45601</v>
      </c>
      <c r="H2603">
        <v>1390772093</v>
      </c>
      <c r="I2603" t="s">
        <v>51</v>
      </c>
      <c r="K2603" t="s">
        <v>21</v>
      </c>
      <c r="L2603" t="s">
        <v>22</v>
      </c>
      <c r="M2603" t="s">
        <v>23</v>
      </c>
      <c r="N2603" t="s">
        <v>23</v>
      </c>
      <c r="O2603" t="s">
        <v>24</v>
      </c>
      <c r="P2603" s="8" t="s">
        <v>3141</v>
      </c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</row>
    <row r="2604" spans="1:51" hidden="1" x14ac:dyDescent="0.2">
      <c r="A2604" s="6"/>
      <c r="E2604" s="2"/>
      <c r="F2604" s="3"/>
      <c r="G2604" s="3"/>
      <c r="P2604" s="8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</row>
    <row r="2605" spans="1:51" hidden="1" x14ac:dyDescent="0.2">
      <c r="A2605" s="6"/>
      <c r="E2605" s="2"/>
      <c r="F2605" s="3"/>
      <c r="G2605" s="3"/>
      <c r="P2605" s="8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</row>
    <row r="2606" spans="1:51" x14ac:dyDescent="0.2">
      <c r="A2606" s="6" t="s">
        <v>17</v>
      </c>
      <c r="B2606" t="s">
        <v>104</v>
      </c>
      <c r="C2606" t="s">
        <v>105</v>
      </c>
      <c r="D2606" t="s">
        <v>3142</v>
      </c>
      <c r="E2606" s="2">
        <v>249.31</v>
      </c>
      <c r="F2606" s="3">
        <f>DATE(2024,11,7)</f>
        <v>45603</v>
      </c>
      <c r="G2606" s="3">
        <f>DATE(2024,11,7)</f>
        <v>45603</v>
      </c>
      <c r="H2606">
        <v>1395602886</v>
      </c>
      <c r="I2606" t="s">
        <v>20</v>
      </c>
      <c r="K2606" t="s">
        <v>21</v>
      </c>
      <c r="L2606" t="s">
        <v>22</v>
      </c>
      <c r="M2606" t="s">
        <v>23</v>
      </c>
      <c r="N2606" t="s">
        <v>23</v>
      </c>
      <c r="O2606" t="s">
        <v>24</v>
      </c>
      <c r="P2606" s="8" t="s">
        <v>3143</v>
      </c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</row>
    <row r="2607" spans="1:51" hidden="1" x14ac:dyDescent="0.2">
      <c r="A2607" s="6"/>
      <c r="E2607" s="2"/>
      <c r="F2607" s="3"/>
      <c r="G2607" s="3"/>
      <c r="P2607" s="8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</row>
    <row r="2608" spans="1:51" x14ac:dyDescent="0.2">
      <c r="A2608" s="6" t="s">
        <v>17</v>
      </c>
      <c r="B2608" t="s">
        <v>144</v>
      </c>
      <c r="C2608" t="s">
        <v>145</v>
      </c>
      <c r="D2608" t="s">
        <v>3144</v>
      </c>
      <c r="E2608" s="2">
        <v>18.899999999999999</v>
      </c>
      <c r="F2608" s="3">
        <f t="shared" ref="F2608:G2611" si="213">DATE(2024,11,6)</f>
        <v>45602</v>
      </c>
      <c r="G2608" s="3">
        <f t="shared" si="213"/>
        <v>45602</v>
      </c>
      <c r="H2608">
        <v>1395602911</v>
      </c>
      <c r="I2608" t="s">
        <v>51</v>
      </c>
      <c r="K2608" t="s">
        <v>21</v>
      </c>
      <c r="L2608" t="s">
        <v>22</v>
      </c>
      <c r="M2608" t="s">
        <v>23</v>
      </c>
      <c r="N2608" t="s">
        <v>23</v>
      </c>
      <c r="O2608" t="s">
        <v>24</v>
      </c>
      <c r="P2608" s="8" t="s">
        <v>3145</v>
      </c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</row>
    <row r="2609" spans="1:51" x14ac:dyDescent="0.2">
      <c r="A2609" s="6" t="s">
        <v>17</v>
      </c>
      <c r="B2609" t="s">
        <v>144</v>
      </c>
      <c r="C2609" t="s">
        <v>145</v>
      </c>
      <c r="D2609" t="s">
        <v>3146</v>
      </c>
      <c r="E2609" s="2">
        <v>5.2</v>
      </c>
      <c r="F2609" s="3">
        <f t="shared" si="213"/>
        <v>45602</v>
      </c>
      <c r="G2609" s="3">
        <f t="shared" si="213"/>
        <v>45602</v>
      </c>
      <c r="H2609">
        <v>1395602912</v>
      </c>
      <c r="I2609" t="s">
        <v>51</v>
      </c>
      <c r="K2609" t="s">
        <v>21</v>
      </c>
      <c r="L2609" t="s">
        <v>22</v>
      </c>
      <c r="M2609" t="s">
        <v>23</v>
      </c>
      <c r="N2609" t="s">
        <v>23</v>
      </c>
      <c r="O2609" t="s">
        <v>24</v>
      </c>
      <c r="P2609" s="8" t="s">
        <v>3147</v>
      </c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</row>
    <row r="2610" spans="1:51" x14ac:dyDescent="0.2">
      <c r="A2610" s="6" t="s">
        <v>17</v>
      </c>
      <c r="B2610" t="s">
        <v>144</v>
      </c>
      <c r="C2610" t="s">
        <v>145</v>
      </c>
      <c r="D2610" t="s">
        <v>3146</v>
      </c>
      <c r="E2610" s="2">
        <v>5.2</v>
      </c>
      <c r="F2610" s="3">
        <f t="shared" si="213"/>
        <v>45602</v>
      </c>
      <c r="G2610" s="3">
        <f t="shared" si="213"/>
        <v>45602</v>
      </c>
      <c r="H2610">
        <v>1395602913</v>
      </c>
      <c r="I2610" t="s">
        <v>51</v>
      </c>
      <c r="K2610" t="s">
        <v>21</v>
      </c>
      <c r="L2610" t="s">
        <v>22</v>
      </c>
      <c r="M2610" t="s">
        <v>23</v>
      </c>
      <c r="N2610" t="s">
        <v>23</v>
      </c>
      <c r="O2610" t="s">
        <v>24</v>
      </c>
      <c r="P2610" s="8" t="s">
        <v>3148</v>
      </c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</row>
    <row r="2611" spans="1:51" x14ac:dyDescent="0.2">
      <c r="A2611" s="6" t="s">
        <v>17</v>
      </c>
      <c r="B2611" t="s">
        <v>144</v>
      </c>
      <c r="C2611" t="s">
        <v>145</v>
      </c>
      <c r="D2611" t="s">
        <v>1646</v>
      </c>
      <c r="E2611" s="2">
        <v>31.93</v>
      </c>
      <c r="F2611" s="3">
        <f t="shared" si="213"/>
        <v>45602</v>
      </c>
      <c r="G2611" s="3">
        <f t="shared" si="213"/>
        <v>45602</v>
      </c>
      <c r="H2611">
        <v>1395602914</v>
      </c>
      <c r="I2611" t="s">
        <v>51</v>
      </c>
      <c r="K2611" t="s">
        <v>21</v>
      </c>
      <c r="L2611" t="s">
        <v>22</v>
      </c>
      <c r="M2611" t="s">
        <v>23</v>
      </c>
      <c r="N2611" t="s">
        <v>23</v>
      </c>
      <c r="O2611" t="s">
        <v>24</v>
      </c>
      <c r="P2611" s="8" t="s">
        <v>3149</v>
      </c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</row>
    <row r="2612" spans="1:51" x14ac:dyDescent="0.2">
      <c r="A2612" s="6" t="s">
        <v>17</v>
      </c>
      <c r="B2612" t="s">
        <v>363</v>
      </c>
      <c r="C2612" t="s">
        <v>364</v>
      </c>
      <c r="D2612" t="s">
        <v>3150</v>
      </c>
      <c r="E2612" s="2">
        <v>18.600000000000001</v>
      </c>
      <c r="F2612" s="3">
        <f>DATE(2024,11,7)</f>
        <v>45603</v>
      </c>
      <c r="G2612" s="3">
        <f>DATE(2024,11,7)</f>
        <v>45603</v>
      </c>
      <c r="H2612">
        <v>1395607858</v>
      </c>
      <c r="I2612" t="s">
        <v>73</v>
      </c>
      <c r="K2612" t="s">
        <v>21</v>
      </c>
      <c r="L2612" t="s">
        <v>22</v>
      </c>
      <c r="M2612" t="s">
        <v>23</v>
      </c>
      <c r="N2612" t="s">
        <v>23</v>
      </c>
      <c r="O2612" t="s">
        <v>24</v>
      </c>
      <c r="P2612" s="8" t="s">
        <v>3151</v>
      </c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</row>
    <row r="2613" spans="1:51" x14ac:dyDescent="0.2">
      <c r="A2613" s="6" t="s">
        <v>17</v>
      </c>
      <c r="B2613" t="s">
        <v>363</v>
      </c>
      <c r="C2613" t="s">
        <v>364</v>
      </c>
      <c r="D2613" t="s">
        <v>3152</v>
      </c>
      <c r="E2613" s="2">
        <v>828</v>
      </c>
      <c r="F2613" s="3">
        <f>DATE(2024,11,8)</f>
        <v>45604</v>
      </c>
      <c r="G2613" s="3">
        <f>DATE(2024,11,8)</f>
        <v>45604</v>
      </c>
      <c r="H2613">
        <v>1399215640</v>
      </c>
      <c r="I2613" t="s">
        <v>20</v>
      </c>
      <c r="K2613" t="s">
        <v>21</v>
      </c>
      <c r="L2613" t="s">
        <v>22</v>
      </c>
      <c r="M2613" t="s">
        <v>23</v>
      </c>
      <c r="N2613" t="s">
        <v>23</v>
      </c>
      <c r="O2613" t="s">
        <v>24</v>
      </c>
      <c r="P2613" s="8" t="s">
        <v>3153</v>
      </c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</row>
    <row r="2614" spans="1:51" x14ac:dyDescent="0.2">
      <c r="A2614" s="6" t="s">
        <v>17</v>
      </c>
      <c r="B2614" t="s">
        <v>30</v>
      </c>
      <c r="C2614" t="s">
        <v>31</v>
      </c>
      <c r="D2614" t="s">
        <v>3154</v>
      </c>
      <c r="E2614" s="2">
        <v>1156.0999999999999</v>
      </c>
      <c r="F2614" s="3">
        <f>DATE(2024,11,9)</f>
        <v>45605</v>
      </c>
      <c r="G2614" s="3">
        <f>DATE(2024,11,9)</f>
        <v>45605</v>
      </c>
      <c r="H2614">
        <v>1399215641</v>
      </c>
      <c r="I2614" t="s">
        <v>20</v>
      </c>
      <c r="K2614" t="s">
        <v>21</v>
      </c>
      <c r="L2614" t="s">
        <v>22</v>
      </c>
      <c r="M2614" t="s">
        <v>23</v>
      </c>
      <c r="N2614" t="s">
        <v>23</v>
      </c>
      <c r="O2614" t="s">
        <v>24</v>
      </c>
      <c r="P2614" s="8" t="s">
        <v>3155</v>
      </c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</row>
    <row r="2615" spans="1:51" x14ac:dyDescent="0.2">
      <c r="A2615" s="6" t="s">
        <v>17</v>
      </c>
      <c r="B2615" t="s">
        <v>110</v>
      </c>
      <c r="C2615" t="s">
        <v>111</v>
      </c>
      <c r="D2615" t="s">
        <v>3156</v>
      </c>
      <c r="E2615" s="2">
        <v>631.02</v>
      </c>
      <c r="F2615" s="3">
        <f t="shared" ref="F2615:G2618" si="214">DATE(2024,11,8)</f>
        <v>45604</v>
      </c>
      <c r="G2615" s="3">
        <f t="shared" si="214"/>
        <v>45604</v>
      </c>
      <c r="H2615">
        <v>1399215642</v>
      </c>
      <c r="I2615" t="s">
        <v>20</v>
      </c>
      <c r="K2615" t="s">
        <v>21</v>
      </c>
      <c r="L2615" t="s">
        <v>22</v>
      </c>
      <c r="M2615" t="s">
        <v>23</v>
      </c>
      <c r="N2615" t="s">
        <v>23</v>
      </c>
      <c r="O2615" t="s">
        <v>24</v>
      </c>
      <c r="P2615" s="8" t="s">
        <v>3157</v>
      </c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</row>
    <row r="2616" spans="1:51" x14ac:dyDescent="0.2">
      <c r="A2616" s="6" t="s">
        <v>17</v>
      </c>
      <c r="B2616" t="s">
        <v>363</v>
      </c>
      <c r="C2616" t="s">
        <v>364</v>
      </c>
      <c r="D2616" t="s">
        <v>3158</v>
      </c>
      <c r="E2616" s="2">
        <v>1255</v>
      </c>
      <c r="F2616" s="3">
        <f t="shared" si="214"/>
        <v>45604</v>
      </c>
      <c r="G2616" s="3">
        <f t="shared" si="214"/>
        <v>45604</v>
      </c>
      <c r="H2616">
        <v>1399215643</v>
      </c>
      <c r="I2616" t="s">
        <v>20</v>
      </c>
      <c r="K2616" t="s">
        <v>21</v>
      </c>
      <c r="L2616" t="s">
        <v>22</v>
      </c>
      <c r="M2616" t="s">
        <v>23</v>
      </c>
      <c r="N2616" t="s">
        <v>23</v>
      </c>
      <c r="O2616" t="s">
        <v>24</v>
      </c>
      <c r="P2616" s="8" t="s">
        <v>3159</v>
      </c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</row>
    <row r="2617" spans="1:51" x14ac:dyDescent="0.2">
      <c r="A2617" s="6" t="s">
        <v>17</v>
      </c>
      <c r="B2617" t="s">
        <v>44</v>
      </c>
      <c r="C2617" t="s">
        <v>45</v>
      </c>
      <c r="D2617" t="s">
        <v>3160</v>
      </c>
      <c r="E2617" s="2">
        <v>75.8</v>
      </c>
      <c r="F2617" s="3">
        <f t="shared" si="214"/>
        <v>45604</v>
      </c>
      <c r="G2617" s="3">
        <f t="shared" si="214"/>
        <v>45604</v>
      </c>
      <c r="H2617">
        <v>1399215644</v>
      </c>
      <c r="I2617" t="s">
        <v>20</v>
      </c>
      <c r="K2617" t="s">
        <v>21</v>
      </c>
      <c r="L2617" t="s">
        <v>22</v>
      </c>
      <c r="M2617" t="s">
        <v>23</v>
      </c>
      <c r="N2617" t="s">
        <v>23</v>
      </c>
      <c r="O2617" t="s">
        <v>24</v>
      </c>
      <c r="P2617" s="8" t="s">
        <v>3161</v>
      </c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</row>
    <row r="2618" spans="1:51" x14ac:dyDescent="0.2">
      <c r="A2618" s="6" t="s">
        <v>17</v>
      </c>
      <c r="B2618" t="s">
        <v>363</v>
      </c>
      <c r="C2618" t="s">
        <v>364</v>
      </c>
      <c r="D2618" t="s">
        <v>3162</v>
      </c>
      <c r="E2618" s="2">
        <v>120</v>
      </c>
      <c r="F2618" s="3">
        <f t="shared" si="214"/>
        <v>45604</v>
      </c>
      <c r="G2618" s="3">
        <f t="shared" si="214"/>
        <v>45604</v>
      </c>
      <c r="H2618">
        <v>1399215645</v>
      </c>
      <c r="I2618" t="s">
        <v>20</v>
      </c>
      <c r="K2618" t="s">
        <v>21</v>
      </c>
      <c r="L2618" t="s">
        <v>22</v>
      </c>
      <c r="M2618" t="s">
        <v>23</v>
      </c>
      <c r="N2618" t="s">
        <v>23</v>
      </c>
      <c r="O2618" t="s">
        <v>24</v>
      </c>
      <c r="P2618" s="8" t="s">
        <v>3163</v>
      </c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</row>
    <row r="2619" spans="1:51" x14ac:dyDescent="0.2">
      <c r="A2619" s="6" t="s">
        <v>17</v>
      </c>
      <c r="B2619" t="s">
        <v>30</v>
      </c>
      <c r="C2619" t="s">
        <v>31</v>
      </c>
      <c r="D2619" t="s">
        <v>3164</v>
      </c>
      <c r="E2619" s="2">
        <v>871.08</v>
      </c>
      <c r="F2619" s="3">
        <f>DATE(2024,11,9)</f>
        <v>45605</v>
      </c>
      <c r="G2619" s="3">
        <f>DATE(2024,11,9)</f>
        <v>45605</v>
      </c>
      <c r="H2619">
        <v>1399215646</v>
      </c>
      <c r="I2619" t="s">
        <v>20</v>
      </c>
      <c r="K2619" t="s">
        <v>21</v>
      </c>
      <c r="L2619" t="s">
        <v>22</v>
      </c>
      <c r="M2619" t="s">
        <v>23</v>
      </c>
      <c r="N2619" t="s">
        <v>23</v>
      </c>
      <c r="O2619" t="s">
        <v>24</v>
      </c>
      <c r="P2619" s="8" t="s">
        <v>3165</v>
      </c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</row>
    <row r="2620" spans="1:51" x14ac:dyDescent="0.2">
      <c r="A2620" s="6" t="s">
        <v>17</v>
      </c>
      <c r="B2620" t="s">
        <v>363</v>
      </c>
      <c r="C2620" t="s">
        <v>364</v>
      </c>
      <c r="D2620" t="s">
        <v>3166</v>
      </c>
      <c r="E2620" s="2">
        <v>775</v>
      </c>
      <c r="F2620" s="3">
        <f t="shared" ref="F2620:G2623" si="215">DATE(2024,11,8)</f>
        <v>45604</v>
      </c>
      <c r="G2620" s="3">
        <f t="shared" si="215"/>
        <v>45604</v>
      </c>
      <c r="H2620">
        <v>1399215647</v>
      </c>
      <c r="I2620" t="s">
        <v>20</v>
      </c>
      <c r="K2620" t="s">
        <v>21</v>
      </c>
      <c r="L2620" t="s">
        <v>22</v>
      </c>
      <c r="M2620" t="s">
        <v>23</v>
      </c>
      <c r="N2620" t="s">
        <v>23</v>
      </c>
      <c r="O2620" t="s">
        <v>24</v>
      </c>
      <c r="P2620" s="8" t="s">
        <v>3167</v>
      </c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</row>
    <row r="2621" spans="1:51" x14ac:dyDescent="0.2">
      <c r="A2621" s="6" t="s">
        <v>17</v>
      </c>
      <c r="B2621" t="s">
        <v>191</v>
      </c>
      <c r="C2621" t="s">
        <v>192</v>
      </c>
      <c r="D2621" t="s">
        <v>3168</v>
      </c>
      <c r="E2621" s="2">
        <v>9369.61</v>
      </c>
      <c r="F2621" s="3">
        <f t="shared" si="215"/>
        <v>45604</v>
      </c>
      <c r="G2621" s="3">
        <f t="shared" si="215"/>
        <v>45604</v>
      </c>
      <c r="H2621">
        <v>1399215648</v>
      </c>
      <c r="I2621" t="s">
        <v>20</v>
      </c>
      <c r="K2621" t="s">
        <v>21</v>
      </c>
      <c r="L2621" t="s">
        <v>22</v>
      </c>
      <c r="M2621" t="s">
        <v>23</v>
      </c>
      <c r="N2621" t="s">
        <v>23</v>
      </c>
      <c r="O2621" t="s">
        <v>24</v>
      </c>
      <c r="P2621" s="8" t="s">
        <v>3169</v>
      </c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</row>
    <row r="2622" spans="1:51" x14ac:dyDescent="0.2">
      <c r="A2622" s="6" t="s">
        <v>17</v>
      </c>
      <c r="B2622" t="s">
        <v>110</v>
      </c>
      <c r="C2622" t="s">
        <v>111</v>
      </c>
      <c r="D2622" t="s">
        <v>3170</v>
      </c>
      <c r="E2622" s="2">
        <v>156.5</v>
      </c>
      <c r="F2622" s="3">
        <f t="shared" si="215"/>
        <v>45604</v>
      </c>
      <c r="G2622" s="3">
        <f t="shared" si="215"/>
        <v>45604</v>
      </c>
      <c r="H2622">
        <v>1399215649</v>
      </c>
      <c r="I2622" t="s">
        <v>20</v>
      </c>
      <c r="K2622" t="s">
        <v>21</v>
      </c>
      <c r="L2622" t="s">
        <v>22</v>
      </c>
      <c r="M2622" t="s">
        <v>23</v>
      </c>
      <c r="N2622" t="s">
        <v>23</v>
      </c>
      <c r="O2622" t="s">
        <v>24</v>
      </c>
      <c r="P2622" s="8" t="s">
        <v>3171</v>
      </c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</row>
    <row r="2623" spans="1:51" hidden="1" x14ac:dyDescent="0.2">
      <c r="A2623" s="6"/>
      <c r="E2623" s="2"/>
      <c r="F2623" s="3"/>
      <c r="G2623" s="3"/>
      <c r="P2623" s="8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</row>
    <row r="2624" spans="1:51" x14ac:dyDescent="0.2">
      <c r="A2624" s="6" t="s">
        <v>17</v>
      </c>
      <c r="B2624" t="s">
        <v>144</v>
      </c>
      <c r="C2624" t="s">
        <v>145</v>
      </c>
      <c r="D2624" t="s">
        <v>3172</v>
      </c>
      <c r="E2624" s="2">
        <v>12.7</v>
      </c>
      <c r="F2624" s="3">
        <f>DATE(2024,11,7)</f>
        <v>45603</v>
      </c>
      <c r="G2624" s="3">
        <f>DATE(2024,11,7)</f>
        <v>45603</v>
      </c>
      <c r="H2624">
        <v>1399215651</v>
      </c>
      <c r="I2624" t="s">
        <v>51</v>
      </c>
      <c r="K2624" t="s">
        <v>21</v>
      </c>
      <c r="L2624" t="s">
        <v>22</v>
      </c>
      <c r="M2624" t="s">
        <v>23</v>
      </c>
      <c r="N2624" t="s">
        <v>23</v>
      </c>
      <c r="O2624" t="s">
        <v>24</v>
      </c>
      <c r="P2624" s="8" t="s">
        <v>3173</v>
      </c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</row>
    <row r="2625" spans="1:51" x14ac:dyDescent="0.2">
      <c r="A2625" s="6" t="s">
        <v>17</v>
      </c>
      <c r="B2625" t="s">
        <v>144</v>
      </c>
      <c r="C2625" t="s">
        <v>145</v>
      </c>
      <c r="D2625" t="s">
        <v>3174</v>
      </c>
      <c r="E2625" s="2">
        <v>32.159999999999997</v>
      </c>
      <c r="F2625" s="3">
        <f>DATE(2024,11,6)</f>
        <v>45602</v>
      </c>
      <c r="G2625" s="3">
        <f>DATE(2024,11,6)</f>
        <v>45602</v>
      </c>
      <c r="H2625">
        <v>1399215652</v>
      </c>
      <c r="I2625" t="s">
        <v>51</v>
      </c>
      <c r="K2625" t="s">
        <v>21</v>
      </c>
      <c r="L2625" t="s">
        <v>22</v>
      </c>
      <c r="M2625" t="s">
        <v>23</v>
      </c>
      <c r="N2625" t="s">
        <v>23</v>
      </c>
      <c r="O2625" t="s">
        <v>24</v>
      </c>
      <c r="P2625" s="8" t="s">
        <v>3175</v>
      </c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</row>
    <row r="2626" spans="1:51" x14ac:dyDescent="0.2">
      <c r="A2626" s="6" t="s">
        <v>17</v>
      </c>
      <c r="B2626" t="s">
        <v>144</v>
      </c>
      <c r="C2626" t="s">
        <v>145</v>
      </c>
      <c r="D2626" t="s">
        <v>3176</v>
      </c>
      <c r="E2626" s="2">
        <v>192.5</v>
      </c>
      <c r="F2626" s="3">
        <f>DATE(2024,11,7)</f>
        <v>45603</v>
      </c>
      <c r="G2626" s="3">
        <f>DATE(2024,11,7)</f>
        <v>45603</v>
      </c>
      <c r="H2626">
        <v>1399215653</v>
      </c>
      <c r="I2626" t="s">
        <v>51</v>
      </c>
      <c r="K2626" t="s">
        <v>21</v>
      </c>
      <c r="L2626" t="s">
        <v>22</v>
      </c>
      <c r="M2626" t="s">
        <v>23</v>
      </c>
      <c r="N2626" t="s">
        <v>23</v>
      </c>
      <c r="O2626" t="s">
        <v>24</v>
      </c>
      <c r="P2626" s="8" t="s">
        <v>3177</v>
      </c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</row>
    <row r="2627" spans="1:51" x14ac:dyDescent="0.2">
      <c r="A2627" s="6" t="s">
        <v>17</v>
      </c>
      <c r="B2627" t="s">
        <v>144</v>
      </c>
      <c r="C2627" t="s">
        <v>145</v>
      </c>
      <c r="D2627" t="s">
        <v>3132</v>
      </c>
      <c r="E2627" s="2">
        <v>122</v>
      </c>
      <c r="F2627" s="3">
        <f>DATE(2024,11,7)</f>
        <v>45603</v>
      </c>
      <c r="G2627" s="3">
        <f>DATE(2024,11,7)</f>
        <v>45603</v>
      </c>
      <c r="H2627">
        <v>1399215654</v>
      </c>
      <c r="I2627" t="s">
        <v>51</v>
      </c>
      <c r="K2627" t="s">
        <v>21</v>
      </c>
      <c r="L2627" t="s">
        <v>22</v>
      </c>
      <c r="M2627" t="s">
        <v>23</v>
      </c>
      <c r="N2627" t="s">
        <v>23</v>
      </c>
      <c r="O2627" t="s">
        <v>24</v>
      </c>
      <c r="P2627" s="8" t="s">
        <v>3178</v>
      </c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</row>
    <row r="2628" spans="1:51" x14ac:dyDescent="0.2">
      <c r="A2628" s="6" t="s">
        <v>17</v>
      </c>
      <c r="B2628" t="s">
        <v>144</v>
      </c>
      <c r="C2628" t="s">
        <v>145</v>
      </c>
      <c r="D2628" t="s">
        <v>3179</v>
      </c>
      <c r="E2628" s="2">
        <v>242</v>
      </c>
      <c r="F2628" s="3">
        <f>DATE(2024,11,6)</f>
        <v>45602</v>
      </c>
      <c r="G2628" s="3">
        <f>DATE(2024,11,6)</f>
        <v>45602</v>
      </c>
      <c r="H2628">
        <v>1399215655</v>
      </c>
      <c r="I2628" t="s">
        <v>51</v>
      </c>
      <c r="K2628" t="s">
        <v>21</v>
      </c>
      <c r="L2628" t="s">
        <v>22</v>
      </c>
      <c r="M2628" t="s">
        <v>23</v>
      </c>
      <c r="N2628" t="s">
        <v>23</v>
      </c>
      <c r="O2628" t="s">
        <v>24</v>
      </c>
      <c r="P2628" s="8" t="s">
        <v>3180</v>
      </c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</row>
    <row r="2629" spans="1:51" x14ac:dyDescent="0.2">
      <c r="A2629" s="6" t="s">
        <v>17</v>
      </c>
      <c r="B2629" t="s">
        <v>144</v>
      </c>
      <c r="C2629" t="s">
        <v>145</v>
      </c>
      <c r="D2629" t="s">
        <v>157</v>
      </c>
      <c r="E2629" s="2">
        <v>53.3</v>
      </c>
      <c r="F2629" s="3">
        <f>DATE(2024,11,7)</f>
        <v>45603</v>
      </c>
      <c r="G2629" s="3">
        <f>DATE(2024,11,7)</f>
        <v>45603</v>
      </c>
      <c r="H2629">
        <v>1399215656</v>
      </c>
      <c r="I2629" t="s">
        <v>51</v>
      </c>
      <c r="K2629" t="s">
        <v>21</v>
      </c>
      <c r="L2629" t="s">
        <v>22</v>
      </c>
      <c r="M2629" t="s">
        <v>23</v>
      </c>
      <c r="N2629" t="s">
        <v>23</v>
      </c>
      <c r="O2629" t="s">
        <v>24</v>
      </c>
      <c r="P2629" s="8" t="s">
        <v>3181</v>
      </c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</row>
    <row r="2630" spans="1:51" x14ac:dyDescent="0.2">
      <c r="A2630" s="6" t="s">
        <v>17</v>
      </c>
      <c r="B2630" t="s">
        <v>144</v>
      </c>
      <c r="C2630" t="s">
        <v>145</v>
      </c>
      <c r="D2630" t="s">
        <v>3182</v>
      </c>
      <c r="E2630" s="2">
        <v>50</v>
      </c>
      <c r="F2630" s="3">
        <f>DATE(2024,11,7)</f>
        <v>45603</v>
      </c>
      <c r="G2630" s="3">
        <f>DATE(2024,11,7)</f>
        <v>45603</v>
      </c>
      <c r="H2630">
        <v>1399215657</v>
      </c>
      <c r="I2630" t="s">
        <v>51</v>
      </c>
      <c r="K2630" t="s">
        <v>21</v>
      </c>
      <c r="L2630" t="s">
        <v>22</v>
      </c>
      <c r="M2630" t="s">
        <v>23</v>
      </c>
      <c r="N2630" t="s">
        <v>23</v>
      </c>
      <c r="O2630" t="s">
        <v>24</v>
      </c>
      <c r="P2630" s="8" t="s">
        <v>3183</v>
      </c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</row>
    <row r="2631" spans="1:51" x14ac:dyDescent="0.2">
      <c r="A2631" s="6" t="s">
        <v>17</v>
      </c>
      <c r="B2631" t="s">
        <v>144</v>
      </c>
      <c r="C2631" t="s">
        <v>145</v>
      </c>
      <c r="D2631" t="s">
        <v>3184</v>
      </c>
      <c r="E2631" s="2">
        <v>0.01</v>
      </c>
      <c r="F2631" s="3">
        <f>DATE(2024,11,6)</f>
        <v>45602</v>
      </c>
      <c r="G2631" s="3">
        <f>DATE(2024,11,6)</f>
        <v>45602</v>
      </c>
      <c r="H2631">
        <v>1399215658</v>
      </c>
      <c r="I2631" t="s">
        <v>51</v>
      </c>
      <c r="K2631" t="s">
        <v>21</v>
      </c>
      <c r="L2631" t="s">
        <v>22</v>
      </c>
      <c r="M2631" t="s">
        <v>23</v>
      </c>
      <c r="N2631" t="s">
        <v>23</v>
      </c>
      <c r="O2631" t="s">
        <v>24</v>
      </c>
      <c r="P2631" s="8" t="s">
        <v>3185</v>
      </c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</row>
    <row r="2632" spans="1:51" x14ac:dyDescent="0.2">
      <c r="A2632" s="6" t="s">
        <v>17</v>
      </c>
      <c r="B2632" t="s">
        <v>144</v>
      </c>
      <c r="C2632" t="s">
        <v>145</v>
      </c>
      <c r="D2632" t="s">
        <v>1646</v>
      </c>
      <c r="E2632" s="2">
        <v>36.520000000000003</v>
      </c>
      <c r="F2632" s="3">
        <f>DATE(2024,11,6)</f>
        <v>45602</v>
      </c>
      <c r="G2632" s="3">
        <f>DATE(2024,11,6)</f>
        <v>45602</v>
      </c>
      <c r="H2632">
        <v>1399215659</v>
      </c>
      <c r="I2632" t="s">
        <v>51</v>
      </c>
      <c r="K2632" t="s">
        <v>21</v>
      </c>
      <c r="L2632" t="s">
        <v>22</v>
      </c>
      <c r="M2632" t="s">
        <v>23</v>
      </c>
      <c r="N2632" t="s">
        <v>23</v>
      </c>
      <c r="O2632" t="s">
        <v>24</v>
      </c>
      <c r="P2632" s="8" t="s">
        <v>3186</v>
      </c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</row>
    <row r="2633" spans="1:51" x14ac:dyDescent="0.2">
      <c r="A2633" s="6" t="s">
        <v>17</v>
      </c>
      <c r="B2633" t="s">
        <v>110</v>
      </c>
      <c r="C2633" t="s">
        <v>111</v>
      </c>
      <c r="D2633" t="s">
        <v>3187</v>
      </c>
      <c r="E2633" s="2">
        <v>5.62</v>
      </c>
      <c r="F2633" s="3">
        <f t="shared" ref="F2633:G2635" si="216">DATE(2024,11,8)</f>
        <v>45604</v>
      </c>
      <c r="G2633" s="3">
        <f t="shared" si="216"/>
        <v>45604</v>
      </c>
      <c r="H2633">
        <v>1399241551</v>
      </c>
      <c r="I2633" t="s">
        <v>73</v>
      </c>
      <c r="K2633" t="s">
        <v>21</v>
      </c>
      <c r="L2633" t="s">
        <v>22</v>
      </c>
      <c r="M2633" t="s">
        <v>23</v>
      </c>
      <c r="N2633" t="s">
        <v>23</v>
      </c>
      <c r="O2633" t="s">
        <v>24</v>
      </c>
      <c r="P2633" s="8" t="s">
        <v>3188</v>
      </c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</row>
    <row r="2634" spans="1:51" hidden="1" x14ac:dyDescent="0.2">
      <c r="A2634" s="6"/>
      <c r="E2634" s="2"/>
      <c r="F2634" s="3"/>
      <c r="G2634" s="3"/>
      <c r="P2634" s="8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</row>
    <row r="2635" spans="1:51" hidden="1" x14ac:dyDescent="0.2">
      <c r="A2635" s="6"/>
      <c r="E2635" s="2"/>
      <c r="F2635" s="3"/>
      <c r="G2635" s="3"/>
      <c r="P2635" s="8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</row>
    <row r="2636" spans="1:51" x14ac:dyDescent="0.2">
      <c r="A2636" s="6" t="s">
        <v>17</v>
      </c>
      <c r="B2636" t="s">
        <v>137</v>
      </c>
      <c r="C2636" t="s">
        <v>138</v>
      </c>
      <c r="D2636" t="s">
        <v>3189</v>
      </c>
      <c r="E2636" s="2">
        <v>118.8</v>
      </c>
      <c r="F2636" s="3">
        <f t="shared" ref="F2636:G2638" si="217">DATE(2024,11,11)</f>
        <v>45607</v>
      </c>
      <c r="G2636" s="3">
        <f t="shared" si="217"/>
        <v>45607</v>
      </c>
      <c r="H2636">
        <v>1407245691</v>
      </c>
      <c r="I2636" t="s">
        <v>20</v>
      </c>
      <c r="K2636" t="s">
        <v>21</v>
      </c>
      <c r="L2636" t="s">
        <v>22</v>
      </c>
      <c r="M2636" t="s">
        <v>23</v>
      </c>
      <c r="N2636" t="s">
        <v>23</v>
      </c>
      <c r="O2636" t="s">
        <v>24</v>
      </c>
      <c r="P2636" s="8" t="s">
        <v>3190</v>
      </c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</row>
    <row r="2637" spans="1:51" x14ac:dyDescent="0.2">
      <c r="A2637" s="6" t="s">
        <v>17</v>
      </c>
      <c r="B2637" t="s">
        <v>80</v>
      </c>
      <c r="C2637" t="s">
        <v>81</v>
      </c>
      <c r="D2637" t="s">
        <v>3191</v>
      </c>
      <c r="E2637" s="2">
        <v>1759.3</v>
      </c>
      <c r="F2637" s="3">
        <f t="shared" si="217"/>
        <v>45607</v>
      </c>
      <c r="G2637" s="3">
        <f t="shared" si="217"/>
        <v>45607</v>
      </c>
      <c r="H2637">
        <v>1407245692</v>
      </c>
      <c r="I2637" t="s">
        <v>20</v>
      </c>
      <c r="K2637" t="s">
        <v>21</v>
      </c>
      <c r="L2637" t="s">
        <v>22</v>
      </c>
      <c r="M2637" t="s">
        <v>23</v>
      </c>
      <c r="N2637" t="s">
        <v>23</v>
      </c>
      <c r="O2637" t="s">
        <v>24</v>
      </c>
      <c r="P2637" s="8" t="s">
        <v>3192</v>
      </c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</row>
    <row r="2638" spans="1:51" x14ac:dyDescent="0.2">
      <c r="A2638" s="6" t="s">
        <v>17</v>
      </c>
      <c r="B2638" t="s">
        <v>80</v>
      </c>
      <c r="C2638" t="s">
        <v>81</v>
      </c>
      <c r="D2638" t="s">
        <v>3193</v>
      </c>
      <c r="E2638" s="2">
        <v>703.58</v>
      </c>
      <c r="F2638" s="3">
        <f t="shared" si="217"/>
        <v>45607</v>
      </c>
      <c r="G2638" s="3">
        <f t="shared" si="217"/>
        <v>45607</v>
      </c>
      <c r="H2638">
        <v>1407245693</v>
      </c>
      <c r="I2638" t="s">
        <v>20</v>
      </c>
      <c r="K2638" t="s">
        <v>21</v>
      </c>
      <c r="L2638" t="s">
        <v>22</v>
      </c>
      <c r="M2638" t="s">
        <v>23</v>
      </c>
      <c r="N2638" t="s">
        <v>23</v>
      </c>
      <c r="O2638" t="s">
        <v>24</v>
      </c>
      <c r="P2638" s="8" t="s">
        <v>3194</v>
      </c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</row>
    <row r="2639" spans="1:51" x14ac:dyDescent="0.2">
      <c r="A2639" s="6" t="s">
        <v>17</v>
      </c>
      <c r="B2639" t="s">
        <v>655</v>
      </c>
      <c r="C2639" t="s">
        <v>656</v>
      </c>
      <c r="D2639" t="s">
        <v>3195</v>
      </c>
      <c r="E2639" s="2">
        <v>1718.59</v>
      </c>
      <c r="F2639" s="3">
        <f>DATE(2024,11,12)</f>
        <v>45608</v>
      </c>
      <c r="G2639" s="3">
        <f>DATE(2024,11,12)</f>
        <v>45608</v>
      </c>
      <c r="H2639">
        <v>1407245694</v>
      </c>
      <c r="I2639" t="s">
        <v>20</v>
      </c>
      <c r="K2639" t="s">
        <v>21</v>
      </c>
      <c r="L2639" t="s">
        <v>22</v>
      </c>
      <c r="M2639" t="s">
        <v>23</v>
      </c>
      <c r="N2639" t="s">
        <v>23</v>
      </c>
      <c r="O2639" t="s">
        <v>24</v>
      </c>
      <c r="P2639" s="8" t="s">
        <v>3196</v>
      </c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</row>
    <row r="2640" spans="1:51" x14ac:dyDescent="0.2">
      <c r="A2640" s="6" t="s">
        <v>17</v>
      </c>
      <c r="B2640" t="s">
        <v>674</v>
      </c>
      <c r="C2640" t="s">
        <v>675</v>
      </c>
      <c r="D2640" t="s">
        <v>3197</v>
      </c>
      <c r="E2640" s="2">
        <v>1040.7</v>
      </c>
      <c r="F2640" s="3">
        <f t="shared" ref="F2640:G2644" si="218">DATE(2024,11,11)</f>
        <v>45607</v>
      </c>
      <c r="G2640" s="3">
        <f t="shared" si="218"/>
        <v>45607</v>
      </c>
      <c r="H2640">
        <v>1407245695</v>
      </c>
      <c r="I2640" t="s">
        <v>20</v>
      </c>
      <c r="K2640" t="s">
        <v>21</v>
      </c>
      <c r="L2640" t="s">
        <v>22</v>
      </c>
      <c r="M2640" t="s">
        <v>23</v>
      </c>
      <c r="N2640" t="s">
        <v>23</v>
      </c>
      <c r="O2640" t="s">
        <v>24</v>
      </c>
      <c r="P2640" s="8" t="s">
        <v>3198</v>
      </c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</row>
    <row r="2641" spans="1:51" x14ac:dyDescent="0.2">
      <c r="A2641" s="6" t="s">
        <v>17</v>
      </c>
      <c r="B2641" t="s">
        <v>34</v>
      </c>
      <c r="C2641" t="s">
        <v>35</v>
      </c>
      <c r="D2641" t="s">
        <v>3199</v>
      </c>
      <c r="E2641" s="2">
        <v>143.30000000000001</v>
      </c>
      <c r="F2641" s="3">
        <f t="shared" si="218"/>
        <v>45607</v>
      </c>
      <c r="G2641" s="3">
        <f t="shared" si="218"/>
        <v>45607</v>
      </c>
      <c r="H2641">
        <v>1407245696</v>
      </c>
      <c r="I2641" t="s">
        <v>20</v>
      </c>
      <c r="K2641" t="s">
        <v>21</v>
      </c>
      <c r="L2641" t="s">
        <v>22</v>
      </c>
      <c r="M2641" t="s">
        <v>23</v>
      </c>
      <c r="N2641" t="s">
        <v>23</v>
      </c>
      <c r="O2641" t="s">
        <v>24</v>
      </c>
      <c r="P2641" s="8" t="s">
        <v>3200</v>
      </c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</row>
    <row r="2642" spans="1:51" hidden="1" x14ac:dyDescent="0.2">
      <c r="A2642" s="6"/>
      <c r="E2642" s="2"/>
      <c r="F2642" s="3"/>
      <c r="G2642" s="3"/>
      <c r="P2642" s="8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</row>
    <row r="2643" spans="1:51" hidden="1" x14ac:dyDescent="0.2">
      <c r="A2643" s="6"/>
      <c r="E2643" s="2"/>
      <c r="F2643" s="3"/>
      <c r="G2643" s="3"/>
      <c r="P2643" s="8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</row>
    <row r="2644" spans="1:51" hidden="1" x14ac:dyDescent="0.2">
      <c r="A2644" s="6"/>
      <c r="E2644" s="2"/>
      <c r="F2644" s="3"/>
      <c r="G2644" s="3"/>
      <c r="P2644" s="8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</row>
    <row r="2645" spans="1:51" x14ac:dyDescent="0.2">
      <c r="A2645" s="6" t="s">
        <v>17</v>
      </c>
      <c r="B2645" t="s">
        <v>80</v>
      </c>
      <c r="C2645" t="s">
        <v>81</v>
      </c>
      <c r="D2645" t="s">
        <v>3201</v>
      </c>
      <c r="E2645" s="2">
        <v>42</v>
      </c>
      <c r="F2645" s="3">
        <f>DATE(2024,11,12)</f>
        <v>45608</v>
      </c>
      <c r="G2645" s="3">
        <f>DATE(2024,11,12)</f>
        <v>45608</v>
      </c>
      <c r="H2645">
        <v>1412373152</v>
      </c>
      <c r="I2645" t="s">
        <v>20</v>
      </c>
      <c r="K2645" t="s">
        <v>21</v>
      </c>
      <c r="L2645" t="s">
        <v>22</v>
      </c>
      <c r="M2645" t="s">
        <v>23</v>
      </c>
      <c r="N2645" t="s">
        <v>23</v>
      </c>
      <c r="O2645" t="s">
        <v>24</v>
      </c>
      <c r="P2645" s="8" t="s">
        <v>3202</v>
      </c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</row>
    <row r="2646" spans="1:51" hidden="1" x14ac:dyDescent="0.2">
      <c r="A2646" s="6"/>
      <c r="E2646" s="2"/>
      <c r="F2646" s="3"/>
      <c r="G2646" s="3"/>
      <c r="P2646" s="8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</row>
    <row r="2647" spans="1:51" hidden="1" x14ac:dyDescent="0.2">
      <c r="A2647" s="6"/>
      <c r="E2647" s="2"/>
      <c r="F2647" s="3"/>
      <c r="G2647" s="3"/>
      <c r="P2647" s="8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</row>
    <row r="2648" spans="1:51" x14ac:dyDescent="0.2">
      <c r="A2648" s="6" t="s">
        <v>17</v>
      </c>
      <c r="B2648" t="s">
        <v>26</v>
      </c>
      <c r="C2648" t="s">
        <v>27</v>
      </c>
      <c r="D2648" t="s">
        <v>3203</v>
      </c>
      <c r="E2648" s="2">
        <v>30</v>
      </c>
      <c r="F2648" s="3">
        <f>DATE(2024,11,13)</f>
        <v>45609</v>
      </c>
      <c r="G2648" s="3">
        <f>DATE(2024,11,13)</f>
        <v>45609</v>
      </c>
      <c r="H2648">
        <v>1412373155</v>
      </c>
      <c r="I2648" t="s">
        <v>20</v>
      </c>
      <c r="K2648" t="s">
        <v>21</v>
      </c>
      <c r="L2648" t="s">
        <v>22</v>
      </c>
      <c r="M2648" t="s">
        <v>23</v>
      </c>
      <c r="N2648" t="s">
        <v>23</v>
      </c>
      <c r="O2648" t="s">
        <v>24</v>
      </c>
      <c r="P2648" s="8" t="s">
        <v>3204</v>
      </c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</row>
    <row r="2649" spans="1:51" x14ac:dyDescent="0.2">
      <c r="A2649" s="6" t="s">
        <v>17</v>
      </c>
      <c r="B2649" t="s">
        <v>1060</v>
      </c>
      <c r="C2649" t="s">
        <v>1061</v>
      </c>
      <c r="D2649" t="s">
        <v>3205</v>
      </c>
      <c r="E2649" s="2">
        <v>36.950000000000003</v>
      </c>
      <c r="F2649" s="3">
        <f t="shared" ref="F2649:G2652" si="219">DATE(2024,11,12)</f>
        <v>45608</v>
      </c>
      <c r="G2649" s="3">
        <f t="shared" si="219"/>
        <v>45608</v>
      </c>
      <c r="H2649">
        <v>1412373156</v>
      </c>
      <c r="I2649" t="s">
        <v>20</v>
      </c>
      <c r="K2649" t="s">
        <v>21</v>
      </c>
      <c r="L2649" t="s">
        <v>22</v>
      </c>
      <c r="M2649" t="s">
        <v>23</v>
      </c>
      <c r="N2649" t="s">
        <v>23</v>
      </c>
      <c r="O2649" t="s">
        <v>24</v>
      </c>
      <c r="P2649" s="8" t="s">
        <v>3206</v>
      </c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</row>
    <row r="2650" spans="1:51" hidden="1" x14ac:dyDescent="0.2">
      <c r="A2650" s="6"/>
      <c r="E2650" s="2"/>
      <c r="F2650" s="3"/>
      <c r="G2650" s="3"/>
      <c r="P2650" s="8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</row>
    <row r="2651" spans="1:51" hidden="1" x14ac:dyDescent="0.2">
      <c r="A2651" s="6"/>
      <c r="E2651" s="2"/>
      <c r="F2651" s="3"/>
      <c r="G2651" s="3"/>
      <c r="P2651" s="8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</row>
    <row r="2652" spans="1:51" x14ac:dyDescent="0.2">
      <c r="A2652" s="6" t="s">
        <v>17</v>
      </c>
      <c r="B2652" t="s">
        <v>110</v>
      </c>
      <c r="C2652" t="s">
        <v>111</v>
      </c>
      <c r="D2652" t="s">
        <v>3207</v>
      </c>
      <c r="E2652" s="2">
        <v>1.63</v>
      </c>
      <c r="F2652" s="3">
        <f t="shared" si="219"/>
        <v>45608</v>
      </c>
      <c r="G2652" s="3">
        <f t="shared" si="219"/>
        <v>45608</v>
      </c>
      <c r="H2652">
        <v>1412455280</v>
      </c>
      <c r="I2652" t="s">
        <v>73</v>
      </c>
      <c r="K2652" t="s">
        <v>21</v>
      </c>
      <c r="L2652" t="s">
        <v>22</v>
      </c>
      <c r="M2652" t="s">
        <v>23</v>
      </c>
      <c r="N2652" t="s">
        <v>23</v>
      </c>
      <c r="O2652" t="s">
        <v>24</v>
      </c>
      <c r="P2652" s="8" t="s">
        <v>3208</v>
      </c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</row>
    <row r="2653" spans="1:51" hidden="1" x14ac:dyDescent="0.2">
      <c r="A2653" s="6"/>
      <c r="E2653" s="2"/>
      <c r="F2653" s="3"/>
      <c r="G2653" s="3"/>
      <c r="P2653" s="8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</row>
    <row r="2654" spans="1:51" x14ac:dyDescent="0.2">
      <c r="A2654" s="6" t="s">
        <v>17</v>
      </c>
      <c r="B2654" t="s">
        <v>26</v>
      </c>
      <c r="C2654" t="s">
        <v>27</v>
      </c>
      <c r="D2654" t="s">
        <v>730</v>
      </c>
      <c r="E2654" s="2">
        <v>47.88</v>
      </c>
      <c r="F2654" s="3">
        <f>DATE(2024,11,10)</f>
        <v>45606</v>
      </c>
      <c r="G2654" s="3">
        <f>DATE(2024,11,10)</f>
        <v>45606</v>
      </c>
      <c r="H2654">
        <v>1417235188</v>
      </c>
      <c r="I2654" t="s">
        <v>51</v>
      </c>
      <c r="K2654" t="s">
        <v>21</v>
      </c>
      <c r="L2654" t="s">
        <v>22</v>
      </c>
      <c r="M2654" t="s">
        <v>23</v>
      </c>
      <c r="N2654" t="s">
        <v>23</v>
      </c>
      <c r="O2654" t="s">
        <v>24</v>
      </c>
      <c r="P2654" s="8" t="s">
        <v>3209</v>
      </c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</row>
    <row r="2655" spans="1:51" x14ac:dyDescent="0.2">
      <c r="A2655" s="6" t="s">
        <v>17</v>
      </c>
      <c r="B2655" t="s">
        <v>144</v>
      </c>
      <c r="C2655" t="s">
        <v>145</v>
      </c>
      <c r="D2655" t="s">
        <v>3184</v>
      </c>
      <c r="E2655" s="2">
        <v>49.99</v>
      </c>
      <c r="F2655" s="3">
        <f>DATE(2024,11,9)</f>
        <v>45605</v>
      </c>
      <c r="G2655" s="3">
        <f>DATE(2024,11,9)</f>
        <v>45605</v>
      </c>
      <c r="H2655">
        <v>1417235189</v>
      </c>
      <c r="I2655" t="s">
        <v>51</v>
      </c>
      <c r="K2655" t="s">
        <v>21</v>
      </c>
      <c r="L2655" t="s">
        <v>22</v>
      </c>
      <c r="M2655" t="s">
        <v>23</v>
      </c>
      <c r="N2655" t="s">
        <v>23</v>
      </c>
      <c r="O2655" t="s">
        <v>24</v>
      </c>
      <c r="P2655" s="8" t="s">
        <v>3210</v>
      </c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</row>
    <row r="2656" spans="1:51" x14ac:dyDescent="0.2">
      <c r="A2656" s="6" t="s">
        <v>17</v>
      </c>
      <c r="B2656" t="s">
        <v>26</v>
      </c>
      <c r="C2656" t="s">
        <v>27</v>
      </c>
      <c r="D2656" t="s">
        <v>2847</v>
      </c>
      <c r="E2656" s="2">
        <v>2.1</v>
      </c>
      <c r="F2656" s="3">
        <f>DATE(2024,11,8)</f>
        <v>45604</v>
      </c>
      <c r="G2656" s="3">
        <f>DATE(2024,11,8)</f>
        <v>45604</v>
      </c>
      <c r="H2656">
        <v>1417235190</v>
      </c>
      <c r="I2656" t="s">
        <v>51</v>
      </c>
      <c r="K2656" t="s">
        <v>21</v>
      </c>
      <c r="L2656" t="s">
        <v>22</v>
      </c>
      <c r="M2656" t="s">
        <v>23</v>
      </c>
      <c r="N2656" t="s">
        <v>23</v>
      </c>
      <c r="O2656" t="s">
        <v>24</v>
      </c>
      <c r="P2656" s="8" t="s">
        <v>3211</v>
      </c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</row>
    <row r="2657" spans="1:51" x14ac:dyDescent="0.2">
      <c r="A2657" s="6" t="s">
        <v>17</v>
      </c>
      <c r="B2657" t="s">
        <v>18</v>
      </c>
      <c r="C2657" t="s">
        <v>18</v>
      </c>
      <c r="D2657" t="s">
        <v>3212</v>
      </c>
      <c r="E2657" s="2">
        <v>30.23</v>
      </c>
      <c r="F2657" s="3">
        <f t="shared" ref="F2657:G2662" si="220">DATE(2024,11,13)</f>
        <v>45609</v>
      </c>
      <c r="G2657" s="3">
        <f t="shared" si="220"/>
        <v>45609</v>
      </c>
      <c r="H2657">
        <v>1417261596</v>
      </c>
      <c r="I2657" t="s">
        <v>73</v>
      </c>
      <c r="K2657" t="s">
        <v>21</v>
      </c>
      <c r="L2657" t="s">
        <v>22</v>
      </c>
      <c r="M2657" t="s">
        <v>23</v>
      </c>
      <c r="N2657" t="s">
        <v>23</v>
      </c>
      <c r="O2657" t="s">
        <v>24</v>
      </c>
      <c r="P2657" s="8" t="s">
        <v>3213</v>
      </c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</row>
    <row r="2658" spans="1:51" x14ac:dyDescent="0.2">
      <c r="A2658" s="6" t="s">
        <v>17</v>
      </c>
      <c r="B2658" t="s">
        <v>61</v>
      </c>
      <c r="C2658" t="s">
        <v>62</v>
      </c>
      <c r="D2658" t="s">
        <v>3214</v>
      </c>
      <c r="E2658" s="2">
        <v>31.31</v>
      </c>
      <c r="F2658" s="3">
        <f t="shared" si="220"/>
        <v>45609</v>
      </c>
      <c r="G2658" s="3">
        <f t="shared" si="220"/>
        <v>45609</v>
      </c>
      <c r="H2658">
        <v>1417261597</v>
      </c>
      <c r="I2658" t="s">
        <v>73</v>
      </c>
      <c r="K2658" t="s">
        <v>21</v>
      </c>
      <c r="L2658" t="s">
        <v>22</v>
      </c>
      <c r="M2658" t="s">
        <v>23</v>
      </c>
      <c r="N2658" t="s">
        <v>23</v>
      </c>
      <c r="O2658" t="s">
        <v>24</v>
      </c>
      <c r="P2658" s="8" t="s">
        <v>3215</v>
      </c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</row>
    <row r="2659" spans="1:51" hidden="1" x14ac:dyDescent="0.2">
      <c r="A2659" s="6"/>
      <c r="E2659" s="2"/>
      <c r="F2659" s="3"/>
      <c r="G2659" s="3"/>
      <c r="P2659" s="8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</row>
    <row r="2660" spans="1:51" hidden="1" x14ac:dyDescent="0.2">
      <c r="A2660" s="6"/>
      <c r="E2660" s="2"/>
      <c r="F2660" s="3"/>
      <c r="G2660" s="3"/>
      <c r="P2660" s="8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</row>
    <row r="2661" spans="1:51" hidden="1" x14ac:dyDescent="0.2">
      <c r="A2661" s="6"/>
      <c r="E2661" s="2"/>
      <c r="F2661" s="3"/>
      <c r="G2661" s="3"/>
      <c r="P2661" s="8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</row>
    <row r="2662" spans="1:51" hidden="1" x14ac:dyDescent="0.2">
      <c r="A2662" s="6"/>
      <c r="E2662" s="2"/>
      <c r="F2662" s="3"/>
      <c r="G2662" s="3"/>
      <c r="P2662" s="8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</row>
    <row r="2663" spans="1:51" hidden="1" x14ac:dyDescent="0.2">
      <c r="A2663" s="6"/>
      <c r="E2663" s="2"/>
      <c r="F2663" s="3"/>
      <c r="G2663" s="3"/>
      <c r="P2663" s="8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</row>
    <row r="2664" spans="1:51" x14ac:dyDescent="0.2">
      <c r="A2664" s="6" t="s">
        <v>17</v>
      </c>
      <c r="B2664" t="s">
        <v>34</v>
      </c>
      <c r="C2664" t="s">
        <v>35</v>
      </c>
      <c r="D2664" t="s">
        <v>2602</v>
      </c>
      <c r="E2664" s="2">
        <v>40</v>
      </c>
      <c r="F2664" s="3">
        <f>DATE(2024,11,13)</f>
        <v>45609</v>
      </c>
      <c r="G2664" s="3">
        <f>DATE(2024,11,13)</f>
        <v>45609</v>
      </c>
      <c r="H2664">
        <v>1422247824</v>
      </c>
      <c r="I2664" t="s">
        <v>51</v>
      </c>
      <c r="K2664" t="s">
        <v>21</v>
      </c>
      <c r="L2664" t="s">
        <v>22</v>
      </c>
      <c r="M2664" t="s">
        <v>23</v>
      </c>
      <c r="N2664" t="s">
        <v>23</v>
      </c>
      <c r="O2664" t="s">
        <v>24</v>
      </c>
      <c r="P2664" s="8" t="s">
        <v>3216</v>
      </c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</row>
    <row r="2665" spans="1:51" hidden="1" x14ac:dyDescent="0.2">
      <c r="A2665" s="6"/>
      <c r="E2665" s="2"/>
      <c r="F2665" s="3"/>
      <c r="G2665" s="3"/>
      <c r="P2665" s="8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</row>
    <row r="2666" spans="1:51" x14ac:dyDescent="0.2">
      <c r="A2666" s="6" t="s">
        <v>17</v>
      </c>
      <c r="B2666" t="s">
        <v>110</v>
      </c>
      <c r="C2666" t="s">
        <v>111</v>
      </c>
      <c r="D2666" t="s">
        <v>3217</v>
      </c>
      <c r="E2666" s="2">
        <v>0.05</v>
      </c>
      <c r="F2666" s="3">
        <f t="shared" ref="F2665:G2667" si="221">DATE(2024,11,14)</f>
        <v>45610</v>
      </c>
      <c r="G2666" s="3">
        <f t="shared" si="221"/>
        <v>45610</v>
      </c>
      <c r="H2666">
        <v>1422252113</v>
      </c>
      <c r="I2666" t="s">
        <v>73</v>
      </c>
      <c r="K2666" t="s">
        <v>21</v>
      </c>
      <c r="L2666" t="s">
        <v>22</v>
      </c>
      <c r="M2666" t="s">
        <v>23</v>
      </c>
      <c r="N2666" t="s">
        <v>23</v>
      </c>
      <c r="O2666" t="s">
        <v>24</v>
      </c>
      <c r="P2666" s="8" t="s">
        <v>3218</v>
      </c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</row>
    <row r="2667" spans="1:51" hidden="1" x14ac:dyDescent="0.2">
      <c r="A2667" s="6"/>
      <c r="E2667" s="2"/>
      <c r="F2667" s="3"/>
      <c r="G2667" s="3"/>
      <c r="P2667" s="8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</row>
    <row r="2668" spans="1:51" x14ac:dyDescent="0.2">
      <c r="A2668" s="6" t="s">
        <v>17</v>
      </c>
      <c r="B2668" t="s">
        <v>57</v>
      </c>
      <c r="C2668" t="s">
        <v>58</v>
      </c>
      <c r="D2668" t="s">
        <v>3219</v>
      </c>
      <c r="E2668" s="2">
        <v>143.91999999999999</v>
      </c>
      <c r="F2668" s="3">
        <f t="shared" ref="F2668:G2678" si="222">DATE(2024,11,15)</f>
        <v>45611</v>
      </c>
      <c r="G2668" s="3">
        <f t="shared" si="222"/>
        <v>45611</v>
      </c>
      <c r="H2668">
        <v>1425461504</v>
      </c>
      <c r="I2668" t="s">
        <v>20</v>
      </c>
      <c r="K2668" t="s">
        <v>21</v>
      </c>
      <c r="L2668" t="s">
        <v>22</v>
      </c>
      <c r="M2668" t="s">
        <v>23</v>
      </c>
      <c r="N2668" t="s">
        <v>23</v>
      </c>
      <c r="O2668" t="s">
        <v>24</v>
      </c>
      <c r="P2668" s="8" t="s">
        <v>3220</v>
      </c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</row>
    <row r="2669" spans="1:51" x14ac:dyDescent="0.2">
      <c r="A2669" s="6" t="s">
        <v>17</v>
      </c>
      <c r="B2669" t="s">
        <v>887</v>
      </c>
      <c r="C2669" t="s">
        <v>888</v>
      </c>
      <c r="D2669" t="s">
        <v>3221</v>
      </c>
      <c r="E2669" s="2">
        <v>598.53</v>
      </c>
      <c r="F2669" s="3">
        <f t="shared" si="222"/>
        <v>45611</v>
      </c>
      <c r="G2669" s="3">
        <f t="shared" si="222"/>
        <v>45611</v>
      </c>
      <c r="H2669">
        <v>1425461505</v>
      </c>
      <c r="I2669" t="s">
        <v>20</v>
      </c>
      <c r="K2669" t="s">
        <v>21</v>
      </c>
      <c r="L2669" t="s">
        <v>22</v>
      </c>
      <c r="M2669" t="s">
        <v>23</v>
      </c>
      <c r="N2669" t="s">
        <v>23</v>
      </c>
      <c r="O2669" t="s">
        <v>24</v>
      </c>
      <c r="P2669" s="8" t="s">
        <v>3222</v>
      </c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</row>
    <row r="2670" spans="1:51" hidden="1" x14ac:dyDescent="0.2">
      <c r="A2670" s="6"/>
      <c r="E2670" s="2"/>
      <c r="F2670" s="3"/>
      <c r="G2670" s="3"/>
      <c r="P2670" s="8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</row>
    <row r="2671" spans="1:51" hidden="1" x14ac:dyDescent="0.2">
      <c r="A2671" s="6"/>
      <c r="E2671" s="2"/>
      <c r="F2671" s="3"/>
      <c r="G2671" s="3"/>
      <c r="P2671" s="8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</row>
    <row r="2672" spans="1:51" x14ac:dyDescent="0.2">
      <c r="A2672" s="6" t="s">
        <v>17</v>
      </c>
      <c r="B2672" t="s">
        <v>674</v>
      </c>
      <c r="C2672" t="s">
        <v>675</v>
      </c>
      <c r="D2672" t="s">
        <v>3223</v>
      </c>
      <c r="E2672" s="2">
        <v>208.36</v>
      </c>
      <c r="F2672" s="3">
        <f t="shared" si="222"/>
        <v>45611</v>
      </c>
      <c r="G2672" s="3">
        <f t="shared" si="222"/>
        <v>45611</v>
      </c>
      <c r="H2672">
        <v>1425461508</v>
      </c>
      <c r="I2672" t="s">
        <v>20</v>
      </c>
      <c r="K2672" t="s">
        <v>21</v>
      </c>
      <c r="L2672" t="s">
        <v>22</v>
      </c>
      <c r="M2672" t="s">
        <v>23</v>
      </c>
      <c r="N2672" t="s">
        <v>23</v>
      </c>
      <c r="O2672" t="s">
        <v>24</v>
      </c>
      <c r="P2672" s="8" t="s">
        <v>3224</v>
      </c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</row>
    <row r="2673" spans="1:51" x14ac:dyDescent="0.2">
      <c r="A2673" s="6" t="s">
        <v>17</v>
      </c>
      <c r="B2673" t="s">
        <v>61</v>
      </c>
      <c r="C2673" t="s">
        <v>62</v>
      </c>
      <c r="D2673" t="s">
        <v>3225</v>
      </c>
      <c r="E2673" s="2">
        <v>829.45</v>
      </c>
      <c r="F2673" s="3">
        <f t="shared" si="222"/>
        <v>45611</v>
      </c>
      <c r="G2673" s="3">
        <f t="shared" si="222"/>
        <v>45611</v>
      </c>
      <c r="H2673">
        <v>1425461509</v>
      </c>
      <c r="I2673" t="s">
        <v>20</v>
      </c>
      <c r="K2673" t="s">
        <v>21</v>
      </c>
      <c r="L2673" t="s">
        <v>22</v>
      </c>
      <c r="M2673" t="s">
        <v>23</v>
      </c>
      <c r="N2673" t="s">
        <v>23</v>
      </c>
      <c r="O2673" t="s">
        <v>24</v>
      </c>
      <c r="P2673" s="8" t="s">
        <v>3226</v>
      </c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</row>
    <row r="2674" spans="1:51" x14ac:dyDescent="0.2">
      <c r="A2674" s="6" t="s">
        <v>17</v>
      </c>
      <c r="B2674" t="s">
        <v>61</v>
      </c>
      <c r="C2674" t="s">
        <v>62</v>
      </c>
      <c r="D2674" t="s">
        <v>3227</v>
      </c>
      <c r="E2674" s="2">
        <v>398.4</v>
      </c>
      <c r="F2674" s="3">
        <f t="shared" si="222"/>
        <v>45611</v>
      </c>
      <c r="G2674" s="3">
        <f t="shared" si="222"/>
        <v>45611</v>
      </c>
      <c r="H2674">
        <v>1425461510</v>
      </c>
      <c r="I2674" t="s">
        <v>20</v>
      </c>
      <c r="K2674" t="s">
        <v>21</v>
      </c>
      <c r="L2674" t="s">
        <v>22</v>
      </c>
      <c r="M2674" t="s">
        <v>23</v>
      </c>
      <c r="N2674" t="s">
        <v>23</v>
      </c>
      <c r="O2674" t="s">
        <v>24</v>
      </c>
      <c r="P2674" s="8" t="s">
        <v>3228</v>
      </c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</row>
    <row r="2675" spans="1:51" x14ac:dyDescent="0.2">
      <c r="A2675" s="6" t="s">
        <v>17</v>
      </c>
      <c r="B2675" t="s">
        <v>110</v>
      </c>
      <c r="C2675" t="s">
        <v>111</v>
      </c>
      <c r="D2675" t="s">
        <v>3229</v>
      </c>
      <c r="E2675" s="2">
        <v>0.01</v>
      </c>
      <c r="F2675" s="3">
        <f t="shared" si="222"/>
        <v>45611</v>
      </c>
      <c r="G2675" s="3">
        <f t="shared" si="222"/>
        <v>45611</v>
      </c>
      <c r="H2675">
        <v>1425485555</v>
      </c>
      <c r="I2675" t="s">
        <v>73</v>
      </c>
      <c r="K2675" t="s">
        <v>21</v>
      </c>
      <c r="L2675" t="s">
        <v>22</v>
      </c>
      <c r="M2675" t="s">
        <v>23</v>
      </c>
      <c r="N2675" t="s">
        <v>23</v>
      </c>
      <c r="O2675" t="s">
        <v>24</v>
      </c>
      <c r="P2675" s="8" t="s">
        <v>3230</v>
      </c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</row>
    <row r="2676" spans="1:51" hidden="1" x14ac:dyDescent="0.2">
      <c r="A2676" s="6"/>
      <c r="E2676" s="2"/>
      <c r="F2676" s="3"/>
      <c r="G2676" s="3"/>
      <c r="P2676" s="8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</row>
    <row r="2677" spans="1:51" hidden="1" x14ac:dyDescent="0.2">
      <c r="A2677" s="6"/>
      <c r="E2677" s="2"/>
      <c r="F2677" s="3"/>
      <c r="G2677" s="3"/>
      <c r="P2677" s="8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</row>
    <row r="2678" spans="1:51" x14ac:dyDescent="0.2">
      <c r="A2678" s="6" t="s">
        <v>17</v>
      </c>
      <c r="B2678" t="s">
        <v>44</v>
      </c>
      <c r="C2678" t="s">
        <v>45</v>
      </c>
      <c r="D2678" t="s">
        <v>3231</v>
      </c>
      <c r="E2678" s="2">
        <v>6.99</v>
      </c>
      <c r="F2678" s="3">
        <f t="shared" si="222"/>
        <v>45611</v>
      </c>
      <c r="G2678" s="3">
        <f t="shared" si="222"/>
        <v>45611</v>
      </c>
      <c r="H2678">
        <v>1427953358</v>
      </c>
      <c r="I2678" t="s">
        <v>51</v>
      </c>
      <c r="K2678" t="s">
        <v>21</v>
      </c>
      <c r="L2678" t="s">
        <v>22</v>
      </c>
      <c r="M2678" t="s">
        <v>23</v>
      </c>
      <c r="N2678" t="s">
        <v>23</v>
      </c>
      <c r="O2678" t="s">
        <v>24</v>
      </c>
      <c r="P2678" s="8" t="s">
        <v>3232</v>
      </c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</row>
    <row r="2679" spans="1:51" x14ac:dyDescent="0.2">
      <c r="A2679" s="6" t="s">
        <v>17</v>
      </c>
      <c r="B2679" t="s">
        <v>57</v>
      </c>
      <c r="C2679" t="s">
        <v>58</v>
      </c>
      <c r="D2679" t="s">
        <v>3233</v>
      </c>
      <c r="E2679" s="2">
        <v>74.94</v>
      </c>
      <c r="F2679" s="3">
        <f>DATE(2024,11,19)</f>
        <v>45615</v>
      </c>
      <c r="G2679" s="3">
        <f>DATE(2024,11,19)</f>
        <v>45615</v>
      </c>
      <c r="H2679">
        <v>1432972400</v>
      </c>
      <c r="I2679" t="s">
        <v>20</v>
      </c>
      <c r="K2679" t="s">
        <v>21</v>
      </c>
      <c r="L2679" t="s">
        <v>22</v>
      </c>
      <c r="M2679" t="s">
        <v>23</v>
      </c>
      <c r="N2679" t="s">
        <v>23</v>
      </c>
      <c r="O2679" t="s">
        <v>24</v>
      </c>
      <c r="P2679" s="8" t="s">
        <v>3234</v>
      </c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</row>
    <row r="2680" spans="1:51" x14ac:dyDescent="0.2">
      <c r="A2680" s="6" t="s">
        <v>17</v>
      </c>
      <c r="B2680" t="s">
        <v>191</v>
      </c>
      <c r="C2680" t="s">
        <v>192</v>
      </c>
      <c r="D2680" t="s">
        <v>3235</v>
      </c>
      <c r="E2680" s="2">
        <v>840</v>
      </c>
      <c r="F2680" s="3">
        <f>DATE(2024,11,18)</f>
        <v>45614</v>
      </c>
      <c r="G2680" s="3">
        <f>DATE(2024,11,18)</f>
        <v>45614</v>
      </c>
      <c r="H2680">
        <v>1432972401</v>
      </c>
      <c r="I2680" t="s">
        <v>20</v>
      </c>
      <c r="K2680" t="s">
        <v>21</v>
      </c>
      <c r="L2680" t="s">
        <v>22</v>
      </c>
      <c r="M2680" t="s">
        <v>23</v>
      </c>
      <c r="N2680" t="s">
        <v>23</v>
      </c>
      <c r="O2680" t="s">
        <v>24</v>
      </c>
      <c r="P2680" s="8" t="s">
        <v>3236</v>
      </c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</row>
    <row r="2681" spans="1:51" x14ac:dyDescent="0.2">
      <c r="A2681" s="6" t="s">
        <v>17</v>
      </c>
      <c r="B2681" t="s">
        <v>61</v>
      </c>
      <c r="C2681" t="s">
        <v>62</v>
      </c>
      <c r="D2681" t="s">
        <v>3237</v>
      </c>
      <c r="E2681" s="2">
        <v>720</v>
      </c>
      <c r="F2681" s="3">
        <f>DATE(2024,11,19)</f>
        <v>45615</v>
      </c>
      <c r="G2681" s="3">
        <f>DATE(2024,11,19)</f>
        <v>45615</v>
      </c>
      <c r="H2681">
        <v>1432972402</v>
      </c>
      <c r="I2681" t="s">
        <v>20</v>
      </c>
      <c r="K2681" t="s">
        <v>21</v>
      </c>
      <c r="L2681" t="s">
        <v>22</v>
      </c>
      <c r="M2681" t="s">
        <v>23</v>
      </c>
      <c r="N2681" t="s">
        <v>23</v>
      </c>
      <c r="O2681" t="s">
        <v>24</v>
      </c>
      <c r="P2681" s="8" t="s">
        <v>3238</v>
      </c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</row>
    <row r="2682" spans="1:51" x14ac:dyDescent="0.2">
      <c r="A2682" s="6" t="s">
        <v>17</v>
      </c>
      <c r="B2682" t="s">
        <v>183</v>
      </c>
      <c r="C2682" t="s">
        <v>184</v>
      </c>
      <c r="D2682" t="s">
        <v>3239</v>
      </c>
      <c r="E2682" s="2">
        <v>13646</v>
      </c>
      <c r="F2682" s="3">
        <f t="shared" ref="F2682:G2690" si="223">DATE(2024,11,18)</f>
        <v>45614</v>
      </c>
      <c r="G2682" s="3">
        <f t="shared" si="223"/>
        <v>45614</v>
      </c>
      <c r="H2682">
        <v>1432972403</v>
      </c>
      <c r="I2682" t="s">
        <v>20</v>
      </c>
      <c r="K2682" t="s">
        <v>21</v>
      </c>
      <c r="L2682" t="s">
        <v>22</v>
      </c>
      <c r="M2682" t="s">
        <v>23</v>
      </c>
      <c r="N2682" t="s">
        <v>23</v>
      </c>
      <c r="O2682" t="s">
        <v>24</v>
      </c>
      <c r="P2682" s="8" t="s">
        <v>3240</v>
      </c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</row>
    <row r="2683" spans="1:51" hidden="1" x14ac:dyDescent="0.2">
      <c r="A2683" s="6"/>
      <c r="E2683" s="2"/>
      <c r="F2683" s="3"/>
      <c r="G2683" s="3"/>
      <c r="P2683" s="8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</row>
    <row r="2684" spans="1:51" x14ac:dyDescent="0.2">
      <c r="A2684" s="6" t="s">
        <v>17</v>
      </c>
      <c r="B2684" t="s">
        <v>191</v>
      </c>
      <c r="C2684" t="s">
        <v>192</v>
      </c>
      <c r="D2684" t="s">
        <v>3241</v>
      </c>
      <c r="E2684" s="2">
        <v>1000</v>
      </c>
      <c r="F2684" s="3">
        <f t="shared" si="223"/>
        <v>45614</v>
      </c>
      <c r="G2684" s="3">
        <f t="shared" si="223"/>
        <v>45614</v>
      </c>
      <c r="H2684">
        <v>1432972405</v>
      </c>
      <c r="I2684" t="s">
        <v>20</v>
      </c>
      <c r="K2684" t="s">
        <v>21</v>
      </c>
      <c r="L2684" t="s">
        <v>22</v>
      </c>
      <c r="M2684" t="s">
        <v>23</v>
      </c>
      <c r="N2684" t="s">
        <v>23</v>
      </c>
      <c r="O2684" t="s">
        <v>24</v>
      </c>
      <c r="P2684" s="8" t="s">
        <v>3242</v>
      </c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</row>
    <row r="2685" spans="1:51" x14ac:dyDescent="0.2">
      <c r="A2685" s="6" t="s">
        <v>17</v>
      </c>
      <c r="B2685" t="s">
        <v>223</v>
      </c>
      <c r="C2685" t="s">
        <v>223</v>
      </c>
      <c r="D2685" t="s">
        <v>3243</v>
      </c>
      <c r="E2685" s="2">
        <v>1468.93</v>
      </c>
      <c r="F2685" s="3">
        <f t="shared" si="223"/>
        <v>45614</v>
      </c>
      <c r="G2685" s="3">
        <f t="shared" si="223"/>
        <v>45614</v>
      </c>
      <c r="H2685">
        <v>1432972406</v>
      </c>
      <c r="I2685" t="s">
        <v>20</v>
      </c>
      <c r="K2685" t="s">
        <v>21</v>
      </c>
      <c r="L2685" t="s">
        <v>22</v>
      </c>
      <c r="M2685" t="s">
        <v>23</v>
      </c>
      <c r="N2685" t="s">
        <v>23</v>
      </c>
      <c r="O2685" t="s">
        <v>24</v>
      </c>
      <c r="P2685" s="8" t="s">
        <v>3244</v>
      </c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</row>
    <row r="2686" spans="1:51" hidden="1" x14ac:dyDescent="0.2">
      <c r="A2686" s="6"/>
      <c r="E2686" s="2"/>
      <c r="F2686" s="3"/>
      <c r="G2686" s="3"/>
      <c r="P2686" s="8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</row>
    <row r="2687" spans="1:51" x14ac:dyDescent="0.2">
      <c r="A2687" s="6" t="s">
        <v>17</v>
      </c>
      <c r="B2687" t="s">
        <v>61</v>
      </c>
      <c r="C2687" t="s">
        <v>62</v>
      </c>
      <c r="D2687" t="s">
        <v>3245</v>
      </c>
      <c r="E2687" s="2">
        <v>18.100000000000001</v>
      </c>
      <c r="F2687" s="3">
        <f t="shared" si="223"/>
        <v>45614</v>
      </c>
      <c r="G2687" s="3">
        <f t="shared" si="223"/>
        <v>45614</v>
      </c>
      <c r="H2687">
        <v>1433047375</v>
      </c>
      <c r="I2687" t="s">
        <v>73</v>
      </c>
      <c r="K2687" t="s">
        <v>21</v>
      </c>
      <c r="L2687" t="s">
        <v>22</v>
      </c>
      <c r="M2687" t="s">
        <v>23</v>
      </c>
      <c r="N2687" t="s">
        <v>23</v>
      </c>
      <c r="O2687" t="s">
        <v>24</v>
      </c>
      <c r="P2687" s="8" t="s">
        <v>3246</v>
      </c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</row>
    <row r="2688" spans="1:51" x14ac:dyDescent="0.2">
      <c r="A2688" s="6" t="s">
        <v>17</v>
      </c>
      <c r="B2688" t="s">
        <v>175</v>
      </c>
      <c r="C2688" t="s">
        <v>176</v>
      </c>
      <c r="D2688" t="s">
        <v>3247</v>
      </c>
      <c r="E2688" s="2">
        <v>18499</v>
      </c>
      <c r="F2688" s="3">
        <f t="shared" si="223"/>
        <v>45614</v>
      </c>
      <c r="G2688" s="3">
        <f t="shared" si="223"/>
        <v>45614</v>
      </c>
      <c r="H2688">
        <v>1433047376</v>
      </c>
      <c r="I2688" t="s">
        <v>73</v>
      </c>
      <c r="K2688" t="s">
        <v>21</v>
      </c>
      <c r="L2688" t="s">
        <v>22</v>
      </c>
      <c r="M2688" t="s">
        <v>23</v>
      </c>
      <c r="N2688" t="s">
        <v>23</v>
      </c>
      <c r="O2688" t="s">
        <v>24</v>
      </c>
      <c r="P2688" s="8" t="s">
        <v>3248</v>
      </c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</row>
    <row r="2689" spans="1:51" x14ac:dyDescent="0.2">
      <c r="A2689" s="6" t="s">
        <v>17</v>
      </c>
      <c r="B2689" t="s">
        <v>18</v>
      </c>
      <c r="C2689" t="s">
        <v>18</v>
      </c>
      <c r="D2689" t="s">
        <v>189</v>
      </c>
      <c r="E2689" s="2">
        <v>55.24</v>
      </c>
      <c r="F2689" s="3">
        <f t="shared" si="223"/>
        <v>45614</v>
      </c>
      <c r="G2689" s="3">
        <f t="shared" si="223"/>
        <v>45614</v>
      </c>
      <c r="H2689">
        <v>1433047377</v>
      </c>
      <c r="I2689" t="s">
        <v>73</v>
      </c>
      <c r="K2689" t="s">
        <v>21</v>
      </c>
      <c r="L2689" t="s">
        <v>22</v>
      </c>
      <c r="M2689" t="s">
        <v>23</v>
      </c>
      <c r="N2689" t="s">
        <v>24</v>
      </c>
      <c r="O2689" t="s">
        <v>24</v>
      </c>
      <c r="P2689" s="8" t="s">
        <v>3249</v>
      </c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</row>
    <row r="2690" spans="1:51" hidden="1" x14ac:dyDescent="0.2">
      <c r="A2690" s="6"/>
      <c r="E2690" s="2"/>
      <c r="F2690" s="3"/>
      <c r="G2690" s="3"/>
      <c r="P2690" s="8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</row>
    <row r="2691" spans="1:51" x14ac:dyDescent="0.2">
      <c r="A2691" s="6" t="s">
        <v>17</v>
      </c>
      <c r="B2691" t="s">
        <v>26</v>
      </c>
      <c r="C2691" t="s">
        <v>27</v>
      </c>
      <c r="D2691" t="s">
        <v>3250</v>
      </c>
      <c r="E2691" s="2">
        <v>26.54</v>
      </c>
      <c r="F2691" s="3">
        <f t="shared" ref="F2691:G2696" si="224">DATE(2024,11,20)</f>
        <v>45616</v>
      </c>
      <c r="G2691" s="3">
        <f t="shared" si="224"/>
        <v>45616</v>
      </c>
      <c r="H2691">
        <v>1438007268</v>
      </c>
      <c r="I2691" t="s">
        <v>20</v>
      </c>
      <c r="K2691" t="s">
        <v>21</v>
      </c>
      <c r="L2691" t="s">
        <v>22</v>
      </c>
      <c r="M2691" t="s">
        <v>23</v>
      </c>
      <c r="N2691" t="s">
        <v>23</v>
      </c>
      <c r="O2691" t="s">
        <v>24</v>
      </c>
      <c r="P2691" s="8" t="s">
        <v>3251</v>
      </c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</row>
    <row r="2692" spans="1:51" x14ac:dyDescent="0.2">
      <c r="A2692" s="6" t="s">
        <v>17</v>
      </c>
      <c r="B2692" t="s">
        <v>887</v>
      </c>
      <c r="C2692" t="s">
        <v>888</v>
      </c>
      <c r="D2692" t="s">
        <v>3252</v>
      </c>
      <c r="E2692" s="2">
        <v>313.88</v>
      </c>
      <c r="F2692" s="3">
        <f t="shared" si="224"/>
        <v>45616</v>
      </c>
      <c r="G2692" s="3">
        <f t="shared" si="224"/>
        <v>45616</v>
      </c>
      <c r="H2692">
        <v>1438007269</v>
      </c>
      <c r="I2692" t="s">
        <v>20</v>
      </c>
      <c r="K2692" t="s">
        <v>21</v>
      </c>
      <c r="L2692" t="s">
        <v>22</v>
      </c>
      <c r="M2692" t="s">
        <v>23</v>
      </c>
      <c r="N2692" t="s">
        <v>23</v>
      </c>
      <c r="O2692" t="s">
        <v>24</v>
      </c>
      <c r="P2692" s="8" t="s">
        <v>3253</v>
      </c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</row>
    <row r="2693" spans="1:51" x14ac:dyDescent="0.2">
      <c r="A2693" s="6" t="s">
        <v>17</v>
      </c>
      <c r="B2693" t="s">
        <v>674</v>
      </c>
      <c r="C2693" t="s">
        <v>675</v>
      </c>
      <c r="D2693" t="s">
        <v>3254</v>
      </c>
      <c r="E2693" s="2">
        <v>1503.53</v>
      </c>
      <c r="F2693" s="3">
        <f t="shared" si="224"/>
        <v>45616</v>
      </c>
      <c r="G2693" s="3">
        <f t="shared" si="224"/>
        <v>45616</v>
      </c>
      <c r="H2693">
        <v>1438007270</v>
      </c>
      <c r="I2693" t="s">
        <v>20</v>
      </c>
      <c r="K2693" t="s">
        <v>21</v>
      </c>
      <c r="L2693" t="s">
        <v>22</v>
      </c>
      <c r="M2693" t="s">
        <v>23</v>
      </c>
      <c r="N2693" t="s">
        <v>23</v>
      </c>
      <c r="O2693" t="s">
        <v>24</v>
      </c>
      <c r="P2693" s="8" t="s">
        <v>3255</v>
      </c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</row>
    <row r="2694" spans="1:51" x14ac:dyDescent="0.2">
      <c r="A2694" s="6" t="s">
        <v>17</v>
      </c>
      <c r="B2694" t="s">
        <v>655</v>
      </c>
      <c r="C2694" t="s">
        <v>656</v>
      </c>
      <c r="D2694" t="s">
        <v>3256</v>
      </c>
      <c r="E2694" s="2">
        <v>420.19</v>
      </c>
      <c r="F2694" s="3">
        <f t="shared" si="224"/>
        <v>45616</v>
      </c>
      <c r="G2694" s="3">
        <f t="shared" si="224"/>
        <v>45616</v>
      </c>
      <c r="H2694">
        <v>1438007271</v>
      </c>
      <c r="I2694" t="s">
        <v>20</v>
      </c>
      <c r="K2694" t="s">
        <v>21</v>
      </c>
      <c r="L2694" t="s">
        <v>22</v>
      </c>
      <c r="M2694" t="s">
        <v>23</v>
      </c>
      <c r="N2694" t="s">
        <v>23</v>
      </c>
      <c r="O2694" t="s">
        <v>24</v>
      </c>
      <c r="P2694" s="8" t="s">
        <v>3257</v>
      </c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</row>
    <row r="2695" spans="1:51" x14ac:dyDescent="0.2">
      <c r="A2695" s="6" t="s">
        <v>17</v>
      </c>
      <c r="B2695" t="s">
        <v>34</v>
      </c>
      <c r="C2695" t="s">
        <v>35</v>
      </c>
      <c r="D2695" t="s">
        <v>3258</v>
      </c>
      <c r="E2695" s="2">
        <v>5518.54</v>
      </c>
      <c r="F2695" s="3">
        <f t="shared" si="224"/>
        <v>45616</v>
      </c>
      <c r="G2695" s="3">
        <f t="shared" si="224"/>
        <v>45616</v>
      </c>
      <c r="H2695">
        <v>1443303758</v>
      </c>
      <c r="I2695" t="s">
        <v>20</v>
      </c>
      <c r="K2695" t="s">
        <v>21</v>
      </c>
      <c r="L2695" t="s">
        <v>22</v>
      </c>
      <c r="M2695" t="s">
        <v>23</v>
      </c>
      <c r="N2695" t="s">
        <v>23</v>
      </c>
      <c r="O2695" t="s">
        <v>24</v>
      </c>
      <c r="P2695" s="8" t="s">
        <v>3259</v>
      </c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</row>
    <row r="2696" spans="1:51" x14ac:dyDescent="0.2">
      <c r="A2696" s="6" t="s">
        <v>17</v>
      </c>
      <c r="B2696" t="s">
        <v>251</v>
      </c>
      <c r="C2696" t="s">
        <v>252</v>
      </c>
      <c r="D2696" t="s">
        <v>3260</v>
      </c>
      <c r="E2696" s="2">
        <v>81</v>
      </c>
      <c r="F2696" s="3">
        <f t="shared" si="224"/>
        <v>45616</v>
      </c>
      <c r="G2696" s="3">
        <f t="shared" si="224"/>
        <v>45616</v>
      </c>
      <c r="H2696">
        <v>1443303759</v>
      </c>
      <c r="I2696" t="s">
        <v>20</v>
      </c>
      <c r="K2696" t="s">
        <v>21</v>
      </c>
      <c r="L2696" t="s">
        <v>22</v>
      </c>
      <c r="M2696" t="s">
        <v>23</v>
      </c>
      <c r="N2696" t="s">
        <v>23</v>
      </c>
      <c r="O2696" t="s">
        <v>24</v>
      </c>
      <c r="P2696" s="8" t="s">
        <v>3261</v>
      </c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</row>
    <row r="2697" spans="1:51" hidden="1" x14ac:dyDescent="0.2">
      <c r="A2697" s="6"/>
      <c r="E2697" s="2"/>
      <c r="F2697" s="3"/>
      <c r="G2697" s="3"/>
      <c r="P2697" s="8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</row>
    <row r="2698" spans="1:51" x14ac:dyDescent="0.2">
      <c r="A2698" s="6" t="s">
        <v>17</v>
      </c>
      <c r="B2698" t="s">
        <v>137</v>
      </c>
      <c r="C2698" t="s">
        <v>138</v>
      </c>
      <c r="D2698" t="s">
        <v>3262</v>
      </c>
      <c r="E2698" s="2">
        <v>2999</v>
      </c>
      <c r="F2698" s="3">
        <f>DATE(2024,11,20)</f>
        <v>45616</v>
      </c>
      <c r="G2698" s="3">
        <f>DATE(2024,11,20)</f>
        <v>45616</v>
      </c>
      <c r="H2698">
        <v>1443303761</v>
      </c>
      <c r="I2698" t="s">
        <v>20</v>
      </c>
      <c r="K2698" t="s">
        <v>21</v>
      </c>
      <c r="L2698" t="s">
        <v>22</v>
      </c>
      <c r="M2698" t="s">
        <v>23</v>
      </c>
      <c r="N2698" t="s">
        <v>23</v>
      </c>
      <c r="O2698" t="s">
        <v>24</v>
      </c>
      <c r="P2698" s="8" t="s">
        <v>3263</v>
      </c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</row>
    <row r="2699" spans="1:51" x14ac:dyDescent="0.2">
      <c r="A2699" s="6" t="s">
        <v>17</v>
      </c>
      <c r="B2699" t="s">
        <v>887</v>
      </c>
      <c r="C2699" t="s">
        <v>888</v>
      </c>
      <c r="D2699" t="s">
        <v>3264</v>
      </c>
      <c r="E2699" s="2">
        <v>290.33</v>
      </c>
      <c r="F2699" s="3">
        <f>DATE(2024,11,21)</f>
        <v>45617</v>
      </c>
      <c r="G2699" s="3">
        <f>DATE(2024,11,21)</f>
        <v>45617</v>
      </c>
      <c r="H2699">
        <v>1443303762</v>
      </c>
      <c r="I2699" t="s">
        <v>20</v>
      </c>
      <c r="K2699" t="s">
        <v>21</v>
      </c>
      <c r="L2699" t="s">
        <v>22</v>
      </c>
      <c r="M2699" t="s">
        <v>23</v>
      </c>
      <c r="N2699" t="s">
        <v>23</v>
      </c>
      <c r="O2699" t="s">
        <v>24</v>
      </c>
      <c r="P2699" s="8" t="s">
        <v>3265</v>
      </c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</row>
    <row r="2700" spans="1:51" hidden="1" x14ac:dyDescent="0.2">
      <c r="A2700" s="6"/>
      <c r="E2700" s="2"/>
      <c r="F2700" s="3"/>
      <c r="G2700" s="3"/>
      <c r="P2700" s="8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</row>
    <row r="2701" spans="1:51" hidden="1" x14ac:dyDescent="0.2">
      <c r="A2701" s="6"/>
      <c r="E2701" s="2"/>
      <c r="F2701" s="3"/>
      <c r="G2701" s="3"/>
      <c r="P2701" s="8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</row>
    <row r="2702" spans="1:51" x14ac:dyDescent="0.2">
      <c r="A2702" s="6" t="s">
        <v>17</v>
      </c>
      <c r="B2702" t="s">
        <v>110</v>
      </c>
      <c r="C2702" t="s">
        <v>111</v>
      </c>
      <c r="D2702" t="s">
        <v>3266</v>
      </c>
      <c r="E2702" s="2">
        <v>475.31</v>
      </c>
      <c r="F2702" s="3">
        <f t="shared" ref="F2700:G2703" si="225">DATE(2024,11,20)</f>
        <v>45616</v>
      </c>
      <c r="G2702" s="3">
        <f t="shared" si="225"/>
        <v>45616</v>
      </c>
      <c r="H2702">
        <v>1443303765</v>
      </c>
      <c r="I2702" t="s">
        <v>20</v>
      </c>
      <c r="K2702" t="s">
        <v>21</v>
      </c>
      <c r="L2702" t="s">
        <v>22</v>
      </c>
      <c r="M2702" t="s">
        <v>23</v>
      </c>
      <c r="N2702" t="s">
        <v>23</v>
      </c>
      <c r="O2702" t="s">
        <v>24</v>
      </c>
      <c r="P2702" s="8" t="s">
        <v>3267</v>
      </c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</row>
    <row r="2703" spans="1:51" hidden="1" x14ac:dyDescent="0.2">
      <c r="A2703" s="6"/>
      <c r="E2703" s="2"/>
      <c r="F2703" s="3"/>
      <c r="G2703" s="3"/>
      <c r="P2703" s="8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</row>
    <row r="2704" spans="1:51" x14ac:dyDescent="0.2">
      <c r="A2704" s="6" t="s">
        <v>17</v>
      </c>
      <c r="B2704" t="s">
        <v>144</v>
      </c>
      <c r="C2704" t="s">
        <v>145</v>
      </c>
      <c r="D2704" t="s">
        <v>3268</v>
      </c>
      <c r="E2704" s="2">
        <v>94.85</v>
      </c>
      <c r="F2704" s="3">
        <f>DATE(2024,11,19)</f>
        <v>45615</v>
      </c>
      <c r="G2704" s="3">
        <f>DATE(2024,11,19)</f>
        <v>45615</v>
      </c>
      <c r="H2704">
        <v>1443303802</v>
      </c>
      <c r="I2704" t="s">
        <v>51</v>
      </c>
      <c r="K2704" t="s">
        <v>21</v>
      </c>
      <c r="L2704" t="s">
        <v>22</v>
      </c>
      <c r="M2704" t="s">
        <v>23</v>
      </c>
      <c r="N2704" t="s">
        <v>23</v>
      </c>
      <c r="O2704" t="s">
        <v>24</v>
      </c>
      <c r="P2704" s="8" t="s">
        <v>3269</v>
      </c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</row>
    <row r="2705" spans="1:51" x14ac:dyDescent="0.2">
      <c r="A2705" s="6" t="s">
        <v>17</v>
      </c>
      <c r="B2705" t="s">
        <v>61</v>
      </c>
      <c r="C2705" t="s">
        <v>62</v>
      </c>
      <c r="D2705" t="s">
        <v>3270</v>
      </c>
      <c r="E2705" s="2">
        <v>241.8</v>
      </c>
      <c r="F2705" s="3">
        <f>DATE(2024,11,19)</f>
        <v>45615</v>
      </c>
      <c r="G2705" s="3">
        <f>DATE(2024,11,19)</f>
        <v>45615</v>
      </c>
      <c r="H2705">
        <v>1443303803</v>
      </c>
      <c r="I2705" t="s">
        <v>51</v>
      </c>
      <c r="K2705" t="s">
        <v>21</v>
      </c>
      <c r="L2705" t="s">
        <v>22</v>
      </c>
      <c r="M2705" t="s">
        <v>23</v>
      </c>
      <c r="N2705" t="s">
        <v>23</v>
      </c>
      <c r="O2705" t="s">
        <v>24</v>
      </c>
      <c r="P2705" s="8" t="s">
        <v>3271</v>
      </c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</row>
    <row r="2706" spans="1:51" hidden="1" x14ac:dyDescent="0.2">
      <c r="A2706" s="6"/>
      <c r="E2706" s="2"/>
      <c r="F2706" s="3"/>
      <c r="G2706" s="3"/>
      <c r="P2706" s="8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</row>
    <row r="2707" spans="1:51" hidden="1" x14ac:dyDescent="0.2">
      <c r="A2707" s="6"/>
      <c r="E2707" s="2"/>
      <c r="F2707" s="3"/>
      <c r="G2707" s="3"/>
      <c r="P2707" s="8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</row>
    <row r="2708" spans="1:51" x14ac:dyDescent="0.2">
      <c r="A2708" s="6" t="s">
        <v>17</v>
      </c>
      <c r="B2708" t="s">
        <v>61</v>
      </c>
      <c r="C2708" t="s">
        <v>62</v>
      </c>
      <c r="D2708" t="s">
        <v>3272</v>
      </c>
      <c r="E2708" s="2">
        <v>25</v>
      </c>
      <c r="F2708" s="3">
        <f t="shared" ref="F2706:G2709" si="226">DATE(2024,11,20)</f>
        <v>45616</v>
      </c>
      <c r="G2708" s="3">
        <f t="shared" si="226"/>
        <v>45616</v>
      </c>
      <c r="H2708">
        <v>1443376734</v>
      </c>
      <c r="I2708" t="s">
        <v>73</v>
      </c>
      <c r="K2708" t="s">
        <v>21</v>
      </c>
      <c r="L2708" t="s">
        <v>22</v>
      </c>
      <c r="M2708" t="s">
        <v>23</v>
      </c>
      <c r="N2708" t="s">
        <v>23</v>
      </c>
      <c r="O2708" t="s">
        <v>24</v>
      </c>
      <c r="P2708" s="8" t="s">
        <v>3273</v>
      </c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</row>
    <row r="2709" spans="1:51" hidden="1" x14ac:dyDescent="0.2">
      <c r="A2709" s="6"/>
      <c r="E2709" s="2"/>
      <c r="F2709" s="3"/>
      <c r="G2709" s="3"/>
      <c r="P2709" s="8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</row>
    <row r="2710" spans="1:51" x14ac:dyDescent="0.2">
      <c r="A2710" s="6" t="s">
        <v>17</v>
      </c>
      <c r="B2710" t="s">
        <v>611</v>
      </c>
      <c r="C2710" t="s">
        <v>612</v>
      </c>
      <c r="D2710" t="s">
        <v>3274</v>
      </c>
      <c r="E2710" s="2">
        <v>351.97</v>
      </c>
      <c r="F2710" s="3">
        <f t="shared" ref="F2710:G2714" si="227">DATE(2024,11,22)</f>
        <v>45618</v>
      </c>
      <c r="G2710" s="3">
        <f t="shared" si="227"/>
        <v>45618</v>
      </c>
      <c r="H2710">
        <v>1447953540</v>
      </c>
      <c r="I2710" t="s">
        <v>20</v>
      </c>
      <c r="K2710" t="s">
        <v>21</v>
      </c>
      <c r="L2710" t="s">
        <v>22</v>
      </c>
      <c r="M2710" t="s">
        <v>23</v>
      </c>
      <c r="N2710" t="s">
        <v>23</v>
      </c>
      <c r="O2710" t="s">
        <v>24</v>
      </c>
      <c r="P2710" s="8" t="s">
        <v>3275</v>
      </c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</row>
    <row r="2711" spans="1:51" x14ac:dyDescent="0.2">
      <c r="A2711" s="6" t="s">
        <v>17</v>
      </c>
      <c r="B2711" t="s">
        <v>611</v>
      </c>
      <c r="C2711" t="s">
        <v>612</v>
      </c>
      <c r="D2711" t="s">
        <v>3276</v>
      </c>
      <c r="E2711" s="2">
        <v>877.98</v>
      </c>
      <c r="F2711" s="3">
        <f t="shared" si="227"/>
        <v>45618</v>
      </c>
      <c r="G2711" s="3">
        <f t="shared" si="227"/>
        <v>45618</v>
      </c>
      <c r="H2711">
        <v>1447953541</v>
      </c>
      <c r="I2711" t="s">
        <v>20</v>
      </c>
      <c r="K2711" t="s">
        <v>21</v>
      </c>
      <c r="L2711" t="s">
        <v>22</v>
      </c>
      <c r="M2711" t="s">
        <v>23</v>
      </c>
      <c r="N2711" t="s">
        <v>23</v>
      </c>
      <c r="O2711" t="s">
        <v>24</v>
      </c>
      <c r="P2711" s="8" t="s">
        <v>3277</v>
      </c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</row>
    <row r="2712" spans="1:51" x14ac:dyDescent="0.2">
      <c r="A2712" s="6" t="s">
        <v>17</v>
      </c>
      <c r="B2712" t="s">
        <v>1046</v>
      </c>
      <c r="C2712" t="s">
        <v>1047</v>
      </c>
      <c r="D2712" t="s">
        <v>3278</v>
      </c>
      <c r="E2712" s="2">
        <v>1106.6199999999999</v>
      </c>
      <c r="F2712" s="3">
        <f t="shared" si="227"/>
        <v>45618</v>
      </c>
      <c r="G2712" s="3">
        <f t="shared" si="227"/>
        <v>45618</v>
      </c>
      <c r="H2712">
        <v>1447953542</v>
      </c>
      <c r="I2712" t="s">
        <v>20</v>
      </c>
      <c r="K2712" t="s">
        <v>21</v>
      </c>
      <c r="L2712" t="s">
        <v>22</v>
      </c>
      <c r="M2712" t="s">
        <v>23</v>
      </c>
      <c r="N2712" t="s">
        <v>23</v>
      </c>
      <c r="O2712" t="s">
        <v>24</v>
      </c>
      <c r="P2712" s="8" t="s">
        <v>3279</v>
      </c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</row>
    <row r="2713" spans="1:51" x14ac:dyDescent="0.2">
      <c r="A2713" s="6" t="s">
        <v>17</v>
      </c>
      <c r="B2713" t="s">
        <v>251</v>
      </c>
      <c r="C2713" t="s">
        <v>252</v>
      </c>
      <c r="D2713" t="s">
        <v>3280</v>
      </c>
      <c r="E2713" s="2">
        <v>2400.1999999999998</v>
      </c>
      <c r="F2713" s="3">
        <f t="shared" si="227"/>
        <v>45618</v>
      </c>
      <c r="G2713" s="3">
        <f t="shared" si="227"/>
        <v>45618</v>
      </c>
      <c r="H2713">
        <v>1447953543</v>
      </c>
      <c r="I2713" t="s">
        <v>20</v>
      </c>
      <c r="K2713" t="s">
        <v>21</v>
      </c>
      <c r="L2713" t="s">
        <v>22</v>
      </c>
      <c r="M2713" t="s">
        <v>23</v>
      </c>
      <c r="N2713" t="s">
        <v>23</v>
      </c>
      <c r="O2713" t="s">
        <v>24</v>
      </c>
      <c r="P2713" s="8" t="s">
        <v>3281</v>
      </c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</row>
    <row r="2714" spans="1:51" x14ac:dyDescent="0.2">
      <c r="A2714" s="6" t="s">
        <v>17</v>
      </c>
      <c r="B2714" t="s">
        <v>179</v>
      </c>
      <c r="C2714" t="s">
        <v>180</v>
      </c>
      <c r="D2714" t="s">
        <v>3282</v>
      </c>
      <c r="E2714" s="2">
        <v>349.41</v>
      </c>
      <c r="F2714" s="3">
        <f t="shared" si="227"/>
        <v>45618</v>
      </c>
      <c r="G2714" s="3">
        <f t="shared" si="227"/>
        <v>45618</v>
      </c>
      <c r="H2714">
        <v>1447953544</v>
      </c>
      <c r="I2714" t="s">
        <v>20</v>
      </c>
      <c r="K2714" t="s">
        <v>21</v>
      </c>
      <c r="L2714" t="s">
        <v>22</v>
      </c>
      <c r="M2714" t="s">
        <v>23</v>
      </c>
      <c r="N2714" t="s">
        <v>23</v>
      </c>
      <c r="O2714" t="s">
        <v>24</v>
      </c>
      <c r="P2714" s="8" t="s">
        <v>3283</v>
      </c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  <c r="AV2714" s="11"/>
      <c r="AW2714" s="11"/>
      <c r="AX2714" s="11"/>
      <c r="AY2714" s="11"/>
    </row>
    <row r="2715" spans="1:51" x14ac:dyDescent="0.2">
      <c r="A2715" s="6" t="s">
        <v>17</v>
      </c>
      <c r="B2715" t="s">
        <v>232</v>
      </c>
      <c r="C2715" t="s">
        <v>233</v>
      </c>
      <c r="D2715" t="s">
        <v>3284</v>
      </c>
      <c r="E2715" s="2">
        <v>616</v>
      </c>
      <c r="F2715" s="3">
        <f>DATE(2024,11,21)</f>
        <v>45617</v>
      </c>
      <c r="G2715" s="3">
        <f>DATE(2024,11,21)</f>
        <v>45617</v>
      </c>
      <c r="H2715">
        <v>1447953545</v>
      </c>
      <c r="I2715" t="s">
        <v>20</v>
      </c>
      <c r="K2715" t="s">
        <v>21</v>
      </c>
      <c r="L2715" t="s">
        <v>22</v>
      </c>
      <c r="M2715" t="s">
        <v>23</v>
      </c>
      <c r="N2715" t="s">
        <v>23</v>
      </c>
      <c r="O2715" t="s">
        <v>24</v>
      </c>
      <c r="P2715" s="8" t="s">
        <v>3285</v>
      </c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</row>
    <row r="2716" spans="1:51" x14ac:dyDescent="0.2">
      <c r="A2716" s="6" t="s">
        <v>17</v>
      </c>
      <c r="B2716" t="s">
        <v>104</v>
      </c>
      <c r="C2716" t="s">
        <v>105</v>
      </c>
      <c r="D2716" t="s">
        <v>3286</v>
      </c>
      <c r="E2716" s="2">
        <v>202.72</v>
      </c>
      <c r="F2716" s="3">
        <f>DATE(2024,11,22)</f>
        <v>45618</v>
      </c>
      <c r="G2716" s="3">
        <f>DATE(2024,11,22)</f>
        <v>45618</v>
      </c>
      <c r="H2716">
        <v>1447953546</v>
      </c>
      <c r="I2716" t="s">
        <v>20</v>
      </c>
      <c r="K2716" t="s">
        <v>21</v>
      </c>
      <c r="L2716" t="s">
        <v>22</v>
      </c>
      <c r="M2716" t="s">
        <v>23</v>
      </c>
      <c r="N2716" t="s">
        <v>23</v>
      </c>
      <c r="O2716" t="s">
        <v>24</v>
      </c>
      <c r="P2716" s="8" t="s">
        <v>3287</v>
      </c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  <c r="AV2716" s="11"/>
      <c r="AW2716" s="11"/>
      <c r="AX2716" s="11"/>
      <c r="AY2716" s="11"/>
    </row>
    <row r="2717" spans="1:51" x14ac:dyDescent="0.2">
      <c r="A2717" s="6" t="s">
        <v>17</v>
      </c>
      <c r="B2717" t="s">
        <v>34</v>
      </c>
      <c r="C2717" t="s">
        <v>35</v>
      </c>
      <c r="D2717" t="s">
        <v>3288</v>
      </c>
      <c r="E2717" s="2">
        <v>133.9</v>
      </c>
      <c r="F2717" s="3">
        <f>DATE(2024,11,22)</f>
        <v>45618</v>
      </c>
      <c r="G2717" s="3">
        <f>DATE(2024,11,22)</f>
        <v>45618</v>
      </c>
      <c r="H2717">
        <v>1447953547</v>
      </c>
      <c r="I2717" t="s">
        <v>20</v>
      </c>
      <c r="K2717" t="s">
        <v>21</v>
      </c>
      <c r="L2717" t="s">
        <v>22</v>
      </c>
      <c r="M2717" t="s">
        <v>23</v>
      </c>
      <c r="N2717" t="s">
        <v>23</v>
      </c>
      <c r="O2717" t="s">
        <v>24</v>
      </c>
      <c r="P2717" s="8" t="s">
        <v>3289</v>
      </c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</row>
    <row r="2718" spans="1:51" x14ac:dyDescent="0.2">
      <c r="A2718" s="6" t="s">
        <v>17</v>
      </c>
      <c r="B2718" t="s">
        <v>61</v>
      </c>
      <c r="C2718" t="s">
        <v>62</v>
      </c>
      <c r="D2718" t="s">
        <v>3290</v>
      </c>
      <c r="E2718" s="2">
        <v>82.5</v>
      </c>
      <c r="F2718" s="3">
        <f>DATE(2024,11,21)</f>
        <v>45617</v>
      </c>
      <c r="G2718" s="3">
        <f>DATE(2024,11,21)</f>
        <v>45617</v>
      </c>
      <c r="H2718">
        <v>1447957365</v>
      </c>
      <c r="I2718" t="s">
        <v>73</v>
      </c>
      <c r="K2718" t="s">
        <v>21</v>
      </c>
      <c r="L2718" t="s">
        <v>22</v>
      </c>
      <c r="M2718" t="s">
        <v>23</v>
      </c>
      <c r="N2718" t="s">
        <v>23</v>
      </c>
      <c r="O2718" t="s">
        <v>24</v>
      </c>
      <c r="P2718" s="8" t="s">
        <v>3291</v>
      </c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  <c r="AV2718" s="11"/>
      <c r="AW2718" s="11"/>
      <c r="AX2718" s="11"/>
      <c r="AY2718" s="11"/>
    </row>
    <row r="2719" spans="1:51" x14ac:dyDescent="0.2">
      <c r="A2719" s="6" t="s">
        <v>17</v>
      </c>
      <c r="B2719" t="s">
        <v>34</v>
      </c>
      <c r="C2719" t="s">
        <v>35</v>
      </c>
      <c r="D2719" t="s">
        <v>3292</v>
      </c>
      <c r="E2719" s="2">
        <v>220.4</v>
      </c>
      <c r="F2719" s="3">
        <f t="shared" ref="F2719:G2725" si="228">DATE(2024,11,22)</f>
        <v>45618</v>
      </c>
      <c r="G2719" s="3">
        <f t="shared" si="228"/>
        <v>45618</v>
      </c>
      <c r="H2719">
        <v>1453619681</v>
      </c>
      <c r="I2719" t="s">
        <v>20</v>
      </c>
      <c r="K2719" t="s">
        <v>21</v>
      </c>
      <c r="L2719" t="s">
        <v>22</v>
      </c>
      <c r="M2719" t="s">
        <v>23</v>
      </c>
      <c r="N2719" t="s">
        <v>23</v>
      </c>
      <c r="O2719" t="s">
        <v>24</v>
      </c>
      <c r="P2719" s="8" t="s">
        <v>3293</v>
      </c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  <c r="AV2719" s="11"/>
      <c r="AW2719" s="11"/>
      <c r="AX2719" s="11"/>
      <c r="AY2719" s="11"/>
    </row>
    <row r="2720" spans="1:51" x14ac:dyDescent="0.2">
      <c r="A2720" s="6" t="s">
        <v>17</v>
      </c>
      <c r="B2720" t="s">
        <v>251</v>
      </c>
      <c r="C2720" t="s">
        <v>252</v>
      </c>
      <c r="D2720" t="s">
        <v>3294</v>
      </c>
      <c r="E2720" s="2">
        <v>648</v>
      </c>
      <c r="F2720" s="3">
        <f t="shared" si="228"/>
        <v>45618</v>
      </c>
      <c r="G2720" s="3">
        <f t="shared" si="228"/>
        <v>45618</v>
      </c>
      <c r="H2720">
        <v>1453619682</v>
      </c>
      <c r="I2720" t="s">
        <v>20</v>
      </c>
      <c r="K2720" t="s">
        <v>21</v>
      </c>
      <c r="L2720" t="s">
        <v>22</v>
      </c>
      <c r="M2720" t="s">
        <v>23</v>
      </c>
      <c r="N2720" t="s">
        <v>23</v>
      </c>
      <c r="O2720" t="s">
        <v>24</v>
      </c>
      <c r="P2720" s="8" t="s">
        <v>3295</v>
      </c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  <c r="AV2720" s="11"/>
      <c r="AW2720" s="11"/>
      <c r="AX2720" s="11"/>
      <c r="AY2720" s="11"/>
    </row>
    <row r="2721" spans="1:51" x14ac:dyDescent="0.2">
      <c r="A2721" s="6" t="s">
        <v>17</v>
      </c>
      <c r="B2721" t="s">
        <v>137</v>
      </c>
      <c r="C2721" t="s">
        <v>138</v>
      </c>
      <c r="D2721" t="s">
        <v>3296</v>
      </c>
      <c r="E2721" s="2">
        <v>864</v>
      </c>
      <c r="F2721" s="3">
        <f t="shared" si="228"/>
        <v>45618</v>
      </c>
      <c r="G2721" s="3">
        <f t="shared" si="228"/>
        <v>45618</v>
      </c>
      <c r="H2721">
        <v>1453619683</v>
      </c>
      <c r="I2721" t="s">
        <v>20</v>
      </c>
      <c r="K2721" t="s">
        <v>21</v>
      </c>
      <c r="L2721" t="s">
        <v>22</v>
      </c>
      <c r="M2721" t="s">
        <v>23</v>
      </c>
      <c r="N2721" t="s">
        <v>23</v>
      </c>
      <c r="O2721" t="s">
        <v>24</v>
      </c>
      <c r="P2721" s="8" t="s">
        <v>3297</v>
      </c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</row>
    <row r="2722" spans="1:51" x14ac:dyDescent="0.2">
      <c r="A2722" s="6" t="s">
        <v>17</v>
      </c>
      <c r="B2722" t="s">
        <v>65</v>
      </c>
      <c r="C2722" t="s">
        <v>66</v>
      </c>
      <c r="D2722" t="s">
        <v>3298</v>
      </c>
      <c r="E2722" s="2">
        <v>30</v>
      </c>
      <c r="F2722" s="3">
        <f t="shared" si="228"/>
        <v>45618</v>
      </c>
      <c r="G2722" s="3">
        <f t="shared" si="228"/>
        <v>45618</v>
      </c>
      <c r="H2722">
        <v>1453619684</v>
      </c>
      <c r="I2722" t="s">
        <v>20</v>
      </c>
      <c r="K2722" t="s">
        <v>21</v>
      </c>
      <c r="L2722" t="s">
        <v>22</v>
      </c>
      <c r="M2722" t="s">
        <v>23</v>
      </c>
      <c r="N2722" t="s">
        <v>23</v>
      </c>
      <c r="O2722" t="s">
        <v>24</v>
      </c>
      <c r="P2722" s="8" t="s">
        <v>3299</v>
      </c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  <c r="AV2722" s="11"/>
      <c r="AW2722" s="11"/>
      <c r="AX2722" s="11"/>
      <c r="AY2722" s="11"/>
    </row>
    <row r="2723" spans="1:51" x14ac:dyDescent="0.2">
      <c r="A2723" s="6" t="s">
        <v>17</v>
      </c>
      <c r="B2723" t="s">
        <v>611</v>
      </c>
      <c r="C2723" t="s">
        <v>612</v>
      </c>
      <c r="D2723" t="s">
        <v>3300</v>
      </c>
      <c r="E2723" s="2">
        <v>687.12</v>
      </c>
      <c r="F2723" s="3">
        <f t="shared" si="228"/>
        <v>45618</v>
      </c>
      <c r="G2723" s="3">
        <f t="shared" si="228"/>
        <v>45618</v>
      </c>
      <c r="H2723">
        <v>1453619685</v>
      </c>
      <c r="I2723" t="s">
        <v>20</v>
      </c>
      <c r="K2723" t="s">
        <v>21</v>
      </c>
      <c r="L2723" t="s">
        <v>22</v>
      </c>
      <c r="M2723" t="s">
        <v>23</v>
      </c>
      <c r="N2723" t="s">
        <v>23</v>
      </c>
      <c r="O2723" t="s">
        <v>24</v>
      </c>
      <c r="P2723" s="8" t="s">
        <v>3301</v>
      </c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  <c r="AV2723" s="11"/>
      <c r="AW2723" s="11"/>
      <c r="AX2723" s="11"/>
      <c r="AY2723" s="11"/>
    </row>
    <row r="2724" spans="1:51" x14ac:dyDescent="0.2">
      <c r="A2724" s="6" t="s">
        <v>17</v>
      </c>
      <c r="B2724" t="s">
        <v>144</v>
      </c>
      <c r="C2724" t="s">
        <v>145</v>
      </c>
      <c r="D2724" t="s">
        <v>3302</v>
      </c>
      <c r="E2724" s="2">
        <v>424.06</v>
      </c>
      <c r="F2724" s="3">
        <f t="shared" si="228"/>
        <v>45618</v>
      </c>
      <c r="G2724" s="3">
        <f t="shared" si="228"/>
        <v>45618</v>
      </c>
      <c r="H2724">
        <v>1453619686</v>
      </c>
      <c r="I2724" t="s">
        <v>20</v>
      </c>
      <c r="K2724" t="s">
        <v>21</v>
      </c>
      <c r="L2724" t="s">
        <v>22</v>
      </c>
      <c r="M2724" t="s">
        <v>23</v>
      </c>
      <c r="N2724" t="s">
        <v>23</v>
      </c>
      <c r="O2724" t="s">
        <v>24</v>
      </c>
      <c r="P2724" s="8" t="s">
        <v>3303</v>
      </c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  <c r="AV2724" s="11"/>
      <c r="AW2724" s="11"/>
      <c r="AX2724" s="11"/>
      <c r="AY2724" s="11"/>
    </row>
    <row r="2725" spans="1:51" hidden="1" x14ac:dyDescent="0.2">
      <c r="A2725" s="6"/>
      <c r="E2725" s="2"/>
      <c r="F2725" s="3"/>
      <c r="G2725" s="3"/>
      <c r="P2725" s="8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  <c r="AV2725" s="11"/>
      <c r="AW2725" s="11"/>
      <c r="AX2725" s="11"/>
      <c r="AY2725" s="11"/>
    </row>
    <row r="2726" spans="1:51" x14ac:dyDescent="0.2">
      <c r="A2726" s="6" t="s">
        <v>17</v>
      </c>
      <c r="B2726" t="s">
        <v>26</v>
      </c>
      <c r="C2726" t="s">
        <v>27</v>
      </c>
      <c r="D2726" t="s">
        <v>230</v>
      </c>
      <c r="E2726" s="2">
        <v>5.99</v>
      </c>
      <c r="F2726" s="3">
        <f>DATE(2024,11,20)</f>
        <v>45616</v>
      </c>
      <c r="G2726" s="3">
        <f>DATE(2024,11,20)</f>
        <v>45616</v>
      </c>
      <c r="H2726">
        <v>1453619690</v>
      </c>
      <c r="I2726" t="s">
        <v>51</v>
      </c>
      <c r="K2726" t="s">
        <v>21</v>
      </c>
      <c r="L2726" t="s">
        <v>22</v>
      </c>
      <c r="M2726" t="s">
        <v>23</v>
      </c>
      <c r="N2726" t="s">
        <v>23</v>
      </c>
      <c r="O2726" t="s">
        <v>24</v>
      </c>
      <c r="P2726" s="8" t="s">
        <v>3304</v>
      </c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  <c r="AV2726" s="11"/>
      <c r="AW2726" s="11"/>
      <c r="AX2726" s="11"/>
      <c r="AY2726" s="11"/>
    </row>
    <row r="2727" spans="1:51" x14ac:dyDescent="0.2">
      <c r="A2727" s="6" t="s">
        <v>17</v>
      </c>
      <c r="B2727" t="s">
        <v>44</v>
      </c>
      <c r="C2727" t="s">
        <v>45</v>
      </c>
      <c r="D2727" t="s">
        <v>690</v>
      </c>
      <c r="E2727" s="2">
        <v>45.82</v>
      </c>
      <c r="F2727" s="3">
        <f t="shared" ref="F2727:G2729" si="229">DATE(2024,11,22)</f>
        <v>45618</v>
      </c>
      <c r="G2727" s="3">
        <f t="shared" si="229"/>
        <v>45618</v>
      </c>
      <c r="H2727">
        <v>1453619691</v>
      </c>
      <c r="I2727" t="s">
        <v>51</v>
      </c>
      <c r="K2727" t="s">
        <v>21</v>
      </c>
      <c r="L2727" t="s">
        <v>22</v>
      </c>
      <c r="M2727" t="s">
        <v>23</v>
      </c>
      <c r="N2727" t="s">
        <v>23</v>
      </c>
      <c r="O2727" t="s">
        <v>24</v>
      </c>
      <c r="P2727" s="8" t="s">
        <v>3305</v>
      </c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</row>
    <row r="2728" spans="1:51" hidden="1" x14ac:dyDescent="0.2">
      <c r="A2728" s="6"/>
      <c r="E2728" s="2"/>
      <c r="F2728" s="3"/>
      <c r="G2728" s="3"/>
      <c r="P2728" s="8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  <c r="AV2728" s="11"/>
      <c r="AW2728" s="11"/>
      <c r="AX2728" s="11"/>
      <c r="AY2728" s="11"/>
    </row>
    <row r="2729" spans="1:51" hidden="1" x14ac:dyDescent="0.2">
      <c r="A2729" s="6"/>
      <c r="E2729" s="2"/>
      <c r="F2729" s="3"/>
      <c r="G2729" s="3"/>
      <c r="P2729" s="8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  <c r="AV2729" s="11"/>
      <c r="AW2729" s="11"/>
      <c r="AX2729" s="11"/>
      <c r="AY2729" s="11"/>
    </row>
    <row r="2730" spans="1:51" x14ac:dyDescent="0.2">
      <c r="A2730" s="6" t="s">
        <v>17</v>
      </c>
      <c r="B2730" t="s">
        <v>57</v>
      </c>
      <c r="C2730" t="s">
        <v>58</v>
      </c>
      <c r="D2730" t="s">
        <v>3306</v>
      </c>
      <c r="E2730" s="2">
        <v>80.400000000000006</v>
      </c>
      <c r="F2730" s="3">
        <f t="shared" ref="F2730:G2740" si="230">DATE(2024,11,25)</f>
        <v>45621</v>
      </c>
      <c r="G2730" s="3">
        <f t="shared" si="230"/>
        <v>45621</v>
      </c>
      <c r="H2730">
        <v>1459334359</v>
      </c>
      <c r="I2730" t="s">
        <v>20</v>
      </c>
      <c r="K2730" t="s">
        <v>21</v>
      </c>
      <c r="L2730" t="s">
        <v>22</v>
      </c>
      <c r="M2730" t="s">
        <v>23</v>
      </c>
      <c r="N2730" t="s">
        <v>23</v>
      </c>
      <c r="O2730" t="s">
        <v>24</v>
      </c>
      <c r="P2730" s="8" t="s">
        <v>3307</v>
      </c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  <c r="AV2730" s="11"/>
      <c r="AW2730" s="11"/>
      <c r="AX2730" s="11"/>
      <c r="AY2730" s="11"/>
    </row>
    <row r="2731" spans="1:51" x14ac:dyDescent="0.2">
      <c r="A2731" s="6" t="s">
        <v>17</v>
      </c>
      <c r="B2731" t="s">
        <v>57</v>
      </c>
      <c r="C2731" t="s">
        <v>58</v>
      </c>
      <c r="D2731" t="s">
        <v>3308</v>
      </c>
      <c r="E2731" s="2">
        <v>64.98</v>
      </c>
      <c r="F2731" s="3">
        <f t="shared" si="230"/>
        <v>45621</v>
      </c>
      <c r="G2731" s="3">
        <f t="shared" si="230"/>
        <v>45621</v>
      </c>
      <c r="H2731">
        <v>1459334360</v>
      </c>
      <c r="I2731" t="s">
        <v>20</v>
      </c>
      <c r="K2731" t="s">
        <v>21</v>
      </c>
      <c r="L2731" t="s">
        <v>22</v>
      </c>
      <c r="M2731" t="s">
        <v>23</v>
      </c>
      <c r="N2731" t="s">
        <v>23</v>
      </c>
      <c r="O2731" t="s">
        <v>24</v>
      </c>
      <c r="P2731" s="8" t="s">
        <v>3309</v>
      </c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  <c r="AV2731" s="11"/>
      <c r="AW2731" s="11"/>
      <c r="AX2731" s="11"/>
      <c r="AY2731" s="11"/>
    </row>
    <row r="2732" spans="1:51" x14ac:dyDescent="0.2">
      <c r="A2732" s="6" t="s">
        <v>17</v>
      </c>
      <c r="B2732" t="s">
        <v>57</v>
      </c>
      <c r="C2732" t="s">
        <v>58</v>
      </c>
      <c r="D2732" t="s">
        <v>3310</v>
      </c>
      <c r="E2732" s="2">
        <v>51.99</v>
      </c>
      <c r="F2732" s="3">
        <f t="shared" si="230"/>
        <v>45621</v>
      </c>
      <c r="G2732" s="3">
        <f t="shared" si="230"/>
        <v>45621</v>
      </c>
      <c r="H2732">
        <v>1459334361</v>
      </c>
      <c r="I2732" t="s">
        <v>20</v>
      </c>
      <c r="K2732" t="s">
        <v>21</v>
      </c>
      <c r="L2732" t="s">
        <v>22</v>
      </c>
      <c r="M2732" t="s">
        <v>23</v>
      </c>
      <c r="N2732" t="s">
        <v>23</v>
      </c>
      <c r="O2732" t="s">
        <v>24</v>
      </c>
      <c r="P2732" s="8" t="s">
        <v>3311</v>
      </c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</row>
    <row r="2733" spans="1:51" hidden="1" x14ac:dyDescent="0.2">
      <c r="A2733" s="6"/>
      <c r="E2733" s="2"/>
      <c r="F2733" s="3"/>
      <c r="G2733" s="3"/>
      <c r="P2733" s="8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</row>
    <row r="2734" spans="1:51" x14ac:dyDescent="0.2">
      <c r="A2734" s="6" t="s">
        <v>17</v>
      </c>
      <c r="B2734" t="s">
        <v>18</v>
      </c>
      <c r="C2734" t="s">
        <v>18</v>
      </c>
      <c r="D2734" t="s">
        <v>3312</v>
      </c>
      <c r="E2734" s="2">
        <v>1.69</v>
      </c>
      <c r="F2734" s="3">
        <f t="shared" si="230"/>
        <v>45621</v>
      </c>
      <c r="G2734" s="3">
        <f t="shared" si="230"/>
        <v>45621</v>
      </c>
      <c r="H2734">
        <v>1459334363</v>
      </c>
      <c r="I2734" t="s">
        <v>20</v>
      </c>
      <c r="K2734" t="s">
        <v>21</v>
      </c>
      <c r="L2734" t="s">
        <v>22</v>
      </c>
      <c r="M2734" t="s">
        <v>23</v>
      </c>
      <c r="N2734" t="s">
        <v>23</v>
      </c>
      <c r="O2734" t="s">
        <v>24</v>
      </c>
      <c r="P2734" s="8" t="s">
        <v>3313</v>
      </c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  <c r="AV2734" s="11"/>
      <c r="AW2734" s="11"/>
      <c r="AX2734" s="11"/>
      <c r="AY2734" s="11"/>
    </row>
    <row r="2735" spans="1:51" x14ac:dyDescent="0.2">
      <c r="A2735" s="6" t="s">
        <v>17</v>
      </c>
      <c r="B2735" t="s">
        <v>223</v>
      </c>
      <c r="C2735" t="s">
        <v>223</v>
      </c>
      <c r="D2735" t="s">
        <v>3314</v>
      </c>
      <c r="E2735" s="2">
        <v>5075.58</v>
      </c>
      <c r="F2735" s="3">
        <f t="shared" si="230"/>
        <v>45621</v>
      </c>
      <c r="G2735" s="3">
        <f t="shared" si="230"/>
        <v>45621</v>
      </c>
      <c r="H2735">
        <v>1459334364</v>
      </c>
      <c r="I2735" t="s">
        <v>20</v>
      </c>
      <c r="K2735" t="s">
        <v>21</v>
      </c>
      <c r="L2735" t="s">
        <v>22</v>
      </c>
      <c r="M2735" t="s">
        <v>23</v>
      </c>
      <c r="N2735" t="s">
        <v>23</v>
      </c>
      <c r="O2735" t="s">
        <v>24</v>
      </c>
      <c r="P2735" s="8" t="s">
        <v>3315</v>
      </c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  <c r="AV2735" s="11"/>
      <c r="AW2735" s="11"/>
      <c r="AX2735" s="11"/>
      <c r="AY2735" s="11"/>
    </row>
    <row r="2736" spans="1:51" hidden="1" x14ac:dyDescent="0.2">
      <c r="A2736" s="6"/>
      <c r="E2736" s="2"/>
      <c r="F2736" s="3"/>
      <c r="G2736" s="3"/>
      <c r="P2736" s="8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  <c r="AV2736" s="11"/>
      <c r="AW2736" s="11"/>
      <c r="AX2736" s="11"/>
      <c r="AY2736" s="11"/>
    </row>
    <row r="2737" spans="1:51" x14ac:dyDescent="0.2">
      <c r="A2737" s="6" t="s">
        <v>17</v>
      </c>
      <c r="B2737" t="s">
        <v>261</v>
      </c>
      <c r="C2737" t="s">
        <v>262</v>
      </c>
      <c r="D2737" t="s">
        <v>3316</v>
      </c>
      <c r="E2737" s="2">
        <v>2929.62</v>
      </c>
      <c r="F2737" s="3">
        <f t="shared" si="230"/>
        <v>45621</v>
      </c>
      <c r="G2737" s="3">
        <f t="shared" si="230"/>
        <v>45621</v>
      </c>
      <c r="H2737">
        <v>1459334366</v>
      </c>
      <c r="I2737" t="s">
        <v>20</v>
      </c>
      <c r="K2737" t="s">
        <v>21</v>
      </c>
      <c r="L2737" t="s">
        <v>22</v>
      </c>
      <c r="M2737" t="s">
        <v>23</v>
      </c>
      <c r="N2737" t="s">
        <v>23</v>
      </c>
      <c r="O2737" t="s">
        <v>24</v>
      </c>
      <c r="P2737" s="8" t="s">
        <v>3317</v>
      </c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  <c r="AV2737" s="11"/>
      <c r="AW2737" s="11"/>
      <c r="AX2737" s="11"/>
      <c r="AY2737" s="11"/>
    </row>
    <row r="2738" spans="1:51" x14ac:dyDescent="0.2">
      <c r="A2738" s="6" t="s">
        <v>17</v>
      </c>
      <c r="B2738" t="s">
        <v>57</v>
      </c>
      <c r="C2738" t="s">
        <v>58</v>
      </c>
      <c r="D2738" t="s">
        <v>3318</v>
      </c>
      <c r="E2738" s="2">
        <v>96</v>
      </c>
      <c r="F2738" s="3">
        <f t="shared" si="230"/>
        <v>45621</v>
      </c>
      <c r="G2738" s="3">
        <f t="shared" si="230"/>
        <v>45621</v>
      </c>
      <c r="H2738">
        <v>1459334367</v>
      </c>
      <c r="I2738" t="s">
        <v>20</v>
      </c>
      <c r="K2738" t="s">
        <v>21</v>
      </c>
      <c r="L2738" t="s">
        <v>22</v>
      </c>
      <c r="M2738" t="s">
        <v>23</v>
      </c>
      <c r="N2738" t="s">
        <v>23</v>
      </c>
      <c r="O2738" t="s">
        <v>24</v>
      </c>
      <c r="P2738" s="8" t="s">
        <v>3319</v>
      </c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  <c r="AV2738" s="11"/>
      <c r="AW2738" s="11"/>
      <c r="AX2738" s="11"/>
      <c r="AY2738" s="11"/>
    </row>
    <row r="2739" spans="1:51" hidden="1" x14ac:dyDescent="0.2">
      <c r="A2739" s="6"/>
      <c r="E2739" s="2"/>
      <c r="F2739" s="3"/>
      <c r="G2739" s="3"/>
      <c r="P2739" s="8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</row>
    <row r="2740" spans="1:51" x14ac:dyDescent="0.2">
      <c r="A2740" s="6" t="s">
        <v>17</v>
      </c>
      <c r="B2740" t="s">
        <v>191</v>
      </c>
      <c r="C2740" t="s">
        <v>192</v>
      </c>
      <c r="D2740" t="s">
        <v>3320</v>
      </c>
      <c r="E2740" s="2">
        <v>9281.7800000000007</v>
      </c>
      <c r="F2740" s="3">
        <f t="shared" si="230"/>
        <v>45621</v>
      </c>
      <c r="G2740" s="3">
        <f t="shared" si="230"/>
        <v>45621</v>
      </c>
      <c r="H2740">
        <v>1459334369</v>
      </c>
      <c r="I2740" t="s">
        <v>20</v>
      </c>
      <c r="K2740" t="s">
        <v>21</v>
      </c>
      <c r="L2740" t="s">
        <v>22</v>
      </c>
      <c r="M2740" t="s">
        <v>23</v>
      </c>
      <c r="N2740" t="s">
        <v>23</v>
      </c>
      <c r="O2740" t="s">
        <v>24</v>
      </c>
      <c r="P2740" s="8" t="s">
        <v>3321</v>
      </c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  <c r="AV2740" s="11"/>
      <c r="AW2740" s="11"/>
      <c r="AX2740" s="11"/>
      <c r="AY2740" s="11"/>
    </row>
    <row r="2741" spans="1:51" x14ac:dyDescent="0.2">
      <c r="A2741" s="6" t="s">
        <v>17</v>
      </c>
      <c r="B2741" t="s">
        <v>34</v>
      </c>
      <c r="C2741" t="s">
        <v>35</v>
      </c>
      <c r="D2741" t="s">
        <v>3322</v>
      </c>
      <c r="E2741" s="2">
        <v>79.989999999999995</v>
      </c>
      <c r="F2741" s="3">
        <f>DATE(2024,11,22)</f>
        <v>45618</v>
      </c>
      <c r="G2741" s="3">
        <f>DATE(2024,11,22)</f>
        <v>45618</v>
      </c>
      <c r="H2741">
        <v>1459334978</v>
      </c>
      <c r="I2741" t="s">
        <v>51</v>
      </c>
      <c r="K2741" t="s">
        <v>21</v>
      </c>
      <c r="L2741" t="s">
        <v>22</v>
      </c>
      <c r="M2741" t="s">
        <v>23</v>
      </c>
      <c r="N2741" t="s">
        <v>23</v>
      </c>
      <c r="O2741" t="s">
        <v>24</v>
      </c>
      <c r="P2741" s="8" t="s">
        <v>3323</v>
      </c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  <c r="AV2741" s="11"/>
      <c r="AW2741" s="11"/>
      <c r="AX2741" s="11"/>
      <c r="AY2741" s="11"/>
    </row>
    <row r="2742" spans="1:51" x14ac:dyDescent="0.2">
      <c r="A2742" s="6" t="s">
        <v>17</v>
      </c>
      <c r="B2742" t="s">
        <v>367</v>
      </c>
      <c r="C2742" t="s">
        <v>368</v>
      </c>
      <c r="D2742" t="s">
        <v>1694</v>
      </c>
      <c r="E2742" s="2">
        <v>1.55</v>
      </c>
      <c r="F2742" s="3">
        <f t="shared" ref="F2742:G2745" si="231">DATE(2024,11,25)</f>
        <v>45621</v>
      </c>
      <c r="G2742" s="3">
        <f t="shared" si="231"/>
        <v>45621</v>
      </c>
      <c r="H2742">
        <v>1459438879</v>
      </c>
      <c r="I2742" t="s">
        <v>73</v>
      </c>
      <c r="K2742" t="s">
        <v>21</v>
      </c>
      <c r="L2742" t="s">
        <v>22</v>
      </c>
      <c r="M2742" t="s">
        <v>23</v>
      </c>
      <c r="N2742" t="s">
        <v>23</v>
      </c>
      <c r="O2742" t="s">
        <v>24</v>
      </c>
      <c r="P2742" s="8" t="s">
        <v>3324</v>
      </c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  <c r="AV2742" s="11"/>
      <c r="AW2742" s="11"/>
      <c r="AX2742" s="11"/>
      <c r="AY2742" s="11"/>
    </row>
    <row r="2743" spans="1:51" hidden="1" x14ac:dyDescent="0.2">
      <c r="A2743" s="6"/>
      <c r="E2743" s="2"/>
      <c r="F2743" s="3"/>
      <c r="G2743" s="3"/>
      <c r="P2743" s="8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  <c r="AV2743" s="11"/>
      <c r="AW2743" s="11"/>
      <c r="AX2743" s="11"/>
      <c r="AY2743" s="11"/>
    </row>
    <row r="2744" spans="1:51" hidden="1" x14ac:dyDescent="0.2">
      <c r="A2744" s="6"/>
      <c r="E2744" s="2"/>
      <c r="F2744" s="3"/>
      <c r="G2744" s="3"/>
      <c r="P2744" s="8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  <c r="AV2744" s="11"/>
      <c r="AW2744" s="11"/>
      <c r="AX2744" s="11"/>
      <c r="AY2744" s="11"/>
    </row>
    <row r="2745" spans="1:51" hidden="1" x14ac:dyDescent="0.2">
      <c r="A2745" s="6"/>
      <c r="E2745" s="2"/>
      <c r="F2745" s="3"/>
      <c r="G2745" s="3"/>
      <c r="P2745" s="8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</row>
    <row r="2746" spans="1:51" x14ac:dyDescent="0.2">
      <c r="A2746" s="6" t="s">
        <v>17</v>
      </c>
      <c r="B2746" t="s">
        <v>191</v>
      </c>
      <c r="C2746" t="s">
        <v>192</v>
      </c>
      <c r="D2746" t="s">
        <v>3325</v>
      </c>
      <c r="E2746" s="2">
        <v>267</v>
      </c>
      <c r="F2746" s="3">
        <f>DATE(2024,11,27)</f>
        <v>45623</v>
      </c>
      <c r="G2746" s="3">
        <f>DATE(2024,11,27)</f>
        <v>45623</v>
      </c>
      <c r="H2746">
        <v>1465284426</v>
      </c>
      <c r="I2746" t="s">
        <v>20</v>
      </c>
      <c r="K2746" t="s">
        <v>21</v>
      </c>
      <c r="L2746" t="s">
        <v>22</v>
      </c>
      <c r="M2746" t="s">
        <v>23</v>
      </c>
      <c r="N2746" t="s">
        <v>23</v>
      </c>
      <c r="O2746" t="s">
        <v>24</v>
      </c>
      <c r="P2746" s="8" t="s">
        <v>3326</v>
      </c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  <c r="AV2746" s="11"/>
      <c r="AW2746" s="11"/>
      <c r="AX2746" s="11"/>
      <c r="AY2746" s="11"/>
    </row>
    <row r="2747" spans="1:51" hidden="1" x14ac:dyDescent="0.2">
      <c r="A2747" s="6"/>
      <c r="E2747" s="2"/>
      <c r="F2747" s="3"/>
      <c r="G2747" s="3"/>
      <c r="P2747" s="8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</row>
    <row r="2748" spans="1:51" hidden="1" x14ac:dyDescent="0.2">
      <c r="A2748" s="6"/>
      <c r="E2748" s="2"/>
      <c r="F2748" s="3"/>
      <c r="G2748" s="3"/>
      <c r="P2748" s="8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  <c r="AV2748" s="11"/>
      <c r="AW2748" s="11"/>
      <c r="AX2748" s="11"/>
      <c r="AY2748" s="11"/>
    </row>
    <row r="2749" spans="1:51" x14ac:dyDescent="0.2">
      <c r="A2749" s="6" t="s">
        <v>17</v>
      </c>
      <c r="B2749" t="s">
        <v>137</v>
      </c>
      <c r="C2749" t="s">
        <v>138</v>
      </c>
      <c r="D2749" t="s">
        <v>3327</v>
      </c>
      <c r="E2749" s="2">
        <v>399.5</v>
      </c>
      <c r="F2749" s="3">
        <f>DATE(2024,11,28)</f>
        <v>45624</v>
      </c>
      <c r="G2749" s="3">
        <f>DATE(2024,11,28)</f>
        <v>45624</v>
      </c>
      <c r="H2749">
        <v>1470882047</v>
      </c>
      <c r="I2749" t="s">
        <v>20</v>
      </c>
      <c r="K2749" t="s">
        <v>21</v>
      </c>
      <c r="L2749" t="s">
        <v>22</v>
      </c>
      <c r="M2749" t="s">
        <v>23</v>
      </c>
      <c r="N2749" t="s">
        <v>23</v>
      </c>
      <c r="O2749" t="s">
        <v>24</v>
      </c>
      <c r="P2749" s="8" t="s">
        <v>3328</v>
      </c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  <c r="AV2749" s="11"/>
      <c r="AW2749" s="11"/>
      <c r="AX2749" s="11"/>
      <c r="AY2749" s="11"/>
    </row>
    <row r="2750" spans="1:51" x14ac:dyDescent="0.2">
      <c r="A2750" s="6" t="s">
        <v>17</v>
      </c>
      <c r="B2750" t="s">
        <v>18</v>
      </c>
      <c r="C2750" t="s">
        <v>18</v>
      </c>
      <c r="D2750" t="s">
        <v>3329</v>
      </c>
      <c r="E2750" s="2">
        <v>2.5</v>
      </c>
      <c r="F2750" s="3">
        <f t="shared" ref="F2750:G2752" si="232">DATE(2024,11,27)</f>
        <v>45623</v>
      </c>
      <c r="G2750" s="3">
        <f t="shared" si="232"/>
        <v>45623</v>
      </c>
      <c r="H2750">
        <v>1470882048</v>
      </c>
      <c r="I2750" t="s">
        <v>20</v>
      </c>
      <c r="K2750" t="s">
        <v>21</v>
      </c>
      <c r="L2750" t="s">
        <v>22</v>
      </c>
      <c r="M2750" t="s">
        <v>23</v>
      </c>
      <c r="N2750" t="s">
        <v>23</v>
      </c>
      <c r="O2750" t="s">
        <v>24</v>
      </c>
      <c r="P2750" s="8" t="s">
        <v>3330</v>
      </c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  <c r="AV2750" s="11"/>
      <c r="AW2750" s="11"/>
      <c r="AX2750" s="11"/>
      <c r="AY2750" s="11"/>
    </row>
    <row r="2751" spans="1:51" hidden="1" x14ac:dyDescent="0.2">
      <c r="A2751" s="6"/>
      <c r="E2751" s="2"/>
      <c r="F2751" s="3"/>
      <c r="G2751" s="3"/>
      <c r="P2751" s="8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</row>
    <row r="2752" spans="1:51" hidden="1" x14ac:dyDescent="0.2">
      <c r="A2752" s="6"/>
      <c r="E2752" s="2"/>
      <c r="F2752" s="3"/>
      <c r="G2752" s="3"/>
      <c r="P2752" s="8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  <c r="AV2752" s="11"/>
      <c r="AW2752" s="11"/>
      <c r="AX2752" s="11"/>
      <c r="AY2752" s="11"/>
    </row>
    <row r="2753" spans="1:51" x14ac:dyDescent="0.2">
      <c r="A2753" s="6" t="s">
        <v>17</v>
      </c>
      <c r="B2753" t="s">
        <v>232</v>
      </c>
      <c r="C2753" t="s">
        <v>233</v>
      </c>
      <c r="D2753" t="s">
        <v>3331</v>
      </c>
      <c r="E2753" s="2">
        <v>5417</v>
      </c>
      <c r="F2753" s="3">
        <f>DATE(2024,11,28)</f>
        <v>45624</v>
      </c>
      <c r="G2753" s="3">
        <f>DATE(2024,11,28)</f>
        <v>45624</v>
      </c>
      <c r="H2753">
        <v>1476352860</v>
      </c>
      <c r="I2753" t="s">
        <v>20</v>
      </c>
      <c r="K2753" t="s">
        <v>21</v>
      </c>
      <c r="L2753" t="s">
        <v>22</v>
      </c>
      <c r="M2753" t="s">
        <v>23</v>
      </c>
      <c r="N2753" t="s">
        <v>23</v>
      </c>
      <c r="O2753" t="s">
        <v>24</v>
      </c>
      <c r="P2753" s="8" t="s">
        <v>3332</v>
      </c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</row>
    <row r="2754" spans="1:51" x14ac:dyDescent="0.2">
      <c r="A2754" s="6" t="s">
        <v>17</v>
      </c>
      <c r="B2754" t="s">
        <v>175</v>
      </c>
      <c r="C2754" t="s">
        <v>176</v>
      </c>
      <c r="D2754" t="s">
        <v>3333</v>
      </c>
      <c r="E2754" s="2">
        <v>1500</v>
      </c>
      <c r="F2754" s="3">
        <f>DATE(2024,11,28)</f>
        <v>45624</v>
      </c>
      <c r="G2754" s="3">
        <f>DATE(2024,11,28)</f>
        <v>45624</v>
      </c>
      <c r="H2754">
        <v>1476352861</v>
      </c>
      <c r="I2754" t="s">
        <v>20</v>
      </c>
      <c r="K2754" t="s">
        <v>21</v>
      </c>
      <c r="L2754" t="s">
        <v>22</v>
      </c>
      <c r="M2754" t="s">
        <v>23</v>
      </c>
      <c r="N2754" t="s">
        <v>24</v>
      </c>
      <c r="O2754" t="s">
        <v>24</v>
      </c>
      <c r="P2754" s="8" t="s">
        <v>3334</v>
      </c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  <c r="AV2754" s="11"/>
      <c r="AW2754" s="11"/>
      <c r="AX2754" s="11"/>
      <c r="AY2754" s="11"/>
    </row>
    <row r="2755" spans="1:51" x14ac:dyDescent="0.2">
      <c r="A2755" s="6" t="s">
        <v>17</v>
      </c>
      <c r="B2755" t="s">
        <v>44</v>
      </c>
      <c r="C2755" t="s">
        <v>45</v>
      </c>
      <c r="D2755" t="s">
        <v>3335</v>
      </c>
      <c r="E2755" s="2">
        <v>112.97</v>
      </c>
      <c r="F2755" s="3">
        <f>DATE(2024,11,29)</f>
        <v>45625</v>
      </c>
      <c r="G2755" s="3">
        <f>DATE(2024,11,29)</f>
        <v>45625</v>
      </c>
      <c r="H2755">
        <v>1476352862</v>
      </c>
      <c r="I2755" t="s">
        <v>20</v>
      </c>
      <c r="K2755" t="s">
        <v>21</v>
      </c>
      <c r="L2755" t="s">
        <v>22</v>
      </c>
      <c r="M2755" t="s">
        <v>23</v>
      </c>
      <c r="N2755" t="s">
        <v>23</v>
      </c>
      <c r="O2755" t="s">
        <v>24</v>
      </c>
      <c r="P2755" s="8" t="s">
        <v>3336</v>
      </c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  <c r="AV2755" s="11"/>
      <c r="AW2755" s="11"/>
      <c r="AX2755" s="11"/>
      <c r="AY2755" s="11"/>
    </row>
    <row r="2756" spans="1:51" x14ac:dyDescent="0.2">
      <c r="A2756" s="6" t="s">
        <v>17</v>
      </c>
      <c r="B2756" t="s">
        <v>363</v>
      </c>
      <c r="C2756" t="s">
        <v>364</v>
      </c>
      <c r="D2756" t="s">
        <v>3337</v>
      </c>
      <c r="E2756" s="2">
        <v>300</v>
      </c>
      <c r="F2756" s="3">
        <f t="shared" ref="F2756:G2759" si="233">DATE(2024,11,28)</f>
        <v>45624</v>
      </c>
      <c r="G2756" s="3">
        <f t="shared" si="233"/>
        <v>45624</v>
      </c>
      <c r="H2756">
        <v>1476352863</v>
      </c>
      <c r="I2756" t="s">
        <v>20</v>
      </c>
      <c r="K2756" t="s">
        <v>21</v>
      </c>
      <c r="L2756" t="s">
        <v>22</v>
      </c>
      <c r="M2756" t="s">
        <v>23</v>
      </c>
      <c r="N2756" t="s">
        <v>23</v>
      </c>
      <c r="O2756" t="s">
        <v>24</v>
      </c>
      <c r="P2756" s="8" t="s">
        <v>3338</v>
      </c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  <c r="AV2756" s="11"/>
      <c r="AW2756" s="11"/>
      <c r="AX2756" s="11"/>
      <c r="AY2756" s="11"/>
    </row>
    <row r="2757" spans="1:51" hidden="1" x14ac:dyDescent="0.2">
      <c r="A2757" s="6"/>
      <c r="E2757" s="2"/>
      <c r="F2757" s="3"/>
      <c r="G2757" s="3"/>
      <c r="P2757" s="8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</row>
    <row r="2758" spans="1:51" hidden="1" x14ac:dyDescent="0.2">
      <c r="A2758" s="6"/>
      <c r="E2758" s="2"/>
      <c r="F2758" s="3"/>
      <c r="G2758" s="3"/>
      <c r="P2758" s="8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  <c r="AV2758" s="11"/>
      <c r="AW2758" s="11"/>
      <c r="AX2758" s="11"/>
      <c r="AY2758" s="11"/>
    </row>
    <row r="2759" spans="1:51" x14ac:dyDescent="0.2">
      <c r="A2759" s="6" t="s">
        <v>17</v>
      </c>
      <c r="B2759" t="s">
        <v>18</v>
      </c>
      <c r="C2759" t="s">
        <v>18</v>
      </c>
      <c r="D2759" t="s">
        <v>3339</v>
      </c>
      <c r="E2759" s="2">
        <v>2.46</v>
      </c>
      <c r="F2759" s="3">
        <f t="shared" si="233"/>
        <v>45624</v>
      </c>
      <c r="G2759" s="3">
        <f t="shared" si="233"/>
        <v>45624</v>
      </c>
      <c r="H2759">
        <v>1476352866</v>
      </c>
      <c r="I2759" t="s">
        <v>20</v>
      </c>
      <c r="K2759" t="s">
        <v>21</v>
      </c>
      <c r="L2759" t="s">
        <v>22</v>
      </c>
      <c r="M2759" t="s">
        <v>23</v>
      </c>
      <c r="N2759" t="s">
        <v>23</v>
      </c>
      <c r="O2759" t="s">
        <v>24</v>
      </c>
      <c r="P2759" s="8" t="s">
        <v>3340</v>
      </c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</row>
    <row r="2760" spans="1:51" x14ac:dyDescent="0.2">
      <c r="A2760" s="6" t="s">
        <v>17</v>
      </c>
      <c r="B2760" t="s">
        <v>144</v>
      </c>
      <c r="C2760" t="s">
        <v>145</v>
      </c>
      <c r="D2760" t="s">
        <v>3341</v>
      </c>
      <c r="E2760" s="2">
        <v>150.4</v>
      </c>
      <c r="F2760" s="3">
        <f>DATE(2024,11,26)</f>
        <v>45622</v>
      </c>
      <c r="G2760" s="3">
        <f>DATE(2024,11,26)</f>
        <v>45622</v>
      </c>
      <c r="H2760">
        <v>1476352867</v>
      </c>
      <c r="I2760" t="s">
        <v>51</v>
      </c>
      <c r="K2760" t="s">
        <v>21</v>
      </c>
      <c r="L2760" t="s">
        <v>22</v>
      </c>
      <c r="M2760" t="s">
        <v>23</v>
      </c>
      <c r="N2760" t="s">
        <v>23</v>
      </c>
      <c r="O2760" t="s">
        <v>24</v>
      </c>
      <c r="P2760" s="8" t="s">
        <v>3342</v>
      </c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  <c r="AV2760" s="11"/>
      <c r="AW2760" s="11"/>
      <c r="AX2760" s="11"/>
      <c r="AY2760" s="11"/>
    </row>
    <row r="2761" spans="1:51" hidden="1" x14ac:dyDescent="0.2">
      <c r="A2761" s="6"/>
      <c r="E2761" s="2"/>
      <c r="F2761" s="3"/>
      <c r="G2761" s="3"/>
      <c r="P2761" s="8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  <c r="AV2761" s="11"/>
      <c r="AW2761" s="11"/>
      <c r="AX2761" s="11"/>
      <c r="AY2761" s="11"/>
    </row>
    <row r="2762" spans="1:51" hidden="1" x14ac:dyDescent="0.2">
      <c r="A2762" s="6"/>
      <c r="E2762" s="2"/>
      <c r="F2762" s="3"/>
      <c r="G2762" s="3"/>
      <c r="P2762" s="8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</row>
    <row r="2763" spans="1:51" hidden="1" x14ac:dyDescent="0.2">
      <c r="A2763" s="6"/>
      <c r="E2763" s="2"/>
      <c r="F2763" s="3"/>
      <c r="G2763" s="3"/>
      <c r="P2763" s="8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</row>
    <row r="2764" spans="1:51" hidden="1" x14ac:dyDescent="0.2">
      <c r="A2764" s="6"/>
      <c r="E2764" s="2"/>
      <c r="F2764" s="3"/>
      <c r="G2764" s="3"/>
      <c r="P2764" s="8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  <c r="AV2764" s="11"/>
      <c r="AW2764" s="11"/>
      <c r="AX2764" s="11"/>
      <c r="AY2764" s="11"/>
    </row>
    <row r="2765" spans="1:51" hidden="1" x14ac:dyDescent="0.2">
      <c r="A2765" s="6"/>
      <c r="E2765" s="2"/>
      <c r="F2765" s="3"/>
      <c r="G2765" s="3"/>
      <c r="P2765" s="8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  <c r="AV2765" s="11"/>
      <c r="AW2765" s="11"/>
      <c r="AX2765" s="11"/>
      <c r="AY2765" s="11"/>
    </row>
    <row r="2766" spans="1:51" x14ac:dyDescent="0.2">
      <c r="A2766" s="6" t="s">
        <v>17</v>
      </c>
      <c r="B2766" t="s">
        <v>30</v>
      </c>
      <c r="C2766" t="s">
        <v>31</v>
      </c>
      <c r="D2766" t="s">
        <v>3343</v>
      </c>
      <c r="E2766" s="2">
        <v>1313.46</v>
      </c>
      <c r="F2766" s="3">
        <f>DATE(2024,11,30)</f>
        <v>45626</v>
      </c>
      <c r="G2766" s="3">
        <f>DATE(2024,11,30)</f>
        <v>45626</v>
      </c>
      <c r="H2766">
        <v>1479788313</v>
      </c>
      <c r="I2766" t="s">
        <v>20</v>
      </c>
      <c r="K2766" t="s">
        <v>21</v>
      </c>
      <c r="L2766" t="s">
        <v>22</v>
      </c>
      <c r="M2766" t="s">
        <v>23</v>
      </c>
      <c r="N2766" t="s">
        <v>23</v>
      </c>
      <c r="O2766" t="s">
        <v>24</v>
      </c>
      <c r="P2766" s="8" t="s">
        <v>3344</v>
      </c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  <c r="AV2766" s="11"/>
      <c r="AW2766" s="11"/>
      <c r="AX2766" s="11"/>
      <c r="AY2766" s="11"/>
    </row>
    <row r="2767" spans="1:51" x14ac:dyDescent="0.2">
      <c r="A2767" s="6" t="s">
        <v>17</v>
      </c>
      <c r="B2767" t="s">
        <v>18</v>
      </c>
      <c r="C2767" t="s">
        <v>18</v>
      </c>
      <c r="D2767" t="s">
        <v>3345</v>
      </c>
      <c r="E2767" s="2">
        <v>5.21</v>
      </c>
      <c r="F2767" s="3">
        <f t="shared" ref="F2767:G2769" si="234">DATE(2024,11,29)</f>
        <v>45625</v>
      </c>
      <c r="G2767" s="3">
        <f t="shared" si="234"/>
        <v>45625</v>
      </c>
      <c r="H2767">
        <v>1479788314</v>
      </c>
      <c r="I2767" t="s">
        <v>20</v>
      </c>
      <c r="K2767" t="s">
        <v>21</v>
      </c>
      <c r="L2767" t="s">
        <v>22</v>
      </c>
      <c r="M2767" t="s">
        <v>23</v>
      </c>
      <c r="N2767" t="s">
        <v>23</v>
      </c>
      <c r="O2767" t="s">
        <v>24</v>
      </c>
      <c r="P2767" s="8" t="s">
        <v>3346</v>
      </c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  <c r="AV2767" s="11"/>
      <c r="AW2767" s="11"/>
      <c r="AX2767" s="11"/>
      <c r="AY2767" s="11"/>
    </row>
    <row r="2768" spans="1:51" hidden="1" x14ac:dyDescent="0.2">
      <c r="A2768" s="6"/>
      <c r="E2768" s="2"/>
      <c r="F2768" s="3"/>
      <c r="G2768" s="3"/>
      <c r="P2768" s="8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  <c r="AV2768" s="11"/>
      <c r="AW2768" s="11"/>
      <c r="AX2768" s="11"/>
      <c r="AY2768" s="11"/>
    </row>
    <row r="2769" spans="1:51" hidden="1" x14ac:dyDescent="0.2">
      <c r="A2769" s="6"/>
      <c r="E2769" s="2"/>
      <c r="F2769" s="3"/>
      <c r="G2769" s="3"/>
      <c r="P2769" s="8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</row>
    <row r="2770" spans="1:51" x14ac:dyDescent="0.2">
      <c r="A2770" s="6" t="s">
        <v>17</v>
      </c>
      <c r="B2770" t="s">
        <v>611</v>
      </c>
      <c r="C2770" t="s">
        <v>612</v>
      </c>
      <c r="D2770" t="s">
        <v>3347</v>
      </c>
      <c r="E2770" s="2">
        <v>474.12</v>
      </c>
      <c r="F2770" s="3">
        <f t="shared" ref="F2770:G2774" si="235">DATE(2024,12,2)</f>
        <v>45628</v>
      </c>
      <c r="G2770" s="3">
        <f t="shared" si="235"/>
        <v>45628</v>
      </c>
      <c r="H2770">
        <v>1488442975</v>
      </c>
      <c r="I2770" t="s">
        <v>20</v>
      </c>
      <c r="K2770" t="s">
        <v>21</v>
      </c>
      <c r="L2770" t="s">
        <v>22</v>
      </c>
      <c r="M2770" t="s">
        <v>23</v>
      </c>
      <c r="N2770" t="s">
        <v>23</v>
      </c>
      <c r="O2770" t="s">
        <v>24</v>
      </c>
      <c r="P2770" s="8" t="s">
        <v>3348</v>
      </c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  <c r="AV2770" s="11"/>
      <c r="AW2770" s="11"/>
      <c r="AX2770" s="11"/>
      <c r="AY2770" s="11"/>
    </row>
    <row r="2771" spans="1:51" x14ac:dyDescent="0.2">
      <c r="A2771" s="6" t="s">
        <v>17</v>
      </c>
      <c r="B2771" t="s">
        <v>38</v>
      </c>
      <c r="C2771" t="s">
        <v>39</v>
      </c>
      <c r="D2771" t="s">
        <v>3349</v>
      </c>
      <c r="E2771" s="2">
        <v>12160.31</v>
      </c>
      <c r="F2771" s="3">
        <f t="shared" si="235"/>
        <v>45628</v>
      </c>
      <c r="G2771" s="3">
        <f t="shared" si="235"/>
        <v>45628</v>
      </c>
      <c r="H2771">
        <v>1488442976</v>
      </c>
      <c r="I2771" t="s">
        <v>20</v>
      </c>
      <c r="K2771" t="s">
        <v>21</v>
      </c>
      <c r="L2771" t="s">
        <v>22</v>
      </c>
      <c r="M2771" t="s">
        <v>23</v>
      </c>
      <c r="N2771" t="s">
        <v>23</v>
      </c>
      <c r="O2771" t="s">
        <v>24</v>
      </c>
      <c r="P2771" s="8" t="s">
        <v>3350</v>
      </c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  <c r="AV2771" s="11"/>
      <c r="AW2771" s="11"/>
      <c r="AX2771" s="11"/>
      <c r="AY2771" s="11"/>
    </row>
    <row r="2772" spans="1:51" x14ac:dyDescent="0.2">
      <c r="A2772" s="6" t="s">
        <v>17</v>
      </c>
      <c r="B2772" t="s">
        <v>18</v>
      </c>
      <c r="C2772" t="s">
        <v>18</v>
      </c>
      <c r="D2772" t="s">
        <v>3351</v>
      </c>
      <c r="E2772" s="2">
        <v>1.66</v>
      </c>
      <c r="F2772" s="3">
        <f t="shared" si="235"/>
        <v>45628</v>
      </c>
      <c r="G2772" s="3">
        <f t="shared" si="235"/>
        <v>45628</v>
      </c>
      <c r="H2772">
        <v>1488442977</v>
      </c>
      <c r="I2772" t="s">
        <v>20</v>
      </c>
      <c r="K2772" t="s">
        <v>21</v>
      </c>
      <c r="L2772" t="s">
        <v>22</v>
      </c>
      <c r="M2772" t="s">
        <v>23</v>
      </c>
      <c r="N2772" t="s">
        <v>23</v>
      </c>
      <c r="O2772" t="s">
        <v>24</v>
      </c>
      <c r="P2772" s="8" t="s">
        <v>3352</v>
      </c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  <c r="AV2772" s="11"/>
      <c r="AW2772" s="11"/>
      <c r="AX2772" s="11"/>
      <c r="AY2772" s="11"/>
    </row>
    <row r="2773" spans="1:51" x14ac:dyDescent="0.2">
      <c r="A2773" s="6" t="s">
        <v>17</v>
      </c>
      <c r="B2773" t="s">
        <v>34</v>
      </c>
      <c r="C2773" t="s">
        <v>35</v>
      </c>
      <c r="D2773" t="s">
        <v>3353</v>
      </c>
      <c r="E2773" s="2">
        <v>102.16</v>
      </c>
      <c r="F2773" s="3">
        <f t="shared" si="235"/>
        <v>45628</v>
      </c>
      <c r="G2773" s="3">
        <f t="shared" si="235"/>
        <v>45628</v>
      </c>
      <c r="H2773">
        <v>1488442978</v>
      </c>
      <c r="I2773" t="s">
        <v>20</v>
      </c>
      <c r="K2773" t="s">
        <v>21</v>
      </c>
      <c r="L2773" t="s">
        <v>22</v>
      </c>
      <c r="M2773" t="s">
        <v>23</v>
      </c>
      <c r="N2773" t="s">
        <v>23</v>
      </c>
      <c r="O2773" t="s">
        <v>24</v>
      </c>
      <c r="P2773" s="8" t="s">
        <v>3354</v>
      </c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  <c r="AV2773" s="11"/>
      <c r="AW2773" s="11"/>
      <c r="AX2773" s="11"/>
      <c r="AY2773" s="11"/>
    </row>
    <row r="2774" spans="1:51" hidden="1" x14ac:dyDescent="0.2">
      <c r="A2774" s="6"/>
      <c r="E2774" s="2"/>
      <c r="F2774" s="3"/>
      <c r="G2774" s="3"/>
      <c r="P2774" s="8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  <c r="AV2774" s="11"/>
      <c r="AW2774" s="11"/>
      <c r="AX2774" s="11"/>
      <c r="AY2774" s="11"/>
    </row>
    <row r="2775" spans="1:51" x14ac:dyDescent="0.2">
      <c r="A2775" s="6" t="s">
        <v>17</v>
      </c>
      <c r="B2775" t="s">
        <v>18</v>
      </c>
      <c r="C2775" t="s">
        <v>18</v>
      </c>
      <c r="D2775" t="s">
        <v>3355</v>
      </c>
      <c r="E2775" s="2">
        <v>12.92</v>
      </c>
      <c r="F2775" s="3">
        <f>DATE(2024,12,3)</f>
        <v>45629</v>
      </c>
      <c r="G2775" s="3">
        <f>DATE(2024,12,3)</f>
        <v>45629</v>
      </c>
      <c r="H2775">
        <v>1488442980</v>
      </c>
      <c r="I2775" t="s">
        <v>20</v>
      </c>
      <c r="K2775" t="s">
        <v>21</v>
      </c>
      <c r="L2775" t="s">
        <v>22</v>
      </c>
      <c r="M2775" t="s">
        <v>23</v>
      </c>
      <c r="N2775" t="s">
        <v>23</v>
      </c>
      <c r="O2775" t="s">
        <v>24</v>
      </c>
      <c r="P2775" s="8" t="s">
        <v>3356</v>
      </c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</row>
    <row r="2776" spans="1:51" hidden="1" x14ac:dyDescent="0.2">
      <c r="A2776" s="6"/>
      <c r="E2776" s="2"/>
      <c r="F2776" s="3"/>
      <c r="G2776" s="3"/>
      <c r="P2776" s="8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  <c r="AV2776" s="11"/>
      <c r="AW2776" s="11"/>
      <c r="AX2776" s="11"/>
      <c r="AY2776" s="11"/>
    </row>
    <row r="2777" spans="1:51" hidden="1" x14ac:dyDescent="0.2">
      <c r="A2777" s="6"/>
      <c r="E2777" s="2"/>
      <c r="F2777" s="3"/>
      <c r="G2777" s="3"/>
      <c r="P2777" s="8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  <c r="AV2777" s="11"/>
      <c r="AW2777" s="11"/>
      <c r="AX2777" s="11"/>
      <c r="AY2777" s="11"/>
    </row>
    <row r="2778" spans="1:51" x14ac:dyDescent="0.2">
      <c r="A2778" s="6" t="s">
        <v>17</v>
      </c>
      <c r="B2778" t="s">
        <v>30</v>
      </c>
      <c r="C2778" t="s">
        <v>31</v>
      </c>
      <c r="D2778" t="s">
        <v>3357</v>
      </c>
      <c r="E2778" s="2">
        <v>3829.92</v>
      </c>
      <c r="F2778" s="3">
        <f>DATE(2024,12,3)</f>
        <v>45629</v>
      </c>
      <c r="G2778" s="3">
        <f>DATE(2024,12,3)</f>
        <v>45629</v>
      </c>
      <c r="H2778">
        <v>1488442983</v>
      </c>
      <c r="I2778" t="s">
        <v>20</v>
      </c>
      <c r="K2778" t="s">
        <v>21</v>
      </c>
      <c r="L2778" t="s">
        <v>22</v>
      </c>
      <c r="M2778" t="s">
        <v>23</v>
      </c>
      <c r="N2778" t="s">
        <v>23</v>
      </c>
      <c r="O2778" t="s">
        <v>24</v>
      </c>
      <c r="P2778" s="8" t="s">
        <v>3358</v>
      </c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  <c r="AV2778" s="11"/>
      <c r="AW2778" s="11"/>
      <c r="AX2778" s="11"/>
      <c r="AY2778" s="11"/>
    </row>
    <row r="2779" spans="1:51" x14ac:dyDescent="0.2">
      <c r="A2779" s="6" t="s">
        <v>17</v>
      </c>
      <c r="B2779" t="s">
        <v>44</v>
      </c>
      <c r="C2779" t="s">
        <v>45</v>
      </c>
      <c r="D2779" t="s">
        <v>3359</v>
      </c>
      <c r="E2779" s="2">
        <v>20.9</v>
      </c>
      <c r="F2779" s="3">
        <f t="shared" ref="F2779:G2781" si="236">DATE(2024,12,2)</f>
        <v>45628</v>
      </c>
      <c r="G2779" s="3">
        <f t="shared" si="236"/>
        <v>45628</v>
      </c>
      <c r="H2779">
        <v>1488442984</v>
      </c>
      <c r="I2779" t="s">
        <v>20</v>
      </c>
      <c r="K2779" t="s">
        <v>21</v>
      </c>
      <c r="L2779" t="s">
        <v>22</v>
      </c>
      <c r="M2779" t="s">
        <v>23</v>
      </c>
      <c r="N2779" t="s">
        <v>23</v>
      </c>
      <c r="O2779" t="s">
        <v>24</v>
      </c>
      <c r="P2779" s="8" t="s">
        <v>3360</v>
      </c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  <c r="AV2779" s="11"/>
      <c r="AW2779" s="11"/>
      <c r="AX2779" s="11"/>
      <c r="AY2779" s="11"/>
    </row>
    <row r="2780" spans="1:51" x14ac:dyDescent="0.2">
      <c r="A2780" s="6" t="s">
        <v>17</v>
      </c>
      <c r="B2780" t="s">
        <v>18</v>
      </c>
      <c r="C2780" t="s">
        <v>18</v>
      </c>
      <c r="D2780" t="s">
        <v>3361</v>
      </c>
      <c r="E2780" s="2">
        <v>2.11</v>
      </c>
      <c r="F2780" s="3">
        <f t="shared" si="236"/>
        <v>45628</v>
      </c>
      <c r="G2780" s="3">
        <f t="shared" si="236"/>
        <v>45628</v>
      </c>
      <c r="H2780">
        <v>1488442985</v>
      </c>
      <c r="I2780" t="s">
        <v>20</v>
      </c>
      <c r="K2780" t="s">
        <v>21</v>
      </c>
      <c r="L2780" t="s">
        <v>22</v>
      </c>
      <c r="M2780" t="s">
        <v>23</v>
      </c>
      <c r="N2780" t="s">
        <v>23</v>
      </c>
      <c r="O2780" t="s">
        <v>24</v>
      </c>
      <c r="P2780" s="8" t="s">
        <v>3362</v>
      </c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  <c r="AV2780" s="11"/>
      <c r="AW2780" s="11"/>
      <c r="AX2780" s="11"/>
      <c r="AY2780" s="11"/>
    </row>
    <row r="2781" spans="1:51" hidden="1" x14ac:dyDescent="0.2">
      <c r="A2781" s="6"/>
      <c r="E2781" s="2"/>
      <c r="F2781" s="3"/>
      <c r="G2781" s="3"/>
      <c r="P2781" s="8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</row>
    <row r="2782" spans="1:51" x14ac:dyDescent="0.2">
      <c r="A2782" s="6" t="s">
        <v>17</v>
      </c>
      <c r="B2782" t="s">
        <v>34</v>
      </c>
      <c r="C2782" t="s">
        <v>35</v>
      </c>
      <c r="D2782" t="s">
        <v>3363</v>
      </c>
      <c r="E2782" s="2">
        <v>89</v>
      </c>
      <c r="F2782" s="3">
        <f>DATE(2024,12,3)</f>
        <v>45629</v>
      </c>
      <c r="G2782" s="3">
        <f>DATE(2024,12,3)</f>
        <v>45629</v>
      </c>
      <c r="H2782">
        <v>1488442987</v>
      </c>
      <c r="I2782" t="s">
        <v>20</v>
      </c>
      <c r="K2782" t="s">
        <v>21</v>
      </c>
      <c r="L2782" t="s">
        <v>22</v>
      </c>
      <c r="M2782" t="s">
        <v>23</v>
      </c>
      <c r="N2782" t="s">
        <v>23</v>
      </c>
      <c r="O2782" t="s">
        <v>24</v>
      </c>
      <c r="P2782" s="8" t="s">
        <v>3364</v>
      </c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  <c r="AV2782" s="11"/>
      <c r="AW2782" s="11"/>
      <c r="AX2782" s="11"/>
      <c r="AY2782" s="11"/>
    </row>
    <row r="2783" spans="1:51" x14ac:dyDescent="0.2">
      <c r="A2783" s="6" t="s">
        <v>17</v>
      </c>
      <c r="B2783" t="s">
        <v>57</v>
      </c>
      <c r="C2783" t="s">
        <v>58</v>
      </c>
      <c r="D2783" t="s">
        <v>3365</v>
      </c>
      <c r="E2783" s="2">
        <v>201.73</v>
      </c>
      <c r="F2783" s="3">
        <f>DATE(2024,12,2)</f>
        <v>45628</v>
      </c>
      <c r="G2783" s="3">
        <f>DATE(2024,12,2)</f>
        <v>45628</v>
      </c>
      <c r="H2783">
        <v>1488442988</v>
      </c>
      <c r="I2783" t="s">
        <v>20</v>
      </c>
      <c r="K2783" t="s">
        <v>21</v>
      </c>
      <c r="L2783" t="s">
        <v>22</v>
      </c>
      <c r="M2783" t="s">
        <v>23</v>
      </c>
      <c r="N2783" t="s">
        <v>23</v>
      </c>
      <c r="O2783" t="s">
        <v>24</v>
      </c>
      <c r="P2783" s="8" t="s">
        <v>3366</v>
      </c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</row>
    <row r="2784" spans="1:51" x14ac:dyDescent="0.2">
      <c r="A2784" s="6" t="s">
        <v>17</v>
      </c>
      <c r="B2784" t="s">
        <v>44</v>
      </c>
      <c r="C2784" t="s">
        <v>45</v>
      </c>
      <c r="D2784" t="s">
        <v>3367</v>
      </c>
      <c r="E2784" s="2">
        <v>389.5</v>
      </c>
      <c r="F2784" s="3">
        <f>DATE(2024,12,2)</f>
        <v>45628</v>
      </c>
      <c r="G2784" s="3">
        <f>DATE(2024,12,2)</f>
        <v>45628</v>
      </c>
      <c r="H2784">
        <v>1488442989</v>
      </c>
      <c r="I2784" t="s">
        <v>20</v>
      </c>
      <c r="K2784" t="s">
        <v>21</v>
      </c>
      <c r="L2784" t="s">
        <v>22</v>
      </c>
      <c r="M2784" t="s">
        <v>23</v>
      </c>
      <c r="N2784" t="s">
        <v>23</v>
      </c>
      <c r="O2784" t="s">
        <v>24</v>
      </c>
      <c r="P2784" s="8" t="s">
        <v>3368</v>
      </c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  <c r="AV2784" s="11"/>
      <c r="AW2784" s="11"/>
      <c r="AX2784" s="11"/>
      <c r="AY2784" s="11"/>
    </row>
    <row r="2785" spans="1:51" x14ac:dyDescent="0.2">
      <c r="A2785" s="6" t="s">
        <v>17</v>
      </c>
      <c r="B2785" t="s">
        <v>26</v>
      </c>
      <c r="C2785" t="s">
        <v>27</v>
      </c>
      <c r="D2785" t="s">
        <v>50</v>
      </c>
      <c r="E2785" s="2">
        <v>217.11</v>
      </c>
      <c r="F2785" s="3">
        <f>DATE(2024,12,1)</f>
        <v>45627</v>
      </c>
      <c r="G2785" s="3">
        <f>DATE(2024,12,1)</f>
        <v>45627</v>
      </c>
      <c r="H2785">
        <v>1488443397</v>
      </c>
      <c r="I2785" t="s">
        <v>51</v>
      </c>
      <c r="K2785" t="s">
        <v>21</v>
      </c>
      <c r="L2785" t="s">
        <v>22</v>
      </c>
      <c r="M2785" t="s">
        <v>23</v>
      </c>
      <c r="N2785" t="s">
        <v>23</v>
      </c>
      <c r="O2785" t="s">
        <v>24</v>
      </c>
      <c r="P2785" s="8" t="s">
        <v>3369</v>
      </c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  <c r="AV2785" s="11"/>
      <c r="AW2785" s="11"/>
      <c r="AX2785" s="11"/>
      <c r="AY2785" s="11"/>
    </row>
    <row r="2786" spans="1:51" x14ac:dyDescent="0.2">
      <c r="A2786" s="6" t="s">
        <v>17</v>
      </c>
      <c r="B2786" t="s">
        <v>44</v>
      </c>
      <c r="C2786" t="s">
        <v>45</v>
      </c>
      <c r="D2786" t="s">
        <v>1648</v>
      </c>
      <c r="E2786" s="2">
        <v>149.99</v>
      </c>
      <c r="F2786" s="3">
        <f>DATE(2024,12,1)</f>
        <v>45627</v>
      </c>
      <c r="G2786" s="3">
        <f>DATE(2024,12,1)</f>
        <v>45627</v>
      </c>
      <c r="H2786">
        <v>1488443414</v>
      </c>
      <c r="I2786" t="s">
        <v>51</v>
      </c>
      <c r="K2786" t="s">
        <v>21</v>
      </c>
      <c r="L2786" t="s">
        <v>22</v>
      </c>
      <c r="M2786" t="s">
        <v>23</v>
      </c>
      <c r="N2786" t="s">
        <v>23</v>
      </c>
      <c r="O2786" t="s">
        <v>24</v>
      </c>
      <c r="P2786" s="8" t="s">
        <v>3370</v>
      </c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</row>
    <row r="2787" spans="1:51" x14ac:dyDescent="0.2">
      <c r="A2787" s="6" t="s">
        <v>17</v>
      </c>
      <c r="B2787" t="s">
        <v>18</v>
      </c>
      <c r="C2787" t="s">
        <v>18</v>
      </c>
      <c r="D2787" t="s">
        <v>86</v>
      </c>
      <c r="E2787" s="2">
        <v>12</v>
      </c>
      <c r="F2787" s="3">
        <f>DATE(2024,12,2)</f>
        <v>45628</v>
      </c>
      <c r="G2787" s="3">
        <f>DATE(2024,12,2)</f>
        <v>45628</v>
      </c>
      <c r="H2787">
        <v>1488567699</v>
      </c>
      <c r="I2787" t="s">
        <v>73</v>
      </c>
      <c r="K2787" t="s">
        <v>21</v>
      </c>
      <c r="L2787" t="s">
        <v>22</v>
      </c>
      <c r="M2787" t="s">
        <v>23</v>
      </c>
      <c r="N2787" t="s">
        <v>23</v>
      </c>
      <c r="O2787" t="s">
        <v>24</v>
      </c>
      <c r="P2787" s="8" t="s">
        <v>3371</v>
      </c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</row>
    <row r="2788" spans="1:51" hidden="1" x14ac:dyDescent="0.2">
      <c r="A2788" s="6"/>
      <c r="E2788" s="2"/>
      <c r="F2788" s="3"/>
      <c r="G2788" s="3"/>
      <c r="P2788" s="8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  <c r="AV2788" s="11"/>
      <c r="AW2788" s="11"/>
      <c r="AX2788" s="11"/>
      <c r="AY2788" s="11"/>
    </row>
    <row r="2789" spans="1:51" x14ac:dyDescent="0.2">
      <c r="A2789" s="6" t="s">
        <v>17</v>
      </c>
      <c r="B2789" t="s">
        <v>110</v>
      </c>
      <c r="C2789" t="s">
        <v>111</v>
      </c>
      <c r="D2789" t="s">
        <v>3372</v>
      </c>
      <c r="E2789" s="2">
        <v>36</v>
      </c>
      <c r="F2789" s="3">
        <f>DATE(2024,12,4)</f>
        <v>45630</v>
      </c>
      <c r="G2789" s="3">
        <f>DATE(2024,12,4)</f>
        <v>45630</v>
      </c>
      <c r="H2789">
        <v>1493979022</v>
      </c>
      <c r="I2789" t="s">
        <v>20</v>
      </c>
      <c r="K2789" t="s">
        <v>21</v>
      </c>
      <c r="L2789" t="s">
        <v>22</v>
      </c>
      <c r="M2789" t="s">
        <v>23</v>
      </c>
      <c r="N2789" t="s">
        <v>23</v>
      </c>
      <c r="O2789" t="s">
        <v>24</v>
      </c>
      <c r="P2789" s="8" t="s">
        <v>3373</v>
      </c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  <c r="AV2789" s="11"/>
      <c r="AW2789" s="11"/>
      <c r="AX2789" s="11"/>
      <c r="AY2789" s="11"/>
    </row>
    <row r="2790" spans="1:51" hidden="1" x14ac:dyDescent="0.2">
      <c r="A2790" s="6"/>
      <c r="E2790" s="2"/>
      <c r="F2790" s="3"/>
      <c r="G2790" s="3"/>
      <c r="P2790" s="8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  <c r="AV2790" s="11"/>
      <c r="AW2790" s="11"/>
      <c r="AX2790" s="11"/>
      <c r="AY2790" s="11"/>
    </row>
    <row r="2791" spans="1:51" x14ac:dyDescent="0.2">
      <c r="A2791" s="6" t="s">
        <v>17</v>
      </c>
      <c r="B2791" t="s">
        <v>110</v>
      </c>
      <c r="C2791" t="s">
        <v>111</v>
      </c>
      <c r="D2791" t="s">
        <v>3374</v>
      </c>
      <c r="E2791" s="2">
        <v>78.38</v>
      </c>
      <c r="F2791" s="3">
        <f t="shared" ref="F2790:G2793" si="237">DATE(2024,12,3)</f>
        <v>45629</v>
      </c>
      <c r="G2791" s="3">
        <f t="shared" si="237"/>
        <v>45629</v>
      </c>
      <c r="H2791">
        <v>1493979024</v>
      </c>
      <c r="I2791" t="s">
        <v>20</v>
      </c>
      <c r="K2791" t="s">
        <v>21</v>
      </c>
      <c r="L2791" t="s">
        <v>22</v>
      </c>
      <c r="M2791" t="s">
        <v>23</v>
      </c>
      <c r="N2791" t="s">
        <v>23</v>
      </c>
      <c r="O2791" t="s">
        <v>24</v>
      </c>
      <c r="P2791" s="8" t="s">
        <v>3375</v>
      </c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  <c r="AV2791" s="11"/>
      <c r="AW2791" s="11"/>
      <c r="AX2791" s="11"/>
      <c r="AY2791" s="11"/>
    </row>
    <row r="2792" spans="1:51" x14ac:dyDescent="0.2">
      <c r="A2792" s="6" t="s">
        <v>17</v>
      </c>
      <c r="B2792" t="s">
        <v>18</v>
      </c>
      <c r="C2792" t="s">
        <v>18</v>
      </c>
      <c r="D2792" t="s">
        <v>3376</v>
      </c>
      <c r="E2792" s="2">
        <v>3.77</v>
      </c>
      <c r="F2792" s="3">
        <f t="shared" si="237"/>
        <v>45629</v>
      </c>
      <c r="G2792" s="3">
        <f t="shared" si="237"/>
        <v>45629</v>
      </c>
      <c r="H2792">
        <v>1493979025</v>
      </c>
      <c r="I2792" t="s">
        <v>20</v>
      </c>
      <c r="K2792" t="s">
        <v>21</v>
      </c>
      <c r="L2792" t="s">
        <v>22</v>
      </c>
      <c r="M2792" t="s">
        <v>23</v>
      </c>
      <c r="N2792" t="s">
        <v>23</v>
      </c>
      <c r="O2792" t="s">
        <v>24</v>
      </c>
      <c r="P2792" s="8" t="s">
        <v>3377</v>
      </c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  <c r="AV2792" s="11"/>
      <c r="AW2792" s="11"/>
      <c r="AX2792" s="11"/>
      <c r="AY2792" s="11"/>
    </row>
    <row r="2793" spans="1:51" hidden="1" x14ac:dyDescent="0.2">
      <c r="A2793" s="6"/>
      <c r="E2793" s="2"/>
      <c r="F2793" s="3"/>
      <c r="G2793" s="3"/>
      <c r="P2793" s="8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</row>
    <row r="2794" spans="1:51" x14ac:dyDescent="0.2">
      <c r="A2794" s="6" t="s">
        <v>17</v>
      </c>
      <c r="B2794" t="s">
        <v>191</v>
      </c>
      <c r="C2794" t="s">
        <v>192</v>
      </c>
      <c r="D2794" t="s">
        <v>3378</v>
      </c>
      <c r="E2794" s="2">
        <v>1790.53</v>
      </c>
      <c r="F2794" s="3">
        <f>DATE(2024,12,4)</f>
        <v>45630</v>
      </c>
      <c r="G2794" s="3">
        <f>DATE(2024,12,4)</f>
        <v>45630</v>
      </c>
      <c r="H2794">
        <v>1499204228</v>
      </c>
      <c r="I2794" t="s">
        <v>20</v>
      </c>
      <c r="K2794" t="s">
        <v>21</v>
      </c>
      <c r="L2794" t="s">
        <v>22</v>
      </c>
      <c r="M2794" t="s">
        <v>23</v>
      </c>
      <c r="N2794" t="s">
        <v>23</v>
      </c>
      <c r="O2794" t="s">
        <v>24</v>
      </c>
      <c r="P2794" s="8" t="s">
        <v>3379</v>
      </c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  <c r="AV2794" s="11"/>
      <c r="AW2794" s="11"/>
      <c r="AX2794" s="11"/>
      <c r="AY2794" s="11"/>
    </row>
    <row r="2795" spans="1:51" x14ac:dyDescent="0.2">
      <c r="A2795" s="6" t="s">
        <v>17</v>
      </c>
      <c r="B2795" t="s">
        <v>61</v>
      </c>
      <c r="C2795" t="s">
        <v>62</v>
      </c>
      <c r="D2795" t="s">
        <v>3380</v>
      </c>
      <c r="E2795" s="2">
        <v>1576.96</v>
      </c>
      <c r="F2795" s="3">
        <f>DATE(2024,12,5)</f>
        <v>45631</v>
      </c>
      <c r="G2795" s="3">
        <f>DATE(2024,12,5)</f>
        <v>45631</v>
      </c>
      <c r="H2795">
        <v>1499204229</v>
      </c>
      <c r="I2795" t="s">
        <v>20</v>
      </c>
      <c r="K2795" t="s">
        <v>21</v>
      </c>
      <c r="L2795" t="s">
        <v>22</v>
      </c>
      <c r="M2795" t="s">
        <v>23</v>
      </c>
      <c r="N2795" t="s">
        <v>23</v>
      </c>
      <c r="O2795" t="s">
        <v>24</v>
      </c>
      <c r="P2795" s="8" t="s">
        <v>3381</v>
      </c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</row>
    <row r="2796" spans="1:51" hidden="1" x14ac:dyDescent="0.2">
      <c r="A2796" s="6"/>
      <c r="E2796" s="2"/>
      <c r="F2796" s="3"/>
      <c r="G2796" s="3"/>
      <c r="P2796" s="8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  <c r="AV2796" s="11"/>
      <c r="AW2796" s="11"/>
      <c r="AX2796" s="11"/>
      <c r="AY2796" s="11"/>
    </row>
    <row r="2797" spans="1:51" x14ac:dyDescent="0.2">
      <c r="A2797" s="6" t="s">
        <v>17</v>
      </c>
      <c r="B2797" t="s">
        <v>191</v>
      </c>
      <c r="C2797" t="s">
        <v>192</v>
      </c>
      <c r="D2797" t="s">
        <v>3382</v>
      </c>
      <c r="E2797" s="2">
        <v>10540.63</v>
      </c>
      <c r="F2797" s="3">
        <f>DATE(2024,12,5)</f>
        <v>45631</v>
      </c>
      <c r="G2797" s="3">
        <f>DATE(2024,12,5)</f>
        <v>45631</v>
      </c>
      <c r="H2797">
        <v>1499204231</v>
      </c>
      <c r="I2797" t="s">
        <v>20</v>
      </c>
      <c r="K2797" t="s">
        <v>21</v>
      </c>
      <c r="L2797" t="s">
        <v>22</v>
      </c>
      <c r="M2797" t="s">
        <v>23</v>
      </c>
      <c r="N2797" t="s">
        <v>23</v>
      </c>
      <c r="O2797" t="s">
        <v>24</v>
      </c>
      <c r="P2797" s="8" t="s">
        <v>3383</v>
      </c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  <c r="AV2797" s="11"/>
      <c r="AW2797" s="11"/>
      <c r="AX2797" s="11"/>
      <c r="AY2797" s="11"/>
    </row>
    <row r="2798" spans="1:51" x14ac:dyDescent="0.2">
      <c r="A2798" s="6" t="s">
        <v>17</v>
      </c>
      <c r="B2798" t="s">
        <v>191</v>
      </c>
      <c r="C2798" t="s">
        <v>192</v>
      </c>
      <c r="D2798" t="s">
        <v>3384</v>
      </c>
      <c r="E2798" s="2">
        <v>2027.46</v>
      </c>
      <c r="F2798" s="3">
        <f t="shared" ref="F2798:G2802" si="238">DATE(2024,12,4)</f>
        <v>45630</v>
      </c>
      <c r="G2798" s="3">
        <f t="shared" si="238"/>
        <v>45630</v>
      </c>
      <c r="H2798">
        <v>1499204232</v>
      </c>
      <c r="I2798" t="s">
        <v>20</v>
      </c>
      <c r="K2798" t="s">
        <v>21</v>
      </c>
      <c r="L2798" t="s">
        <v>22</v>
      </c>
      <c r="M2798" t="s">
        <v>23</v>
      </c>
      <c r="N2798" t="s">
        <v>23</v>
      </c>
      <c r="O2798" t="s">
        <v>24</v>
      </c>
      <c r="P2798" s="8" t="s">
        <v>3385</v>
      </c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  <c r="AV2798" s="11"/>
      <c r="AW2798" s="11"/>
      <c r="AX2798" s="11"/>
      <c r="AY2798" s="11"/>
    </row>
    <row r="2799" spans="1:51" hidden="1" x14ac:dyDescent="0.2">
      <c r="A2799" s="6"/>
      <c r="E2799" s="2"/>
      <c r="F2799" s="3"/>
      <c r="G2799" s="3"/>
      <c r="P2799" s="8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</row>
    <row r="2800" spans="1:51" x14ac:dyDescent="0.2">
      <c r="A2800" s="6" t="s">
        <v>17</v>
      </c>
      <c r="B2800" t="s">
        <v>34</v>
      </c>
      <c r="C2800" t="s">
        <v>35</v>
      </c>
      <c r="D2800" t="s">
        <v>3386</v>
      </c>
      <c r="E2800" s="2">
        <v>301.3</v>
      </c>
      <c r="F2800" s="3">
        <f t="shared" si="238"/>
        <v>45630</v>
      </c>
      <c r="G2800" s="3">
        <f t="shared" si="238"/>
        <v>45630</v>
      </c>
      <c r="H2800">
        <v>1499204234</v>
      </c>
      <c r="I2800" t="s">
        <v>20</v>
      </c>
      <c r="K2800" t="s">
        <v>21</v>
      </c>
      <c r="L2800" t="s">
        <v>22</v>
      </c>
      <c r="M2800" t="s">
        <v>23</v>
      </c>
      <c r="N2800" t="s">
        <v>23</v>
      </c>
      <c r="O2800" t="s">
        <v>24</v>
      </c>
      <c r="P2800" s="8" t="s">
        <v>3387</v>
      </c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  <c r="AV2800" s="11"/>
      <c r="AW2800" s="11"/>
      <c r="AX2800" s="11"/>
      <c r="AY2800" s="11"/>
    </row>
    <row r="2801" spans="1:51" x14ac:dyDescent="0.2">
      <c r="A2801" s="6" t="s">
        <v>17</v>
      </c>
      <c r="B2801" t="s">
        <v>26</v>
      </c>
      <c r="C2801" t="s">
        <v>27</v>
      </c>
      <c r="D2801" t="s">
        <v>3388</v>
      </c>
      <c r="E2801" s="2">
        <v>645.14</v>
      </c>
      <c r="F2801" s="3">
        <f t="shared" si="238"/>
        <v>45630</v>
      </c>
      <c r="G2801" s="3">
        <f t="shared" si="238"/>
        <v>45630</v>
      </c>
      <c r="H2801">
        <v>1499204235</v>
      </c>
      <c r="I2801" t="s">
        <v>20</v>
      </c>
      <c r="K2801" t="s">
        <v>21</v>
      </c>
      <c r="L2801" t="s">
        <v>22</v>
      </c>
      <c r="M2801" t="s">
        <v>23</v>
      </c>
      <c r="N2801" t="s">
        <v>23</v>
      </c>
      <c r="O2801" t="s">
        <v>24</v>
      </c>
      <c r="P2801" s="8" t="s">
        <v>3389</v>
      </c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  <c r="AV2801" s="11"/>
      <c r="AW2801" s="11"/>
      <c r="AX2801" s="11"/>
      <c r="AY2801" s="11"/>
    </row>
    <row r="2802" spans="1:51" x14ac:dyDescent="0.2">
      <c r="A2802" s="6" t="s">
        <v>17</v>
      </c>
      <c r="B2802" t="s">
        <v>44</v>
      </c>
      <c r="C2802" t="s">
        <v>45</v>
      </c>
      <c r="D2802" t="s">
        <v>3390</v>
      </c>
      <c r="E2802" s="2">
        <v>240</v>
      </c>
      <c r="F2802" s="3">
        <f t="shared" si="238"/>
        <v>45630</v>
      </c>
      <c r="G2802" s="3">
        <f t="shared" si="238"/>
        <v>45630</v>
      </c>
      <c r="H2802">
        <v>1499204236</v>
      </c>
      <c r="I2802" t="s">
        <v>20</v>
      </c>
      <c r="K2802" t="s">
        <v>21</v>
      </c>
      <c r="L2802" t="s">
        <v>22</v>
      </c>
      <c r="M2802" t="s">
        <v>23</v>
      </c>
      <c r="N2802" t="s">
        <v>23</v>
      </c>
      <c r="O2802" t="s">
        <v>24</v>
      </c>
      <c r="P2802" s="8" t="s">
        <v>3391</v>
      </c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  <c r="AV2802" s="11"/>
      <c r="AW2802" s="11"/>
      <c r="AX2802" s="11"/>
      <c r="AY2802" s="11"/>
    </row>
    <row r="2803" spans="1:51" x14ac:dyDescent="0.2">
      <c r="A2803" s="6" t="s">
        <v>17</v>
      </c>
      <c r="B2803" t="s">
        <v>74</v>
      </c>
      <c r="C2803" t="s">
        <v>75</v>
      </c>
      <c r="D2803" t="s">
        <v>3392</v>
      </c>
      <c r="E2803" s="2">
        <v>248.92</v>
      </c>
      <c r="F2803" s="3">
        <f>DATE(2024,12,5)</f>
        <v>45631</v>
      </c>
      <c r="G2803" s="3">
        <f>DATE(2024,12,5)</f>
        <v>45631</v>
      </c>
      <c r="H2803">
        <v>1499230535</v>
      </c>
      <c r="I2803" t="s">
        <v>73</v>
      </c>
      <c r="K2803" t="s">
        <v>21</v>
      </c>
      <c r="L2803" t="s">
        <v>22</v>
      </c>
      <c r="M2803" t="s">
        <v>23</v>
      </c>
      <c r="N2803" t="s">
        <v>23</v>
      </c>
      <c r="O2803" t="s">
        <v>24</v>
      </c>
      <c r="P2803" s="8" t="s">
        <v>3393</v>
      </c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  <c r="AV2803" s="11"/>
      <c r="AW2803" s="11"/>
      <c r="AX2803" s="11"/>
      <c r="AY2803" s="11"/>
    </row>
    <row r="2804" spans="1:51" x14ac:dyDescent="0.2">
      <c r="A2804" s="6" t="s">
        <v>17</v>
      </c>
      <c r="B2804" t="s">
        <v>74</v>
      </c>
      <c r="C2804" t="s">
        <v>75</v>
      </c>
      <c r="D2804" t="s">
        <v>3394</v>
      </c>
      <c r="E2804" s="2">
        <v>3603.94</v>
      </c>
      <c r="F2804" s="3">
        <f>DATE(2024,12,5)</f>
        <v>45631</v>
      </c>
      <c r="G2804" s="3">
        <f>DATE(2024,12,5)</f>
        <v>45631</v>
      </c>
      <c r="H2804">
        <v>1499230536</v>
      </c>
      <c r="I2804" t="s">
        <v>73</v>
      </c>
      <c r="K2804" t="s">
        <v>21</v>
      </c>
      <c r="L2804" t="s">
        <v>22</v>
      </c>
      <c r="M2804" t="s">
        <v>23</v>
      </c>
      <c r="N2804" t="s">
        <v>23</v>
      </c>
      <c r="O2804" t="s">
        <v>24</v>
      </c>
      <c r="P2804" s="8" t="s">
        <v>3395</v>
      </c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</row>
    <row r="2805" spans="1:51" hidden="1" x14ac:dyDescent="0.2">
      <c r="A2805" s="6"/>
      <c r="E2805" s="2"/>
      <c r="F2805" s="3"/>
      <c r="G2805" s="3"/>
      <c r="P2805" s="8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</row>
    <row r="2806" spans="1:51" hidden="1" x14ac:dyDescent="0.2">
      <c r="A2806" s="6"/>
      <c r="E2806" s="2"/>
      <c r="F2806" s="3"/>
      <c r="G2806" s="3"/>
      <c r="P2806" s="8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  <c r="AV2806" s="11"/>
      <c r="AW2806" s="11"/>
      <c r="AX2806" s="11"/>
      <c r="AY2806" s="11"/>
    </row>
    <row r="2807" spans="1:51" hidden="1" x14ac:dyDescent="0.2">
      <c r="A2807" s="6"/>
      <c r="E2807" s="2"/>
      <c r="F2807" s="3"/>
      <c r="G2807" s="3"/>
      <c r="P2807" s="8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  <c r="AV2807" s="11"/>
      <c r="AW2807" s="11"/>
      <c r="AX2807" s="11"/>
      <c r="AY2807" s="11"/>
    </row>
    <row r="2808" spans="1:51" x14ac:dyDescent="0.2">
      <c r="A2808" s="6" t="s">
        <v>17</v>
      </c>
      <c r="B2808" t="s">
        <v>80</v>
      </c>
      <c r="C2808" t="s">
        <v>81</v>
      </c>
      <c r="D2808" t="s">
        <v>3396</v>
      </c>
      <c r="E2808" s="2">
        <v>532.25</v>
      </c>
      <c r="F2808" s="3">
        <f t="shared" ref="F2808:G2813" si="239">DATE(2024,12,5)</f>
        <v>45631</v>
      </c>
      <c r="G2808" s="3">
        <f t="shared" si="239"/>
        <v>45631</v>
      </c>
      <c r="H2808">
        <v>1504139874</v>
      </c>
      <c r="I2808" t="s">
        <v>20</v>
      </c>
      <c r="K2808" t="s">
        <v>21</v>
      </c>
      <c r="L2808" t="s">
        <v>22</v>
      </c>
      <c r="M2808" t="s">
        <v>23</v>
      </c>
      <c r="N2808" t="s">
        <v>23</v>
      </c>
      <c r="O2808" t="s">
        <v>24</v>
      </c>
      <c r="P2808" s="8" t="s">
        <v>3397</v>
      </c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  <c r="AV2808" s="11"/>
      <c r="AW2808" s="11"/>
      <c r="AX2808" s="11"/>
      <c r="AY2808" s="11"/>
    </row>
    <row r="2809" spans="1:51" x14ac:dyDescent="0.2">
      <c r="A2809" s="6" t="s">
        <v>17</v>
      </c>
      <c r="B2809" t="s">
        <v>61</v>
      </c>
      <c r="C2809" t="s">
        <v>62</v>
      </c>
      <c r="D2809" t="s">
        <v>3398</v>
      </c>
      <c r="E2809" s="2">
        <v>13.5</v>
      </c>
      <c r="F2809" s="3">
        <f t="shared" si="239"/>
        <v>45631</v>
      </c>
      <c r="G2809" s="3">
        <f t="shared" si="239"/>
        <v>45631</v>
      </c>
      <c r="H2809">
        <v>1504139875</v>
      </c>
      <c r="I2809" t="s">
        <v>20</v>
      </c>
      <c r="K2809" t="s">
        <v>21</v>
      </c>
      <c r="L2809" t="s">
        <v>22</v>
      </c>
      <c r="M2809" t="s">
        <v>23</v>
      </c>
      <c r="N2809" t="s">
        <v>23</v>
      </c>
      <c r="O2809" t="s">
        <v>24</v>
      </c>
      <c r="P2809" s="8" t="s">
        <v>3399</v>
      </c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  <c r="AV2809" s="11"/>
      <c r="AW2809" s="11"/>
      <c r="AX2809" s="11"/>
      <c r="AY2809" s="11"/>
    </row>
    <row r="2810" spans="1:51" hidden="1" x14ac:dyDescent="0.2">
      <c r="A2810" s="6"/>
      <c r="E2810" s="2"/>
      <c r="F2810" s="3"/>
      <c r="G2810" s="3"/>
      <c r="P2810" s="8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  <c r="AV2810" s="11"/>
      <c r="AW2810" s="11"/>
      <c r="AX2810" s="11"/>
      <c r="AY2810" s="11"/>
    </row>
    <row r="2811" spans="1:51" x14ac:dyDescent="0.2">
      <c r="A2811" s="6" t="s">
        <v>17</v>
      </c>
      <c r="B2811" t="s">
        <v>80</v>
      </c>
      <c r="C2811" t="s">
        <v>81</v>
      </c>
      <c r="D2811" t="s">
        <v>3400</v>
      </c>
      <c r="E2811" s="2">
        <v>1302.42</v>
      </c>
      <c r="F2811" s="3">
        <f t="shared" si="239"/>
        <v>45631</v>
      </c>
      <c r="G2811" s="3">
        <f t="shared" si="239"/>
        <v>45631</v>
      </c>
      <c r="H2811">
        <v>1504139877</v>
      </c>
      <c r="I2811" t="s">
        <v>20</v>
      </c>
      <c r="K2811" t="s">
        <v>21</v>
      </c>
      <c r="L2811" t="s">
        <v>22</v>
      </c>
      <c r="M2811" t="s">
        <v>23</v>
      </c>
      <c r="N2811" t="s">
        <v>23</v>
      </c>
      <c r="O2811" t="s">
        <v>24</v>
      </c>
      <c r="P2811" s="8" t="s">
        <v>3401</v>
      </c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</row>
    <row r="2812" spans="1:51" x14ac:dyDescent="0.2">
      <c r="A2812" s="6" t="s">
        <v>17</v>
      </c>
      <c r="B2812" t="s">
        <v>18</v>
      </c>
      <c r="C2812" t="s">
        <v>18</v>
      </c>
      <c r="D2812" t="s">
        <v>3402</v>
      </c>
      <c r="E2812" s="2">
        <v>1.89</v>
      </c>
      <c r="F2812" s="3">
        <f t="shared" si="239"/>
        <v>45631</v>
      </c>
      <c r="G2812" s="3">
        <f t="shared" si="239"/>
        <v>45631</v>
      </c>
      <c r="H2812">
        <v>1504139878</v>
      </c>
      <c r="I2812" t="s">
        <v>20</v>
      </c>
      <c r="K2812" t="s">
        <v>21</v>
      </c>
      <c r="L2812" t="s">
        <v>22</v>
      </c>
      <c r="M2812" t="s">
        <v>23</v>
      </c>
      <c r="N2812" t="s">
        <v>23</v>
      </c>
      <c r="O2812" t="s">
        <v>24</v>
      </c>
      <c r="P2812" s="8" t="s">
        <v>3403</v>
      </c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  <c r="AV2812" s="11"/>
      <c r="AW2812" s="11"/>
      <c r="AX2812" s="11"/>
      <c r="AY2812" s="11"/>
    </row>
    <row r="2813" spans="1:51" x14ac:dyDescent="0.2">
      <c r="A2813" s="6" t="s">
        <v>17</v>
      </c>
      <c r="B2813" t="s">
        <v>312</v>
      </c>
      <c r="C2813" t="s">
        <v>313</v>
      </c>
      <c r="D2813" t="s">
        <v>3404</v>
      </c>
      <c r="E2813" s="2">
        <v>1680</v>
      </c>
      <c r="F2813" s="3">
        <f t="shared" si="239"/>
        <v>45631</v>
      </c>
      <c r="G2813" s="3">
        <f t="shared" si="239"/>
        <v>45631</v>
      </c>
      <c r="H2813">
        <v>1504139879</v>
      </c>
      <c r="I2813" t="s">
        <v>20</v>
      </c>
      <c r="K2813" t="s">
        <v>21</v>
      </c>
      <c r="L2813" t="s">
        <v>22</v>
      </c>
      <c r="M2813" t="s">
        <v>23</v>
      </c>
      <c r="N2813" t="s">
        <v>23</v>
      </c>
      <c r="O2813" t="s">
        <v>24</v>
      </c>
      <c r="P2813" s="8" t="s">
        <v>3405</v>
      </c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  <c r="AV2813" s="11"/>
      <c r="AW2813" s="11"/>
      <c r="AX2813" s="11"/>
      <c r="AY2813" s="11"/>
    </row>
    <row r="2814" spans="1:51" x14ac:dyDescent="0.2">
      <c r="A2814" s="6" t="s">
        <v>17</v>
      </c>
      <c r="B2814" t="s">
        <v>44</v>
      </c>
      <c r="C2814" t="s">
        <v>45</v>
      </c>
      <c r="D2814" t="s">
        <v>831</v>
      </c>
      <c r="E2814" s="2">
        <v>58.32</v>
      </c>
      <c r="F2814" s="3">
        <f>DATE(2024,12,2)</f>
        <v>45628</v>
      </c>
      <c r="G2814" s="3">
        <f>DATE(2024,12,2)</f>
        <v>45628</v>
      </c>
      <c r="H2814">
        <v>1504139880</v>
      </c>
      <c r="I2814" t="s">
        <v>51</v>
      </c>
      <c r="K2814" t="s">
        <v>21</v>
      </c>
      <c r="L2814" t="s">
        <v>22</v>
      </c>
      <c r="M2814" t="s">
        <v>23</v>
      </c>
      <c r="N2814" t="s">
        <v>23</v>
      </c>
      <c r="O2814" t="s">
        <v>24</v>
      </c>
      <c r="P2814" s="8" t="s">
        <v>3406</v>
      </c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  <c r="AV2814" s="11"/>
      <c r="AW2814" s="11"/>
      <c r="AX2814" s="11"/>
      <c r="AY2814" s="11"/>
    </row>
    <row r="2815" spans="1:51" x14ac:dyDescent="0.2">
      <c r="A2815" s="6" t="s">
        <v>17</v>
      </c>
      <c r="B2815" t="s">
        <v>363</v>
      </c>
      <c r="C2815" t="s">
        <v>364</v>
      </c>
      <c r="D2815" t="s">
        <v>3407</v>
      </c>
      <c r="E2815" s="2">
        <v>18.600000000000001</v>
      </c>
      <c r="F2815" s="3">
        <f>DATE(2024,12,5)</f>
        <v>45631</v>
      </c>
      <c r="G2815" s="3">
        <f>DATE(2024,12,5)</f>
        <v>45631</v>
      </c>
      <c r="H2815">
        <v>1504143742</v>
      </c>
      <c r="I2815" t="s">
        <v>73</v>
      </c>
      <c r="K2815" t="s">
        <v>21</v>
      </c>
      <c r="L2815" t="s">
        <v>22</v>
      </c>
      <c r="M2815" t="s">
        <v>23</v>
      </c>
      <c r="N2815" t="s">
        <v>23</v>
      </c>
      <c r="O2815" t="s">
        <v>24</v>
      </c>
      <c r="P2815" s="8" t="s">
        <v>3408</v>
      </c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  <c r="AV2815" s="11"/>
      <c r="AW2815" s="11"/>
      <c r="AX2815" s="11"/>
      <c r="AY2815" s="11"/>
    </row>
    <row r="2816" spans="1:51" hidden="1" x14ac:dyDescent="0.2">
      <c r="A2816" s="6"/>
      <c r="E2816" s="2"/>
      <c r="F2816" s="3"/>
      <c r="G2816" s="3"/>
      <c r="P2816" s="8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</row>
    <row r="2817" spans="1:51" hidden="1" x14ac:dyDescent="0.2">
      <c r="A2817" s="6"/>
      <c r="E2817" s="2"/>
      <c r="F2817" s="3"/>
      <c r="G2817" s="3"/>
      <c r="P2817" s="8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</row>
    <row r="2818" spans="1:51" x14ac:dyDescent="0.2">
      <c r="A2818" s="6" t="s">
        <v>17</v>
      </c>
      <c r="B2818" t="s">
        <v>18</v>
      </c>
      <c r="C2818" t="s">
        <v>18</v>
      </c>
      <c r="D2818" t="s">
        <v>3409</v>
      </c>
      <c r="E2818" s="2">
        <v>0.52</v>
      </c>
      <c r="F2818" s="3">
        <f>DATE(2024,12,6)</f>
        <v>45632</v>
      </c>
      <c r="G2818" s="3">
        <f>DATE(2024,12,6)</f>
        <v>45632</v>
      </c>
      <c r="H2818">
        <v>1507095735</v>
      </c>
      <c r="I2818" t="s">
        <v>20</v>
      </c>
      <c r="K2818" t="s">
        <v>21</v>
      </c>
      <c r="L2818" t="s">
        <v>22</v>
      </c>
      <c r="M2818" t="s">
        <v>23</v>
      </c>
      <c r="N2818" t="s">
        <v>23</v>
      </c>
      <c r="O2818" t="s">
        <v>24</v>
      </c>
      <c r="P2818" s="8" t="s">
        <v>3410</v>
      </c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  <c r="AV2818" s="11"/>
      <c r="AW2818" s="11"/>
      <c r="AX2818" s="11"/>
      <c r="AY2818" s="11"/>
    </row>
    <row r="2819" spans="1:51" x14ac:dyDescent="0.2">
      <c r="A2819" s="6" t="s">
        <v>17</v>
      </c>
      <c r="B2819" t="s">
        <v>44</v>
      </c>
      <c r="C2819" t="s">
        <v>45</v>
      </c>
      <c r="D2819" t="s">
        <v>690</v>
      </c>
      <c r="E2819" s="2">
        <v>27.76</v>
      </c>
      <c r="F2819" s="3">
        <f>DATE(2024,12,5)</f>
        <v>45631</v>
      </c>
      <c r="G2819" s="3">
        <f>DATE(2024,12,5)</f>
        <v>45631</v>
      </c>
      <c r="H2819">
        <v>1507095736</v>
      </c>
      <c r="I2819" t="s">
        <v>51</v>
      </c>
      <c r="K2819" t="s">
        <v>21</v>
      </c>
      <c r="L2819" t="s">
        <v>22</v>
      </c>
      <c r="M2819" t="s">
        <v>23</v>
      </c>
      <c r="N2819" t="s">
        <v>23</v>
      </c>
      <c r="O2819" t="s">
        <v>24</v>
      </c>
      <c r="P2819" s="8" t="s">
        <v>3411</v>
      </c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  <c r="AV2819" s="11"/>
      <c r="AW2819" s="11"/>
      <c r="AX2819" s="11"/>
      <c r="AY2819" s="11"/>
    </row>
    <row r="2820" spans="1:51" x14ac:dyDescent="0.2">
      <c r="A2820" s="6" t="s">
        <v>17</v>
      </c>
      <c r="B2820" t="s">
        <v>44</v>
      </c>
      <c r="C2820" t="s">
        <v>45</v>
      </c>
      <c r="D2820" t="s">
        <v>690</v>
      </c>
      <c r="E2820" s="2">
        <v>53.63</v>
      </c>
      <c r="F2820" s="3">
        <f>DATE(2024,12,5)</f>
        <v>45631</v>
      </c>
      <c r="G2820" s="3">
        <f>DATE(2024,12,5)</f>
        <v>45631</v>
      </c>
      <c r="H2820">
        <v>1507095737</v>
      </c>
      <c r="I2820" t="s">
        <v>51</v>
      </c>
      <c r="K2820" t="s">
        <v>21</v>
      </c>
      <c r="L2820" t="s">
        <v>22</v>
      </c>
      <c r="M2820" t="s">
        <v>23</v>
      </c>
      <c r="N2820" t="s">
        <v>23</v>
      </c>
      <c r="O2820" t="s">
        <v>24</v>
      </c>
      <c r="P2820" s="8" t="s">
        <v>3412</v>
      </c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  <c r="AV2820" s="11"/>
      <c r="AW2820" s="11"/>
      <c r="AX2820" s="11"/>
      <c r="AY2820" s="11"/>
    </row>
    <row r="2821" spans="1:51" x14ac:dyDescent="0.2">
      <c r="A2821" s="6" t="s">
        <v>17</v>
      </c>
      <c r="B2821" t="s">
        <v>44</v>
      </c>
      <c r="C2821" t="s">
        <v>45</v>
      </c>
      <c r="D2821" t="s">
        <v>831</v>
      </c>
      <c r="E2821" s="2">
        <v>36.659999999999997</v>
      </c>
      <c r="F2821" s="3">
        <f>DATE(2024,12,3)</f>
        <v>45629</v>
      </c>
      <c r="G2821" s="3">
        <f>DATE(2024,12,3)</f>
        <v>45629</v>
      </c>
      <c r="H2821">
        <v>1507095738</v>
      </c>
      <c r="I2821" t="s">
        <v>51</v>
      </c>
      <c r="K2821" t="s">
        <v>21</v>
      </c>
      <c r="L2821" t="s">
        <v>22</v>
      </c>
      <c r="M2821" t="s">
        <v>23</v>
      </c>
      <c r="N2821" t="s">
        <v>23</v>
      </c>
      <c r="O2821" t="s">
        <v>24</v>
      </c>
      <c r="P2821" s="8" t="s">
        <v>3413</v>
      </c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  <c r="AV2821" s="11"/>
      <c r="AW2821" s="11"/>
      <c r="AX2821" s="11"/>
      <c r="AY2821" s="11"/>
    </row>
    <row r="2822" spans="1:51" hidden="1" x14ac:dyDescent="0.2">
      <c r="A2822" s="6"/>
      <c r="E2822" s="2"/>
      <c r="F2822" s="3"/>
      <c r="G2822" s="3"/>
      <c r="P2822" s="8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  <c r="AV2822" s="11"/>
      <c r="AW2822" s="11"/>
      <c r="AX2822" s="11"/>
      <c r="AY2822" s="11"/>
    </row>
    <row r="2823" spans="1:51" hidden="1" x14ac:dyDescent="0.2">
      <c r="A2823" s="6"/>
      <c r="E2823" s="2"/>
      <c r="F2823" s="3"/>
      <c r="G2823" s="3"/>
      <c r="P2823" s="8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</row>
    <row r="2824" spans="1:51" x14ac:dyDescent="0.2">
      <c r="A2824" s="6" t="s">
        <v>17</v>
      </c>
      <c r="B2824" t="s">
        <v>137</v>
      </c>
      <c r="C2824" t="s">
        <v>138</v>
      </c>
      <c r="D2824" t="s">
        <v>3414</v>
      </c>
      <c r="E2824" s="2">
        <v>300</v>
      </c>
      <c r="F2824" s="3">
        <f>DATE(2024,12,9)</f>
        <v>45635</v>
      </c>
      <c r="G2824" s="3">
        <f>DATE(2024,12,9)</f>
        <v>45635</v>
      </c>
      <c r="H2824">
        <v>1515401227</v>
      </c>
      <c r="I2824" t="s">
        <v>20</v>
      </c>
      <c r="K2824" t="s">
        <v>21</v>
      </c>
      <c r="L2824" t="s">
        <v>22</v>
      </c>
      <c r="M2824" t="s">
        <v>23</v>
      </c>
      <c r="N2824" t="s">
        <v>23</v>
      </c>
      <c r="O2824" t="s">
        <v>24</v>
      </c>
      <c r="P2824" s="8" t="s">
        <v>3415</v>
      </c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  <c r="AV2824" s="11"/>
      <c r="AW2824" s="11"/>
      <c r="AX2824" s="11"/>
      <c r="AY2824" s="11"/>
    </row>
    <row r="2825" spans="1:51" x14ac:dyDescent="0.2">
      <c r="A2825" s="6" t="s">
        <v>17</v>
      </c>
      <c r="B2825" t="s">
        <v>30</v>
      </c>
      <c r="C2825" t="s">
        <v>31</v>
      </c>
      <c r="D2825" t="s">
        <v>3416</v>
      </c>
      <c r="E2825" s="2">
        <v>1156.0999999999999</v>
      </c>
      <c r="F2825" s="3">
        <f>DATE(2024,12,10)</f>
        <v>45636</v>
      </c>
      <c r="G2825" s="3">
        <f>DATE(2024,12,10)</f>
        <v>45636</v>
      </c>
      <c r="H2825">
        <v>1515401228</v>
      </c>
      <c r="I2825" t="s">
        <v>20</v>
      </c>
      <c r="K2825" t="s">
        <v>21</v>
      </c>
      <c r="L2825" t="s">
        <v>22</v>
      </c>
      <c r="M2825" t="s">
        <v>23</v>
      </c>
      <c r="N2825" t="s">
        <v>23</v>
      </c>
      <c r="O2825" t="s">
        <v>24</v>
      </c>
      <c r="P2825" s="8" t="s">
        <v>3417</v>
      </c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  <c r="AV2825" s="11"/>
      <c r="AW2825" s="11"/>
      <c r="AX2825" s="11"/>
      <c r="AY2825" s="11"/>
    </row>
    <row r="2826" spans="1:51" x14ac:dyDescent="0.2">
      <c r="A2826" s="6" t="s">
        <v>17</v>
      </c>
      <c r="B2826" t="s">
        <v>18</v>
      </c>
      <c r="C2826" t="s">
        <v>18</v>
      </c>
      <c r="D2826" t="s">
        <v>3418</v>
      </c>
      <c r="E2826" s="2">
        <v>3.34</v>
      </c>
      <c r="F2826" s="3">
        <f t="shared" ref="F2826:G2831" si="240">DATE(2024,12,9)</f>
        <v>45635</v>
      </c>
      <c r="G2826" s="3">
        <f t="shared" si="240"/>
        <v>45635</v>
      </c>
      <c r="H2826">
        <v>1515401229</v>
      </c>
      <c r="I2826" t="s">
        <v>20</v>
      </c>
      <c r="K2826" t="s">
        <v>21</v>
      </c>
      <c r="L2826" t="s">
        <v>22</v>
      </c>
      <c r="M2826" t="s">
        <v>23</v>
      </c>
      <c r="N2826" t="s">
        <v>23</v>
      </c>
      <c r="O2826" t="s">
        <v>24</v>
      </c>
      <c r="P2826" s="8" t="s">
        <v>3419</v>
      </c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  <c r="AV2826" s="11"/>
      <c r="AW2826" s="11"/>
      <c r="AX2826" s="11"/>
      <c r="AY2826" s="11"/>
    </row>
    <row r="2827" spans="1:51" x14ac:dyDescent="0.2">
      <c r="A2827" s="6" t="s">
        <v>17</v>
      </c>
      <c r="B2827" t="s">
        <v>61</v>
      </c>
      <c r="C2827" t="s">
        <v>62</v>
      </c>
      <c r="D2827" t="s">
        <v>3420</v>
      </c>
      <c r="E2827" s="2">
        <v>1000.8</v>
      </c>
      <c r="F2827" s="3">
        <f t="shared" si="240"/>
        <v>45635</v>
      </c>
      <c r="G2827" s="3">
        <f t="shared" si="240"/>
        <v>45635</v>
      </c>
      <c r="H2827">
        <v>1515401230</v>
      </c>
      <c r="I2827" t="s">
        <v>20</v>
      </c>
      <c r="K2827" t="s">
        <v>21</v>
      </c>
      <c r="L2827" t="s">
        <v>22</v>
      </c>
      <c r="M2827" t="s">
        <v>23</v>
      </c>
      <c r="N2827" t="s">
        <v>23</v>
      </c>
      <c r="O2827" t="s">
        <v>24</v>
      </c>
      <c r="P2827" s="8" t="s">
        <v>3421</v>
      </c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  <c r="AV2827" s="11"/>
      <c r="AW2827" s="11"/>
      <c r="AX2827" s="11"/>
      <c r="AY2827" s="11"/>
    </row>
    <row r="2828" spans="1:51" hidden="1" x14ac:dyDescent="0.2">
      <c r="A2828" s="6"/>
      <c r="E2828" s="2"/>
      <c r="F2828" s="3"/>
      <c r="G2828" s="3"/>
      <c r="P2828" s="8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</row>
    <row r="2829" spans="1:51" x14ac:dyDescent="0.2">
      <c r="A2829" s="6" t="s">
        <v>17</v>
      </c>
      <c r="B2829" t="s">
        <v>18</v>
      </c>
      <c r="C2829" t="s">
        <v>18</v>
      </c>
      <c r="D2829" t="s">
        <v>3422</v>
      </c>
      <c r="E2829" s="2">
        <v>0.56000000000000005</v>
      </c>
      <c r="F2829" s="3">
        <f t="shared" si="240"/>
        <v>45635</v>
      </c>
      <c r="G2829" s="3">
        <f t="shared" si="240"/>
        <v>45635</v>
      </c>
      <c r="H2829">
        <v>1515401232</v>
      </c>
      <c r="I2829" t="s">
        <v>20</v>
      </c>
      <c r="K2829" t="s">
        <v>21</v>
      </c>
      <c r="L2829" t="s">
        <v>22</v>
      </c>
      <c r="M2829" t="s">
        <v>23</v>
      </c>
      <c r="N2829" t="s">
        <v>23</v>
      </c>
      <c r="O2829" t="s">
        <v>24</v>
      </c>
      <c r="P2829" s="8" t="s">
        <v>3423</v>
      </c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</row>
    <row r="2830" spans="1:51" x14ac:dyDescent="0.2">
      <c r="A2830" s="6" t="s">
        <v>17</v>
      </c>
      <c r="B2830" t="s">
        <v>57</v>
      </c>
      <c r="C2830" t="s">
        <v>58</v>
      </c>
      <c r="D2830" t="s">
        <v>3424</v>
      </c>
      <c r="E2830" s="2">
        <v>52.5</v>
      </c>
      <c r="F2830" s="3">
        <f t="shared" si="240"/>
        <v>45635</v>
      </c>
      <c r="G2830" s="3">
        <f t="shared" si="240"/>
        <v>45635</v>
      </c>
      <c r="H2830">
        <v>1515401233</v>
      </c>
      <c r="I2830" t="s">
        <v>20</v>
      </c>
      <c r="K2830" t="s">
        <v>21</v>
      </c>
      <c r="L2830" t="s">
        <v>22</v>
      </c>
      <c r="M2830" t="s">
        <v>23</v>
      </c>
      <c r="N2830" t="s">
        <v>23</v>
      </c>
      <c r="O2830" t="s">
        <v>24</v>
      </c>
      <c r="P2830" s="8" t="s">
        <v>3425</v>
      </c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  <c r="AV2830" s="11"/>
      <c r="AW2830" s="11"/>
      <c r="AX2830" s="11"/>
      <c r="AY2830" s="11"/>
    </row>
    <row r="2831" spans="1:51" x14ac:dyDescent="0.2">
      <c r="A2831" s="6" t="s">
        <v>17</v>
      </c>
      <c r="B2831" t="s">
        <v>251</v>
      </c>
      <c r="C2831" t="s">
        <v>252</v>
      </c>
      <c r="D2831" t="s">
        <v>3426</v>
      </c>
      <c r="E2831" s="2">
        <v>6255</v>
      </c>
      <c r="F2831" s="3">
        <f t="shared" si="240"/>
        <v>45635</v>
      </c>
      <c r="G2831" s="3">
        <f t="shared" si="240"/>
        <v>45635</v>
      </c>
      <c r="H2831">
        <v>1515401234</v>
      </c>
      <c r="I2831" t="s">
        <v>20</v>
      </c>
      <c r="K2831" t="s">
        <v>21</v>
      </c>
      <c r="L2831" t="s">
        <v>22</v>
      </c>
      <c r="M2831" t="s">
        <v>23</v>
      </c>
      <c r="N2831" t="s">
        <v>23</v>
      </c>
      <c r="O2831" t="s">
        <v>24</v>
      </c>
      <c r="P2831" s="8" t="s">
        <v>3427</v>
      </c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</row>
    <row r="2832" spans="1:51" x14ac:dyDescent="0.2">
      <c r="A2832" s="6" t="s">
        <v>17</v>
      </c>
      <c r="B2832" t="s">
        <v>30</v>
      </c>
      <c r="C2832" t="s">
        <v>31</v>
      </c>
      <c r="D2832" t="s">
        <v>3428</v>
      </c>
      <c r="E2832" s="2">
        <v>871.08</v>
      </c>
      <c r="F2832" s="3">
        <f>DATE(2024,12,10)</f>
        <v>45636</v>
      </c>
      <c r="G2832" s="3">
        <f>DATE(2024,12,10)</f>
        <v>45636</v>
      </c>
      <c r="H2832">
        <v>1515401235</v>
      </c>
      <c r="I2832" t="s">
        <v>20</v>
      </c>
      <c r="K2832" t="s">
        <v>21</v>
      </c>
      <c r="L2832" t="s">
        <v>22</v>
      </c>
      <c r="M2832" t="s">
        <v>23</v>
      </c>
      <c r="N2832" t="s">
        <v>23</v>
      </c>
      <c r="O2832" t="s">
        <v>24</v>
      </c>
      <c r="P2832" s="8" t="s">
        <v>3429</v>
      </c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  <c r="AV2832" s="11"/>
      <c r="AW2832" s="11"/>
      <c r="AX2832" s="11"/>
      <c r="AY2832" s="11"/>
    </row>
    <row r="2833" spans="1:51" x14ac:dyDescent="0.2">
      <c r="A2833" s="6" t="s">
        <v>17</v>
      </c>
      <c r="B2833" t="s">
        <v>34</v>
      </c>
      <c r="C2833" t="s">
        <v>35</v>
      </c>
      <c r="D2833" t="s">
        <v>98</v>
      </c>
      <c r="E2833" s="2">
        <v>500</v>
      </c>
      <c r="F2833" s="3">
        <f t="shared" ref="F2833:G2836" si="241">DATE(2024,12,9)</f>
        <v>45635</v>
      </c>
      <c r="G2833" s="3">
        <f t="shared" si="241"/>
        <v>45635</v>
      </c>
      <c r="H2833">
        <v>1515401236</v>
      </c>
      <c r="I2833" t="s">
        <v>20</v>
      </c>
      <c r="K2833" t="s">
        <v>21</v>
      </c>
      <c r="L2833" t="s">
        <v>22</v>
      </c>
      <c r="M2833" t="s">
        <v>23</v>
      </c>
      <c r="N2833" t="s">
        <v>23</v>
      </c>
      <c r="O2833" t="s">
        <v>24</v>
      </c>
      <c r="P2833" s="8" t="s">
        <v>3430</v>
      </c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  <c r="AV2833" s="11"/>
      <c r="AW2833" s="11"/>
      <c r="AX2833" s="11"/>
      <c r="AY2833" s="11"/>
    </row>
    <row r="2834" spans="1:51" hidden="1" x14ac:dyDescent="0.2">
      <c r="A2834" s="6"/>
      <c r="E2834" s="2"/>
      <c r="F2834" s="3"/>
      <c r="G2834" s="3"/>
      <c r="P2834" s="8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</row>
    <row r="2835" spans="1:51" hidden="1" x14ac:dyDescent="0.2">
      <c r="A2835" s="6"/>
      <c r="E2835" s="2"/>
      <c r="F2835" s="3"/>
      <c r="G2835" s="3"/>
      <c r="P2835" s="8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</row>
    <row r="2836" spans="1:51" hidden="1" x14ac:dyDescent="0.2">
      <c r="A2836" s="6"/>
      <c r="E2836" s="2"/>
      <c r="F2836" s="3"/>
      <c r="G2836" s="3"/>
      <c r="P2836" s="8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  <c r="AV2836" s="11"/>
      <c r="AW2836" s="11"/>
      <c r="AX2836" s="11"/>
      <c r="AY2836" s="11"/>
    </row>
    <row r="2837" spans="1:51" x14ac:dyDescent="0.2">
      <c r="A2837" s="6" t="s">
        <v>17</v>
      </c>
      <c r="B2837" t="s">
        <v>34</v>
      </c>
      <c r="C2837" t="s">
        <v>35</v>
      </c>
      <c r="D2837" t="s">
        <v>3431</v>
      </c>
      <c r="E2837" s="2">
        <v>143.30000000000001</v>
      </c>
      <c r="F2837" s="3">
        <f>DATE(2024,12,10)</f>
        <v>45636</v>
      </c>
      <c r="G2837" s="3">
        <f>DATE(2024,12,10)</f>
        <v>45636</v>
      </c>
      <c r="H2837">
        <v>1520912609</v>
      </c>
      <c r="I2837" t="s">
        <v>20</v>
      </c>
      <c r="K2837" t="s">
        <v>21</v>
      </c>
      <c r="L2837" t="s">
        <v>22</v>
      </c>
      <c r="M2837" t="s">
        <v>23</v>
      </c>
      <c r="N2837" t="s">
        <v>23</v>
      </c>
      <c r="O2837" t="s">
        <v>24</v>
      </c>
      <c r="P2837" s="8" t="s">
        <v>3432</v>
      </c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  <c r="AV2837" s="11"/>
      <c r="AW2837" s="11"/>
      <c r="AX2837" s="11"/>
      <c r="AY2837" s="11"/>
    </row>
    <row r="2838" spans="1:51" x14ac:dyDescent="0.2">
      <c r="A2838" s="6" t="s">
        <v>17</v>
      </c>
      <c r="B2838" t="s">
        <v>44</v>
      </c>
      <c r="C2838" t="s">
        <v>45</v>
      </c>
      <c r="D2838" t="s">
        <v>3433</v>
      </c>
      <c r="E2838" s="2">
        <v>30</v>
      </c>
      <c r="F2838" s="3">
        <f>DATE(2024,12,11)</f>
        <v>45637</v>
      </c>
      <c r="G2838" s="3">
        <f>DATE(2024,12,11)</f>
        <v>45637</v>
      </c>
      <c r="H2838">
        <v>1520912610</v>
      </c>
      <c r="I2838" t="s">
        <v>20</v>
      </c>
      <c r="K2838" t="s">
        <v>21</v>
      </c>
      <c r="L2838" t="s">
        <v>22</v>
      </c>
      <c r="M2838" t="s">
        <v>23</v>
      </c>
      <c r="N2838" t="s">
        <v>23</v>
      </c>
      <c r="O2838" t="s">
        <v>24</v>
      </c>
      <c r="P2838" s="8" t="s">
        <v>3434</v>
      </c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  <c r="AV2838" s="11"/>
      <c r="AW2838" s="11"/>
      <c r="AX2838" s="11"/>
      <c r="AY2838" s="11"/>
    </row>
    <row r="2839" spans="1:51" x14ac:dyDescent="0.2">
      <c r="A2839" s="6" t="s">
        <v>17</v>
      </c>
      <c r="B2839" t="s">
        <v>191</v>
      </c>
      <c r="C2839" t="s">
        <v>192</v>
      </c>
      <c r="D2839" t="s">
        <v>3435</v>
      </c>
      <c r="E2839" s="2">
        <v>660</v>
      </c>
      <c r="F2839" s="3">
        <f>DATE(2024,12,10)</f>
        <v>45636</v>
      </c>
      <c r="G2839" s="3">
        <f>DATE(2024,12,10)</f>
        <v>45636</v>
      </c>
      <c r="H2839">
        <v>1520912611</v>
      </c>
      <c r="I2839" t="s">
        <v>20</v>
      </c>
      <c r="K2839" t="s">
        <v>21</v>
      </c>
      <c r="L2839" t="s">
        <v>22</v>
      </c>
      <c r="M2839" t="s">
        <v>23</v>
      </c>
      <c r="N2839" t="s">
        <v>23</v>
      </c>
      <c r="O2839" t="s">
        <v>24</v>
      </c>
      <c r="P2839" s="8" t="s">
        <v>3436</v>
      </c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  <c r="AV2839" s="11"/>
      <c r="AW2839" s="11"/>
      <c r="AX2839" s="11"/>
      <c r="AY2839" s="11"/>
    </row>
    <row r="2840" spans="1:51" hidden="1" x14ac:dyDescent="0.2">
      <c r="A2840" s="6"/>
      <c r="E2840" s="2"/>
      <c r="F2840" s="3"/>
      <c r="G2840" s="3"/>
      <c r="P2840" s="8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  <c r="AV2840" s="11"/>
      <c r="AW2840" s="11"/>
      <c r="AX2840" s="11"/>
      <c r="AY2840" s="11"/>
    </row>
    <row r="2841" spans="1:51" x14ac:dyDescent="0.2">
      <c r="A2841" s="6" t="s">
        <v>17</v>
      </c>
      <c r="B2841" t="s">
        <v>44</v>
      </c>
      <c r="C2841" t="s">
        <v>45</v>
      </c>
      <c r="D2841" t="s">
        <v>3437</v>
      </c>
      <c r="E2841" s="2">
        <v>51.98</v>
      </c>
      <c r="F2841" s="3">
        <f t="shared" ref="F2841:G2843" si="242">DATE(2024,12,9)</f>
        <v>45635</v>
      </c>
      <c r="G2841" s="3">
        <f t="shared" si="242"/>
        <v>45635</v>
      </c>
      <c r="H2841">
        <v>1520912613</v>
      </c>
      <c r="I2841" t="s">
        <v>51</v>
      </c>
      <c r="K2841" t="s">
        <v>21</v>
      </c>
      <c r="L2841" t="s">
        <v>22</v>
      </c>
      <c r="M2841" t="s">
        <v>23</v>
      </c>
      <c r="N2841" t="s">
        <v>23</v>
      </c>
      <c r="O2841" t="s">
        <v>24</v>
      </c>
      <c r="P2841" s="8" t="s">
        <v>3438</v>
      </c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</row>
    <row r="2842" spans="1:51" x14ac:dyDescent="0.2">
      <c r="A2842" s="6" t="s">
        <v>17</v>
      </c>
      <c r="B2842" t="s">
        <v>44</v>
      </c>
      <c r="C2842" t="s">
        <v>45</v>
      </c>
      <c r="D2842" t="s">
        <v>3439</v>
      </c>
      <c r="E2842" s="2">
        <v>24.99</v>
      </c>
      <c r="F2842" s="3">
        <f t="shared" si="242"/>
        <v>45635</v>
      </c>
      <c r="G2842" s="3">
        <f t="shared" si="242"/>
        <v>45635</v>
      </c>
      <c r="H2842">
        <v>1520912614</v>
      </c>
      <c r="I2842" t="s">
        <v>51</v>
      </c>
      <c r="K2842" t="s">
        <v>21</v>
      </c>
      <c r="L2842" t="s">
        <v>22</v>
      </c>
      <c r="M2842" t="s">
        <v>23</v>
      </c>
      <c r="N2842" t="s">
        <v>23</v>
      </c>
      <c r="O2842" t="s">
        <v>24</v>
      </c>
      <c r="P2842" s="8" t="s">
        <v>3440</v>
      </c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  <c r="AV2842" s="11"/>
      <c r="AW2842" s="11"/>
      <c r="AX2842" s="11"/>
      <c r="AY2842" s="11"/>
    </row>
    <row r="2843" spans="1:51" x14ac:dyDescent="0.2">
      <c r="A2843" s="6" t="s">
        <v>17</v>
      </c>
      <c r="B2843" t="s">
        <v>144</v>
      </c>
      <c r="C2843" t="s">
        <v>145</v>
      </c>
      <c r="D2843" t="s">
        <v>3184</v>
      </c>
      <c r="E2843" s="2">
        <v>49.99</v>
      </c>
      <c r="F2843" s="3">
        <f t="shared" si="242"/>
        <v>45635</v>
      </c>
      <c r="G2843" s="3">
        <f t="shared" si="242"/>
        <v>45635</v>
      </c>
      <c r="H2843">
        <v>1520912615</v>
      </c>
      <c r="I2843" t="s">
        <v>51</v>
      </c>
      <c r="K2843" t="s">
        <v>21</v>
      </c>
      <c r="L2843" t="s">
        <v>22</v>
      </c>
      <c r="M2843" t="s">
        <v>23</v>
      </c>
      <c r="N2843" t="s">
        <v>23</v>
      </c>
      <c r="O2843" t="s">
        <v>24</v>
      </c>
      <c r="P2843" s="8" t="s">
        <v>3441</v>
      </c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</row>
    <row r="2844" spans="1:51" x14ac:dyDescent="0.2">
      <c r="A2844" s="6" t="s">
        <v>17</v>
      </c>
      <c r="B2844" t="s">
        <v>44</v>
      </c>
      <c r="C2844" t="s">
        <v>45</v>
      </c>
      <c r="D2844" t="s">
        <v>831</v>
      </c>
      <c r="E2844" s="2">
        <v>49.99</v>
      </c>
      <c r="F2844" s="3">
        <f>DATE(2024,12,7)</f>
        <v>45633</v>
      </c>
      <c r="G2844" s="3">
        <f>DATE(2024,12,7)</f>
        <v>45633</v>
      </c>
      <c r="H2844">
        <v>1520912616</v>
      </c>
      <c r="I2844" t="s">
        <v>51</v>
      </c>
      <c r="K2844" t="s">
        <v>21</v>
      </c>
      <c r="L2844" t="s">
        <v>22</v>
      </c>
      <c r="M2844" t="s">
        <v>23</v>
      </c>
      <c r="N2844" t="s">
        <v>23</v>
      </c>
      <c r="O2844" t="s">
        <v>24</v>
      </c>
      <c r="P2844" s="8" t="s">
        <v>3442</v>
      </c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  <c r="AV2844" s="11"/>
      <c r="AW2844" s="11"/>
      <c r="AX2844" s="11"/>
      <c r="AY2844" s="11"/>
    </row>
    <row r="2845" spans="1:51" hidden="1" x14ac:dyDescent="0.2">
      <c r="A2845" s="6"/>
      <c r="E2845" s="2"/>
      <c r="F2845" s="3"/>
      <c r="G2845" s="3"/>
      <c r="P2845" s="8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  <c r="AV2845" s="11"/>
      <c r="AW2845" s="11"/>
      <c r="AX2845" s="11"/>
      <c r="AY2845" s="11"/>
    </row>
    <row r="2846" spans="1:51" x14ac:dyDescent="0.2">
      <c r="A2846" s="6" t="s">
        <v>17</v>
      </c>
      <c r="B2846" t="s">
        <v>163</v>
      </c>
      <c r="C2846" t="s">
        <v>164</v>
      </c>
      <c r="D2846" t="s">
        <v>3443</v>
      </c>
      <c r="E2846" s="2">
        <v>10721.47</v>
      </c>
      <c r="F2846" s="3">
        <f t="shared" ref="F2846:G2849" si="243">DATE(2024,12,12)</f>
        <v>45638</v>
      </c>
      <c r="G2846" s="3">
        <f t="shared" si="243"/>
        <v>45638</v>
      </c>
      <c r="H2846">
        <v>1526122971</v>
      </c>
      <c r="I2846" t="s">
        <v>20</v>
      </c>
      <c r="K2846" t="s">
        <v>21</v>
      </c>
      <c r="L2846" t="s">
        <v>22</v>
      </c>
      <c r="M2846" t="s">
        <v>23</v>
      </c>
      <c r="N2846" t="s">
        <v>23</v>
      </c>
      <c r="O2846" t="s">
        <v>24</v>
      </c>
      <c r="P2846" s="8" t="s">
        <v>3444</v>
      </c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  <c r="AV2846" s="11"/>
      <c r="AW2846" s="11"/>
      <c r="AX2846" s="11"/>
      <c r="AY2846" s="11"/>
    </row>
    <row r="2847" spans="1:51" x14ac:dyDescent="0.2">
      <c r="A2847" s="6" t="s">
        <v>17</v>
      </c>
      <c r="B2847" t="s">
        <v>80</v>
      </c>
      <c r="C2847" t="s">
        <v>81</v>
      </c>
      <c r="D2847" t="s">
        <v>3445</v>
      </c>
      <c r="E2847" s="2">
        <v>42</v>
      </c>
      <c r="F2847" s="3">
        <f t="shared" si="243"/>
        <v>45638</v>
      </c>
      <c r="G2847" s="3">
        <f t="shared" si="243"/>
        <v>45638</v>
      </c>
      <c r="H2847">
        <v>1526122972</v>
      </c>
      <c r="I2847" t="s">
        <v>20</v>
      </c>
      <c r="K2847" t="s">
        <v>21</v>
      </c>
      <c r="L2847" t="s">
        <v>22</v>
      </c>
      <c r="M2847" t="s">
        <v>23</v>
      </c>
      <c r="N2847" t="s">
        <v>23</v>
      </c>
      <c r="O2847" t="s">
        <v>24</v>
      </c>
      <c r="P2847" s="8" t="s">
        <v>3446</v>
      </c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</row>
    <row r="2848" spans="1:51" x14ac:dyDescent="0.2">
      <c r="A2848" s="6" t="s">
        <v>17</v>
      </c>
      <c r="B2848" t="s">
        <v>163</v>
      </c>
      <c r="C2848" t="s">
        <v>164</v>
      </c>
      <c r="D2848" t="s">
        <v>3447</v>
      </c>
      <c r="E2848" s="2">
        <v>3636.36</v>
      </c>
      <c r="F2848" s="3">
        <f t="shared" si="243"/>
        <v>45638</v>
      </c>
      <c r="G2848" s="3">
        <f t="shared" si="243"/>
        <v>45638</v>
      </c>
      <c r="H2848">
        <v>1526122973</v>
      </c>
      <c r="I2848" t="s">
        <v>20</v>
      </c>
      <c r="K2848" t="s">
        <v>21</v>
      </c>
      <c r="L2848" t="s">
        <v>22</v>
      </c>
      <c r="M2848" t="s">
        <v>23</v>
      </c>
      <c r="N2848" t="s">
        <v>23</v>
      </c>
      <c r="O2848" t="s">
        <v>24</v>
      </c>
      <c r="P2848" s="8" t="s">
        <v>3448</v>
      </c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  <c r="AV2848" s="11"/>
      <c r="AW2848" s="11"/>
      <c r="AX2848" s="11"/>
      <c r="AY2848" s="11"/>
    </row>
    <row r="2849" spans="1:51" x14ac:dyDescent="0.2">
      <c r="A2849" s="6" t="s">
        <v>17</v>
      </c>
      <c r="B2849" t="s">
        <v>26</v>
      </c>
      <c r="C2849" t="s">
        <v>27</v>
      </c>
      <c r="D2849" t="s">
        <v>3449</v>
      </c>
      <c r="E2849" s="2">
        <v>4627.63</v>
      </c>
      <c r="F2849" s="3">
        <f t="shared" si="243"/>
        <v>45638</v>
      </c>
      <c r="G2849" s="3">
        <f t="shared" si="243"/>
        <v>45638</v>
      </c>
      <c r="H2849">
        <v>1526122974</v>
      </c>
      <c r="I2849" t="s">
        <v>20</v>
      </c>
      <c r="K2849" t="s">
        <v>21</v>
      </c>
      <c r="L2849" t="s">
        <v>22</v>
      </c>
      <c r="M2849" t="s">
        <v>23</v>
      </c>
      <c r="N2849" t="s">
        <v>23</v>
      </c>
      <c r="O2849" t="s">
        <v>24</v>
      </c>
      <c r="P2849" s="8" t="s">
        <v>3450</v>
      </c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  <c r="AV2849" s="11"/>
      <c r="AW2849" s="11"/>
      <c r="AX2849" s="11"/>
      <c r="AY2849" s="11"/>
    </row>
    <row r="2850" spans="1:51" x14ac:dyDescent="0.2">
      <c r="A2850" s="6" t="s">
        <v>17</v>
      </c>
      <c r="B2850" t="s">
        <v>887</v>
      </c>
      <c r="C2850" t="s">
        <v>888</v>
      </c>
      <c r="D2850" t="s">
        <v>3451</v>
      </c>
      <c r="E2850" s="2">
        <v>47.6</v>
      </c>
      <c r="F2850" s="3">
        <f t="shared" ref="F2850:G2852" si="244">DATE(2024,12,11)</f>
        <v>45637</v>
      </c>
      <c r="G2850" s="3">
        <f t="shared" si="244"/>
        <v>45637</v>
      </c>
      <c r="H2850">
        <v>1526184254</v>
      </c>
      <c r="I2850" t="s">
        <v>73</v>
      </c>
      <c r="K2850" t="s">
        <v>21</v>
      </c>
      <c r="L2850" t="s">
        <v>22</v>
      </c>
      <c r="M2850" t="s">
        <v>23</v>
      </c>
      <c r="N2850" t="s">
        <v>23</v>
      </c>
      <c r="O2850" t="s">
        <v>24</v>
      </c>
      <c r="P2850" s="8" t="s">
        <v>3452</v>
      </c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  <c r="AV2850" s="11"/>
      <c r="AW2850" s="11"/>
      <c r="AX2850" s="11"/>
      <c r="AY2850" s="11"/>
    </row>
    <row r="2851" spans="1:51" x14ac:dyDescent="0.2">
      <c r="A2851" s="6" t="s">
        <v>17</v>
      </c>
      <c r="B2851" t="s">
        <v>18</v>
      </c>
      <c r="C2851" t="s">
        <v>18</v>
      </c>
      <c r="D2851" t="s">
        <v>3453</v>
      </c>
      <c r="E2851" s="2">
        <v>30.23</v>
      </c>
      <c r="F2851" s="3">
        <f t="shared" si="244"/>
        <v>45637</v>
      </c>
      <c r="G2851" s="3">
        <f t="shared" si="244"/>
        <v>45637</v>
      </c>
      <c r="H2851">
        <v>1526184255</v>
      </c>
      <c r="I2851" t="s">
        <v>73</v>
      </c>
      <c r="K2851" t="s">
        <v>21</v>
      </c>
      <c r="L2851" t="s">
        <v>22</v>
      </c>
      <c r="M2851" t="s">
        <v>23</v>
      </c>
      <c r="N2851" t="s">
        <v>23</v>
      </c>
      <c r="O2851" t="s">
        <v>24</v>
      </c>
      <c r="P2851" s="8" t="s">
        <v>3454</v>
      </c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  <c r="AV2851" s="11"/>
      <c r="AW2851" s="11"/>
      <c r="AX2851" s="11"/>
      <c r="AY2851" s="11"/>
    </row>
    <row r="2852" spans="1:51" hidden="1" x14ac:dyDescent="0.2">
      <c r="A2852" s="6"/>
      <c r="E2852" s="2"/>
      <c r="F2852" s="3"/>
      <c r="G2852" s="3"/>
      <c r="P2852" s="8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  <c r="AV2852" s="11"/>
      <c r="AW2852" s="11"/>
      <c r="AX2852" s="11"/>
      <c r="AY2852" s="11"/>
    </row>
    <row r="2853" spans="1:51" hidden="1" x14ac:dyDescent="0.2">
      <c r="A2853" s="6"/>
      <c r="E2853" s="2"/>
      <c r="F2853" s="3"/>
      <c r="G2853" s="3"/>
      <c r="P2853" s="8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</row>
    <row r="2854" spans="1:51" hidden="1" x14ac:dyDescent="0.2">
      <c r="A2854" s="6"/>
      <c r="E2854" s="2"/>
      <c r="F2854" s="3"/>
      <c r="G2854" s="3"/>
      <c r="P2854" s="8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  <c r="AV2854" s="11"/>
      <c r="AW2854" s="11"/>
      <c r="AX2854" s="11"/>
      <c r="AY2854" s="11"/>
    </row>
    <row r="2855" spans="1:51" x14ac:dyDescent="0.2">
      <c r="A2855" s="6" t="s">
        <v>17</v>
      </c>
      <c r="B2855" t="s">
        <v>18</v>
      </c>
      <c r="C2855" t="s">
        <v>18</v>
      </c>
      <c r="D2855" t="s">
        <v>3455</v>
      </c>
      <c r="E2855" s="2">
        <v>1.89</v>
      </c>
      <c r="F2855" s="3">
        <f t="shared" ref="F2853:G2855" si="245">DATE(2024,12,12)</f>
        <v>45638</v>
      </c>
      <c r="G2855" s="3">
        <f t="shared" si="245"/>
        <v>45638</v>
      </c>
      <c r="H2855">
        <v>1530504228</v>
      </c>
      <c r="I2855" t="s">
        <v>20</v>
      </c>
      <c r="K2855" t="s">
        <v>21</v>
      </c>
      <c r="L2855" t="s">
        <v>22</v>
      </c>
      <c r="M2855" t="s">
        <v>23</v>
      </c>
      <c r="N2855" t="s">
        <v>23</v>
      </c>
      <c r="O2855" t="s">
        <v>24</v>
      </c>
      <c r="P2855" s="8" t="s">
        <v>3456</v>
      </c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  <c r="AV2855" s="11"/>
      <c r="AW2855" s="11"/>
      <c r="AX2855" s="11"/>
      <c r="AY2855" s="11"/>
    </row>
    <row r="2856" spans="1:51" x14ac:dyDescent="0.2">
      <c r="A2856" s="6" t="s">
        <v>17</v>
      </c>
      <c r="B2856" t="s">
        <v>44</v>
      </c>
      <c r="C2856" t="s">
        <v>45</v>
      </c>
      <c r="D2856" t="s">
        <v>3457</v>
      </c>
      <c r="E2856" s="2">
        <v>75.8</v>
      </c>
      <c r="F2856" s="3">
        <f>DATE(2024,12,13)</f>
        <v>45639</v>
      </c>
      <c r="G2856" s="3">
        <f>DATE(2024,12,13)</f>
        <v>45639</v>
      </c>
      <c r="H2856">
        <v>1530504229</v>
      </c>
      <c r="I2856" t="s">
        <v>20</v>
      </c>
      <c r="K2856" t="s">
        <v>21</v>
      </c>
      <c r="L2856" t="s">
        <v>22</v>
      </c>
      <c r="M2856" t="s">
        <v>23</v>
      </c>
      <c r="N2856" t="s">
        <v>23</v>
      </c>
      <c r="O2856" t="s">
        <v>24</v>
      </c>
      <c r="P2856" s="8" t="s">
        <v>3458</v>
      </c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</row>
    <row r="2857" spans="1:51" x14ac:dyDescent="0.2">
      <c r="A2857" s="6" t="s">
        <v>17</v>
      </c>
      <c r="B2857" t="s">
        <v>44</v>
      </c>
      <c r="C2857" t="s">
        <v>45</v>
      </c>
      <c r="D2857" t="s">
        <v>831</v>
      </c>
      <c r="E2857" s="2">
        <v>23.32</v>
      </c>
      <c r="F2857" s="3">
        <f>DATE(2024,12,10)</f>
        <v>45636</v>
      </c>
      <c r="G2857" s="3">
        <f>DATE(2024,12,10)</f>
        <v>45636</v>
      </c>
      <c r="H2857">
        <v>1530504230</v>
      </c>
      <c r="I2857" t="s">
        <v>51</v>
      </c>
      <c r="K2857" t="s">
        <v>21</v>
      </c>
      <c r="L2857" t="s">
        <v>22</v>
      </c>
      <c r="M2857" t="s">
        <v>23</v>
      </c>
      <c r="N2857" t="s">
        <v>23</v>
      </c>
      <c r="O2857" t="s">
        <v>24</v>
      </c>
      <c r="P2857" s="8" t="s">
        <v>3459</v>
      </c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  <c r="AV2857" s="11"/>
      <c r="AW2857" s="11"/>
      <c r="AX2857" s="11"/>
      <c r="AY2857" s="11"/>
    </row>
    <row r="2858" spans="1:51" x14ac:dyDescent="0.2">
      <c r="A2858" s="6" t="s">
        <v>17</v>
      </c>
      <c r="B2858" t="s">
        <v>144</v>
      </c>
      <c r="C2858" t="s">
        <v>145</v>
      </c>
      <c r="D2858" t="s">
        <v>3460</v>
      </c>
      <c r="E2858" s="2">
        <v>141.5</v>
      </c>
      <c r="F2858" s="3">
        <f>DATE(2024,12,11)</f>
        <v>45637</v>
      </c>
      <c r="G2858" s="3">
        <f>DATE(2024,12,11)</f>
        <v>45637</v>
      </c>
      <c r="H2858">
        <v>1530504231</v>
      </c>
      <c r="I2858" t="s">
        <v>51</v>
      </c>
      <c r="K2858" t="s">
        <v>21</v>
      </c>
      <c r="L2858" t="s">
        <v>22</v>
      </c>
      <c r="M2858" t="s">
        <v>23</v>
      </c>
      <c r="N2858" t="s">
        <v>23</v>
      </c>
      <c r="O2858" t="s">
        <v>24</v>
      </c>
      <c r="P2858" s="8" t="s">
        <v>3461</v>
      </c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  <c r="AV2858" s="11"/>
      <c r="AW2858" s="11"/>
      <c r="AX2858" s="11"/>
      <c r="AY2858" s="11"/>
    </row>
    <row r="2859" spans="1:51" x14ac:dyDescent="0.2">
      <c r="A2859" s="6" t="s">
        <v>17</v>
      </c>
      <c r="B2859" t="s">
        <v>367</v>
      </c>
      <c r="C2859" t="s">
        <v>368</v>
      </c>
      <c r="D2859" t="s">
        <v>1694</v>
      </c>
      <c r="E2859" s="2">
        <v>1.55</v>
      </c>
      <c r="F2859" s="3">
        <f t="shared" ref="F2859:G2862" si="246">DATE(2024,12,12)</f>
        <v>45638</v>
      </c>
      <c r="G2859" s="3">
        <f t="shared" si="246"/>
        <v>45638</v>
      </c>
      <c r="H2859">
        <v>1530515166</v>
      </c>
      <c r="I2859" t="s">
        <v>73</v>
      </c>
      <c r="K2859" t="s">
        <v>21</v>
      </c>
      <c r="L2859" t="s">
        <v>22</v>
      </c>
      <c r="M2859" t="s">
        <v>23</v>
      </c>
      <c r="N2859" t="s">
        <v>23</v>
      </c>
      <c r="O2859" t="s">
        <v>24</v>
      </c>
      <c r="P2859" s="8" t="s">
        <v>3462</v>
      </c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</row>
    <row r="2860" spans="1:51" hidden="1" x14ac:dyDescent="0.2">
      <c r="A2860" s="6"/>
      <c r="E2860" s="2"/>
      <c r="F2860" s="3"/>
      <c r="G2860" s="3"/>
      <c r="P2860" s="8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  <c r="AV2860" s="11"/>
      <c r="AW2860" s="11"/>
      <c r="AX2860" s="11"/>
      <c r="AY2860" s="11"/>
    </row>
    <row r="2861" spans="1:51" hidden="1" x14ac:dyDescent="0.2">
      <c r="A2861" s="6"/>
      <c r="E2861" s="2"/>
      <c r="F2861" s="3"/>
      <c r="G2861" s="3"/>
      <c r="P2861" s="8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  <c r="AV2861" s="11"/>
      <c r="AW2861" s="11"/>
      <c r="AX2861" s="11"/>
      <c r="AY2861" s="11"/>
    </row>
    <row r="2862" spans="1:51" hidden="1" x14ac:dyDescent="0.2">
      <c r="A2862" s="6"/>
      <c r="E2862" s="2"/>
      <c r="F2862" s="3"/>
      <c r="G2862" s="3"/>
      <c r="P2862" s="8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  <c r="AV2862" s="11"/>
      <c r="AW2862" s="11"/>
      <c r="AX2862" s="11"/>
      <c r="AY2862" s="11"/>
    </row>
    <row r="2863" spans="1:51" x14ac:dyDescent="0.2">
      <c r="A2863" s="6" t="s">
        <v>17</v>
      </c>
      <c r="B2863" t="s">
        <v>18</v>
      </c>
      <c r="C2863" t="s">
        <v>18</v>
      </c>
      <c r="D2863" t="s">
        <v>3463</v>
      </c>
      <c r="E2863" s="2">
        <v>1.82</v>
      </c>
      <c r="F2863" s="3">
        <f>DATE(2024,12,13)</f>
        <v>45639</v>
      </c>
      <c r="G2863" s="3">
        <f>DATE(2024,12,13)</f>
        <v>45639</v>
      </c>
      <c r="H2863">
        <v>1533615832</v>
      </c>
      <c r="I2863" t="s">
        <v>20</v>
      </c>
      <c r="K2863" t="s">
        <v>21</v>
      </c>
      <c r="L2863" t="s">
        <v>22</v>
      </c>
      <c r="M2863" t="s">
        <v>23</v>
      </c>
      <c r="N2863" t="s">
        <v>23</v>
      </c>
      <c r="O2863" t="s">
        <v>24</v>
      </c>
      <c r="P2863" s="8" t="s">
        <v>3464</v>
      </c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  <c r="AV2863" s="11"/>
      <c r="AW2863" s="11"/>
      <c r="AX2863" s="11"/>
      <c r="AY2863" s="11"/>
    </row>
    <row r="2864" spans="1:51" hidden="1" x14ac:dyDescent="0.2">
      <c r="A2864" s="6"/>
      <c r="E2864" s="2"/>
      <c r="F2864" s="3"/>
      <c r="G2864" s="3"/>
      <c r="P2864" s="8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  <c r="AV2864" s="11"/>
      <c r="AW2864" s="11"/>
      <c r="AX2864" s="11"/>
      <c r="AY2864" s="11"/>
    </row>
    <row r="2865" spans="1:51" x14ac:dyDescent="0.2">
      <c r="A2865" s="6" t="s">
        <v>17</v>
      </c>
      <c r="B2865" t="s">
        <v>144</v>
      </c>
      <c r="C2865" t="s">
        <v>145</v>
      </c>
      <c r="D2865" t="s">
        <v>3049</v>
      </c>
      <c r="E2865" s="2">
        <v>280</v>
      </c>
      <c r="F2865" s="3">
        <f>DATE(2024,12,12)</f>
        <v>45638</v>
      </c>
      <c r="G2865" s="3">
        <f>DATE(2024,12,12)</f>
        <v>45638</v>
      </c>
      <c r="H2865">
        <v>1533615834</v>
      </c>
      <c r="I2865" t="s">
        <v>51</v>
      </c>
      <c r="K2865" t="s">
        <v>21</v>
      </c>
      <c r="L2865" t="s">
        <v>22</v>
      </c>
      <c r="M2865" t="s">
        <v>23</v>
      </c>
      <c r="N2865" t="s">
        <v>23</v>
      </c>
      <c r="O2865" t="s">
        <v>24</v>
      </c>
      <c r="P2865" s="8" t="s">
        <v>3465</v>
      </c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</row>
    <row r="2866" spans="1:51" hidden="1" x14ac:dyDescent="0.2">
      <c r="A2866" s="6"/>
      <c r="E2866" s="2"/>
      <c r="F2866" s="3"/>
      <c r="G2866" s="3"/>
      <c r="P2866" s="8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  <c r="AV2866" s="11"/>
      <c r="AW2866" s="11"/>
      <c r="AX2866" s="11"/>
      <c r="AY2866" s="11"/>
    </row>
    <row r="2867" spans="1:51" x14ac:dyDescent="0.2">
      <c r="A2867" s="6" t="s">
        <v>17</v>
      </c>
      <c r="B2867" t="s">
        <v>34</v>
      </c>
      <c r="C2867" t="s">
        <v>35</v>
      </c>
      <c r="D2867" t="s">
        <v>2602</v>
      </c>
      <c r="E2867" s="2">
        <v>40</v>
      </c>
      <c r="F2867" s="3">
        <f t="shared" ref="F2866:G2868" si="247">DATE(2024,12,13)</f>
        <v>45639</v>
      </c>
      <c r="G2867" s="3">
        <f t="shared" si="247"/>
        <v>45639</v>
      </c>
      <c r="H2867">
        <v>1536254191</v>
      </c>
      <c r="I2867" t="s">
        <v>51</v>
      </c>
      <c r="K2867" t="s">
        <v>21</v>
      </c>
      <c r="L2867" t="s">
        <v>22</v>
      </c>
      <c r="M2867" t="s">
        <v>23</v>
      </c>
      <c r="N2867" t="s">
        <v>23</v>
      </c>
      <c r="O2867" t="s">
        <v>24</v>
      </c>
      <c r="P2867" s="8" t="s">
        <v>3466</v>
      </c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</row>
    <row r="2868" spans="1:51" x14ac:dyDescent="0.2">
      <c r="A2868" s="6" t="s">
        <v>17</v>
      </c>
      <c r="B2868" t="s">
        <v>26</v>
      </c>
      <c r="C2868" t="s">
        <v>27</v>
      </c>
      <c r="D2868" t="s">
        <v>71</v>
      </c>
      <c r="E2868" s="2">
        <v>6.71</v>
      </c>
      <c r="F2868" s="3">
        <f t="shared" si="247"/>
        <v>45639</v>
      </c>
      <c r="G2868" s="3">
        <f t="shared" si="247"/>
        <v>45639</v>
      </c>
      <c r="H2868">
        <v>1536254192</v>
      </c>
      <c r="I2868" t="s">
        <v>51</v>
      </c>
      <c r="K2868" t="s">
        <v>21</v>
      </c>
      <c r="L2868" t="s">
        <v>22</v>
      </c>
      <c r="M2868" t="s">
        <v>23</v>
      </c>
      <c r="N2868" t="s">
        <v>23</v>
      </c>
      <c r="O2868" t="s">
        <v>24</v>
      </c>
      <c r="P2868" s="8" t="s">
        <v>3467</v>
      </c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  <c r="AV2868" s="11"/>
      <c r="AW2868" s="11"/>
      <c r="AX2868" s="11"/>
      <c r="AY2868" s="11"/>
    </row>
    <row r="2869" spans="1:51" x14ac:dyDescent="0.2">
      <c r="A2869" s="6" t="s">
        <v>17</v>
      </c>
      <c r="B2869" t="s">
        <v>18</v>
      </c>
      <c r="C2869" t="s">
        <v>18</v>
      </c>
      <c r="D2869" t="s">
        <v>3468</v>
      </c>
      <c r="E2869" s="2">
        <v>0.99</v>
      </c>
      <c r="F2869" s="3">
        <f>DATE(2024,12,16)</f>
        <v>45642</v>
      </c>
      <c r="G2869" s="3">
        <f>DATE(2024,12,16)</f>
        <v>45642</v>
      </c>
      <c r="H2869">
        <v>1541393533</v>
      </c>
      <c r="I2869" t="s">
        <v>20</v>
      </c>
      <c r="K2869" t="s">
        <v>21</v>
      </c>
      <c r="L2869" t="s">
        <v>22</v>
      </c>
      <c r="M2869" t="s">
        <v>23</v>
      </c>
      <c r="N2869" t="s">
        <v>23</v>
      </c>
      <c r="O2869" t="s">
        <v>24</v>
      </c>
      <c r="P2869" s="8" t="s">
        <v>3469</v>
      </c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  <c r="AV2869" s="11"/>
      <c r="AW2869" s="11"/>
      <c r="AX2869" s="11"/>
      <c r="AY2869" s="11"/>
    </row>
    <row r="2870" spans="1:51" x14ac:dyDescent="0.2">
      <c r="A2870" s="6" t="s">
        <v>17</v>
      </c>
      <c r="B2870" t="s">
        <v>183</v>
      </c>
      <c r="C2870" t="s">
        <v>184</v>
      </c>
      <c r="D2870" t="s">
        <v>3470</v>
      </c>
      <c r="E2870" s="2">
        <v>17121</v>
      </c>
      <c r="F2870" s="3">
        <f>DATE(2024,12,17)</f>
        <v>45643</v>
      </c>
      <c r="G2870" s="3">
        <f>DATE(2024,12,17)</f>
        <v>45643</v>
      </c>
      <c r="H2870">
        <v>1541393534</v>
      </c>
      <c r="I2870" t="s">
        <v>20</v>
      </c>
      <c r="K2870" t="s">
        <v>21</v>
      </c>
      <c r="L2870" t="s">
        <v>22</v>
      </c>
      <c r="M2870" t="s">
        <v>23</v>
      </c>
      <c r="N2870" t="s">
        <v>23</v>
      </c>
      <c r="O2870" t="s">
        <v>24</v>
      </c>
      <c r="P2870" s="8" t="s">
        <v>3471</v>
      </c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  <c r="AV2870" s="11"/>
      <c r="AW2870" s="11"/>
      <c r="AX2870" s="11"/>
      <c r="AY2870" s="11"/>
    </row>
    <row r="2871" spans="1:51" x14ac:dyDescent="0.2">
      <c r="A2871" s="6" t="s">
        <v>17</v>
      </c>
      <c r="B2871" t="s">
        <v>183</v>
      </c>
      <c r="C2871" t="s">
        <v>184</v>
      </c>
      <c r="D2871" t="s">
        <v>3472</v>
      </c>
      <c r="E2871" s="2">
        <v>18</v>
      </c>
      <c r="F2871" s="3">
        <f>DATE(2024,12,17)</f>
        <v>45643</v>
      </c>
      <c r="G2871" s="3">
        <f>DATE(2024,12,17)</f>
        <v>45643</v>
      </c>
      <c r="H2871">
        <v>1541393535</v>
      </c>
      <c r="I2871" t="s">
        <v>20</v>
      </c>
      <c r="K2871" t="s">
        <v>21</v>
      </c>
      <c r="L2871" t="s">
        <v>22</v>
      </c>
      <c r="M2871" t="s">
        <v>23</v>
      </c>
      <c r="N2871" t="s">
        <v>23</v>
      </c>
      <c r="O2871" t="s">
        <v>24</v>
      </c>
      <c r="P2871" s="8" t="s">
        <v>3473</v>
      </c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</row>
    <row r="2872" spans="1:51" x14ac:dyDescent="0.2">
      <c r="A2872" s="6" t="s">
        <v>17</v>
      </c>
      <c r="B2872" t="s">
        <v>137</v>
      </c>
      <c r="C2872" t="s">
        <v>138</v>
      </c>
      <c r="D2872" t="s">
        <v>3474</v>
      </c>
      <c r="E2872" s="2">
        <v>118.8</v>
      </c>
      <c r="F2872" s="3">
        <f>DATE(2024,12,16)</f>
        <v>45642</v>
      </c>
      <c r="G2872" s="3">
        <f>DATE(2024,12,16)</f>
        <v>45642</v>
      </c>
      <c r="H2872">
        <v>1541393536</v>
      </c>
      <c r="I2872" t="s">
        <v>20</v>
      </c>
      <c r="K2872" t="s">
        <v>21</v>
      </c>
      <c r="L2872" t="s">
        <v>22</v>
      </c>
      <c r="M2872" t="s">
        <v>23</v>
      </c>
      <c r="N2872" t="s">
        <v>23</v>
      </c>
      <c r="O2872" t="s">
        <v>24</v>
      </c>
      <c r="P2872" s="8" t="s">
        <v>3475</v>
      </c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  <c r="AV2872" s="11"/>
      <c r="AW2872" s="11"/>
      <c r="AX2872" s="11"/>
      <c r="AY2872" s="11"/>
    </row>
    <row r="2873" spans="1:51" hidden="1" x14ac:dyDescent="0.2">
      <c r="A2873" s="6"/>
      <c r="E2873" s="2"/>
      <c r="F2873" s="3"/>
      <c r="G2873" s="3"/>
      <c r="P2873" s="8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  <c r="AV2873" s="11"/>
      <c r="AW2873" s="11"/>
      <c r="AX2873" s="11"/>
      <c r="AY2873" s="11"/>
    </row>
    <row r="2874" spans="1:51" x14ac:dyDescent="0.2">
      <c r="A2874" s="6" t="s">
        <v>17</v>
      </c>
      <c r="B2874" t="s">
        <v>191</v>
      </c>
      <c r="C2874" t="s">
        <v>192</v>
      </c>
      <c r="D2874" t="s">
        <v>3476</v>
      </c>
      <c r="E2874" s="2">
        <v>840</v>
      </c>
      <c r="F2874" s="3">
        <f t="shared" ref="F2874:G2876" si="248">DATE(2024,12,17)</f>
        <v>45643</v>
      </c>
      <c r="G2874" s="3">
        <f t="shared" si="248"/>
        <v>45643</v>
      </c>
      <c r="H2874">
        <v>1541393538</v>
      </c>
      <c r="I2874" t="s">
        <v>20</v>
      </c>
      <c r="K2874" t="s">
        <v>21</v>
      </c>
      <c r="L2874" t="s">
        <v>22</v>
      </c>
      <c r="M2874" t="s">
        <v>23</v>
      </c>
      <c r="N2874" t="s">
        <v>23</v>
      </c>
      <c r="O2874" t="s">
        <v>24</v>
      </c>
      <c r="P2874" s="8" t="s">
        <v>3477</v>
      </c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  <c r="AV2874" s="11"/>
      <c r="AW2874" s="11"/>
      <c r="AX2874" s="11"/>
      <c r="AY2874" s="11"/>
    </row>
    <row r="2875" spans="1:51" x14ac:dyDescent="0.2">
      <c r="A2875" s="6" t="s">
        <v>17</v>
      </c>
      <c r="B2875" t="s">
        <v>183</v>
      </c>
      <c r="C2875" t="s">
        <v>184</v>
      </c>
      <c r="D2875" t="s">
        <v>3478</v>
      </c>
      <c r="E2875" s="2">
        <v>18</v>
      </c>
      <c r="F2875" s="3">
        <f t="shared" si="248"/>
        <v>45643</v>
      </c>
      <c r="G2875" s="3">
        <f t="shared" si="248"/>
        <v>45643</v>
      </c>
      <c r="H2875">
        <v>1541393539</v>
      </c>
      <c r="I2875" t="s">
        <v>20</v>
      </c>
      <c r="K2875" t="s">
        <v>21</v>
      </c>
      <c r="L2875" t="s">
        <v>22</v>
      </c>
      <c r="M2875" t="s">
        <v>23</v>
      </c>
      <c r="N2875" t="s">
        <v>23</v>
      </c>
      <c r="O2875" t="s">
        <v>24</v>
      </c>
      <c r="P2875" s="8" t="s">
        <v>3479</v>
      </c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  <c r="AV2875" s="11"/>
      <c r="AW2875" s="11"/>
      <c r="AX2875" s="11"/>
      <c r="AY2875" s="11"/>
    </row>
    <row r="2876" spans="1:51" x14ac:dyDescent="0.2">
      <c r="A2876" s="6" t="s">
        <v>17</v>
      </c>
      <c r="B2876" t="s">
        <v>191</v>
      </c>
      <c r="C2876" t="s">
        <v>192</v>
      </c>
      <c r="D2876" t="s">
        <v>3480</v>
      </c>
      <c r="E2876" s="2">
        <v>1000</v>
      </c>
      <c r="F2876" s="3">
        <f t="shared" si="248"/>
        <v>45643</v>
      </c>
      <c r="G2876" s="3">
        <f t="shared" si="248"/>
        <v>45643</v>
      </c>
      <c r="H2876">
        <v>1541393540</v>
      </c>
      <c r="I2876" t="s">
        <v>20</v>
      </c>
      <c r="K2876" t="s">
        <v>21</v>
      </c>
      <c r="L2876" t="s">
        <v>22</v>
      </c>
      <c r="M2876" t="s">
        <v>23</v>
      </c>
      <c r="N2876" t="s">
        <v>23</v>
      </c>
      <c r="O2876" t="s">
        <v>24</v>
      </c>
      <c r="P2876" s="8" t="s">
        <v>3481</v>
      </c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  <c r="AV2876" s="11"/>
      <c r="AW2876" s="11"/>
      <c r="AX2876" s="11"/>
      <c r="AY2876" s="11"/>
    </row>
    <row r="2877" spans="1:51" x14ac:dyDescent="0.2">
      <c r="A2877" s="6" t="s">
        <v>17</v>
      </c>
      <c r="B2877" t="s">
        <v>57</v>
      </c>
      <c r="C2877" t="s">
        <v>58</v>
      </c>
      <c r="D2877" t="s">
        <v>3482</v>
      </c>
      <c r="E2877" s="2">
        <v>143.91999999999999</v>
      </c>
      <c r="F2877" s="3">
        <f>DATE(2024,12,16)</f>
        <v>45642</v>
      </c>
      <c r="G2877" s="3">
        <f>DATE(2024,12,16)</f>
        <v>45642</v>
      </c>
      <c r="H2877">
        <v>1541393541</v>
      </c>
      <c r="I2877" t="s">
        <v>20</v>
      </c>
      <c r="K2877" t="s">
        <v>21</v>
      </c>
      <c r="L2877" t="s">
        <v>22</v>
      </c>
      <c r="M2877" t="s">
        <v>23</v>
      </c>
      <c r="N2877" t="s">
        <v>23</v>
      </c>
      <c r="O2877" t="s">
        <v>24</v>
      </c>
      <c r="P2877" s="8" t="s">
        <v>3483</v>
      </c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</row>
    <row r="2878" spans="1:51" x14ac:dyDescent="0.2">
      <c r="A2878" s="6" t="s">
        <v>17</v>
      </c>
      <c r="B2878" t="s">
        <v>61</v>
      </c>
      <c r="C2878" t="s">
        <v>62</v>
      </c>
      <c r="D2878" t="s">
        <v>3484</v>
      </c>
      <c r="E2878" s="2">
        <v>398.4</v>
      </c>
      <c r="F2878" s="3">
        <f>DATE(2024,12,16)</f>
        <v>45642</v>
      </c>
      <c r="G2878" s="3">
        <f>DATE(2024,12,16)</f>
        <v>45642</v>
      </c>
      <c r="H2878">
        <v>1541393542</v>
      </c>
      <c r="I2878" t="s">
        <v>20</v>
      </c>
      <c r="K2878" t="s">
        <v>21</v>
      </c>
      <c r="L2878" t="s">
        <v>22</v>
      </c>
      <c r="M2878" t="s">
        <v>23</v>
      </c>
      <c r="N2878" t="s">
        <v>23</v>
      </c>
      <c r="O2878" t="s">
        <v>24</v>
      </c>
      <c r="P2878" s="8" t="s">
        <v>3485</v>
      </c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  <c r="AV2878" s="11"/>
      <c r="AW2878" s="11"/>
      <c r="AX2878" s="11"/>
      <c r="AY2878" s="11"/>
    </row>
    <row r="2879" spans="1:51" x14ac:dyDescent="0.2">
      <c r="A2879" s="6" t="s">
        <v>17</v>
      </c>
      <c r="B2879" t="s">
        <v>44</v>
      </c>
      <c r="C2879" t="s">
        <v>45</v>
      </c>
      <c r="D2879" t="s">
        <v>3486</v>
      </c>
      <c r="E2879" s="2">
        <v>6.99</v>
      </c>
      <c r="F2879" s="3">
        <f>DATE(2024,12,15)</f>
        <v>45641</v>
      </c>
      <c r="G2879" s="3">
        <f>DATE(2024,12,15)</f>
        <v>45641</v>
      </c>
      <c r="H2879">
        <v>1541393743</v>
      </c>
      <c r="I2879" t="s">
        <v>51</v>
      </c>
      <c r="K2879" t="s">
        <v>21</v>
      </c>
      <c r="L2879" t="s">
        <v>22</v>
      </c>
      <c r="M2879" t="s">
        <v>23</v>
      </c>
      <c r="N2879" t="s">
        <v>23</v>
      </c>
      <c r="O2879" t="s">
        <v>24</v>
      </c>
      <c r="P2879" s="8" t="s">
        <v>3487</v>
      </c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</row>
    <row r="2880" spans="1:51" x14ac:dyDescent="0.2">
      <c r="A2880" s="6" t="s">
        <v>17</v>
      </c>
      <c r="B2880" t="s">
        <v>44</v>
      </c>
      <c r="C2880" t="s">
        <v>45</v>
      </c>
      <c r="D2880" t="s">
        <v>3488</v>
      </c>
      <c r="E2880" s="2">
        <v>118.17</v>
      </c>
      <c r="F2880" s="3">
        <f t="shared" ref="F2880:G2882" si="249">DATE(2024,12,16)</f>
        <v>45642</v>
      </c>
      <c r="G2880" s="3">
        <f t="shared" si="249"/>
        <v>45642</v>
      </c>
      <c r="H2880">
        <v>1541393744</v>
      </c>
      <c r="I2880" t="s">
        <v>51</v>
      </c>
      <c r="K2880" t="s">
        <v>21</v>
      </c>
      <c r="L2880" t="s">
        <v>22</v>
      </c>
      <c r="M2880" t="s">
        <v>23</v>
      </c>
      <c r="N2880" t="s">
        <v>23</v>
      </c>
      <c r="O2880" t="s">
        <v>24</v>
      </c>
      <c r="P2880" s="8" t="s">
        <v>3489</v>
      </c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  <c r="AV2880" s="11"/>
      <c r="AW2880" s="11"/>
      <c r="AX2880" s="11"/>
      <c r="AY2880" s="11"/>
    </row>
    <row r="2881" spans="1:51" x14ac:dyDescent="0.2">
      <c r="A2881" s="6" t="s">
        <v>17</v>
      </c>
      <c r="B2881" t="s">
        <v>18</v>
      </c>
      <c r="C2881" t="s">
        <v>18</v>
      </c>
      <c r="D2881" t="s">
        <v>189</v>
      </c>
      <c r="E2881" s="2">
        <v>55.24</v>
      </c>
      <c r="F2881" s="3">
        <f t="shared" si="249"/>
        <v>45642</v>
      </c>
      <c r="G2881" s="3">
        <f t="shared" si="249"/>
        <v>45642</v>
      </c>
      <c r="H2881">
        <v>1541517772</v>
      </c>
      <c r="I2881" t="s">
        <v>73</v>
      </c>
      <c r="K2881" t="s">
        <v>21</v>
      </c>
      <c r="L2881" t="s">
        <v>22</v>
      </c>
      <c r="M2881" t="s">
        <v>23</v>
      </c>
      <c r="N2881" t="s">
        <v>23</v>
      </c>
      <c r="O2881" t="s">
        <v>24</v>
      </c>
      <c r="P2881" s="8" t="s">
        <v>3490</v>
      </c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  <c r="AV2881" s="11"/>
      <c r="AW2881" s="11"/>
      <c r="AX2881" s="11"/>
      <c r="AY2881" s="11"/>
    </row>
    <row r="2882" spans="1:51" hidden="1" x14ac:dyDescent="0.2">
      <c r="A2882" s="6"/>
      <c r="E2882" s="2"/>
      <c r="F2882" s="3"/>
      <c r="G2882" s="3"/>
      <c r="P2882" s="8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</row>
    <row r="2883" spans="1:51" x14ac:dyDescent="0.2">
      <c r="A2883" s="6" t="s">
        <v>17</v>
      </c>
      <c r="B2883" t="s">
        <v>223</v>
      </c>
      <c r="C2883" t="s">
        <v>223</v>
      </c>
      <c r="D2883" t="s">
        <v>3491</v>
      </c>
      <c r="E2883" s="2">
        <v>652.12</v>
      </c>
      <c r="F2883" s="3">
        <f>DATE(2024,12,18)</f>
        <v>45644</v>
      </c>
      <c r="G2883" s="3">
        <f>DATE(2024,12,18)</f>
        <v>45644</v>
      </c>
      <c r="H2883">
        <v>1547479650</v>
      </c>
      <c r="I2883" t="s">
        <v>20</v>
      </c>
      <c r="K2883" t="s">
        <v>21</v>
      </c>
      <c r="L2883" t="s">
        <v>22</v>
      </c>
      <c r="M2883" t="s">
        <v>23</v>
      </c>
      <c r="N2883" t="s">
        <v>23</v>
      </c>
      <c r="O2883" t="s">
        <v>24</v>
      </c>
      <c r="P2883" s="8" t="s">
        <v>3492</v>
      </c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</row>
    <row r="2884" spans="1:51" x14ac:dyDescent="0.2">
      <c r="A2884" s="6" t="s">
        <v>17</v>
      </c>
      <c r="B2884" t="s">
        <v>887</v>
      </c>
      <c r="C2884" t="s">
        <v>888</v>
      </c>
      <c r="D2884" t="s">
        <v>3493</v>
      </c>
      <c r="E2884" s="2">
        <v>13.33</v>
      </c>
      <c r="F2884" s="3">
        <f>DATE(2024,12,18)</f>
        <v>45644</v>
      </c>
      <c r="G2884" s="3">
        <f>DATE(2024,12,18)</f>
        <v>45644</v>
      </c>
      <c r="H2884">
        <v>1547479651</v>
      </c>
      <c r="I2884" t="s">
        <v>20</v>
      </c>
      <c r="K2884" t="s">
        <v>21</v>
      </c>
      <c r="L2884" t="s">
        <v>22</v>
      </c>
      <c r="M2884" t="s">
        <v>23</v>
      </c>
      <c r="N2884" t="s">
        <v>23</v>
      </c>
      <c r="O2884" t="s">
        <v>24</v>
      </c>
      <c r="P2884" s="8" t="s">
        <v>3494</v>
      </c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  <c r="AV2884" s="11"/>
      <c r="AW2884" s="11"/>
      <c r="AX2884" s="11"/>
      <c r="AY2884" s="11"/>
    </row>
    <row r="2885" spans="1:51" x14ac:dyDescent="0.2">
      <c r="A2885" s="6" t="s">
        <v>17</v>
      </c>
      <c r="B2885" t="s">
        <v>61</v>
      </c>
      <c r="C2885" t="s">
        <v>62</v>
      </c>
      <c r="D2885" t="s">
        <v>3495</v>
      </c>
      <c r="E2885" s="2">
        <v>163.6</v>
      </c>
      <c r="F2885" s="3">
        <f>DATE(2024,12,16)</f>
        <v>45642</v>
      </c>
      <c r="G2885" s="3">
        <f>DATE(2024,12,16)</f>
        <v>45642</v>
      </c>
      <c r="H2885">
        <v>1547479663</v>
      </c>
      <c r="I2885" t="s">
        <v>51</v>
      </c>
      <c r="K2885" t="s">
        <v>21</v>
      </c>
      <c r="L2885" t="s">
        <v>22</v>
      </c>
      <c r="M2885" t="s">
        <v>23</v>
      </c>
      <c r="N2885" t="s">
        <v>23</v>
      </c>
      <c r="O2885" t="s">
        <v>24</v>
      </c>
      <c r="P2885" s="8" t="s">
        <v>3496</v>
      </c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  <c r="AV2885" s="11"/>
      <c r="AW2885" s="11"/>
      <c r="AX2885" s="11"/>
      <c r="AY2885" s="11"/>
    </row>
    <row r="2886" spans="1:51" x14ac:dyDescent="0.2">
      <c r="A2886" s="6" t="s">
        <v>17</v>
      </c>
      <c r="B2886" t="s">
        <v>61</v>
      </c>
      <c r="C2886" t="s">
        <v>62</v>
      </c>
      <c r="D2886" t="s">
        <v>3497</v>
      </c>
      <c r="E2886" s="2">
        <v>4.93</v>
      </c>
      <c r="F2886" s="3">
        <f>DATE(2024,12,16)</f>
        <v>45642</v>
      </c>
      <c r="G2886" s="3">
        <f>DATE(2024,12,16)</f>
        <v>45642</v>
      </c>
      <c r="H2886">
        <v>1547479664</v>
      </c>
      <c r="I2886" t="s">
        <v>51</v>
      </c>
      <c r="K2886" t="s">
        <v>21</v>
      </c>
      <c r="L2886" t="s">
        <v>22</v>
      </c>
      <c r="M2886" t="s">
        <v>23</v>
      </c>
      <c r="N2886" t="s">
        <v>23</v>
      </c>
      <c r="O2886" t="s">
        <v>24</v>
      </c>
      <c r="P2886" s="8" t="s">
        <v>3498</v>
      </c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  <c r="AV2886" s="11"/>
      <c r="AW2886" s="11"/>
      <c r="AX2886" s="11"/>
      <c r="AY2886" s="11"/>
    </row>
    <row r="2887" spans="1:51" hidden="1" x14ac:dyDescent="0.2">
      <c r="A2887" s="6"/>
      <c r="E2887" s="2"/>
      <c r="F2887" s="3"/>
      <c r="G2887" s="3"/>
      <c r="P2887" s="8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  <c r="AV2887" s="11"/>
      <c r="AW2887" s="11"/>
      <c r="AX2887" s="11"/>
      <c r="AY2887" s="11"/>
    </row>
    <row r="2888" spans="1:51" x14ac:dyDescent="0.2">
      <c r="A2888" s="6" t="s">
        <v>17</v>
      </c>
      <c r="B2888" t="s">
        <v>18</v>
      </c>
      <c r="C2888" t="s">
        <v>18</v>
      </c>
      <c r="D2888" t="s">
        <v>3499</v>
      </c>
      <c r="E2888" s="2">
        <v>0.52</v>
      </c>
      <c r="F2888" s="3">
        <f>DATE(2024,12,18)</f>
        <v>45644</v>
      </c>
      <c r="G2888" s="3">
        <f>DATE(2024,12,18)</f>
        <v>45644</v>
      </c>
      <c r="H2888">
        <v>1552667271</v>
      </c>
      <c r="I2888" t="s">
        <v>20</v>
      </c>
      <c r="K2888" t="s">
        <v>21</v>
      </c>
      <c r="L2888" t="s">
        <v>22</v>
      </c>
      <c r="M2888" t="s">
        <v>23</v>
      </c>
      <c r="N2888" t="s">
        <v>23</v>
      </c>
      <c r="O2888" t="s">
        <v>24</v>
      </c>
      <c r="P2888" s="8" t="s">
        <v>3500</v>
      </c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  <c r="AV2888" s="11"/>
      <c r="AW2888" s="11"/>
      <c r="AX2888" s="11"/>
      <c r="AY2888" s="11"/>
    </row>
    <row r="2889" spans="1:51" hidden="1" x14ac:dyDescent="0.2">
      <c r="A2889" s="6"/>
      <c r="E2889" s="2"/>
      <c r="F2889" s="3"/>
      <c r="G2889" s="3"/>
      <c r="P2889" s="8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</row>
    <row r="2890" spans="1:51" hidden="1" x14ac:dyDescent="0.2">
      <c r="A2890" s="6"/>
      <c r="E2890" s="2"/>
      <c r="F2890" s="3"/>
      <c r="G2890" s="3"/>
      <c r="P2890" s="8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  <c r="AV2890" s="11"/>
      <c r="AW2890" s="11"/>
      <c r="AX2890" s="11"/>
      <c r="AY2890" s="11"/>
    </row>
    <row r="2891" spans="1:51" hidden="1" x14ac:dyDescent="0.2">
      <c r="A2891" s="6"/>
      <c r="E2891" s="2"/>
      <c r="F2891" s="3"/>
      <c r="G2891" s="3"/>
      <c r="P2891" s="8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  <c r="AV2891" s="11"/>
      <c r="AW2891" s="11"/>
      <c r="AX2891" s="11"/>
      <c r="AY2891" s="11"/>
    </row>
    <row r="2892" spans="1:51" hidden="1" x14ac:dyDescent="0.2">
      <c r="A2892" s="6"/>
      <c r="E2892" s="2"/>
      <c r="F2892" s="3"/>
      <c r="G2892" s="3"/>
      <c r="P2892" s="8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  <c r="AV2892" s="11"/>
      <c r="AW2892" s="11"/>
      <c r="AX2892" s="11"/>
      <c r="AY2892" s="11"/>
    </row>
    <row r="2893" spans="1:51" hidden="1" x14ac:dyDescent="0.2">
      <c r="A2893" s="6"/>
      <c r="E2893" s="2"/>
      <c r="F2893" s="3"/>
      <c r="G2893" s="3"/>
      <c r="P2893" s="8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  <c r="AV2893" s="11"/>
      <c r="AW2893" s="11"/>
      <c r="AX2893" s="11"/>
      <c r="AY2893" s="11"/>
    </row>
    <row r="2894" spans="1:51" x14ac:dyDescent="0.2">
      <c r="A2894" s="6" t="s">
        <v>17</v>
      </c>
      <c r="B2894" t="s">
        <v>18</v>
      </c>
      <c r="C2894" t="s">
        <v>18</v>
      </c>
      <c r="D2894" t="s">
        <v>3501</v>
      </c>
      <c r="E2894" s="2">
        <v>3.24</v>
      </c>
      <c r="F2894" s="3">
        <f>DATE(2024,12,19)</f>
        <v>45645</v>
      </c>
      <c r="G2894" s="3">
        <f>DATE(2024,12,19)</f>
        <v>45645</v>
      </c>
      <c r="H2894">
        <v>1558660398</v>
      </c>
      <c r="I2894" t="s">
        <v>20</v>
      </c>
      <c r="K2894" t="s">
        <v>21</v>
      </c>
      <c r="L2894" t="s">
        <v>22</v>
      </c>
      <c r="M2894" t="s">
        <v>23</v>
      </c>
      <c r="N2894" t="s">
        <v>23</v>
      </c>
      <c r="O2894" t="s">
        <v>24</v>
      </c>
      <c r="P2894" s="8" t="s">
        <v>3502</v>
      </c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  <c r="AV2894" s="11"/>
      <c r="AW2894" s="11"/>
      <c r="AX2894" s="11"/>
      <c r="AY2894" s="11"/>
    </row>
    <row r="2895" spans="1:51" x14ac:dyDescent="0.2">
      <c r="A2895" s="6" t="s">
        <v>17</v>
      </c>
      <c r="B2895" t="s">
        <v>104</v>
      </c>
      <c r="C2895" t="s">
        <v>105</v>
      </c>
      <c r="D2895" t="s">
        <v>3503</v>
      </c>
      <c r="E2895" s="2">
        <v>355.11</v>
      </c>
      <c r="F2895" s="3">
        <f>DATE(2024,12,19)</f>
        <v>45645</v>
      </c>
      <c r="G2895" s="3">
        <f>DATE(2024,12,19)</f>
        <v>45645</v>
      </c>
      <c r="H2895">
        <v>1558660399</v>
      </c>
      <c r="I2895" t="s">
        <v>20</v>
      </c>
      <c r="K2895" t="s">
        <v>21</v>
      </c>
      <c r="L2895" t="s">
        <v>22</v>
      </c>
      <c r="M2895" t="s">
        <v>23</v>
      </c>
      <c r="N2895" t="s">
        <v>23</v>
      </c>
      <c r="O2895" t="s">
        <v>24</v>
      </c>
      <c r="P2895" s="8" t="s">
        <v>3504</v>
      </c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</row>
    <row r="2896" spans="1:51" x14ac:dyDescent="0.2">
      <c r="A2896" s="6" t="s">
        <v>17</v>
      </c>
      <c r="B2896" t="s">
        <v>57</v>
      </c>
      <c r="C2896" t="s">
        <v>58</v>
      </c>
      <c r="D2896" t="s">
        <v>3505</v>
      </c>
      <c r="E2896" s="2">
        <v>73.180000000000007</v>
      </c>
      <c r="F2896" s="3">
        <f>DATE(2024,12,20)</f>
        <v>45646</v>
      </c>
      <c r="G2896" s="3">
        <f>DATE(2024,12,20)</f>
        <v>45646</v>
      </c>
      <c r="H2896">
        <v>1558660400</v>
      </c>
      <c r="I2896" t="s">
        <v>20</v>
      </c>
      <c r="K2896" t="s">
        <v>21</v>
      </c>
      <c r="L2896" t="s">
        <v>22</v>
      </c>
      <c r="M2896" t="s">
        <v>23</v>
      </c>
      <c r="N2896" t="s">
        <v>23</v>
      </c>
      <c r="O2896" t="s">
        <v>24</v>
      </c>
      <c r="P2896" s="8" t="s">
        <v>3506</v>
      </c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  <c r="AV2896" s="11"/>
      <c r="AW2896" s="11"/>
      <c r="AX2896" s="11"/>
      <c r="AY2896" s="11"/>
    </row>
    <row r="2897" spans="1:51" hidden="1" x14ac:dyDescent="0.2">
      <c r="A2897" s="6"/>
      <c r="E2897" s="2"/>
      <c r="F2897" s="3"/>
      <c r="G2897" s="3"/>
      <c r="P2897" s="8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  <c r="AV2897" s="11"/>
      <c r="AW2897" s="11"/>
      <c r="AX2897" s="11"/>
      <c r="AY2897" s="11"/>
    </row>
    <row r="2898" spans="1:51" x14ac:dyDescent="0.2">
      <c r="A2898" s="6" t="s">
        <v>17</v>
      </c>
      <c r="B2898" t="s">
        <v>137</v>
      </c>
      <c r="C2898" t="s">
        <v>138</v>
      </c>
      <c r="D2898" t="s">
        <v>3507</v>
      </c>
      <c r="E2898" s="2">
        <v>369.32</v>
      </c>
      <c r="F2898" s="3">
        <f t="shared" ref="F2897:G2901" si="250">DATE(2024,12,19)</f>
        <v>45645</v>
      </c>
      <c r="G2898" s="3">
        <f t="shared" si="250"/>
        <v>45645</v>
      </c>
      <c r="H2898">
        <v>1558660402</v>
      </c>
      <c r="I2898" t="s">
        <v>20</v>
      </c>
      <c r="K2898" t="s">
        <v>21</v>
      </c>
      <c r="L2898" t="s">
        <v>22</v>
      </c>
      <c r="M2898" t="s">
        <v>23</v>
      </c>
      <c r="N2898" t="s">
        <v>23</v>
      </c>
      <c r="O2898" t="s">
        <v>24</v>
      </c>
      <c r="P2898" s="8" t="s">
        <v>3508</v>
      </c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  <c r="AV2898" s="11"/>
      <c r="AW2898" s="11"/>
      <c r="AX2898" s="11"/>
      <c r="AY2898" s="11"/>
    </row>
    <row r="2899" spans="1:51" x14ac:dyDescent="0.2">
      <c r="A2899" s="6" t="s">
        <v>17</v>
      </c>
      <c r="B2899" t="s">
        <v>137</v>
      </c>
      <c r="C2899" t="s">
        <v>138</v>
      </c>
      <c r="D2899" t="s">
        <v>3509</v>
      </c>
      <c r="E2899" s="2">
        <v>41.93</v>
      </c>
      <c r="F2899" s="3">
        <f t="shared" si="250"/>
        <v>45645</v>
      </c>
      <c r="G2899" s="3">
        <f t="shared" si="250"/>
        <v>45645</v>
      </c>
      <c r="H2899">
        <v>1558660403</v>
      </c>
      <c r="I2899" t="s">
        <v>20</v>
      </c>
      <c r="K2899" t="s">
        <v>21</v>
      </c>
      <c r="L2899" t="s">
        <v>22</v>
      </c>
      <c r="M2899" t="s">
        <v>23</v>
      </c>
      <c r="N2899" t="s">
        <v>23</v>
      </c>
      <c r="O2899" t="s">
        <v>24</v>
      </c>
      <c r="P2899" s="8" t="s">
        <v>3510</v>
      </c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  <c r="AV2899" s="11"/>
      <c r="AW2899" s="11"/>
      <c r="AX2899" s="11"/>
      <c r="AY2899" s="11"/>
    </row>
    <row r="2900" spans="1:51" x14ac:dyDescent="0.2">
      <c r="A2900" s="6" t="s">
        <v>17</v>
      </c>
      <c r="B2900" t="s">
        <v>110</v>
      </c>
      <c r="C2900" t="s">
        <v>111</v>
      </c>
      <c r="D2900" t="s">
        <v>3511</v>
      </c>
      <c r="E2900" s="2">
        <v>446.23</v>
      </c>
      <c r="F2900" s="3">
        <f t="shared" si="250"/>
        <v>45645</v>
      </c>
      <c r="G2900" s="3">
        <f t="shared" si="250"/>
        <v>45645</v>
      </c>
      <c r="H2900">
        <v>1558660404</v>
      </c>
      <c r="I2900" t="s">
        <v>20</v>
      </c>
      <c r="K2900" t="s">
        <v>21</v>
      </c>
      <c r="L2900" t="s">
        <v>22</v>
      </c>
      <c r="M2900" t="s">
        <v>23</v>
      </c>
      <c r="N2900" t="s">
        <v>23</v>
      </c>
      <c r="O2900" t="s">
        <v>24</v>
      </c>
      <c r="P2900" s="8" t="s">
        <v>3512</v>
      </c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</row>
    <row r="2901" spans="1:51" x14ac:dyDescent="0.2">
      <c r="A2901" s="6" t="s">
        <v>17</v>
      </c>
      <c r="B2901" t="s">
        <v>611</v>
      </c>
      <c r="C2901" t="s">
        <v>612</v>
      </c>
      <c r="D2901" t="s">
        <v>3513</v>
      </c>
      <c r="E2901" s="2">
        <v>196.56</v>
      </c>
      <c r="F2901" s="3">
        <f t="shared" si="250"/>
        <v>45645</v>
      </c>
      <c r="G2901" s="3">
        <f t="shared" si="250"/>
        <v>45645</v>
      </c>
      <c r="H2901">
        <v>1558660405</v>
      </c>
      <c r="I2901" t="s">
        <v>20</v>
      </c>
      <c r="K2901" t="s">
        <v>21</v>
      </c>
      <c r="L2901" t="s">
        <v>22</v>
      </c>
      <c r="M2901" t="s">
        <v>23</v>
      </c>
      <c r="N2901" t="s">
        <v>23</v>
      </c>
      <c r="O2901" t="s">
        <v>24</v>
      </c>
      <c r="P2901" s="8" t="s">
        <v>3514</v>
      </c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</row>
    <row r="2902" spans="1:51" x14ac:dyDescent="0.2">
      <c r="A2902" s="6" t="s">
        <v>17</v>
      </c>
      <c r="B2902" t="s">
        <v>26</v>
      </c>
      <c r="C2902" t="s">
        <v>27</v>
      </c>
      <c r="D2902" t="s">
        <v>3515</v>
      </c>
      <c r="E2902" s="2">
        <v>56.84</v>
      </c>
      <c r="F2902" s="3">
        <f>DATE(2024,12,20)</f>
        <v>45646</v>
      </c>
      <c r="G2902" s="3">
        <f>DATE(2024,12,20)</f>
        <v>45646</v>
      </c>
      <c r="H2902">
        <v>1558660406</v>
      </c>
      <c r="I2902" t="s">
        <v>20</v>
      </c>
      <c r="K2902" t="s">
        <v>21</v>
      </c>
      <c r="L2902" t="s">
        <v>22</v>
      </c>
      <c r="M2902" t="s">
        <v>23</v>
      </c>
      <c r="N2902" t="s">
        <v>23</v>
      </c>
      <c r="O2902" t="s">
        <v>24</v>
      </c>
      <c r="P2902" s="8" t="s">
        <v>3516</v>
      </c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  <c r="AV2902" s="11"/>
      <c r="AW2902" s="11"/>
      <c r="AX2902" s="11"/>
      <c r="AY2902" s="11"/>
    </row>
    <row r="2903" spans="1:51" x14ac:dyDescent="0.2">
      <c r="A2903" s="6" t="s">
        <v>17</v>
      </c>
      <c r="B2903" t="s">
        <v>26</v>
      </c>
      <c r="C2903" t="s">
        <v>27</v>
      </c>
      <c r="D2903" t="s">
        <v>71</v>
      </c>
      <c r="E2903" s="2">
        <v>26.84</v>
      </c>
      <c r="F2903" s="3">
        <f>DATE(2024,12,18)</f>
        <v>45644</v>
      </c>
      <c r="G2903" s="3">
        <f>DATE(2024,12,18)</f>
        <v>45644</v>
      </c>
      <c r="H2903">
        <v>1558660408</v>
      </c>
      <c r="I2903" t="s">
        <v>51</v>
      </c>
      <c r="K2903" t="s">
        <v>21</v>
      </c>
      <c r="L2903" t="s">
        <v>22</v>
      </c>
      <c r="M2903" t="s">
        <v>23</v>
      </c>
      <c r="N2903" t="s">
        <v>23</v>
      </c>
      <c r="O2903" t="s">
        <v>24</v>
      </c>
      <c r="P2903" s="8" t="s">
        <v>3517</v>
      </c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  <c r="AV2903" s="11"/>
      <c r="AW2903" s="11"/>
      <c r="AX2903" s="11"/>
      <c r="AY2903" s="11"/>
    </row>
    <row r="2904" spans="1:51" x14ac:dyDescent="0.2">
      <c r="A2904" s="6" t="s">
        <v>17</v>
      </c>
      <c r="B2904" t="s">
        <v>100</v>
      </c>
      <c r="C2904" t="s">
        <v>101</v>
      </c>
      <c r="D2904" t="s">
        <v>3518</v>
      </c>
      <c r="E2904" s="2">
        <v>147.19</v>
      </c>
      <c r="F2904" s="3">
        <f>DATE(2024,12,19)</f>
        <v>45645</v>
      </c>
      <c r="G2904" s="3">
        <f>DATE(2024,12,19)</f>
        <v>45645</v>
      </c>
      <c r="H2904">
        <v>1558700704</v>
      </c>
      <c r="I2904" t="s">
        <v>73</v>
      </c>
      <c r="K2904" t="s">
        <v>21</v>
      </c>
      <c r="L2904" t="s">
        <v>22</v>
      </c>
      <c r="M2904" t="s">
        <v>23</v>
      </c>
      <c r="N2904" t="s">
        <v>23</v>
      </c>
      <c r="O2904" t="s">
        <v>24</v>
      </c>
      <c r="P2904" s="8" t="s">
        <v>3519</v>
      </c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  <c r="AV2904" s="11"/>
      <c r="AW2904" s="11"/>
      <c r="AX2904" s="11"/>
      <c r="AY2904" s="11"/>
    </row>
    <row r="2905" spans="1:51" x14ac:dyDescent="0.2">
      <c r="A2905" s="6" t="s">
        <v>17</v>
      </c>
      <c r="B2905" t="s">
        <v>26</v>
      </c>
      <c r="C2905" t="s">
        <v>27</v>
      </c>
      <c r="D2905" t="s">
        <v>71</v>
      </c>
      <c r="E2905" s="2">
        <v>6.71</v>
      </c>
      <c r="F2905" s="3">
        <f>DATE(2024,12,19)</f>
        <v>45645</v>
      </c>
      <c r="G2905" s="3">
        <f>DATE(2024,12,19)</f>
        <v>45645</v>
      </c>
      <c r="H2905">
        <v>1562202544</v>
      </c>
      <c r="I2905" t="s">
        <v>51</v>
      </c>
      <c r="K2905" t="s">
        <v>21</v>
      </c>
      <c r="L2905" t="s">
        <v>22</v>
      </c>
      <c r="M2905" t="s">
        <v>23</v>
      </c>
      <c r="N2905" t="s">
        <v>23</v>
      </c>
      <c r="O2905" t="s">
        <v>24</v>
      </c>
      <c r="P2905" s="8" t="s">
        <v>3520</v>
      </c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  <c r="AV2905" s="11"/>
      <c r="AW2905" s="11"/>
      <c r="AX2905" s="11"/>
      <c r="AY2905" s="11"/>
    </row>
    <row r="2906" spans="1:51" x14ac:dyDescent="0.2">
      <c r="A2906" s="6" t="s">
        <v>17</v>
      </c>
      <c r="B2906" t="s">
        <v>144</v>
      </c>
      <c r="C2906" t="s">
        <v>145</v>
      </c>
      <c r="D2906" t="s">
        <v>3521</v>
      </c>
      <c r="E2906" s="2">
        <v>26.4</v>
      </c>
      <c r="F2906" s="3">
        <f>DATE(2024,12,20)</f>
        <v>45646</v>
      </c>
      <c r="G2906" s="3">
        <f>DATE(2024,12,20)</f>
        <v>45646</v>
      </c>
      <c r="H2906">
        <v>1562213564</v>
      </c>
      <c r="I2906" t="s">
        <v>73</v>
      </c>
      <c r="K2906" t="s">
        <v>21</v>
      </c>
      <c r="L2906" t="s">
        <v>22</v>
      </c>
      <c r="M2906" t="s">
        <v>23</v>
      </c>
      <c r="N2906" t="s">
        <v>23</v>
      </c>
      <c r="O2906" t="s">
        <v>24</v>
      </c>
      <c r="P2906" s="8" t="s">
        <v>3522</v>
      </c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</row>
    <row r="2907" spans="1:51" x14ac:dyDescent="0.2">
      <c r="A2907" s="6" t="s">
        <v>17</v>
      </c>
      <c r="B2907" t="s">
        <v>26</v>
      </c>
      <c r="C2907" t="s">
        <v>27</v>
      </c>
      <c r="D2907" t="s">
        <v>71</v>
      </c>
      <c r="E2907" s="2">
        <v>6.71</v>
      </c>
      <c r="F2907" s="3">
        <f>DATE(2024,12,20)</f>
        <v>45646</v>
      </c>
      <c r="G2907" s="3">
        <f>DATE(2024,12,20)</f>
        <v>45646</v>
      </c>
      <c r="H2907">
        <v>1565352130</v>
      </c>
      <c r="I2907" t="s">
        <v>51</v>
      </c>
      <c r="K2907" t="s">
        <v>21</v>
      </c>
      <c r="L2907" t="s">
        <v>22</v>
      </c>
      <c r="M2907" t="s">
        <v>23</v>
      </c>
      <c r="N2907" t="s">
        <v>23</v>
      </c>
      <c r="O2907" t="s">
        <v>24</v>
      </c>
      <c r="P2907" s="8" t="s">
        <v>3523</v>
      </c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</row>
    <row r="2908" spans="1:51" x14ac:dyDescent="0.2">
      <c r="A2908" s="6" t="s">
        <v>17</v>
      </c>
      <c r="B2908" t="s">
        <v>18</v>
      </c>
      <c r="C2908" t="s">
        <v>18</v>
      </c>
      <c r="D2908" t="s">
        <v>3524</v>
      </c>
      <c r="E2908" s="2">
        <v>3.29</v>
      </c>
      <c r="F2908" s="3">
        <f t="shared" ref="F2908:G2916" si="251">DATE(2024,12,23)</f>
        <v>45649</v>
      </c>
      <c r="G2908" s="3">
        <f t="shared" si="251"/>
        <v>45649</v>
      </c>
      <c r="H2908">
        <v>1570990953</v>
      </c>
      <c r="I2908" t="s">
        <v>20</v>
      </c>
      <c r="K2908" t="s">
        <v>21</v>
      </c>
      <c r="L2908" t="s">
        <v>22</v>
      </c>
      <c r="M2908" t="s">
        <v>23</v>
      </c>
      <c r="N2908" t="s">
        <v>23</v>
      </c>
      <c r="O2908" t="s">
        <v>24</v>
      </c>
      <c r="P2908" s="8" t="s">
        <v>3525</v>
      </c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  <c r="AV2908" s="11"/>
      <c r="AW2908" s="11"/>
      <c r="AX2908" s="11"/>
      <c r="AY2908" s="11"/>
    </row>
    <row r="2909" spans="1:51" x14ac:dyDescent="0.2">
      <c r="A2909" s="6" t="s">
        <v>17</v>
      </c>
      <c r="B2909" t="s">
        <v>57</v>
      </c>
      <c r="C2909" t="s">
        <v>58</v>
      </c>
      <c r="D2909" t="s">
        <v>3526</v>
      </c>
      <c r="E2909" s="2">
        <v>51.99</v>
      </c>
      <c r="F2909" s="3">
        <f t="shared" si="251"/>
        <v>45649</v>
      </c>
      <c r="G2909" s="3">
        <f t="shared" si="251"/>
        <v>45649</v>
      </c>
      <c r="H2909">
        <v>1570990954</v>
      </c>
      <c r="I2909" t="s">
        <v>20</v>
      </c>
      <c r="K2909" t="s">
        <v>21</v>
      </c>
      <c r="L2909" t="s">
        <v>22</v>
      </c>
      <c r="M2909" t="s">
        <v>23</v>
      </c>
      <c r="N2909" t="s">
        <v>23</v>
      </c>
      <c r="O2909" t="s">
        <v>24</v>
      </c>
      <c r="P2909" s="8" t="s">
        <v>3527</v>
      </c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</row>
    <row r="2910" spans="1:51" x14ac:dyDescent="0.2">
      <c r="A2910" s="6" t="s">
        <v>17</v>
      </c>
      <c r="B2910" t="s">
        <v>191</v>
      </c>
      <c r="C2910" t="s">
        <v>192</v>
      </c>
      <c r="D2910" t="s">
        <v>3528</v>
      </c>
      <c r="E2910" s="2">
        <v>1775.32</v>
      </c>
      <c r="F2910" s="3">
        <f t="shared" si="251"/>
        <v>45649</v>
      </c>
      <c r="G2910" s="3">
        <f t="shared" si="251"/>
        <v>45649</v>
      </c>
      <c r="H2910">
        <v>1570990955</v>
      </c>
      <c r="I2910" t="s">
        <v>20</v>
      </c>
      <c r="K2910" t="s">
        <v>21</v>
      </c>
      <c r="L2910" t="s">
        <v>22</v>
      </c>
      <c r="M2910" t="s">
        <v>23</v>
      </c>
      <c r="N2910" t="s">
        <v>23</v>
      </c>
      <c r="O2910" t="s">
        <v>24</v>
      </c>
      <c r="P2910" s="8" t="s">
        <v>3529</v>
      </c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  <c r="AV2910" s="11"/>
      <c r="AW2910" s="11"/>
      <c r="AX2910" s="11"/>
      <c r="AY2910" s="11"/>
    </row>
    <row r="2911" spans="1:51" x14ac:dyDescent="0.2">
      <c r="A2911" s="6" t="s">
        <v>17</v>
      </c>
      <c r="B2911" t="s">
        <v>44</v>
      </c>
      <c r="C2911" t="s">
        <v>45</v>
      </c>
      <c r="D2911" t="s">
        <v>3530</v>
      </c>
      <c r="E2911" s="2">
        <v>54</v>
      </c>
      <c r="F2911" s="3">
        <f t="shared" si="251"/>
        <v>45649</v>
      </c>
      <c r="G2911" s="3">
        <f t="shared" si="251"/>
        <v>45649</v>
      </c>
      <c r="H2911">
        <v>1570990956</v>
      </c>
      <c r="I2911" t="s">
        <v>20</v>
      </c>
      <c r="K2911" t="s">
        <v>21</v>
      </c>
      <c r="L2911" t="s">
        <v>22</v>
      </c>
      <c r="M2911" t="s">
        <v>23</v>
      </c>
      <c r="N2911" t="s">
        <v>23</v>
      </c>
      <c r="O2911" t="s">
        <v>24</v>
      </c>
      <c r="P2911" s="8" t="s">
        <v>3531</v>
      </c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  <c r="AV2911" s="11"/>
      <c r="AW2911" s="11"/>
      <c r="AX2911" s="11"/>
      <c r="AY2911" s="11"/>
    </row>
    <row r="2912" spans="1:51" hidden="1" x14ac:dyDescent="0.2">
      <c r="A2912" s="6"/>
      <c r="E2912" s="2"/>
      <c r="F2912" s="3"/>
      <c r="G2912" s="3"/>
      <c r="P2912" s="8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  <c r="AV2912" s="11"/>
      <c r="AW2912" s="11"/>
      <c r="AX2912" s="11"/>
      <c r="AY2912" s="11"/>
    </row>
    <row r="2913" spans="1:51" x14ac:dyDescent="0.2">
      <c r="A2913" s="6" t="s">
        <v>17</v>
      </c>
      <c r="B2913" t="s">
        <v>18</v>
      </c>
      <c r="C2913" t="s">
        <v>18</v>
      </c>
      <c r="D2913" t="s">
        <v>3532</v>
      </c>
      <c r="E2913" s="2">
        <v>0.52</v>
      </c>
      <c r="F2913" s="3">
        <f t="shared" si="251"/>
        <v>45649</v>
      </c>
      <c r="G2913" s="3">
        <f t="shared" si="251"/>
        <v>45649</v>
      </c>
      <c r="H2913">
        <v>1570990958</v>
      </c>
      <c r="I2913" t="s">
        <v>20</v>
      </c>
      <c r="K2913" t="s">
        <v>21</v>
      </c>
      <c r="L2913" t="s">
        <v>22</v>
      </c>
      <c r="M2913" t="s">
        <v>23</v>
      </c>
      <c r="N2913" t="s">
        <v>23</v>
      </c>
      <c r="O2913" t="s">
        <v>24</v>
      </c>
      <c r="P2913" s="8" t="s">
        <v>3533</v>
      </c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</row>
    <row r="2914" spans="1:51" x14ac:dyDescent="0.2">
      <c r="A2914" s="6" t="s">
        <v>17</v>
      </c>
      <c r="B2914" t="s">
        <v>57</v>
      </c>
      <c r="C2914" t="s">
        <v>58</v>
      </c>
      <c r="D2914" t="s">
        <v>3534</v>
      </c>
      <c r="E2914" s="2">
        <v>100.16</v>
      </c>
      <c r="F2914" s="3">
        <f t="shared" si="251"/>
        <v>45649</v>
      </c>
      <c r="G2914" s="3">
        <f t="shared" si="251"/>
        <v>45649</v>
      </c>
      <c r="H2914">
        <v>1570990959</v>
      </c>
      <c r="I2914" t="s">
        <v>20</v>
      </c>
      <c r="K2914" t="s">
        <v>21</v>
      </c>
      <c r="L2914" t="s">
        <v>22</v>
      </c>
      <c r="M2914" t="s">
        <v>23</v>
      </c>
      <c r="N2914" t="s">
        <v>23</v>
      </c>
      <c r="O2914" t="s">
        <v>24</v>
      </c>
      <c r="P2914" s="8" t="s">
        <v>3535</v>
      </c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  <c r="AV2914" s="11"/>
      <c r="AW2914" s="11"/>
      <c r="AX2914" s="11"/>
      <c r="AY2914" s="11"/>
    </row>
    <row r="2915" spans="1:51" x14ac:dyDescent="0.2">
      <c r="A2915" s="6" t="s">
        <v>17</v>
      </c>
      <c r="B2915" t="s">
        <v>57</v>
      </c>
      <c r="C2915" t="s">
        <v>58</v>
      </c>
      <c r="D2915" t="s">
        <v>3536</v>
      </c>
      <c r="E2915" s="2">
        <v>80.400000000000006</v>
      </c>
      <c r="F2915" s="3">
        <f t="shared" si="251"/>
        <v>45649</v>
      </c>
      <c r="G2915" s="3">
        <f t="shared" si="251"/>
        <v>45649</v>
      </c>
      <c r="H2915">
        <v>1570990960</v>
      </c>
      <c r="I2915" t="s">
        <v>20</v>
      </c>
      <c r="K2915" t="s">
        <v>21</v>
      </c>
      <c r="L2915" t="s">
        <v>22</v>
      </c>
      <c r="M2915" t="s">
        <v>23</v>
      </c>
      <c r="N2915" t="s">
        <v>23</v>
      </c>
      <c r="O2915" t="s">
        <v>24</v>
      </c>
      <c r="P2915" s="8" t="s">
        <v>3537</v>
      </c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  <c r="AV2915" s="11"/>
      <c r="AW2915" s="11"/>
      <c r="AX2915" s="11"/>
      <c r="AY2915" s="11"/>
    </row>
    <row r="2916" spans="1:51" hidden="1" x14ac:dyDescent="0.2">
      <c r="A2916" s="6"/>
      <c r="E2916" s="2"/>
      <c r="F2916" s="3"/>
      <c r="G2916" s="3"/>
      <c r="P2916" s="8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  <c r="AV2916" s="11"/>
      <c r="AW2916" s="11"/>
      <c r="AX2916" s="11"/>
      <c r="AY2916" s="11"/>
    </row>
    <row r="2917" spans="1:51" hidden="1" x14ac:dyDescent="0.2">
      <c r="A2917" s="6"/>
      <c r="E2917" s="2"/>
      <c r="F2917" s="3"/>
      <c r="G2917" s="3"/>
      <c r="P2917" s="8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  <c r="AV2917" s="11"/>
      <c r="AW2917" s="11"/>
      <c r="AX2917" s="11"/>
      <c r="AY2917" s="11"/>
    </row>
    <row r="2918" spans="1:51" hidden="1" x14ac:dyDescent="0.2">
      <c r="A2918" s="6"/>
      <c r="E2918" s="2"/>
      <c r="F2918" s="3"/>
      <c r="G2918" s="3"/>
      <c r="P2918" s="8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  <c r="AV2918" s="11"/>
      <c r="AW2918" s="11"/>
      <c r="AX2918" s="11"/>
      <c r="AY2918" s="11"/>
    </row>
    <row r="2919" spans="1:51" x14ac:dyDescent="0.2">
      <c r="A2919" s="6" t="s">
        <v>17</v>
      </c>
      <c r="B2919" t="s">
        <v>44</v>
      </c>
      <c r="C2919" t="s">
        <v>45</v>
      </c>
      <c r="D2919" t="s">
        <v>831</v>
      </c>
      <c r="E2919" s="2">
        <v>26.3</v>
      </c>
      <c r="F2919" s="3">
        <f>DATE(2024,12,20)</f>
        <v>45646</v>
      </c>
      <c r="G2919" s="3">
        <f>DATE(2024,12,20)</f>
        <v>45646</v>
      </c>
      <c r="H2919">
        <v>1570990965</v>
      </c>
      <c r="I2919" t="s">
        <v>51</v>
      </c>
      <c r="K2919" t="s">
        <v>21</v>
      </c>
      <c r="L2919" t="s">
        <v>22</v>
      </c>
      <c r="M2919" t="s">
        <v>23</v>
      </c>
      <c r="N2919" t="s">
        <v>23</v>
      </c>
      <c r="O2919" t="s">
        <v>24</v>
      </c>
      <c r="P2919" s="8" t="s">
        <v>3538</v>
      </c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</row>
    <row r="2920" spans="1:51" x14ac:dyDescent="0.2">
      <c r="A2920" s="6" t="s">
        <v>17</v>
      </c>
      <c r="B2920" t="s">
        <v>26</v>
      </c>
      <c r="C2920" t="s">
        <v>27</v>
      </c>
      <c r="D2920" t="s">
        <v>230</v>
      </c>
      <c r="E2920" s="2">
        <v>5.99</v>
      </c>
      <c r="F2920" s="3">
        <f>DATE(2024,12,20)</f>
        <v>45646</v>
      </c>
      <c r="G2920" s="3">
        <f>DATE(2024,12,20)</f>
        <v>45646</v>
      </c>
      <c r="H2920">
        <v>1570990966</v>
      </c>
      <c r="I2920" t="s">
        <v>51</v>
      </c>
      <c r="K2920" t="s">
        <v>21</v>
      </c>
      <c r="L2920" t="s">
        <v>22</v>
      </c>
      <c r="M2920" t="s">
        <v>23</v>
      </c>
      <c r="N2920" t="s">
        <v>23</v>
      </c>
      <c r="O2920" t="s">
        <v>24</v>
      </c>
      <c r="P2920" s="8" t="s">
        <v>3539</v>
      </c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  <c r="AV2920" s="11"/>
      <c r="AW2920" s="11"/>
      <c r="AX2920" s="11"/>
      <c r="AY2920" s="11"/>
    </row>
    <row r="2921" spans="1:51" hidden="1" x14ac:dyDescent="0.2">
      <c r="A2921" s="6"/>
      <c r="E2921" s="2"/>
      <c r="F2921" s="3"/>
      <c r="G2921" s="3"/>
      <c r="P2921" s="8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</row>
    <row r="2922" spans="1:51" hidden="1" x14ac:dyDescent="0.2">
      <c r="A2922" s="6"/>
      <c r="E2922" s="2"/>
      <c r="F2922" s="3"/>
      <c r="G2922" s="3"/>
      <c r="P2922" s="8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  <c r="AV2922" s="11"/>
      <c r="AW2922" s="11"/>
      <c r="AX2922" s="11"/>
      <c r="AY2922" s="11"/>
    </row>
    <row r="2923" spans="1:51" hidden="1" x14ac:dyDescent="0.2">
      <c r="A2923" s="6"/>
      <c r="E2923" s="2"/>
      <c r="F2923" s="3"/>
      <c r="G2923" s="3"/>
      <c r="P2923" s="8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  <c r="AV2923" s="11"/>
      <c r="AW2923" s="11"/>
      <c r="AX2923" s="11"/>
      <c r="AY2923" s="11"/>
    </row>
    <row r="2924" spans="1:51" x14ac:dyDescent="0.2">
      <c r="A2924" s="6" t="s">
        <v>17</v>
      </c>
      <c r="B2924" t="s">
        <v>232</v>
      </c>
      <c r="C2924" t="s">
        <v>233</v>
      </c>
      <c r="D2924" t="s">
        <v>3540</v>
      </c>
      <c r="E2924" s="2">
        <v>633</v>
      </c>
      <c r="F2924" s="3">
        <f>DATE(2024,12,24)</f>
        <v>45650</v>
      </c>
      <c r="G2924" s="3">
        <f>DATE(2024,12,24)</f>
        <v>45650</v>
      </c>
      <c r="H2924">
        <v>1576150396</v>
      </c>
      <c r="I2924" t="s">
        <v>20</v>
      </c>
      <c r="K2924" t="s">
        <v>21</v>
      </c>
      <c r="L2924" t="s">
        <v>22</v>
      </c>
      <c r="M2924" t="s">
        <v>23</v>
      </c>
      <c r="N2924" t="s">
        <v>23</v>
      </c>
      <c r="O2924" t="s">
        <v>24</v>
      </c>
      <c r="P2924" s="8" t="s">
        <v>3541</v>
      </c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  <c r="AV2924" s="11"/>
      <c r="AW2924" s="11"/>
      <c r="AX2924" s="11"/>
      <c r="AY2924" s="11"/>
    </row>
    <row r="2925" spans="1:51" x14ac:dyDescent="0.2">
      <c r="A2925" s="6" t="s">
        <v>17</v>
      </c>
      <c r="B2925" t="s">
        <v>18</v>
      </c>
      <c r="C2925" t="s">
        <v>18</v>
      </c>
      <c r="D2925" t="s">
        <v>3542</v>
      </c>
      <c r="E2925" s="2">
        <v>4.59</v>
      </c>
      <c r="F2925" s="3">
        <f t="shared" ref="F2925:G2927" si="252">DATE(2024,12,26)</f>
        <v>45652</v>
      </c>
      <c r="G2925" s="3">
        <f t="shared" si="252"/>
        <v>45652</v>
      </c>
      <c r="H2925">
        <v>1579935866</v>
      </c>
      <c r="I2925" t="s">
        <v>20</v>
      </c>
      <c r="K2925" t="s">
        <v>21</v>
      </c>
      <c r="L2925" t="s">
        <v>22</v>
      </c>
      <c r="M2925" t="s">
        <v>23</v>
      </c>
      <c r="N2925" t="s">
        <v>23</v>
      </c>
      <c r="O2925" t="s">
        <v>24</v>
      </c>
      <c r="P2925" s="8" t="s">
        <v>3543</v>
      </c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</row>
    <row r="2926" spans="1:51" hidden="1" x14ac:dyDescent="0.2">
      <c r="A2926" s="6"/>
      <c r="E2926" s="2"/>
      <c r="F2926" s="3"/>
      <c r="G2926" s="3"/>
      <c r="P2926" s="8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  <c r="AV2926" s="11"/>
      <c r="AW2926" s="11"/>
      <c r="AX2926" s="11"/>
      <c r="AY2926" s="11"/>
    </row>
    <row r="2927" spans="1:51" x14ac:dyDescent="0.2">
      <c r="A2927" s="6" t="s">
        <v>17</v>
      </c>
      <c r="B2927" t="s">
        <v>312</v>
      </c>
      <c r="C2927" t="s">
        <v>313</v>
      </c>
      <c r="D2927" t="s">
        <v>3544</v>
      </c>
      <c r="E2927" s="2">
        <v>1022</v>
      </c>
      <c r="F2927" s="3">
        <f t="shared" si="252"/>
        <v>45652</v>
      </c>
      <c r="G2927" s="3">
        <f t="shared" si="252"/>
        <v>45652</v>
      </c>
      <c r="H2927">
        <v>1584127599</v>
      </c>
      <c r="I2927" t="s">
        <v>20</v>
      </c>
      <c r="K2927" t="s">
        <v>21</v>
      </c>
      <c r="L2927" t="s">
        <v>22</v>
      </c>
      <c r="M2927" t="s">
        <v>23</v>
      </c>
      <c r="N2927" t="s">
        <v>23</v>
      </c>
      <c r="O2927" t="s">
        <v>24</v>
      </c>
      <c r="P2927" s="8" t="s">
        <v>3545</v>
      </c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</row>
    <row r="2928" spans="1:51" x14ac:dyDescent="0.2">
      <c r="A2928" s="6" t="s">
        <v>17</v>
      </c>
      <c r="B2928" t="s">
        <v>223</v>
      </c>
      <c r="C2928" t="s">
        <v>223</v>
      </c>
      <c r="D2928" t="s">
        <v>3546</v>
      </c>
      <c r="E2928" s="2">
        <v>4365.79</v>
      </c>
      <c r="F2928" s="3">
        <f>DATE(2024,12,27)</f>
        <v>45653</v>
      </c>
      <c r="G2928" s="3">
        <f>DATE(2024,12,27)</f>
        <v>45653</v>
      </c>
      <c r="H2928">
        <v>1584127600</v>
      </c>
      <c r="I2928" t="s">
        <v>20</v>
      </c>
      <c r="K2928" t="s">
        <v>21</v>
      </c>
      <c r="L2928" t="s">
        <v>22</v>
      </c>
      <c r="M2928" t="s">
        <v>23</v>
      </c>
      <c r="N2928" t="s">
        <v>23</v>
      </c>
      <c r="O2928" t="s">
        <v>24</v>
      </c>
      <c r="P2928" s="8" t="s">
        <v>3547</v>
      </c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  <c r="AV2928" s="11"/>
      <c r="AW2928" s="11"/>
      <c r="AX2928" s="11"/>
      <c r="AY2928" s="11"/>
    </row>
    <row r="2929" spans="1:51" x14ac:dyDescent="0.2">
      <c r="A2929" s="6" t="s">
        <v>17</v>
      </c>
      <c r="B2929" t="s">
        <v>115</v>
      </c>
      <c r="C2929" t="s">
        <v>116</v>
      </c>
      <c r="D2929" t="s">
        <v>3548</v>
      </c>
      <c r="E2929" s="2">
        <v>540</v>
      </c>
      <c r="F2929" s="3">
        <f>DATE(2024,12,26)</f>
        <v>45652</v>
      </c>
      <c r="G2929" s="3">
        <f>DATE(2024,12,26)</f>
        <v>45652</v>
      </c>
      <c r="H2929">
        <v>1584127601</v>
      </c>
      <c r="I2929" t="s">
        <v>20</v>
      </c>
      <c r="K2929" t="s">
        <v>21</v>
      </c>
      <c r="L2929" t="s">
        <v>22</v>
      </c>
      <c r="M2929" t="s">
        <v>23</v>
      </c>
      <c r="N2929" t="s">
        <v>23</v>
      </c>
      <c r="O2929" t="s">
        <v>24</v>
      </c>
      <c r="P2929" s="8" t="s">
        <v>3549</v>
      </c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  <c r="AV2929" s="11"/>
      <c r="AW2929" s="11"/>
      <c r="AX2929" s="11"/>
      <c r="AY2929" s="11"/>
    </row>
    <row r="2930" spans="1:51" x14ac:dyDescent="0.2">
      <c r="A2930" s="6" t="s">
        <v>17</v>
      </c>
      <c r="B2930" t="s">
        <v>57</v>
      </c>
      <c r="C2930" t="s">
        <v>58</v>
      </c>
      <c r="D2930" t="s">
        <v>3550</v>
      </c>
      <c r="E2930" s="2">
        <v>69.98</v>
      </c>
      <c r="F2930" s="3">
        <f t="shared" ref="F2930:G2932" si="253">DATE(2024,12,27)</f>
        <v>45653</v>
      </c>
      <c r="G2930" s="3">
        <f t="shared" si="253"/>
        <v>45653</v>
      </c>
      <c r="H2930">
        <v>1584127602</v>
      </c>
      <c r="I2930" t="s">
        <v>20</v>
      </c>
      <c r="K2930" t="s">
        <v>21</v>
      </c>
      <c r="L2930" t="s">
        <v>22</v>
      </c>
      <c r="M2930" t="s">
        <v>23</v>
      </c>
      <c r="N2930" t="s">
        <v>23</v>
      </c>
      <c r="O2930" t="s">
        <v>24</v>
      </c>
      <c r="P2930" s="8" t="s">
        <v>3551</v>
      </c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</row>
    <row r="2931" spans="1:51" x14ac:dyDescent="0.2">
      <c r="A2931" s="6" t="s">
        <v>17</v>
      </c>
      <c r="B2931" t="s">
        <v>1496</v>
      </c>
      <c r="C2931" t="s">
        <v>1497</v>
      </c>
      <c r="D2931" t="s">
        <v>3552</v>
      </c>
      <c r="E2931" s="2">
        <v>3485</v>
      </c>
      <c r="F2931" s="3">
        <f t="shared" si="253"/>
        <v>45653</v>
      </c>
      <c r="G2931" s="3">
        <f t="shared" si="253"/>
        <v>45653</v>
      </c>
      <c r="H2931">
        <v>1584127603</v>
      </c>
      <c r="I2931" t="s">
        <v>20</v>
      </c>
      <c r="K2931" t="s">
        <v>21</v>
      </c>
      <c r="L2931" t="s">
        <v>22</v>
      </c>
      <c r="M2931" t="s">
        <v>23</v>
      </c>
      <c r="N2931" t="s">
        <v>23</v>
      </c>
      <c r="O2931" t="s">
        <v>24</v>
      </c>
      <c r="P2931" s="8" t="s">
        <v>3553</v>
      </c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</row>
    <row r="2932" spans="1:51" x14ac:dyDescent="0.2">
      <c r="A2932" s="6" t="s">
        <v>17</v>
      </c>
      <c r="B2932" t="s">
        <v>261</v>
      </c>
      <c r="C2932" t="s">
        <v>262</v>
      </c>
      <c r="D2932" t="s">
        <v>3554</v>
      </c>
      <c r="E2932" s="2">
        <v>3733.53</v>
      </c>
      <c r="F2932" s="3">
        <f t="shared" si="253"/>
        <v>45653</v>
      </c>
      <c r="G2932" s="3">
        <f t="shared" si="253"/>
        <v>45653</v>
      </c>
      <c r="H2932">
        <v>1584127604</v>
      </c>
      <c r="I2932" t="s">
        <v>20</v>
      </c>
      <c r="K2932" t="s">
        <v>21</v>
      </c>
      <c r="L2932" t="s">
        <v>22</v>
      </c>
      <c r="M2932" t="s">
        <v>23</v>
      </c>
      <c r="N2932" t="s">
        <v>23</v>
      </c>
      <c r="O2932" t="s">
        <v>24</v>
      </c>
      <c r="P2932" s="8" t="s">
        <v>3555</v>
      </c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  <c r="AV2932" s="11"/>
      <c r="AW2932" s="11"/>
      <c r="AX2932" s="11"/>
      <c r="AY2932" s="11"/>
    </row>
    <row r="2933" spans="1:51" x14ac:dyDescent="0.2">
      <c r="A2933" s="6" t="s">
        <v>17</v>
      </c>
      <c r="B2933" t="s">
        <v>191</v>
      </c>
      <c r="C2933" t="s">
        <v>192</v>
      </c>
      <c r="D2933" t="s">
        <v>3556</v>
      </c>
      <c r="E2933" s="2">
        <v>7885.26</v>
      </c>
      <c r="F2933" s="3">
        <f>DATE(2024,12,26)</f>
        <v>45652</v>
      </c>
      <c r="G2933" s="3">
        <f>DATE(2024,12,26)</f>
        <v>45652</v>
      </c>
      <c r="H2933">
        <v>1584127605</v>
      </c>
      <c r="I2933" t="s">
        <v>20</v>
      </c>
      <c r="K2933" t="s">
        <v>21</v>
      </c>
      <c r="L2933" t="s">
        <v>22</v>
      </c>
      <c r="M2933" t="s">
        <v>23</v>
      </c>
      <c r="N2933" t="s">
        <v>23</v>
      </c>
      <c r="O2933" t="s">
        <v>24</v>
      </c>
      <c r="P2933" s="8" t="s">
        <v>3557</v>
      </c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</row>
    <row r="2934" spans="1:51" hidden="1" x14ac:dyDescent="0.2">
      <c r="A2934" s="6"/>
      <c r="E2934" s="2"/>
      <c r="F2934" s="3"/>
      <c r="G2934" s="3"/>
      <c r="P2934" s="8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  <c r="AV2934" s="11"/>
      <c r="AW2934" s="11"/>
      <c r="AX2934" s="11"/>
      <c r="AY2934" s="11"/>
    </row>
    <row r="2935" spans="1:51" hidden="1" x14ac:dyDescent="0.2">
      <c r="A2935" s="6"/>
      <c r="E2935" s="2"/>
      <c r="F2935" s="3"/>
      <c r="G2935" s="3"/>
      <c r="P2935" s="8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  <c r="AV2935" s="11"/>
      <c r="AW2935" s="11"/>
      <c r="AX2935" s="11"/>
      <c r="AY2935" s="11"/>
    </row>
    <row r="2936" spans="1:51" x14ac:dyDescent="0.2">
      <c r="A2936" s="6" t="s">
        <v>17</v>
      </c>
      <c r="B2936" t="s">
        <v>144</v>
      </c>
      <c r="C2936" t="s">
        <v>145</v>
      </c>
      <c r="D2936" t="s">
        <v>487</v>
      </c>
      <c r="E2936" s="2">
        <v>96.33</v>
      </c>
      <c r="F2936" s="3">
        <f>DATE(2024,12,26)</f>
        <v>45652</v>
      </c>
      <c r="G2936" s="3">
        <f>DATE(2024,12,26)</f>
        <v>45652</v>
      </c>
      <c r="H2936">
        <v>1587773013</v>
      </c>
      <c r="I2936" t="s">
        <v>51</v>
      </c>
      <c r="K2936" t="s">
        <v>21</v>
      </c>
      <c r="L2936" t="s">
        <v>22</v>
      </c>
      <c r="M2936" t="s">
        <v>23</v>
      </c>
      <c r="N2936" t="s">
        <v>23</v>
      </c>
      <c r="O2936" t="s">
        <v>24</v>
      </c>
      <c r="P2936" s="8" t="s">
        <v>3558</v>
      </c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  <c r="AV2936" s="11"/>
      <c r="AW2936" s="11"/>
      <c r="AX2936" s="11"/>
      <c r="AY2936" s="11"/>
    </row>
    <row r="2937" spans="1:51" hidden="1" x14ac:dyDescent="0.2">
      <c r="A2937" s="6"/>
      <c r="E2937" s="2"/>
      <c r="F2937" s="3"/>
      <c r="G2937" s="3"/>
      <c r="P2937" s="8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</row>
    <row r="2938" spans="1:51" hidden="1" x14ac:dyDescent="0.2">
      <c r="A2938" s="6"/>
      <c r="E2938" s="2"/>
      <c r="F2938" s="3"/>
      <c r="G2938" s="3"/>
      <c r="P2938" s="8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  <c r="AV2938" s="11"/>
      <c r="AW2938" s="11"/>
      <c r="AX2938" s="11"/>
      <c r="AY2938" s="11"/>
    </row>
    <row r="2939" spans="1:51" hidden="1" x14ac:dyDescent="0.2">
      <c r="A2939" s="6"/>
      <c r="E2939" s="2"/>
      <c r="F2939" s="3"/>
      <c r="G2939" s="3"/>
      <c r="P2939" s="8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  <c r="AV2939" s="11"/>
      <c r="AW2939" s="11"/>
      <c r="AX2939" s="11"/>
      <c r="AY2939" s="11"/>
    </row>
    <row r="2940" spans="1:51" x14ac:dyDescent="0.2">
      <c r="A2940" s="6" t="s">
        <v>17</v>
      </c>
      <c r="B2940" t="s">
        <v>34</v>
      </c>
      <c r="C2940" t="s">
        <v>35</v>
      </c>
      <c r="D2940" t="s">
        <v>3559</v>
      </c>
      <c r="E2940" s="2">
        <v>190.08</v>
      </c>
      <c r="F2940" s="3">
        <f>DATE(2024,12,30)</f>
        <v>45656</v>
      </c>
      <c r="G2940" s="3">
        <f>DATE(2024,12,30)</f>
        <v>45656</v>
      </c>
      <c r="H2940">
        <v>1596005613</v>
      </c>
      <c r="I2940" t="s">
        <v>20</v>
      </c>
      <c r="K2940" t="s">
        <v>21</v>
      </c>
      <c r="L2940" t="s">
        <v>22</v>
      </c>
      <c r="M2940" t="s">
        <v>23</v>
      </c>
      <c r="N2940" t="s">
        <v>23</v>
      </c>
      <c r="O2940" t="s">
        <v>24</v>
      </c>
      <c r="P2940" s="8" t="s">
        <v>3560</v>
      </c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  <c r="AV2940" s="11"/>
      <c r="AW2940" s="11"/>
      <c r="AX2940" s="11"/>
      <c r="AY2940" s="11"/>
    </row>
    <row r="2941" spans="1:51" x14ac:dyDescent="0.2">
      <c r="A2941" s="6" t="s">
        <v>17</v>
      </c>
      <c r="B2941" t="s">
        <v>44</v>
      </c>
      <c r="C2941" t="s">
        <v>45</v>
      </c>
      <c r="D2941" t="s">
        <v>3561</v>
      </c>
      <c r="E2941" s="2">
        <v>1150.6600000000001</v>
      </c>
      <c r="F2941" s="3">
        <f>DATE(2024,12,31)</f>
        <v>45657</v>
      </c>
      <c r="G2941" s="3">
        <f>DATE(2024,12,31)</f>
        <v>45657</v>
      </c>
      <c r="H2941">
        <v>1596005614</v>
      </c>
      <c r="I2941" t="s">
        <v>20</v>
      </c>
      <c r="K2941" t="s">
        <v>21</v>
      </c>
      <c r="L2941" t="s">
        <v>22</v>
      </c>
      <c r="M2941" t="s">
        <v>23</v>
      </c>
      <c r="N2941" t="s">
        <v>23</v>
      </c>
      <c r="O2941" t="s">
        <v>24</v>
      </c>
      <c r="P2941" s="8" t="s">
        <v>3562</v>
      </c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  <c r="AV2941" s="11"/>
      <c r="AW2941" s="11"/>
      <c r="AX2941" s="11"/>
      <c r="AY2941" s="11"/>
    </row>
    <row r="2942" spans="1:51" x14ac:dyDescent="0.2">
      <c r="A2942" s="6" t="s">
        <v>17</v>
      </c>
      <c r="B2942" t="s">
        <v>18</v>
      </c>
      <c r="C2942" t="s">
        <v>18</v>
      </c>
      <c r="D2942" t="s">
        <v>3563</v>
      </c>
      <c r="E2942" s="2">
        <v>0.56000000000000005</v>
      </c>
      <c r="F2942" s="3">
        <f>DATE(2024,12,30)</f>
        <v>45656</v>
      </c>
      <c r="G2942" s="3">
        <f>DATE(2024,12,30)</f>
        <v>45656</v>
      </c>
      <c r="H2942">
        <v>1596005615</v>
      </c>
      <c r="I2942" t="s">
        <v>20</v>
      </c>
      <c r="K2942" t="s">
        <v>21</v>
      </c>
      <c r="L2942" t="s">
        <v>22</v>
      </c>
      <c r="M2942" t="s">
        <v>23</v>
      </c>
      <c r="N2942" t="s">
        <v>23</v>
      </c>
      <c r="O2942" t="s">
        <v>24</v>
      </c>
      <c r="P2942" s="8" t="s">
        <v>3564</v>
      </c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  <c r="AV2942" s="11"/>
      <c r="AW2942" s="11"/>
      <c r="AX2942" s="11"/>
      <c r="AY2942" s="11"/>
    </row>
    <row r="2943" spans="1:51" x14ac:dyDescent="0.2">
      <c r="A2943" s="6" t="s">
        <v>17</v>
      </c>
      <c r="B2943" t="s">
        <v>44</v>
      </c>
      <c r="C2943" t="s">
        <v>45</v>
      </c>
      <c r="D2943" t="s">
        <v>3565</v>
      </c>
      <c r="E2943" s="2">
        <v>255.64</v>
      </c>
      <c r="F2943" s="3">
        <f>DATE(2024,12,31)</f>
        <v>45657</v>
      </c>
      <c r="G2943" s="3">
        <f>DATE(2024,12,31)</f>
        <v>45657</v>
      </c>
      <c r="H2943">
        <v>1596005616</v>
      </c>
      <c r="I2943" t="s">
        <v>20</v>
      </c>
      <c r="K2943" t="s">
        <v>21</v>
      </c>
      <c r="L2943" t="s">
        <v>22</v>
      </c>
      <c r="M2943" t="s">
        <v>23</v>
      </c>
      <c r="N2943" t="s">
        <v>23</v>
      </c>
      <c r="O2943" t="s">
        <v>24</v>
      </c>
      <c r="P2943" s="8" t="s">
        <v>3566</v>
      </c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</row>
    <row r="2944" spans="1:51" hidden="1" x14ac:dyDescent="0.2">
      <c r="A2944" s="6"/>
      <c r="E2944" s="2"/>
      <c r="F2944" s="3"/>
      <c r="G2944" s="3"/>
      <c r="P2944" s="8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  <c r="AV2944" s="11"/>
      <c r="AW2944" s="11"/>
      <c r="AX2944" s="11"/>
      <c r="AY2944" s="11"/>
    </row>
    <row r="2945" spans="1:51" x14ac:dyDescent="0.2">
      <c r="A2945" s="6" t="s">
        <v>17</v>
      </c>
      <c r="B2945" t="s">
        <v>191</v>
      </c>
      <c r="C2945" t="s">
        <v>192</v>
      </c>
      <c r="D2945" t="s">
        <v>3567</v>
      </c>
      <c r="E2945" s="2">
        <v>2057.98</v>
      </c>
      <c r="F2945" s="3">
        <f>DATE(2024,12,30)</f>
        <v>45656</v>
      </c>
      <c r="G2945" s="3">
        <f>DATE(2024,12,30)</f>
        <v>45656</v>
      </c>
      <c r="H2945">
        <v>1596005618</v>
      </c>
      <c r="I2945" t="s">
        <v>20</v>
      </c>
      <c r="K2945" t="s">
        <v>21</v>
      </c>
      <c r="L2945" t="s">
        <v>22</v>
      </c>
      <c r="M2945" t="s">
        <v>23</v>
      </c>
      <c r="N2945" t="s">
        <v>23</v>
      </c>
      <c r="O2945" t="s">
        <v>24</v>
      </c>
      <c r="P2945" s="8" t="s">
        <v>3568</v>
      </c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</row>
    <row r="2946" spans="1:51" x14ac:dyDescent="0.2">
      <c r="A2946" s="6" t="s">
        <v>17</v>
      </c>
      <c r="B2946" t="s">
        <v>137</v>
      </c>
      <c r="C2946" t="s">
        <v>138</v>
      </c>
      <c r="D2946" t="s">
        <v>3569</v>
      </c>
      <c r="E2946" s="2">
        <v>109.99</v>
      </c>
      <c r="F2946" s="3">
        <f>DATE(2024,12,28)</f>
        <v>45654</v>
      </c>
      <c r="G2946" s="3">
        <f>DATE(2024,12,28)</f>
        <v>45654</v>
      </c>
      <c r="H2946">
        <v>1596006025</v>
      </c>
      <c r="I2946" t="s">
        <v>51</v>
      </c>
      <c r="K2946" t="s">
        <v>21</v>
      </c>
      <c r="L2946" t="s">
        <v>22</v>
      </c>
      <c r="M2946" t="s">
        <v>23</v>
      </c>
      <c r="N2946" t="s">
        <v>23</v>
      </c>
      <c r="O2946" t="s">
        <v>24</v>
      </c>
      <c r="P2946" s="8" t="s">
        <v>3570</v>
      </c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  <c r="AV2946" s="11"/>
      <c r="AW2946" s="11"/>
      <c r="AX2946" s="11"/>
      <c r="AY2946" s="11"/>
    </row>
    <row r="2947" spans="1:51" hidden="1" x14ac:dyDescent="0.2">
      <c r="A2947" s="6"/>
      <c r="E2947" s="2"/>
      <c r="F2947" s="3"/>
      <c r="G2947" s="3"/>
      <c r="P2947" s="8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  <c r="AV2947" s="11"/>
      <c r="AW2947" s="11"/>
      <c r="AX2947" s="11"/>
      <c r="AY2947" s="11"/>
    </row>
    <row r="2948" spans="1:51" x14ac:dyDescent="0.2">
      <c r="A2948" s="6" t="s">
        <v>17</v>
      </c>
      <c r="B2948" t="s">
        <v>316</v>
      </c>
      <c r="C2948" t="s">
        <v>316</v>
      </c>
      <c r="D2948" t="s">
        <v>1250</v>
      </c>
      <c r="E2948" s="2">
        <v>1784.51</v>
      </c>
      <c r="F2948" s="3">
        <f t="shared" ref="F2947:G2949" si="254">DATE(2024,12,31)</f>
        <v>45657</v>
      </c>
      <c r="G2948" s="3">
        <f t="shared" si="254"/>
        <v>45657</v>
      </c>
      <c r="H2948">
        <v>1669791406</v>
      </c>
      <c r="I2948" t="s">
        <v>20</v>
      </c>
      <c r="K2948" t="s">
        <v>21</v>
      </c>
      <c r="L2948" t="s">
        <v>22</v>
      </c>
      <c r="M2948" t="s">
        <v>23</v>
      </c>
      <c r="N2948" t="s">
        <v>23</v>
      </c>
      <c r="O2948" t="s">
        <v>24</v>
      </c>
      <c r="P2948" s="8" t="s">
        <v>3571</v>
      </c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  <c r="AV2948" s="11"/>
      <c r="AW2948" s="11"/>
      <c r="AX2948" s="11"/>
      <c r="AY2948" s="11"/>
    </row>
    <row r="2949" spans="1:51" hidden="1" x14ac:dyDescent="0.2">
      <c r="A2949" s="6"/>
      <c r="E2949" s="2"/>
      <c r="F2949" s="3"/>
      <c r="G2949" s="3"/>
      <c r="P2949" s="8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</row>
    <row r="2950" spans="1:51" x14ac:dyDescent="0.2">
      <c r="A2950" s="7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10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  <c r="AV2950" s="11"/>
      <c r="AW2950" s="11"/>
      <c r="AX2950" s="11"/>
      <c r="AY2950" s="11"/>
    </row>
    <row r="2951" spans="1:51" x14ac:dyDescent="0.2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  <c r="AV2951" s="11"/>
      <c r="AW2951" s="11"/>
      <c r="AX2951" s="11"/>
      <c r="AY2951" s="11"/>
    </row>
    <row r="2952" spans="1:51" x14ac:dyDescent="0.2">
      <c r="A2952" s="11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  <c r="AV2952" s="11"/>
      <c r="AW2952" s="11"/>
      <c r="AX2952" s="11"/>
      <c r="AY2952" s="11"/>
    </row>
    <row r="2953" spans="1:51" x14ac:dyDescent="0.2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  <c r="AV2953" s="11"/>
      <c r="AW2953" s="11"/>
      <c r="AX2953" s="11"/>
      <c r="AY2953" s="11"/>
    </row>
    <row r="2954" spans="1:51" x14ac:dyDescent="0.2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  <c r="AV2954" s="11"/>
      <c r="AW2954" s="11"/>
      <c r="AX2954" s="11"/>
      <c r="AY2954" s="11"/>
    </row>
    <row r="2955" spans="1:51" x14ac:dyDescent="0.2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</row>
    <row r="2956" spans="1:51" x14ac:dyDescent="0.2">
      <c r="A2956" s="11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  <c r="AV2956" s="11"/>
      <c r="AW2956" s="11"/>
      <c r="AX2956" s="11"/>
      <c r="AY2956" s="11"/>
    </row>
    <row r="2957" spans="1:51" x14ac:dyDescent="0.2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  <c r="AV2957" s="11"/>
      <c r="AW2957" s="11"/>
      <c r="AX2957" s="11"/>
      <c r="AY2957" s="11"/>
    </row>
    <row r="2958" spans="1:51" x14ac:dyDescent="0.2">
      <c r="A2958" s="11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  <c r="AV2958" s="11"/>
      <c r="AW2958" s="11"/>
      <c r="AX2958" s="11"/>
      <c r="AY2958" s="11"/>
    </row>
    <row r="2959" spans="1:51" x14ac:dyDescent="0.2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  <c r="AV2959" s="11"/>
      <c r="AW2959" s="11"/>
      <c r="AX2959" s="11"/>
      <c r="AY2959" s="11"/>
    </row>
    <row r="2960" spans="1:51" x14ac:dyDescent="0.2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  <c r="AV2960" s="11"/>
      <c r="AW2960" s="11"/>
      <c r="AX2960" s="11"/>
      <c r="AY2960" s="11"/>
    </row>
    <row r="2961" spans="1:51" x14ac:dyDescent="0.2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</row>
    <row r="2962" spans="1:51" x14ac:dyDescent="0.2">
      <c r="A2962" s="11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  <c r="AV2962" s="11"/>
      <c r="AW2962" s="11"/>
      <c r="AX2962" s="11"/>
      <c r="AY2962" s="11"/>
    </row>
    <row r="2963" spans="1:51" x14ac:dyDescent="0.2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</row>
    <row r="2964" spans="1:51" x14ac:dyDescent="0.2">
      <c r="A2964" s="11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  <c r="AV2964" s="11"/>
      <c r="AW2964" s="11"/>
      <c r="AX2964" s="11"/>
      <c r="AY2964" s="11"/>
    </row>
    <row r="2965" spans="1:51" x14ac:dyDescent="0.2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  <c r="AV2965" s="11"/>
      <c r="AW2965" s="11"/>
      <c r="AX2965" s="11"/>
      <c r="AY2965" s="11"/>
    </row>
    <row r="2966" spans="1:51" x14ac:dyDescent="0.2">
      <c r="A2966" s="11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  <c r="AV2966" s="11"/>
      <c r="AW2966" s="11"/>
      <c r="AX2966" s="11"/>
      <c r="AY2966" s="11"/>
    </row>
    <row r="2967" spans="1:51" x14ac:dyDescent="0.2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</row>
    <row r="2968" spans="1:51" x14ac:dyDescent="0.2">
      <c r="A2968" s="11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  <c r="AV2968" s="11"/>
      <c r="AW2968" s="11"/>
      <c r="AX2968" s="11"/>
      <c r="AY2968" s="11"/>
    </row>
    <row r="2969" spans="1:51" x14ac:dyDescent="0.2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</row>
    <row r="2970" spans="1:51" x14ac:dyDescent="0.2">
      <c r="A2970" s="11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  <c r="AV2970" s="11"/>
      <c r="AW2970" s="11"/>
      <c r="AX2970" s="11"/>
      <c r="AY2970" s="11"/>
    </row>
    <row r="2971" spans="1:51" x14ac:dyDescent="0.2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  <c r="AV2971" s="11"/>
      <c r="AW2971" s="11"/>
      <c r="AX2971" s="11"/>
      <c r="AY2971" s="11"/>
    </row>
    <row r="2972" spans="1:51" x14ac:dyDescent="0.2">
      <c r="A2972" s="11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  <c r="AV2972" s="11"/>
      <c r="AW2972" s="11"/>
      <c r="AX2972" s="11"/>
      <c r="AY2972" s="11"/>
    </row>
    <row r="2973" spans="1:51" x14ac:dyDescent="0.2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</row>
    <row r="2974" spans="1:51" x14ac:dyDescent="0.2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  <c r="AV2974" s="11"/>
      <c r="AW2974" s="11"/>
      <c r="AX2974" s="11"/>
      <c r="AY2974" s="11"/>
    </row>
    <row r="2975" spans="1:51" x14ac:dyDescent="0.2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  <c r="AV2975" s="11"/>
      <c r="AW2975" s="11"/>
      <c r="AX2975" s="11"/>
      <c r="AY2975" s="11"/>
    </row>
    <row r="2976" spans="1:51" x14ac:dyDescent="0.2">
      <c r="A2976" s="11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  <c r="AV2976" s="11"/>
      <c r="AW2976" s="11"/>
      <c r="AX2976" s="11"/>
      <c r="AY2976" s="11"/>
    </row>
    <row r="2977" spans="1:51" x14ac:dyDescent="0.2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  <c r="AV2977" s="11"/>
      <c r="AW2977" s="11"/>
      <c r="AX2977" s="11"/>
      <c r="AY2977" s="11"/>
    </row>
    <row r="2978" spans="1:51" x14ac:dyDescent="0.2">
      <c r="A2978" s="11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</row>
    <row r="2979" spans="1:51" x14ac:dyDescent="0.2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</row>
    <row r="2980" spans="1:51" x14ac:dyDescent="0.2">
      <c r="A2980" s="11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  <c r="AV2980" s="11"/>
      <c r="AW2980" s="11"/>
      <c r="AX2980" s="11"/>
      <c r="AY2980" s="11"/>
    </row>
    <row r="2981" spans="1:51" x14ac:dyDescent="0.2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</row>
    <row r="2982" spans="1:51" x14ac:dyDescent="0.2">
      <c r="A2982" s="11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  <c r="AV2982" s="11"/>
      <c r="AW2982" s="11"/>
      <c r="AX2982" s="11"/>
      <c r="AY2982" s="11"/>
    </row>
    <row r="2983" spans="1:51" x14ac:dyDescent="0.2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  <c r="AV2983" s="11"/>
      <c r="AW2983" s="11"/>
      <c r="AX2983" s="11"/>
      <c r="AY2983" s="11"/>
    </row>
    <row r="2984" spans="1:51" x14ac:dyDescent="0.2">
      <c r="A2984" s="11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  <c r="AV2984" s="11"/>
      <c r="AW2984" s="11"/>
      <c r="AX2984" s="11"/>
      <c r="AY2984" s="11"/>
    </row>
    <row r="2985" spans="1:51" x14ac:dyDescent="0.2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</row>
    <row r="2986" spans="1:51" x14ac:dyDescent="0.2">
      <c r="A2986" s="11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  <c r="AV2986" s="11"/>
      <c r="AW2986" s="11"/>
      <c r="AX2986" s="11"/>
      <c r="AY2986" s="11"/>
    </row>
    <row r="2987" spans="1:51" x14ac:dyDescent="0.2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  <c r="AV2987" s="11"/>
      <c r="AW2987" s="11"/>
      <c r="AX2987" s="11"/>
      <c r="AY2987" s="11"/>
    </row>
    <row r="2988" spans="1:51" x14ac:dyDescent="0.2">
      <c r="A2988" s="11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  <c r="AV2988" s="11"/>
      <c r="AW2988" s="11"/>
      <c r="AX2988" s="11"/>
      <c r="AY2988" s="11"/>
    </row>
    <row r="2989" spans="1:51" x14ac:dyDescent="0.2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  <c r="AV2989" s="11"/>
      <c r="AW2989" s="11"/>
      <c r="AX2989" s="11"/>
      <c r="AY2989" s="11"/>
    </row>
    <row r="2990" spans="1:51" x14ac:dyDescent="0.2">
      <c r="A2990" s="11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  <c r="AV2990" s="11"/>
      <c r="AW2990" s="11"/>
      <c r="AX2990" s="11"/>
      <c r="AY2990" s="11"/>
    </row>
    <row r="2991" spans="1:51" x14ac:dyDescent="0.2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</row>
    <row r="2992" spans="1:51" x14ac:dyDescent="0.2">
      <c r="A2992" s="11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  <c r="AV2992" s="11"/>
      <c r="AW2992" s="11"/>
      <c r="AX2992" s="11"/>
      <c r="AY2992" s="11"/>
    </row>
    <row r="2993" spans="1:51" x14ac:dyDescent="0.2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  <c r="AV2993" s="11"/>
      <c r="AW2993" s="11"/>
      <c r="AX2993" s="11"/>
      <c r="AY2993" s="11"/>
    </row>
    <row r="2994" spans="1:51" x14ac:dyDescent="0.2">
      <c r="A2994" s="11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  <c r="AV2994" s="11"/>
      <c r="AW2994" s="11"/>
      <c r="AX2994" s="11"/>
      <c r="AY2994" s="11"/>
    </row>
    <row r="2995" spans="1:51" x14ac:dyDescent="0.2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  <c r="AV2995" s="11"/>
      <c r="AW2995" s="11"/>
      <c r="AX2995" s="11"/>
      <c r="AY2995" s="11"/>
    </row>
    <row r="2996" spans="1:51" x14ac:dyDescent="0.2">
      <c r="A2996" s="11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  <c r="AV2996" s="11"/>
      <c r="AW2996" s="11"/>
      <c r="AX2996" s="11"/>
      <c r="AY2996" s="11"/>
    </row>
    <row r="2997" spans="1:51" x14ac:dyDescent="0.2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</row>
    <row r="2998" spans="1:51" x14ac:dyDescent="0.2">
      <c r="A2998" s="11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  <c r="AV2998" s="11"/>
      <c r="AW2998" s="11"/>
      <c r="AX2998" s="11"/>
      <c r="AY2998" s="11"/>
    </row>
    <row r="2999" spans="1:51" x14ac:dyDescent="0.2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  <c r="AV2999" s="11"/>
      <c r="AW2999" s="11"/>
      <c r="AX2999" s="11"/>
      <c r="AY2999" s="11"/>
    </row>
    <row r="3000" spans="1:51" x14ac:dyDescent="0.2">
      <c r="A3000" s="11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  <c r="AV3000" s="11"/>
      <c r="AW3000" s="11"/>
      <c r="AX3000" s="11"/>
      <c r="AY3000" s="11"/>
    </row>
  </sheetData>
  <mergeCells count="3">
    <mergeCell ref="A2:P2"/>
    <mergeCell ref="A3:P3"/>
    <mergeCell ref="A1:P1"/>
  </mergeCells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Payées</vt:lpstr>
      <vt:lpstr>Payées!Zone_d_impression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caminale</cp:lastModifiedBy>
  <dcterms:modified xsi:type="dcterms:W3CDTF">2026-01-08T19:06:17Z</dcterms:modified>
</cp:coreProperties>
</file>