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caminale/Documents/hotel/code/hotel-marketing/buget/"/>
    </mc:Choice>
  </mc:AlternateContent>
  <xr:revisionPtr revIDLastSave="0" documentId="13_ncr:1_{EC449231-5999-0B4A-AB9A-57041BF491E9}" xr6:coauthVersionLast="47" xr6:coauthVersionMax="47" xr10:uidLastSave="{00000000-0000-0000-0000-000000000000}"/>
  <bookViews>
    <workbookView xWindow="0" yWindow="680" windowWidth="34560" windowHeight="19780" xr2:uid="{00000000-000D-0000-FFFF-FFFF00000000}"/>
  </bookViews>
  <sheets>
    <sheet name="Payées" sheetId="1" r:id="rId1"/>
  </sheets>
  <definedNames>
    <definedName name="_xlnm.Print_Area" localSheetId="0">Payées!$A$1:$P$3007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06" i="1" l="1"/>
  <c r="F3006" i="1"/>
  <c r="G3005" i="1"/>
  <c r="F3005" i="1"/>
  <c r="G3004" i="1"/>
  <c r="F3004" i="1"/>
  <c r="G3003" i="1"/>
  <c r="F3003" i="1"/>
  <c r="G3002" i="1"/>
  <c r="F3002" i="1"/>
  <c r="G3001" i="1"/>
  <c r="F3001" i="1"/>
  <c r="G3000" i="1"/>
  <c r="F3000" i="1"/>
  <c r="G2998" i="1"/>
  <c r="F2998" i="1"/>
  <c r="G2997" i="1"/>
  <c r="F2997" i="1"/>
  <c r="G2996" i="1"/>
  <c r="F2996" i="1"/>
  <c r="G2995" i="1"/>
  <c r="F2995" i="1"/>
  <c r="G2994" i="1"/>
  <c r="F2994" i="1"/>
  <c r="G2993" i="1"/>
  <c r="F2993" i="1"/>
  <c r="G2992" i="1"/>
  <c r="F2992" i="1"/>
  <c r="G2987" i="1"/>
  <c r="F2987" i="1"/>
  <c r="G2986" i="1"/>
  <c r="F2986" i="1"/>
  <c r="G2985" i="1"/>
  <c r="F2985" i="1"/>
  <c r="G2984" i="1"/>
  <c r="F2984" i="1"/>
  <c r="G2983" i="1"/>
  <c r="F2983" i="1"/>
  <c r="G2981" i="1"/>
  <c r="F2981" i="1"/>
  <c r="G2980" i="1"/>
  <c r="F2980" i="1"/>
  <c r="G2978" i="1"/>
  <c r="F2978" i="1"/>
  <c r="G2977" i="1"/>
  <c r="F2977" i="1"/>
  <c r="G2976" i="1"/>
  <c r="F2976" i="1"/>
  <c r="G2974" i="1"/>
  <c r="F2974" i="1"/>
  <c r="G2972" i="1"/>
  <c r="F2972" i="1"/>
  <c r="G2970" i="1"/>
  <c r="F2970" i="1"/>
  <c r="G2969" i="1"/>
  <c r="F2969" i="1"/>
  <c r="G2968" i="1"/>
  <c r="F2968" i="1"/>
  <c r="G2967" i="1"/>
  <c r="F2967" i="1"/>
  <c r="G2966" i="1"/>
  <c r="F2966" i="1"/>
  <c r="G2965" i="1"/>
  <c r="F2965" i="1"/>
  <c r="G2964" i="1"/>
  <c r="F2964" i="1"/>
  <c r="G2961" i="1"/>
  <c r="F2961" i="1"/>
  <c r="G2958" i="1"/>
  <c r="F2958" i="1"/>
  <c r="G2956" i="1"/>
  <c r="F2956" i="1"/>
  <c r="G2953" i="1"/>
  <c r="F2953" i="1"/>
  <c r="G2952" i="1"/>
  <c r="F2952" i="1"/>
  <c r="G2951" i="1"/>
  <c r="F2951" i="1"/>
  <c r="G2948" i="1"/>
  <c r="F2948" i="1"/>
  <c r="G2947" i="1"/>
  <c r="F2947" i="1"/>
  <c r="G2946" i="1"/>
  <c r="F2946" i="1"/>
  <c r="G2945" i="1"/>
  <c r="F2945" i="1"/>
  <c r="G2944" i="1"/>
  <c r="F2944" i="1"/>
  <c r="G2943" i="1"/>
  <c r="F2943" i="1"/>
  <c r="G2942" i="1"/>
  <c r="F2942" i="1"/>
  <c r="G2941" i="1"/>
  <c r="F2941" i="1"/>
  <c r="G2940" i="1"/>
  <c r="F2940" i="1"/>
  <c r="G2939" i="1"/>
  <c r="F2939" i="1"/>
  <c r="G2938" i="1"/>
  <c r="F2938" i="1"/>
  <c r="G2936" i="1"/>
  <c r="F2936" i="1"/>
  <c r="G2935" i="1"/>
  <c r="F2935" i="1"/>
  <c r="G2933" i="1"/>
  <c r="F2933" i="1"/>
  <c r="G2932" i="1"/>
  <c r="F2932" i="1"/>
  <c r="G2931" i="1"/>
  <c r="F2931" i="1"/>
  <c r="G2930" i="1"/>
  <c r="F2930" i="1"/>
  <c r="G2927" i="1"/>
  <c r="F2927" i="1"/>
  <c r="G2925" i="1"/>
  <c r="F2925" i="1"/>
  <c r="G2924" i="1"/>
  <c r="F2924" i="1"/>
  <c r="G2923" i="1"/>
  <c r="F2923" i="1"/>
  <c r="G2922" i="1"/>
  <c r="F2922" i="1"/>
  <c r="G2921" i="1"/>
  <c r="F2921" i="1"/>
  <c r="G2919" i="1"/>
  <c r="F2919" i="1"/>
  <c r="G2917" i="1"/>
  <c r="F2917" i="1"/>
  <c r="G2915" i="1"/>
  <c r="F2915" i="1"/>
  <c r="G2914" i="1"/>
  <c r="F2914" i="1"/>
  <c r="G2913" i="1"/>
  <c r="F2913" i="1"/>
  <c r="G2909" i="1"/>
  <c r="F2909" i="1"/>
  <c r="G2907" i="1"/>
  <c r="F2907" i="1"/>
  <c r="G2905" i="1"/>
  <c r="F2905" i="1"/>
  <c r="G2904" i="1"/>
  <c r="F2904" i="1"/>
  <c r="G2903" i="1"/>
  <c r="F2903" i="1"/>
  <c r="G2902" i="1"/>
  <c r="F2902" i="1"/>
  <c r="G2900" i="1"/>
  <c r="F2900" i="1"/>
  <c r="G2899" i="1"/>
  <c r="F2899" i="1"/>
  <c r="G2898" i="1"/>
  <c r="F2898" i="1"/>
  <c r="G2897" i="1"/>
  <c r="F2897" i="1"/>
  <c r="G2896" i="1"/>
  <c r="F2896" i="1"/>
  <c r="G2894" i="1"/>
  <c r="F2894" i="1"/>
  <c r="G2892" i="1"/>
  <c r="F2892" i="1"/>
  <c r="G2891" i="1"/>
  <c r="F2891" i="1"/>
  <c r="G2889" i="1"/>
  <c r="F2889" i="1"/>
  <c r="G2888" i="1"/>
  <c r="F2888" i="1"/>
  <c r="G2887" i="1"/>
  <c r="F2887" i="1"/>
  <c r="G2884" i="1"/>
  <c r="F2884" i="1"/>
  <c r="G2883" i="1"/>
  <c r="F2883" i="1"/>
  <c r="G2880" i="1"/>
  <c r="F2880" i="1"/>
  <c r="G2878" i="1"/>
  <c r="F2878" i="1"/>
  <c r="G2877" i="1"/>
  <c r="F2877" i="1"/>
  <c r="G2875" i="1"/>
  <c r="F2875" i="1"/>
  <c r="G2874" i="1"/>
  <c r="F2874" i="1"/>
  <c r="G2873" i="1"/>
  <c r="F2873" i="1"/>
  <c r="G2870" i="1"/>
  <c r="F2870" i="1"/>
  <c r="G2869" i="1"/>
  <c r="F2869" i="1"/>
  <c r="G2867" i="1"/>
  <c r="F2867" i="1"/>
  <c r="G2866" i="1"/>
  <c r="F2866" i="1"/>
  <c r="G2865" i="1"/>
  <c r="F2865" i="1"/>
  <c r="G2864" i="1"/>
  <c r="F2864" i="1"/>
  <c r="G2863" i="1"/>
  <c r="F2863" i="1"/>
  <c r="G2862" i="1"/>
  <c r="F2862" i="1"/>
  <c r="G2860" i="1"/>
  <c r="F2860" i="1"/>
  <c r="G2859" i="1"/>
  <c r="F2859" i="1"/>
  <c r="G2858" i="1"/>
  <c r="F2858" i="1"/>
  <c r="G2857" i="1"/>
  <c r="F2857" i="1"/>
  <c r="G2855" i="1"/>
  <c r="F2855" i="1"/>
  <c r="G2852" i="1"/>
  <c r="F2852" i="1"/>
  <c r="G2851" i="1"/>
  <c r="F2851" i="1"/>
  <c r="G2849" i="1"/>
  <c r="F2849" i="1"/>
  <c r="G2844" i="1"/>
  <c r="F2844" i="1"/>
  <c r="G2843" i="1"/>
  <c r="F2843" i="1"/>
  <c r="G2841" i="1"/>
  <c r="F2841" i="1"/>
  <c r="G2840" i="1"/>
  <c r="F2840" i="1"/>
  <c r="G2839" i="1"/>
  <c r="F2839" i="1"/>
  <c r="G2835" i="1"/>
  <c r="F2835" i="1"/>
  <c r="G2833" i="1"/>
  <c r="F2833" i="1"/>
  <c r="G2831" i="1"/>
  <c r="F2831" i="1"/>
  <c r="G2828" i="1"/>
  <c r="F2828" i="1"/>
  <c r="G2827" i="1"/>
  <c r="F2827" i="1"/>
  <c r="G2826" i="1"/>
  <c r="F2826" i="1"/>
  <c r="G2825" i="1"/>
  <c r="F2825" i="1"/>
  <c r="G2824" i="1"/>
  <c r="F2824" i="1"/>
  <c r="G2823" i="1"/>
  <c r="F2823" i="1"/>
  <c r="G2822" i="1"/>
  <c r="F2822" i="1"/>
  <c r="G2821" i="1"/>
  <c r="F2821" i="1"/>
  <c r="G2820" i="1"/>
  <c r="F2820" i="1"/>
  <c r="G2819" i="1"/>
  <c r="F2819" i="1"/>
  <c r="G2817" i="1"/>
  <c r="F2817" i="1"/>
  <c r="G2816" i="1"/>
  <c r="F2816" i="1"/>
  <c r="G2815" i="1"/>
  <c r="F2815" i="1"/>
  <c r="G2814" i="1"/>
  <c r="F2814" i="1"/>
  <c r="G2813" i="1"/>
  <c r="F2813" i="1"/>
  <c r="G2812" i="1"/>
  <c r="F2812" i="1"/>
  <c r="G2811" i="1"/>
  <c r="F2811" i="1"/>
  <c r="G2809" i="1"/>
  <c r="F2809" i="1"/>
  <c r="G2808" i="1"/>
  <c r="F2808" i="1"/>
  <c r="G2806" i="1"/>
  <c r="F2806" i="1"/>
  <c r="G2805" i="1"/>
  <c r="F2805" i="1"/>
  <c r="G2803" i="1"/>
  <c r="F2803" i="1"/>
  <c r="G2802" i="1"/>
  <c r="F2802" i="1"/>
  <c r="G2801" i="1"/>
  <c r="F2801" i="1"/>
  <c r="G2799" i="1"/>
  <c r="F2799" i="1"/>
  <c r="G2798" i="1"/>
  <c r="F2798" i="1"/>
  <c r="G2794" i="1"/>
  <c r="F2794" i="1"/>
  <c r="G2793" i="1"/>
  <c r="F2793" i="1"/>
  <c r="G2792" i="1"/>
  <c r="F2792" i="1"/>
  <c r="G2791" i="1"/>
  <c r="F2791" i="1"/>
  <c r="G2790" i="1"/>
  <c r="F2790" i="1"/>
  <c r="G2789" i="1"/>
  <c r="F2789" i="1"/>
  <c r="G2788" i="1"/>
  <c r="F2788" i="1"/>
  <c r="G2787" i="1"/>
  <c r="F2787" i="1"/>
  <c r="G2786" i="1"/>
  <c r="F2786" i="1"/>
  <c r="G2785" i="1"/>
  <c r="F2785" i="1"/>
  <c r="G2784" i="1"/>
  <c r="F2784" i="1"/>
  <c r="G2781" i="1"/>
  <c r="F2781" i="1"/>
  <c r="G2780" i="1"/>
  <c r="F2780" i="1"/>
  <c r="G2778" i="1"/>
  <c r="F2778" i="1"/>
  <c r="G2777" i="1"/>
  <c r="F2777" i="1"/>
  <c r="G2775" i="1"/>
  <c r="F2775" i="1"/>
  <c r="G2770" i="1"/>
  <c r="F2770" i="1"/>
  <c r="G2769" i="1"/>
  <c r="F2769" i="1"/>
  <c r="G2768" i="1"/>
  <c r="F2768" i="1"/>
  <c r="G2766" i="1"/>
  <c r="F2766" i="1"/>
  <c r="G2765" i="1"/>
  <c r="F2765" i="1"/>
  <c r="G2761" i="1"/>
  <c r="F2761" i="1"/>
  <c r="G2759" i="1"/>
  <c r="F2759" i="1"/>
  <c r="G2756" i="1"/>
  <c r="F2756" i="1"/>
  <c r="G2753" i="1"/>
  <c r="F2753" i="1"/>
  <c r="G2751" i="1"/>
  <c r="F2751" i="1"/>
  <c r="G2750" i="1"/>
  <c r="F2750" i="1"/>
  <c r="G2749" i="1"/>
  <c r="F2749" i="1"/>
  <c r="G2748" i="1"/>
  <c r="F2748" i="1"/>
  <c r="G2747" i="1"/>
  <c r="F2747" i="1"/>
  <c r="G2746" i="1"/>
  <c r="F2746" i="1"/>
  <c r="G2744" i="1"/>
  <c r="F2744" i="1"/>
  <c r="G2743" i="1"/>
  <c r="F2743" i="1"/>
  <c r="G2740" i="1"/>
  <c r="F2740" i="1"/>
  <c r="G2739" i="1"/>
  <c r="F2739" i="1"/>
  <c r="G2738" i="1"/>
  <c r="F2738" i="1"/>
  <c r="G2737" i="1"/>
  <c r="F2737" i="1"/>
  <c r="G2734" i="1"/>
  <c r="F2734" i="1"/>
  <c r="G2733" i="1"/>
  <c r="F2733" i="1"/>
  <c r="G2732" i="1"/>
  <c r="F2732" i="1"/>
  <c r="G2731" i="1"/>
  <c r="F2731" i="1"/>
  <c r="G2730" i="1"/>
  <c r="F2730" i="1"/>
  <c r="G2729" i="1"/>
  <c r="F2729" i="1"/>
  <c r="G2725" i="1"/>
  <c r="F2725" i="1"/>
  <c r="G2724" i="1"/>
  <c r="F2724" i="1"/>
  <c r="G2723" i="1"/>
  <c r="F2723" i="1"/>
  <c r="G2722" i="1"/>
  <c r="F2722" i="1"/>
  <c r="G2718" i="1"/>
  <c r="F2718" i="1"/>
  <c r="G2717" i="1"/>
  <c r="F2717" i="1"/>
  <c r="G2715" i="1"/>
  <c r="F2715" i="1"/>
  <c r="G2714" i="1"/>
  <c r="F2714" i="1"/>
  <c r="G2712" i="1"/>
  <c r="F2712" i="1"/>
  <c r="G2707" i="1"/>
  <c r="F2707" i="1"/>
  <c r="G2701" i="1"/>
  <c r="F2701" i="1"/>
  <c r="G2700" i="1"/>
  <c r="F2700" i="1"/>
  <c r="G2697" i="1"/>
  <c r="F2697" i="1"/>
  <c r="G2696" i="1"/>
  <c r="F2696" i="1"/>
  <c r="G2694" i="1"/>
  <c r="F2694" i="1"/>
  <c r="G2693" i="1"/>
  <c r="F2693" i="1"/>
  <c r="G2691" i="1"/>
  <c r="F2691" i="1"/>
  <c r="G2685" i="1"/>
  <c r="F2685" i="1"/>
  <c r="G2683" i="1"/>
  <c r="F2683" i="1"/>
  <c r="G2682" i="1"/>
  <c r="F2682" i="1"/>
  <c r="G2680" i="1"/>
  <c r="F2680" i="1"/>
  <c r="G2679" i="1"/>
  <c r="F2679" i="1"/>
  <c r="G2678" i="1"/>
  <c r="F2678" i="1"/>
  <c r="G2677" i="1"/>
  <c r="F2677" i="1"/>
  <c r="G2676" i="1"/>
  <c r="F2676" i="1"/>
  <c r="G2675" i="1"/>
  <c r="F2675" i="1"/>
  <c r="G2674" i="1"/>
  <c r="F2674" i="1"/>
  <c r="G2673" i="1"/>
  <c r="F2673" i="1"/>
  <c r="G2672" i="1"/>
  <c r="F2672" i="1"/>
  <c r="G2671" i="1"/>
  <c r="F2671" i="1"/>
  <c r="G2670" i="1"/>
  <c r="F2670" i="1"/>
  <c r="G2669" i="1"/>
  <c r="F2669" i="1"/>
  <c r="G2664" i="1"/>
  <c r="F2664" i="1"/>
  <c r="G2663" i="1"/>
  <c r="F2663" i="1"/>
  <c r="G2661" i="1"/>
  <c r="F2661" i="1"/>
  <c r="G2660" i="1"/>
  <c r="F2660" i="1"/>
  <c r="G2659" i="1"/>
  <c r="F2659" i="1"/>
  <c r="G2658" i="1"/>
  <c r="F2658" i="1"/>
  <c r="G2657" i="1"/>
  <c r="F2657" i="1"/>
  <c r="G2656" i="1"/>
  <c r="F2656" i="1"/>
  <c r="G2655" i="1"/>
  <c r="F2655" i="1"/>
  <c r="G2654" i="1"/>
  <c r="F2654" i="1"/>
  <c r="G2653" i="1"/>
  <c r="F2653" i="1"/>
  <c r="G2652" i="1"/>
  <c r="F2652" i="1"/>
  <c r="G2650" i="1"/>
  <c r="F2650" i="1"/>
  <c r="G2649" i="1"/>
  <c r="F2649" i="1"/>
  <c r="G2643" i="1"/>
  <c r="F2643" i="1"/>
  <c r="G2640" i="1"/>
  <c r="F2640" i="1"/>
  <c r="G2636" i="1"/>
  <c r="F2636" i="1"/>
  <c r="G2628" i="1"/>
  <c r="F2628" i="1"/>
  <c r="G2627" i="1"/>
  <c r="F2627" i="1"/>
  <c r="G2626" i="1"/>
  <c r="F2626" i="1"/>
  <c r="G2625" i="1"/>
  <c r="F2625" i="1"/>
  <c r="G2624" i="1"/>
  <c r="F2624" i="1"/>
  <c r="G2620" i="1"/>
  <c r="F2620" i="1"/>
  <c r="G2618" i="1"/>
  <c r="F2618" i="1"/>
  <c r="G2617" i="1"/>
  <c r="F2617" i="1"/>
  <c r="G2616" i="1"/>
  <c r="F2616" i="1"/>
  <c r="G2615" i="1"/>
  <c r="F2615" i="1"/>
  <c r="G2613" i="1"/>
  <c r="F2613" i="1"/>
  <c r="G2612" i="1"/>
  <c r="F2612" i="1"/>
  <c r="G2611" i="1"/>
  <c r="F2611" i="1"/>
  <c r="G2610" i="1"/>
  <c r="F2610" i="1"/>
  <c r="G2609" i="1"/>
  <c r="F2609" i="1"/>
  <c r="G2608" i="1"/>
  <c r="F2608" i="1"/>
  <c r="G2607" i="1"/>
  <c r="F2607" i="1"/>
  <c r="G2606" i="1"/>
  <c r="F2606" i="1"/>
  <c r="G2605" i="1"/>
  <c r="F2605" i="1"/>
  <c r="G2604" i="1"/>
  <c r="F2604" i="1"/>
  <c r="G2596" i="1"/>
  <c r="F2596" i="1"/>
  <c r="G2593" i="1"/>
  <c r="F2593" i="1"/>
  <c r="G2589" i="1"/>
  <c r="F2589" i="1"/>
  <c r="G2587" i="1"/>
  <c r="F2587" i="1"/>
  <c r="G2585" i="1"/>
  <c r="F2585" i="1"/>
  <c r="G2584" i="1"/>
  <c r="F2584" i="1"/>
  <c r="G2583" i="1"/>
  <c r="F2583" i="1"/>
  <c r="G2581" i="1"/>
  <c r="F2581" i="1"/>
  <c r="G2580" i="1"/>
  <c r="F2580" i="1"/>
  <c r="G2579" i="1"/>
  <c r="F2579" i="1"/>
  <c r="G2578" i="1"/>
  <c r="F2578" i="1"/>
  <c r="G2576" i="1"/>
  <c r="F2576" i="1"/>
  <c r="G2573" i="1"/>
  <c r="F2573" i="1"/>
  <c r="G2571" i="1"/>
  <c r="F2571" i="1"/>
  <c r="G2569" i="1"/>
  <c r="F2569" i="1"/>
  <c r="G2567" i="1"/>
  <c r="F2567" i="1"/>
  <c r="G2566" i="1"/>
  <c r="F2566" i="1"/>
  <c r="G2564" i="1"/>
  <c r="F2564" i="1"/>
  <c r="G2563" i="1"/>
  <c r="F2563" i="1"/>
  <c r="G2562" i="1"/>
  <c r="F2562" i="1"/>
  <c r="G2561" i="1"/>
  <c r="F2561" i="1"/>
  <c r="G2560" i="1"/>
  <c r="F2560" i="1"/>
  <c r="G2559" i="1"/>
  <c r="F2559" i="1"/>
  <c r="G2555" i="1"/>
  <c r="F2555" i="1"/>
  <c r="G2553" i="1"/>
  <c r="F2553" i="1"/>
  <c r="G2551" i="1"/>
  <c r="F2551" i="1"/>
  <c r="G2550" i="1"/>
  <c r="F2550" i="1"/>
  <c r="G2549" i="1"/>
  <c r="F2549" i="1"/>
  <c r="G2548" i="1"/>
  <c r="F2548" i="1"/>
  <c r="G2547" i="1"/>
  <c r="F2547" i="1"/>
  <c r="G2546" i="1"/>
  <c r="F2546" i="1"/>
  <c r="G2545" i="1"/>
  <c r="F2545" i="1"/>
  <c r="G2544" i="1"/>
  <c r="F2544" i="1"/>
  <c r="G2543" i="1"/>
  <c r="F2543" i="1"/>
  <c r="G2542" i="1"/>
  <c r="F2542" i="1"/>
  <c r="G2541" i="1"/>
  <c r="F2541" i="1"/>
  <c r="G2540" i="1"/>
  <c r="F2540" i="1"/>
  <c r="G2539" i="1"/>
  <c r="F2539" i="1"/>
  <c r="G2537" i="1"/>
  <c r="F2537" i="1"/>
  <c r="G2536" i="1"/>
  <c r="F2536" i="1"/>
  <c r="G2535" i="1"/>
  <c r="F2535" i="1"/>
  <c r="G2534" i="1"/>
  <c r="F2534" i="1"/>
  <c r="G2533" i="1"/>
  <c r="F2533" i="1"/>
  <c r="G2529" i="1"/>
  <c r="F2529" i="1"/>
  <c r="G2521" i="1"/>
  <c r="F2521" i="1"/>
  <c r="G2518" i="1"/>
  <c r="F2518" i="1"/>
  <c r="G2516" i="1"/>
  <c r="F2516" i="1"/>
  <c r="G2515" i="1"/>
  <c r="F2515" i="1"/>
  <c r="G2509" i="1"/>
  <c r="F2509" i="1"/>
  <c r="G2508" i="1"/>
  <c r="F2508" i="1"/>
  <c r="G2506" i="1"/>
  <c r="F2506" i="1"/>
  <c r="G2505" i="1"/>
  <c r="F2505" i="1"/>
  <c r="G2501" i="1"/>
  <c r="F2501" i="1"/>
  <c r="G2498" i="1"/>
  <c r="F2498" i="1"/>
  <c r="G2496" i="1"/>
  <c r="F2496" i="1"/>
  <c r="G2494" i="1"/>
  <c r="F2494" i="1"/>
  <c r="G2493" i="1"/>
  <c r="F2493" i="1"/>
  <c r="G2492" i="1"/>
  <c r="F2492" i="1"/>
  <c r="G2491" i="1"/>
  <c r="F2491" i="1"/>
  <c r="G2488" i="1"/>
  <c r="F2488" i="1"/>
  <c r="G2487" i="1"/>
  <c r="F2487" i="1"/>
  <c r="G2485" i="1"/>
  <c r="F2485" i="1"/>
  <c r="G2482" i="1"/>
  <c r="F2482" i="1"/>
  <c r="G2475" i="1"/>
  <c r="F2475" i="1"/>
  <c r="G2474" i="1"/>
  <c r="F2474" i="1"/>
  <c r="G2473" i="1"/>
  <c r="F2473" i="1"/>
  <c r="G2472" i="1"/>
  <c r="F2472" i="1"/>
  <c r="G2471" i="1"/>
  <c r="F2471" i="1"/>
  <c r="G2470" i="1"/>
  <c r="F2470" i="1"/>
  <c r="G2469" i="1"/>
  <c r="F2469" i="1"/>
  <c r="G2468" i="1"/>
  <c r="F2468" i="1"/>
  <c r="G2466" i="1"/>
  <c r="F2466" i="1"/>
  <c r="G2465" i="1"/>
  <c r="F2465" i="1"/>
  <c r="G2463" i="1"/>
  <c r="F2463" i="1"/>
  <c r="G2458" i="1"/>
  <c r="F2458" i="1"/>
  <c r="G2457" i="1"/>
  <c r="F2457" i="1"/>
  <c r="G2456" i="1"/>
  <c r="F2456" i="1"/>
  <c r="G2455" i="1"/>
  <c r="F2455" i="1"/>
  <c r="G2453" i="1"/>
  <c r="F2453" i="1"/>
  <c r="G2452" i="1"/>
  <c r="F2452" i="1"/>
  <c r="G2450" i="1"/>
  <c r="F2450" i="1"/>
  <c r="G2447" i="1"/>
  <c r="F2447" i="1"/>
  <c r="G2446" i="1"/>
  <c r="F2446" i="1"/>
  <c r="G2445" i="1"/>
  <c r="F2445" i="1"/>
  <c r="G2444" i="1"/>
  <c r="F2444" i="1"/>
  <c r="G2443" i="1"/>
  <c r="F2443" i="1"/>
  <c r="G2437" i="1"/>
  <c r="F2437" i="1"/>
  <c r="G2436" i="1"/>
  <c r="F2436" i="1"/>
  <c r="G2435" i="1"/>
  <c r="F2435" i="1"/>
  <c r="G2434" i="1"/>
  <c r="F2434" i="1"/>
  <c r="G2429" i="1"/>
  <c r="F2429" i="1"/>
  <c r="G2427" i="1"/>
  <c r="F2427" i="1"/>
  <c r="G2426" i="1"/>
  <c r="F2426" i="1"/>
  <c r="G2425" i="1"/>
  <c r="F2425" i="1"/>
  <c r="G2424" i="1"/>
  <c r="F2424" i="1"/>
  <c r="G2421" i="1"/>
  <c r="F2421" i="1"/>
  <c r="G2418" i="1"/>
  <c r="F2418" i="1"/>
  <c r="G2417" i="1"/>
  <c r="F2417" i="1"/>
  <c r="G2414" i="1"/>
  <c r="F2414" i="1"/>
  <c r="G2413" i="1"/>
  <c r="F2413" i="1"/>
  <c r="G2411" i="1"/>
  <c r="F2411" i="1"/>
  <c r="G2410" i="1"/>
  <c r="F2410" i="1"/>
  <c r="G2409" i="1"/>
  <c r="F2409" i="1"/>
  <c r="G2408" i="1"/>
  <c r="F2408" i="1"/>
  <c r="G2407" i="1"/>
  <c r="F2407" i="1"/>
  <c r="G2405" i="1"/>
  <c r="F2405" i="1"/>
  <c r="G2404" i="1"/>
  <c r="F2404" i="1"/>
  <c r="G2403" i="1"/>
  <c r="F2403" i="1"/>
  <c r="G2400" i="1"/>
  <c r="F2400" i="1"/>
  <c r="G2398" i="1"/>
  <c r="F2398" i="1"/>
  <c r="G2397" i="1"/>
  <c r="F2397" i="1"/>
  <c r="G2396" i="1"/>
  <c r="F2396" i="1"/>
  <c r="G2395" i="1"/>
  <c r="F2395" i="1"/>
  <c r="G2393" i="1"/>
  <c r="F2393" i="1"/>
  <c r="G2392" i="1"/>
  <c r="F2392" i="1"/>
  <c r="G2391" i="1"/>
  <c r="F2391" i="1"/>
  <c r="G2390" i="1"/>
  <c r="F2390" i="1"/>
  <c r="G2389" i="1"/>
  <c r="F2389" i="1"/>
  <c r="G2388" i="1"/>
  <c r="F2388" i="1"/>
  <c r="G2387" i="1"/>
  <c r="F2387" i="1"/>
  <c r="G2384" i="1"/>
  <c r="F2384" i="1"/>
  <c r="G2383" i="1"/>
  <c r="F2383" i="1"/>
  <c r="G2382" i="1"/>
  <c r="F2382" i="1"/>
  <c r="G2380" i="1"/>
  <c r="F2380" i="1"/>
  <c r="G2378" i="1"/>
  <c r="F2378" i="1"/>
  <c r="G2377" i="1"/>
  <c r="F2377" i="1"/>
  <c r="G2375" i="1"/>
  <c r="F2375" i="1"/>
  <c r="G2374" i="1"/>
  <c r="F2374" i="1"/>
  <c r="G2373" i="1"/>
  <c r="F2373" i="1"/>
  <c r="G2372" i="1"/>
  <c r="F2372" i="1"/>
  <c r="G2371" i="1"/>
  <c r="F2371" i="1"/>
  <c r="G2370" i="1"/>
  <c r="F2370" i="1"/>
  <c r="G2369" i="1"/>
  <c r="F2369" i="1"/>
  <c r="G2368" i="1"/>
  <c r="F2368" i="1"/>
  <c r="G2359" i="1"/>
  <c r="F2359" i="1"/>
  <c r="G2358" i="1"/>
  <c r="F2358" i="1"/>
  <c r="G2357" i="1"/>
  <c r="F2357" i="1"/>
  <c r="G2355" i="1"/>
  <c r="F2355" i="1"/>
  <c r="G2354" i="1"/>
  <c r="F2354" i="1"/>
  <c r="G2352" i="1"/>
  <c r="F2352" i="1"/>
  <c r="G2350" i="1"/>
  <c r="F2350" i="1"/>
  <c r="G2349" i="1"/>
  <c r="F2349" i="1"/>
  <c r="G2343" i="1"/>
  <c r="F2343" i="1"/>
  <c r="G2342" i="1"/>
  <c r="F2342" i="1"/>
  <c r="G2341" i="1"/>
  <c r="F2341" i="1"/>
  <c r="G2340" i="1"/>
  <c r="F2340" i="1"/>
  <c r="G2338" i="1"/>
  <c r="F2338" i="1"/>
  <c r="G2336" i="1"/>
  <c r="F2336" i="1"/>
  <c r="G2334" i="1"/>
  <c r="F2334" i="1"/>
  <c r="G2333" i="1"/>
  <c r="F2333" i="1"/>
  <c r="G2332" i="1"/>
  <c r="F2332" i="1"/>
  <c r="G2331" i="1"/>
  <c r="F2331" i="1"/>
  <c r="G2330" i="1"/>
  <c r="F2330" i="1"/>
  <c r="G2321" i="1"/>
  <c r="F2321" i="1"/>
  <c r="G2320" i="1"/>
  <c r="F2320" i="1"/>
  <c r="G2319" i="1"/>
  <c r="F2319" i="1"/>
  <c r="G2318" i="1"/>
  <c r="F2318" i="1"/>
  <c r="G2317" i="1"/>
  <c r="F2317" i="1"/>
  <c r="G2316" i="1"/>
  <c r="F2316" i="1"/>
  <c r="G2315" i="1"/>
  <c r="F2315" i="1"/>
  <c r="G2314" i="1"/>
  <c r="F2314" i="1"/>
  <c r="G2310" i="1"/>
  <c r="F2310" i="1"/>
  <c r="G2308" i="1"/>
  <c r="F2308" i="1"/>
  <c r="G2307" i="1"/>
  <c r="F2307" i="1"/>
  <c r="G2306" i="1"/>
  <c r="F2306" i="1"/>
  <c r="G2305" i="1"/>
  <c r="F2305" i="1"/>
  <c r="G2304" i="1"/>
  <c r="F2304" i="1"/>
  <c r="G2303" i="1"/>
  <c r="F2303" i="1"/>
  <c r="G2302" i="1"/>
  <c r="F2302" i="1"/>
  <c r="G2300" i="1"/>
  <c r="F2300" i="1"/>
  <c r="G2299" i="1"/>
  <c r="F2299" i="1"/>
  <c r="G2298" i="1"/>
  <c r="F2298" i="1"/>
  <c r="G2297" i="1"/>
  <c r="F2297" i="1"/>
  <c r="G2296" i="1"/>
  <c r="F2296" i="1"/>
  <c r="G2295" i="1"/>
  <c r="F2295" i="1"/>
  <c r="G2294" i="1"/>
  <c r="F2294" i="1"/>
  <c r="G2291" i="1"/>
  <c r="F2291" i="1"/>
  <c r="G2290" i="1"/>
  <c r="F2290" i="1"/>
  <c r="G2289" i="1"/>
  <c r="F2289" i="1"/>
  <c r="G2288" i="1"/>
  <c r="F2288" i="1"/>
  <c r="G2286" i="1"/>
  <c r="F2286" i="1"/>
  <c r="G2284" i="1"/>
  <c r="F2284" i="1"/>
  <c r="G2280" i="1"/>
  <c r="F2280" i="1"/>
  <c r="G2278" i="1"/>
  <c r="F2278" i="1"/>
  <c r="G2277" i="1"/>
  <c r="F2277" i="1"/>
  <c r="G2270" i="1"/>
  <c r="F2270" i="1"/>
  <c r="G2269" i="1"/>
  <c r="F2269" i="1"/>
  <c r="G2266" i="1"/>
  <c r="F2266" i="1"/>
  <c r="G2263" i="1"/>
  <c r="F2263" i="1"/>
  <c r="G2259" i="1"/>
  <c r="F2259" i="1"/>
  <c r="G2258" i="1"/>
  <c r="F2258" i="1"/>
  <c r="G2255" i="1"/>
  <c r="F2255" i="1"/>
  <c r="G2254" i="1"/>
  <c r="F2254" i="1"/>
  <c r="G2253" i="1"/>
  <c r="F2253" i="1"/>
  <c r="G2249" i="1"/>
  <c r="F2249" i="1"/>
  <c r="G2248" i="1"/>
  <c r="F2248" i="1"/>
  <c r="G2247" i="1"/>
  <c r="F2247" i="1"/>
  <c r="G2243" i="1"/>
  <c r="F2243" i="1"/>
  <c r="G2242" i="1"/>
  <c r="F2242" i="1"/>
  <c r="G2240" i="1"/>
  <c r="F2240" i="1"/>
  <c r="G2239" i="1"/>
  <c r="F2239" i="1"/>
  <c r="G2238" i="1"/>
  <c r="F2238" i="1"/>
  <c r="G2235" i="1"/>
  <c r="F2235" i="1"/>
  <c r="G2234" i="1"/>
  <c r="F2234" i="1"/>
  <c r="G2232" i="1"/>
  <c r="F2232" i="1"/>
  <c r="G2231" i="1"/>
  <c r="F2231" i="1"/>
  <c r="G2230" i="1"/>
  <c r="F2230" i="1"/>
  <c r="G2229" i="1"/>
  <c r="F2229" i="1"/>
  <c r="G2228" i="1"/>
  <c r="F2228" i="1"/>
  <c r="G2227" i="1"/>
  <c r="F2227" i="1"/>
  <c r="G2226" i="1"/>
  <c r="F2226" i="1"/>
  <c r="G2225" i="1"/>
  <c r="F2225" i="1"/>
  <c r="G2224" i="1"/>
  <c r="F2224" i="1"/>
  <c r="G2223" i="1"/>
  <c r="F2223" i="1"/>
  <c r="G2222" i="1"/>
  <c r="F2222" i="1"/>
  <c r="G2221" i="1"/>
  <c r="F2221" i="1"/>
  <c r="G2220" i="1"/>
  <c r="F2220" i="1"/>
  <c r="G2217" i="1"/>
  <c r="F2217" i="1"/>
  <c r="G2216" i="1"/>
  <c r="F2216" i="1"/>
  <c r="G2214" i="1"/>
  <c r="F2214" i="1"/>
  <c r="G2211" i="1"/>
  <c r="F2211" i="1"/>
  <c r="G2210" i="1"/>
  <c r="F2210" i="1"/>
  <c r="G2209" i="1"/>
  <c r="F2209" i="1"/>
  <c r="G2208" i="1"/>
  <c r="F2208" i="1"/>
  <c r="G2207" i="1"/>
  <c r="F2207" i="1"/>
  <c r="G2205" i="1"/>
  <c r="F2205" i="1"/>
  <c r="G2204" i="1"/>
  <c r="F2204" i="1"/>
  <c r="G2202" i="1"/>
  <c r="F2202" i="1"/>
  <c r="G2200" i="1"/>
  <c r="F2200" i="1"/>
  <c r="G2198" i="1"/>
  <c r="F2198" i="1"/>
  <c r="G2197" i="1"/>
  <c r="F2197" i="1"/>
  <c r="G2195" i="1"/>
  <c r="F2195" i="1"/>
  <c r="G2194" i="1"/>
  <c r="F2194" i="1"/>
  <c r="G2192" i="1"/>
  <c r="F2192" i="1"/>
  <c r="G2190" i="1"/>
  <c r="F2190" i="1"/>
  <c r="G2189" i="1"/>
  <c r="F2189" i="1"/>
  <c r="G2188" i="1"/>
  <c r="F2188" i="1"/>
  <c r="G2185" i="1"/>
  <c r="F2185" i="1"/>
  <c r="G2184" i="1"/>
  <c r="F2184" i="1"/>
  <c r="G2183" i="1"/>
  <c r="F2183" i="1"/>
  <c r="G2182" i="1"/>
  <c r="F2182" i="1"/>
  <c r="G2181" i="1"/>
  <c r="F2181" i="1"/>
  <c r="G2180" i="1"/>
  <c r="F2180" i="1"/>
  <c r="G2179" i="1"/>
  <c r="F2179" i="1"/>
  <c r="G2178" i="1"/>
  <c r="F2178" i="1"/>
  <c r="G2177" i="1"/>
  <c r="F2177" i="1"/>
  <c r="G2176" i="1"/>
  <c r="F2176" i="1"/>
  <c r="G2175" i="1"/>
  <c r="F2175" i="1"/>
  <c r="G2174" i="1"/>
  <c r="F2174" i="1"/>
  <c r="G2172" i="1"/>
  <c r="F2172" i="1"/>
  <c r="G2171" i="1"/>
  <c r="F2171" i="1"/>
  <c r="G2170" i="1"/>
  <c r="F2170" i="1"/>
  <c r="G2166" i="1"/>
  <c r="F2166" i="1"/>
  <c r="G2165" i="1"/>
  <c r="F2165" i="1"/>
  <c r="G2164" i="1"/>
  <c r="F2164" i="1"/>
  <c r="G2163" i="1"/>
  <c r="F2163" i="1"/>
  <c r="G2157" i="1"/>
  <c r="F2157" i="1"/>
  <c r="G2155" i="1"/>
  <c r="F2155" i="1"/>
  <c r="G2154" i="1"/>
  <c r="F2154" i="1"/>
  <c r="G2152" i="1"/>
  <c r="F2152" i="1"/>
  <c r="G2150" i="1"/>
  <c r="F2150" i="1"/>
  <c r="G2146" i="1"/>
  <c r="F2146" i="1"/>
  <c r="G2145" i="1"/>
  <c r="F2145" i="1"/>
  <c r="G2143" i="1"/>
  <c r="F2143" i="1"/>
  <c r="G2142" i="1"/>
  <c r="F2142" i="1"/>
  <c r="G2141" i="1"/>
  <c r="F2141" i="1"/>
  <c r="G2140" i="1"/>
  <c r="F2140" i="1"/>
  <c r="G2138" i="1"/>
  <c r="F2138" i="1"/>
  <c r="G2132" i="1"/>
  <c r="F2132" i="1"/>
  <c r="G2131" i="1"/>
  <c r="F2131" i="1"/>
  <c r="G2130" i="1"/>
  <c r="F2130" i="1"/>
  <c r="G2127" i="1"/>
  <c r="F2127" i="1"/>
  <c r="G2126" i="1"/>
  <c r="F2126" i="1"/>
  <c r="G2124" i="1"/>
  <c r="F2124" i="1"/>
  <c r="G2121" i="1"/>
  <c r="F2121" i="1"/>
  <c r="G2120" i="1"/>
  <c r="F2120" i="1"/>
  <c r="G2118" i="1"/>
  <c r="F2118" i="1"/>
  <c r="G2114" i="1"/>
  <c r="F2114" i="1"/>
  <c r="G2111" i="1"/>
  <c r="F2111" i="1"/>
  <c r="G2108" i="1"/>
  <c r="F2108" i="1"/>
  <c r="G2107" i="1"/>
  <c r="F2107" i="1"/>
  <c r="G2106" i="1"/>
  <c r="F2106" i="1"/>
  <c r="G2105" i="1"/>
  <c r="F2105" i="1"/>
  <c r="G2104" i="1"/>
  <c r="F2104" i="1"/>
  <c r="G2103" i="1"/>
  <c r="F2103" i="1"/>
  <c r="G2102" i="1"/>
  <c r="F2102" i="1"/>
  <c r="G2101" i="1"/>
  <c r="F2101" i="1"/>
  <c r="G2095" i="1"/>
  <c r="F2095" i="1"/>
  <c r="G2093" i="1"/>
  <c r="F2093" i="1"/>
  <c r="G2091" i="1"/>
  <c r="F2091" i="1"/>
  <c r="G2086" i="1"/>
  <c r="F2086" i="1"/>
  <c r="G2084" i="1"/>
  <c r="F2084" i="1"/>
  <c r="G2081" i="1"/>
  <c r="F2081" i="1"/>
  <c r="G2079" i="1"/>
  <c r="F2079" i="1"/>
  <c r="G2077" i="1"/>
  <c r="F2077" i="1"/>
  <c r="G2075" i="1"/>
  <c r="F2075" i="1"/>
  <c r="G2074" i="1"/>
  <c r="F2074" i="1"/>
  <c r="G2072" i="1"/>
  <c r="F2072" i="1"/>
  <c r="G2071" i="1"/>
  <c r="F2071" i="1"/>
  <c r="G2070" i="1"/>
  <c r="F2070" i="1"/>
  <c r="G2069" i="1"/>
  <c r="F2069" i="1"/>
  <c r="G2068" i="1"/>
  <c r="F2068" i="1"/>
  <c r="G2066" i="1"/>
  <c r="F2066" i="1"/>
  <c r="G2065" i="1"/>
  <c r="F2065" i="1"/>
  <c r="G2064" i="1"/>
  <c r="F2064" i="1"/>
  <c r="G2063" i="1"/>
  <c r="F2063" i="1"/>
  <c r="G2062" i="1"/>
  <c r="F2062" i="1"/>
  <c r="G2060" i="1"/>
  <c r="F2060" i="1"/>
  <c r="G2056" i="1"/>
  <c r="F2056" i="1"/>
  <c r="G2055" i="1"/>
  <c r="F2055" i="1"/>
  <c r="G2049" i="1"/>
  <c r="F2049" i="1"/>
  <c r="G2047" i="1"/>
  <c r="F2047" i="1"/>
  <c r="G2046" i="1"/>
  <c r="F2046" i="1"/>
  <c r="G2045" i="1"/>
  <c r="F2045" i="1"/>
  <c r="G2044" i="1"/>
  <c r="F2044" i="1"/>
  <c r="G2043" i="1"/>
  <c r="F2043" i="1"/>
  <c r="G2042" i="1"/>
  <c r="F2042" i="1"/>
  <c r="G2039" i="1"/>
  <c r="F2039" i="1"/>
  <c r="G2038" i="1"/>
  <c r="F2038" i="1"/>
  <c r="G2037" i="1"/>
  <c r="F2037" i="1"/>
  <c r="G2036" i="1"/>
  <c r="F2036" i="1"/>
  <c r="G2035" i="1"/>
  <c r="F2035" i="1"/>
  <c r="G2033" i="1"/>
  <c r="F2033" i="1"/>
  <c r="G2032" i="1"/>
  <c r="F2032" i="1"/>
  <c r="G2031" i="1"/>
  <c r="F2031" i="1"/>
  <c r="G2030" i="1"/>
  <c r="F2030" i="1"/>
  <c r="G2028" i="1"/>
  <c r="F2028" i="1"/>
  <c r="G2026" i="1"/>
  <c r="F2026" i="1"/>
  <c r="G2023" i="1"/>
  <c r="F2023" i="1"/>
  <c r="G2022" i="1"/>
  <c r="F2022" i="1"/>
  <c r="G2021" i="1"/>
  <c r="F2021" i="1"/>
  <c r="G2020" i="1"/>
  <c r="F2020" i="1"/>
  <c r="G2019" i="1"/>
  <c r="F2019" i="1"/>
  <c r="G2018" i="1"/>
  <c r="F2018" i="1"/>
  <c r="G2014" i="1"/>
  <c r="F2014" i="1"/>
  <c r="G2013" i="1"/>
  <c r="F2013" i="1"/>
  <c r="G2012" i="1"/>
  <c r="F2012" i="1"/>
  <c r="G2010" i="1"/>
  <c r="F2010" i="1"/>
  <c r="G2009" i="1"/>
  <c r="F2009" i="1"/>
  <c r="G2006" i="1"/>
  <c r="F2006" i="1"/>
  <c r="G2005" i="1"/>
  <c r="F2005" i="1"/>
  <c r="G2004" i="1"/>
  <c r="F2004" i="1"/>
  <c r="G2003" i="1"/>
  <c r="F2003" i="1"/>
  <c r="G2001" i="1"/>
  <c r="F2001" i="1"/>
  <c r="G2000" i="1"/>
  <c r="F2000" i="1"/>
  <c r="G1999" i="1"/>
  <c r="F1999" i="1"/>
  <c r="G1998" i="1"/>
  <c r="F1998" i="1"/>
  <c r="G1997" i="1"/>
  <c r="F1997" i="1"/>
  <c r="G1996" i="1"/>
  <c r="F1996" i="1"/>
  <c r="G1995" i="1"/>
  <c r="F1995" i="1"/>
  <c r="G1994" i="1"/>
  <c r="F1994" i="1"/>
  <c r="G1993" i="1"/>
  <c r="F1993" i="1"/>
  <c r="G1985" i="1"/>
  <c r="F1985" i="1"/>
  <c r="G1984" i="1"/>
  <c r="F1984" i="1"/>
  <c r="G1982" i="1"/>
  <c r="F1982" i="1"/>
  <c r="G1981" i="1"/>
  <c r="F1981" i="1"/>
  <c r="G1977" i="1"/>
  <c r="F1977" i="1"/>
  <c r="G1976" i="1"/>
  <c r="F1976" i="1"/>
  <c r="G1975" i="1"/>
  <c r="F1975" i="1"/>
  <c r="G1974" i="1"/>
  <c r="F1974" i="1"/>
  <c r="G1973" i="1"/>
  <c r="F1973" i="1"/>
  <c r="G1972" i="1"/>
  <c r="F1972" i="1"/>
  <c r="G1971" i="1"/>
  <c r="F1971" i="1"/>
  <c r="G1970" i="1"/>
  <c r="F1970" i="1"/>
  <c r="G1968" i="1"/>
  <c r="F1968" i="1"/>
  <c r="G1966" i="1"/>
  <c r="F1966" i="1"/>
  <c r="G1963" i="1"/>
  <c r="F1963" i="1"/>
  <c r="G1961" i="1"/>
  <c r="F1961" i="1"/>
  <c r="G1960" i="1"/>
  <c r="F1960" i="1"/>
  <c r="G1956" i="1"/>
  <c r="F1956" i="1"/>
  <c r="G1955" i="1"/>
  <c r="F1955" i="1"/>
  <c r="G1953" i="1"/>
  <c r="F1953" i="1"/>
  <c r="G1952" i="1"/>
  <c r="F1952" i="1"/>
  <c r="G1951" i="1"/>
  <c r="F1951" i="1"/>
  <c r="G1950" i="1"/>
  <c r="F1950" i="1"/>
  <c r="G1949" i="1"/>
  <c r="F1949" i="1"/>
  <c r="G1948" i="1"/>
  <c r="F1948" i="1"/>
  <c r="G1947" i="1"/>
  <c r="F1947" i="1"/>
  <c r="G1946" i="1"/>
  <c r="F1946" i="1"/>
  <c r="G1942" i="1"/>
  <c r="F1942" i="1"/>
  <c r="G1940" i="1"/>
  <c r="F1940" i="1"/>
  <c r="G1938" i="1"/>
  <c r="F1938" i="1"/>
  <c r="G1934" i="1"/>
  <c r="F1934" i="1"/>
  <c r="G1933" i="1"/>
  <c r="F1933" i="1"/>
  <c r="G1931" i="1"/>
  <c r="F1931" i="1"/>
  <c r="G1930" i="1"/>
  <c r="F1930" i="1"/>
  <c r="G1929" i="1"/>
  <c r="F1929" i="1"/>
  <c r="G1927" i="1"/>
  <c r="F1927" i="1"/>
  <c r="G1919" i="1"/>
  <c r="F1919" i="1"/>
  <c r="G1918" i="1"/>
  <c r="F1918" i="1"/>
  <c r="G1917" i="1"/>
  <c r="F1917" i="1"/>
  <c r="G1916" i="1"/>
  <c r="F1916" i="1"/>
  <c r="G1910" i="1"/>
  <c r="F1910" i="1"/>
  <c r="G1909" i="1"/>
  <c r="F1909" i="1"/>
  <c r="G1907" i="1"/>
  <c r="F1907" i="1"/>
  <c r="G1906" i="1"/>
  <c r="F1906" i="1"/>
  <c r="G1905" i="1"/>
  <c r="F1905" i="1"/>
  <c r="G1904" i="1"/>
  <c r="F1904" i="1"/>
  <c r="G1903" i="1"/>
  <c r="F1903" i="1"/>
  <c r="G1902" i="1"/>
  <c r="F1902" i="1"/>
  <c r="G1901" i="1"/>
  <c r="F1901" i="1"/>
  <c r="G1900" i="1"/>
  <c r="F1900" i="1"/>
  <c r="G1899" i="1"/>
  <c r="F1899" i="1"/>
  <c r="G1898" i="1"/>
  <c r="F1898" i="1"/>
  <c r="G1897" i="1"/>
  <c r="F1897" i="1"/>
  <c r="G1893" i="1"/>
  <c r="F1893" i="1"/>
  <c r="G1891" i="1"/>
  <c r="F1891" i="1"/>
  <c r="G1890" i="1"/>
  <c r="F1890" i="1"/>
  <c r="G1889" i="1"/>
  <c r="F1889" i="1"/>
  <c r="G1888" i="1"/>
  <c r="F1888" i="1"/>
  <c r="G1887" i="1"/>
  <c r="F1887" i="1"/>
  <c r="G1886" i="1"/>
  <c r="F1886" i="1"/>
  <c r="G1885" i="1"/>
  <c r="F1885" i="1"/>
  <c r="G1884" i="1"/>
  <c r="F1884" i="1"/>
  <c r="G1882" i="1"/>
  <c r="F1882" i="1"/>
  <c r="G1880" i="1"/>
  <c r="F1880" i="1"/>
  <c r="G1879" i="1"/>
  <c r="F1879" i="1"/>
  <c r="G1876" i="1"/>
  <c r="F1876" i="1"/>
  <c r="G1875" i="1"/>
  <c r="F1875" i="1"/>
  <c r="G1873" i="1"/>
  <c r="F1873" i="1"/>
  <c r="G1870" i="1"/>
  <c r="F1870" i="1"/>
  <c r="G1867" i="1"/>
  <c r="F1867" i="1"/>
  <c r="G1866" i="1"/>
  <c r="F1866" i="1"/>
  <c r="G1864" i="1"/>
  <c r="F1864" i="1"/>
  <c r="G1863" i="1"/>
  <c r="F1863" i="1"/>
  <c r="G1862" i="1"/>
  <c r="F1862" i="1"/>
  <c r="G1861" i="1"/>
  <c r="F1861" i="1"/>
  <c r="G1859" i="1"/>
  <c r="F1859" i="1"/>
  <c r="G1855" i="1"/>
  <c r="F1855" i="1"/>
  <c r="G1854" i="1"/>
  <c r="F1854" i="1"/>
  <c r="G1850" i="1"/>
  <c r="F1850" i="1"/>
  <c r="G1847" i="1"/>
  <c r="F1847" i="1"/>
  <c r="G1846" i="1"/>
  <c r="F1846" i="1"/>
  <c r="G1841" i="1"/>
  <c r="F1841" i="1"/>
  <c r="G1839" i="1"/>
  <c r="F1839" i="1"/>
  <c r="G1838" i="1"/>
  <c r="F1838" i="1"/>
  <c r="G1836" i="1"/>
  <c r="F1836" i="1"/>
  <c r="G1835" i="1"/>
  <c r="F1835" i="1"/>
  <c r="G1834" i="1"/>
  <c r="F1834" i="1"/>
  <c r="G1833" i="1"/>
  <c r="F1833" i="1"/>
  <c r="G1832" i="1"/>
  <c r="F1832" i="1"/>
  <c r="G1831" i="1"/>
  <c r="F1831" i="1"/>
  <c r="G1830" i="1"/>
  <c r="F1830" i="1"/>
  <c r="G1829" i="1"/>
  <c r="F1829" i="1"/>
  <c r="G1828" i="1"/>
  <c r="F1828" i="1"/>
  <c r="G1827" i="1"/>
  <c r="F1827" i="1"/>
  <c r="G1826" i="1"/>
  <c r="F1826" i="1"/>
  <c r="G1824" i="1"/>
  <c r="F1824" i="1"/>
  <c r="G1823" i="1"/>
  <c r="F1823" i="1"/>
  <c r="G1822" i="1"/>
  <c r="F1822" i="1"/>
  <c r="G1820" i="1"/>
  <c r="F1820" i="1"/>
  <c r="G1818" i="1"/>
  <c r="F1818" i="1"/>
  <c r="G1816" i="1"/>
  <c r="F1816" i="1"/>
  <c r="G1812" i="1"/>
  <c r="F1812" i="1"/>
  <c r="G1810" i="1"/>
  <c r="F1810" i="1"/>
  <c r="G1809" i="1"/>
  <c r="F1809" i="1"/>
  <c r="G1808" i="1"/>
  <c r="F1808" i="1"/>
  <c r="G1807" i="1"/>
  <c r="F1807" i="1"/>
  <c r="G1804" i="1"/>
  <c r="F1804" i="1"/>
  <c r="G1802" i="1"/>
  <c r="F1802" i="1"/>
  <c r="G1801" i="1"/>
  <c r="F1801" i="1"/>
  <c r="G1800" i="1"/>
  <c r="F1800" i="1"/>
  <c r="G1799" i="1"/>
  <c r="F1799" i="1"/>
  <c r="G1798" i="1"/>
  <c r="F1798" i="1"/>
  <c r="G1797" i="1"/>
  <c r="F1797" i="1"/>
  <c r="G1796" i="1"/>
  <c r="F1796" i="1"/>
  <c r="G1795" i="1"/>
  <c r="F1795" i="1"/>
  <c r="G1794" i="1"/>
  <c r="F1794" i="1"/>
  <c r="G1793" i="1"/>
  <c r="F1793" i="1"/>
  <c r="G1792" i="1"/>
  <c r="F1792" i="1"/>
  <c r="G1791" i="1"/>
  <c r="F1791" i="1"/>
  <c r="G1790" i="1"/>
  <c r="F1790" i="1"/>
  <c r="G1789" i="1"/>
  <c r="F1789" i="1"/>
  <c r="G1788" i="1"/>
  <c r="F1788" i="1"/>
  <c r="G1787" i="1"/>
  <c r="F1787" i="1"/>
  <c r="G1786" i="1"/>
  <c r="F1786" i="1"/>
  <c r="G1785" i="1"/>
  <c r="F1785" i="1"/>
  <c r="G1783" i="1"/>
  <c r="F1783" i="1"/>
  <c r="G1782" i="1"/>
  <c r="F1782" i="1"/>
  <c r="G1781" i="1"/>
  <c r="F1781" i="1"/>
  <c r="G1780" i="1"/>
  <c r="F1780" i="1"/>
  <c r="G1779" i="1"/>
  <c r="F1779" i="1"/>
  <c r="G1777" i="1"/>
  <c r="F1777" i="1"/>
  <c r="G1776" i="1"/>
  <c r="F1776" i="1"/>
  <c r="G1775" i="1"/>
  <c r="F1775" i="1"/>
  <c r="G1774" i="1"/>
  <c r="F1774" i="1"/>
  <c r="G1773" i="1"/>
  <c r="F1773" i="1"/>
  <c r="G1771" i="1"/>
  <c r="F1771" i="1"/>
  <c r="G1770" i="1"/>
  <c r="F1770" i="1"/>
  <c r="G1769" i="1"/>
  <c r="F1769" i="1"/>
  <c r="G1768" i="1"/>
  <c r="F1768" i="1"/>
  <c r="G1765" i="1"/>
  <c r="F1765" i="1"/>
  <c r="G1764" i="1"/>
  <c r="F1764" i="1"/>
  <c r="G1763" i="1"/>
  <c r="F1763" i="1"/>
  <c r="G1762" i="1"/>
  <c r="F1762" i="1"/>
  <c r="G1761" i="1"/>
  <c r="F1761" i="1"/>
  <c r="G1760" i="1"/>
  <c r="F1760" i="1"/>
  <c r="G1759" i="1"/>
  <c r="F1759" i="1"/>
  <c r="G1758" i="1"/>
  <c r="F1758" i="1"/>
  <c r="G1757" i="1"/>
  <c r="F1757" i="1"/>
  <c r="G1755" i="1"/>
  <c r="F1755" i="1"/>
  <c r="G1753" i="1"/>
  <c r="F1753" i="1"/>
  <c r="G1750" i="1"/>
  <c r="F1750" i="1"/>
  <c r="G1749" i="1"/>
  <c r="F1749" i="1"/>
  <c r="G1748" i="1"/>
  <c r="F1748" i="1"/>
  <c r="G1747" i="1"/>
  <c r="F1747" i="1"/>
  <c r="G1745" i="1"/>
  <c r="F1745" i="1"/>
  <c r="G1744" i="1"/>
  <c r="F1744" i="1"/>
  <c r="G1743" i="1"/>
  <c r="F1743" i="1"/>
  <c r="G1742" i="1"/>
  <c r="F1742" i="1"/>
  <c r="G1740" i="1"/>
  <c r="F1740" i="1"/>
  <c r="G1739" i="1"/>
  <c r="F1739" i="1"/>
  <c r="G1738" i="1"/>
  <c r="F1738" i="1"/>
  <c r="G1736" i="1"/>
  <c r="F1736" i="1"/>
  <c r="G1735" i="1"/>
  <c r="F1735" i="1"/>
  <c r="G1734" i="1"/>
  <c r="F1734" i="1"/>
  <c r="G1733" i="1"/>
  <c r="F1733" i="1"/>
  <c r="G1732" i="1"/>
  <c r="F1732" i="1"/>
  <c r="G1728" i="1"/>
  <c r="F1728" i="1"/>
  <c r="G1725" i="1"/>
  <c r="F1725" i="1"/>
  <c r="G1723" i="1"/>
  <c r="F1723" i="1"/>
  <c r="G1720" i="1"/>
  <c r="F1720" i="1"/>
  <c r="G1718" i="1"/>
  <c r="F1718" i="1"/>
  <c r="G1717" i="1"/>
  <c r="F1717" i="1"/>
  <c r="G1715" i="1"/>
  <c r="F1715" i="1"/>
  <c r="G1714" i="1"/>
  <c r="F1714" i="1"/>
  <c r="G1713" i="1"/>
  <c r="F1713" i="1"/>
  <c r="G1710" i="1"/>
  <c r="F1710" i="1"/>
  <c r="G1706" i="1"/>
  <c r="F1706" i="1"/>
  <c r="G1705" i="1"/>
  <c r="F1705" i="1"/>
  <c r="G1699" i="1"/>
  <c r="F1699" i="1"/>
  <c r="G1694" i="1"/>
  <c r="F1694" i="1"/>
  <c r="G1693" i="1"/>
  <c r="F1693" i="1"/>
  <c r="G1689" i="1"/>
  <c r="F1689" i="1"/>
  <c r="G1686" i="1"/>
  <c r="F1686" i="1"/>
  <c r="G1684" i="1"/>
  <c r="F1684" i="1"/>
  <c r="G1682" i="1"/>
  <c r="F1682" i="1"/>
  <c r="G1679" i="1"/>
  <c r="F1679" i="1"/>
  <c r="G1675" i="1"/>
  <c r="F1675" i="1"/>
  <c r="G1674" i="1"/>
  <c r="F1674" i="1"/>
  <c r="G1673" i="1"/>
  <c r="F1673" i="1"/>
  <c r="G1672" i="1"/>
  <c r="F1672" i="1"/>
  <c r="G1671" i="1"/>
  <c r="F1671" i="1"/>
  <c r="G1667" i="1"/>
  <c r="F1667" i="1"/>
  <c r="G1665" i="1"/>
  <c r="F1665" i="1"/>
  <c r="G1664" i="1"/>
  <c r="F1664" i="1"/>
  <c r="G1660" i="1"/>
  <c r="F1660" i="1"/>
  <c r="G1659" i="1"/>
  <c r="F1659" i="1"/>
  <c r="G1658" i="1"/>
  <c r="F1658" i="1"/>
  <c r="G1657" i="1"/>
  <c r="F1657" i="1"/>
  <c r="G1656" i="1"/>
  <c r="F1656" i="1"/>
  <c r="G1655" i="1"/>
  <c r="F1655" i="1"/>
  <c r="G1654" i="1"/>
  <c r="F1654" i="1"/>
  <c r="G1653" i="1"/>
  <c r="F1653" i="1"/>
  <c r="G1650" i="1"/>
  <c r="F1650" i="1"/>
  <c r="G1648" i="1"/>
  <c r="F1648" i="1"/>
  <c r="G1647" i="1"/>
  <c r="F1647" i="1"/>
  <c r="G1644" i="1"/>
  <c r="F1644" i="1"/>
  <c r="G1642" i="1"/>
  <c r="F1642" i="1"/>
  <c r="G1641" i="1"/>
  <c r="F1641" i="1"/>
  <c r="G1637" i="1"/>
  <c r="F1637" i="1"/>
  <c r="G1636" i="1"/>
  <c r="F1636" i="1"/>
  <c r="G1635" i="1"/>
  <c r="F1635" i="1"/>
  <c r="G1633" i="1"/>
  <c r="F1633" i="1"/>
  <c r="G1632" i="1"/>
  <c r="F1632" i="1"/>
  <c r="G1631" i="1"/>
  <c r="F1631" i="1"/>
  <c r="G1629" i="1"/>
  <c r="F1629" i="1"/>
  <c r="G1628" i="1"/>
  <c r="F1628" i="1"/>
  <c r="G1619" i="1"/>
  <c r="F1619" i="1"/>
  <c r="G1614" i="1"/>
  <c r="F1614" i="1"/>
  <c r="G1613" i="1"/>
  <c r="F1613" i="1"/>
  <c r="G1607" i="1"/>
  <c r="F1607" i="1"/>
  <c r="G1605" i="1"/>
  <c r="F1605" i="1"/>
  <c r="G1603" i="1"/>
  <c r="F1603" i="1"/>
  <c r="G1601" i="1"/>
  <c r="F1601" i="1"/>
  <c r="G1600" i="1"/>
  <c r="F1600" i="1"/>
  <c r="G1596" i="1"/>
  <c r="F1596" i="1"/>
  <c r="G1595" i="1"/>
  <c r="F1595" i="1"/>
  <c r="G1594" i="1"/>
  <c r="F1594" i="1"/>
  <c r="G1592" i="1"/>
  <c r="F1592" i="1"/>
  <c r="G1591" i="1"/>
  <c r="F1591" i="1"/>
  <c r="G1589" i="1"/>
  <c r="F1589" i="1"/>
  <c r="G1588" i="1"/>
  <c r="F1588" i="1"/>
  <c r="G1587" i="1"/>
  <c r="F1587" i="1"/>
  <c r="G1585" i="1"/>
  <c r="F1585" i="1"/>
  <c r="G1584" i="1"/>
  <c r="F1584" i="1"/>
  <c r="G1582" i="1"/>
  <c r="F1582" i="1"/>
  <c r="G1581" i="1"/>
  <c r="F1581" i="1"/>
  <c r="G1580" i="1"/>
  <c r="F1580" i="1"/>
  <c r="G1578" i="1"/>
  <c r="F1578" i="1"/>
  <c r="G1576" i="1"/>
  <c r="F1576" i="1"/>
  <c r="G1574" i="1"/>
  <c r="F1574" i="1"/>
  <c r="G1573" i="1"/>
  <c r="F1573" i="1"/>
  <c r="G1572" i="1"/>
  <c r="F1572" i="1"/>
  <c r="G1571" i="1"/>
  <c r="F1571" i="1"/>
  <c r="G1570" i="1"/>
  <c r="F1570" i="1"/>
  <c r="G1569" i="1"/>
  <c r="F1569" i="1"/>
  <c r="G1568" i="1"/>
  <c r="F1568" i="1"/>
  <c r="G1567" i="1"/>
  <c r="F1567" i="1"/>
  <c r="G1566" i="1"/>
  <c r="F1566" i="1"/>
  <c r="G1565" i="1"/>
  <c r="F1565" i="1"/>
  <c r="G1564" i="1"/>
  <c r="F1564" i="1"/>
  <c r="G1563" i="1"/>
  <c r="F1563" i="1"/>
  <c r="G1562" i="1"/>
  <c r="F1562" i="1"/>
  <c r="G1560" i="1"/>
  <c r="F1560" i="1"/>
  <c r="G1559" i="1"/>
  <c r="F1559" i="1"/>
  <c r="G1557" i="1"/>
  <c r="F1557" i="1"/>
  <c r="G1556" i="1"/>
  <c r="F1556" i="1"/>
  <c r="G1555" i="1"/>
  <c r="F1555" i="1"/>
  <c r="G1554" i="1"/>
  <c r="F1554" i="1"/>
  <c r="G1553" i="1"/>
  <c r="F1553" i="1"/>
  <c r="G1551" i="1"/>
  <c r="F1551" i="1"/>
  <c r="G1548" i="1"/>
  <c r="F1548" i="1"/>
  <c r="G1546" i="1"/>
  <c r="F1546" i="1"/>
  <c r="G1545" i="1"/>
  <c r="F1545" i="1"/>
  <c r="G1540" i="1"/>
  <c r="F1540" i="1"/>
  <c r="G1539" i="1"/>
  <c r="F1539" i="1"/>
  <c r="G1538" i="1"/>
  <c r="F1538" i="1"/>
  <c r="G1537" i="1"/>
  <c r="F1537" i="1"/>
  <c r="G1536" i="1"/>
  <c r="F1536" i="1"/>
  <c r="G1535" i="1"/>
  <c r="F1535" i="1"/>
  <c r="G1534" i="1"/>
  <c r="F1534" i="1"/>
  <c r="G1532" i="1"/>
  <c r="F1532" i="1"/>
  <c r="G1530" i="1"/>
  <c r="F1530" i="1"/>
  <c r="G1529" i="1"/>
  <c r="F1529" i="1"/>
  <c r="G1528" i="1"/>
  <c r="F1528" i="1"/>
  <c r="G1526" i="1"/>
  <c r="F1526" i="1"/>
  <c r="G1525" i="1"/>
  <c r="F1525" i="1"/>
  <c r="G1524" i="1"/>
  <c r="F1524" i="1"/>
  <c r="G1522" i="1"/>
  <c r="F1522" i="1"/>
  <c r="G1521" i="1"/>
  <c r="F1521" i="1"/>
  <c r="G1520" i="1"/>
  <c r="F1520" i="1"/>
  <c r="G1519" i="1"/>
  <c r="F1519" i="1"/>
  <c r="G1518" i="1"/>
  <c r="F1518" i="1"/>
  <c r="G1517" i="1"/>
  <c r="F1517" i="1"/>
  <c r="G1516" i="1"/>
  <c r="F1516" i="1"/>
  <c r="G1515" i="1"/>
  <c r="F1515" i="1"/>
  <c r="G1514" i="1"/>
  <c r="F1514" i="1"/>
  <c r="G1513" i="1"/>
  <c r="F1513" i="1"/>
  <c r="G1512" i="1"/>
  <c r="F1512" i="1"/>
  <c r="G1510" i="1"/>
  <c r="F1510" i="1"/>
  <c r="G1509" i="1"/>
  <c r="F1509" i="1"/>
  <c r="G1508" i="1"/>
  <c r="F1508" i="1"/>
  <c r="G1501" i="1"/>
  <c r="F1501" i="1"/>
  <c r="G1500" i="1"/>
  <c r="F1500" i="1"/>
  <c r="G1499" i="1"/>
  <c r="F1499" i="1"/>
  <c r="G1496" i="1"/>
  <c r="F1496" i="1"/>
  <c r="G1495" i="1"/>
  <c r="F1495" i="1"/>
  <c r="G1493" i="1"/>
  <c r="F1493" i="1"/>
  <c r="G1492" i="1"/>
  <c r="F1492" i="1"/>
  <c r="G1491" i="1"/>
  <c r="F1491" i="1"/>
  <c r="G1490" i="1"/>
  <c r="F1490" i="1"/>
  <c r="G1489" i="1"/>
  <c r="F1489" i="1"/>
  <c r="G1488" i="1"/>
  <c r="F1488" i="1"/>
  <c r="G1487" i="1"/>
  <c r="F1487" i="1"/>
  <c r="G1486" i="1"/>
  <c r="F1486" i="1"/>
  <c r="G1484" i="1"/>
  <c r="F1484" i="1"/>
  <c r="G1483" i="1"/>
  <c r="F1483" i="1"/>
  <c r="G1482" i="1"/>
  <c r="F1482" i="1"/>
  <c r="G1481" i="1"/>
  <c r="F1481" i="1"/>
  <c r="G1480" i="1"/>
  <c r="F1480" i="1"/>
  <c r="G1479" i="1"/>
  <c r="F1479" i="1"/>
  <c r="G1478" i="1"/>
  <c r="F1478" i="1"/>
  <c r="G1477" i="1"/>
  <c r="F1477" i="1"/>
  <c r="G1476" i="1"/>
  <c r="F1476" i="1"/>
  <c r="G1475" i="1"/>
  <c r="F1475" i="1"/>
  <c r="G1473" i="1"/>
  <c r="F1473" i="1"/>
  <c r="G1471" i="1"/>
  <c r="F1471" i="1"/>
  <c r="G1470" i="1"/>
  <c r="F1470" i="1"/>
  <c r="G1469" i="1"/>
  <c r="F1469" i="1"/>
  <c r="G1466" i="1"/>
  <c r="F1466" i="1"/>
  <c r="G1464" i="1"/>
  <c r="F1464" i="1"/>
  <c r="G1462" i="1"/>
  <c r="F1462" i="1"/>
  <c r="G1461" i="1"/>
  <c r="F1461" i="1"/>
  <c r="G1460" i="1"/>
  <c r="F1460" i="1"/>
  <c r="G1459" i="1"/>
  <c r="F1459" i="1"/>
  <c r="G1458" i="1"/>
  <c r="F1458" i="1"/>
  <c r="G1457" i="1"/>
  <c r="F1457" i="1"/>
  <c r="G1454" i="1"/>
  <c r="F1454" i="1"/>
  <c r="G1452" i="1"/>
  <c r="F1452" i="1"/>
  <c r="G1447" i="1"/>
  <c r="F1447" i="1"/>
  <c r="G1446" i="1"/>
  <c r="F1446" i="1"/>
  <c r="G1445" i="1"/>
  <c r="F1445" i="1"/>
  <c r="G1444" i="1"/>
  <c r="F1444" i="1"/>
  <c r="G1442" i="1"/>
  <c r="F1442" i="1"/>
  <c r="G1439" i="1"/>
  <c r="F1439" i="1"/>
  <c r="G1438" i="1"/>
  <c r="F1438" i="1"/>
  <c r="G1437" i="1"/>
  <c r="F1437" i="1"/>
  <c r="G1435" i="1"/>
  <c r="F1435" i="1"/>
  <c r="G1431" i="1"/>
  <c r="F1431" i="1"/>
  <c r="G1430" i="1"/>
  <c r="F1430" i="1"/>
  <c r="G1428" i="1"/>
  <c r="F1428" i="1"/>
  <c r="G1427" i="1"/>
  <c r="F1427" i="1"/>
  <c r="G1426" i="1"/>
  <c r="F1426" i="1"/>
  <c r="G1424" i="1"/>
  <c r="F1424" i="1"/>
  <c r="G1422" i="1"/>
  <c r="F1422" i="1"/>
  <c r="G1420" i="1"/>
  <c r="F1420" i="1"/>
  <c r="G1419" i="1"/>
  <c r="F1419" i="1"/>
  <c r="G1418" i="1"/>
  <c r="F1418" i="1"/>
  <c r="G1417" i="1"/>
  <c r="F1417" i="1"/>
  <c r="G1416" i="1"/>
  <c r="F1416" i="1"/>
  <c r="G1413" i="1"/>
  <c r="F1413" i="1"/>
  <c r="G1412" i="1"/>
  <c r="F1412" i="1"/>
  <c r="G1411" i="1"/>
  <c r="F1411" i="1"/>
  <c r="G1410" i="1"/>
  <c r="F1410" i="1"/>
  <c r="G1409" i="1"/>
  <c r="F1409" i="1"/>
  <c r="G1408" i="1"/>
  <c r="F1408" i="1"/>
  <c r="G1406" i="1"/>
  <c r="F1406" i="1"/>
  <c r="G1405" i="1"/>
  <c r="F1405" i="1"/>
  <c r="G1401" i="1"/>
  <c r="F1401" i="1"/>
  <c r="G1400" i="1"/>
  <c r="F1400" i="1"/>
  <c r="G1399" i="1"/>
  <c r="F1399" i="1"/>
  <c r="G1397" i="1"/>
  <c r="F1397" i="1"/>
  <c r="G1396" i="1"/>
  <c r="F1396" i="1"/>
  <c r="G1394" i="1"/>
  <c r="F1394" i="1"/>
  <c r="G1393" i="1"/>
  <c r="F1393" i="1"/>
  <c r="G1392" i="1"/>
  <c r="F1392" i="1"/>
  <c r="G1391" i="1"/>
  <c r="F1391" i="1"/>
  <c r="G1390" i="1"/>
  <c r="F1390" i="1"/>
  <c r="G1389" i="1"/>
  <c r="F1389" i="1"/>
  <c r="G1388" i="1"/>
  <c r="F1388" i="1"/>
  <c r="G1386" i="1"/>
  <c r="F1386" i="1"/>
  <c r="G1385" i="1"/>
  <c r="F1385" i="1"/>
  <c r="G1384" i="1"/>
  <c r="F1384" i="1"/>
  <c r="G1383" i="1"/>
  <c r="F1383" i="1"/>
  <c r="G1382" i="1"/>
  <c r="F1382" i="1"/>
  <c r="G1380" i="1"/>
  <c r="F1380" i="1"/>
  <c r="G1379" i="1"/>
  <c r="F1379" i="1"/>
  <c r="G1377" i="1"/>
  <c r="F1377" i="1"/>
  <c r="G1376" i="1"/>
  <c r="F1376" i="1"/>
  <c r="G1375" i="1"/>
  <c r="F1375" i="1"/>
  <c r="G1374" i="1"/>
  <c r="F1374" i="1"/>
  <c r="G1373" i="1"/>
  <c r="F1373" i="1"/>
  <c r="G1372" i="1"/>
  <c r="F1372" i="1"/>
  <c r="G1371" i="1"/>
  <c r="F1371" i="1"/>
  <c r="G1370" i="1"/>
  <c r="F1370" i="1"/>
  <c r="G1369" i="1"/>
  <c r="F1369" i="1"/>
  <c r="G1368" i="1"/>
  <c r="F1368" i="1"/>
  <c r="G1367" i="1"/>
  <c r="F1367" i="1"/>
  <c r="G1362" i="1"/>
  <c r="F1362" i="1"/>
  <c r="G1361" i="1"/>
  <c r="F1361" i="1"/>
  <c r="G1359" i="1"/>
  <c r="F1359" i="1"/>
  <c r="G1357" i="1"/>
  <c r="F1357" i="1"/>
  <c r="G1356" i="1"/>
  <c r="F1356" i="1"/>
  <c r="G1355" i="1"/>
  <c r="F1355" i="1"/>
  <c r="G1354" i="1"/>
  <c r="F1354" i="1"/>
  <c r="G1353" i="1"/>
  <c r="F1353" i="1"/>
  <c r="G1352" i="1"/>
  <c r="F1352" i="1"/>
  <c r="G1350" i="1"/>
  <c r="F1350" i="1"/>
  <c r="G1349" i="1"/>
  <c r="F1349" i="1"/>
  <c r="G1348" i="1"/>
  <c r="F1348" i="1"/>
  <c r="G1347" i="1"/>
  <c r="F1347" i="1"/>
  <c r="G1345" i="1"/>
  <c r="F1345" i="1"/>
  <c r="G1344" i="1"/>
  <c r="F1344" i="1"/>
  <c r="G1342" i="1"/>
  <c r="F1342" i="1"/>
  <c r="G1340" i="1"/>
  <c r="F1340" i="1"/>
  <c r="G1339" i="1"/>
  <c r="F1339" i="1"/>
  <c r="G1337" i="1"/>
  <c r="F1337" i="1"/>
  <c r="G1336" i="1"/>
  <c r="F1336" i="1"/>
  <c r="G1335" i="1"/>
  <c r="F1335" i="1"/>
  <c r="G1334" i="1"/>
  <c r="F1334" i="1"/>
  <c r="G1333" i="1"/>
  <c r="F1333" i="1"/>
  <c r="G1332" i="1"/>
  <c r="F1332" i="1"/>
  <c r="G1329" i="1"/>
  <c r="F1329" i="1"/>
  <c r="G1328" i="1"/>
  <c r="F1328" i="1"/>
  <c r="G1327" i="1"/>
  <c r="F1327" i="1"/>
  <c r="G1326" i="1"/>
  <c r="F1326" i="1"/>
  <c r="G1325" i="1"/>
  <c r="F1325" i="1"/>
  <c r="G1324" i="1"/>
  <c r="F1324" i="1"/>
  <c r="G1319" i="1"/>
  <c r="F1319" i="1"/>
  <c r="G1316" i="1"/>
  <c r="F1316" i="1"/>
  <c r="G1315" i="1"/>
  <c r="F1315" i="1"/>
  <c r="G1312" i="1"/>
  <c r="F1312" i="1"/>
  <c r="G1308" i="1"/>
  <c r="F1308" i="1"/>
  <c r="G1307" i="1"/>
  <c r="F1307" i="1"/>
  <c r="G1304" i="1"/>
  <c r="F1304" i="1"/>
  <c r="G1301" i="1"/>
  <c r="F1301" i="1"/>
  <c r="G1300" i="1"/>
  <c r="F1300" i="1"/>
  <c r="G1298" i="1"/>
  <c r="F1298" i="1"/>
  <c r="G1294" i="1"/>
  <c r="F1294" i="1"/>
  <c r="G1287" i="1"/>
  <c r="F1287" i="1"/>
  <c r="G1286" i="1"/>
  <c r="F1286" i="1"/>
  <c r="G1285" i="1"/>
  <c r="F1285" i="1"/>
  <c r="G1284" i="1"/>
  <c r="F1284" i="1"/>
  <c r="G1283" i="1"/>
  <c r="F1283" i="1"/>
  <c r="G1282" i="1"/>
  <c r="F1282" i="1"/>
  <c r="G1281" i="1"/>
  <c r="F1281" i="1"/>
  <c r="G1280" i="1"/>
  <c r="F1280" i="1"/>
  <c r="G1279" i="1"/>
  <c r="F1279" i="1"/>
  <c r="G1277" i="1"/>
  <c r="F1277" i="1"/>
  <c r="G1276" i="1"/>
  <c r="F1276" i="1"/>
  <c r="G1275" i="1"/>
  <c r="F1275" i="1"/>
  <c r="G1273" i="1"/>
  <c r="F1273" i="1"/>
  <c r="G1272" i="1"/>
  <c r="F1272" i="1"/>
  <c r="G1270" i="1"/>
  <c r="F1270" i="1"/>
  <c r="G1269" i="1"/>
  <c r="F1269" i="1"/>
  <c r="G1267" i="1"/>
  <c r="F1267" i="1"/>
  <c r="G1266" i="1"/>
  <c r="F1266" i="1"/>
  <c r="G1265" i="1"/>
  <c r="F1265" i="1"/>
  <c r="G1264" i="1"/>
  <c r="F1264" i="1"/>
  <c r="G1263" i="1"/>
  <c r="F1263" i="1"/>
  <c r="G1262" i="1"/>
  <c r="F1262" i="1"/>
  <c r="G1261" i="1"/>
  <c r="F1261" i="1"/>
  <c r="G1260" i="1"/>
  <c r="F1260" i="1"/>
  <c r="G1253" i="1"/>
  <c r="F1253" i="1"/>
  <c r="G1252" i="1"/>
  <c r="F1252" i="1"/>
  <c r="G1251" i="1"/>
  <c r="F1251" i="1"/>
  <c r="G1250" i="1"/>
  <c r="F1250" i="1"/>
  <c r="G1249" i="1"/>
  <c r="F1249" i="1"/>
  <c r="G1245" i="1"/>
  <c r="F1245" i="1"/>
  <c r="G1244" i="1"/>
  <c r="F1244" i="1"/>
  <c r="G1243" i="1"/>
  <c r="F1243" i="1"/>
  <c r="G1242" i="1"/>
  <c r="F1242" i="1"/>
  <c r="G1240" i="1"/>
  <c r="F1240" i="1"/>
  <c r="G1239" i="1"/>
  <c r="F1239" i="1"/>
  <c r="G1237" i="1"/>
  <c r="F1237" i="1"/>
  <c r="G1236" i="1"/>
  <c r="F1236" i="1"/>
  <c r="G1233" i="1"/>
  <c r="F1233" i="1"/>
  <c r="G1230" i="1"/>
  <c r="F1230" i="1"/>
  <c r="G1229" i="1"/>
  <c r="F1229" i="1"/>
  <c r="G1228" i="1"/>
  <c r="F1228" i="1"/>
  <c r="G1226" i="1"/>
  <c r="F1226" i="1"/>
  <c r="G1225" i="1"/>
  <c r="F1225" i="1"/>
  <c r="G1221" i="1"/>
  <c r="F1221" i="1"/>
  <c r="G1218" i="1"/>
  <c r="F1218" i="1"/>
  <c r="G1217" i="1"/>
  <c r="F1217" i="1"/>
  <c r="G1212" i="1"/>
  <c r="F1212" i="1"/>
  <c r="G1211" i="1"/>
  <c r="F1211" i="1"/>
  <c r="G1210" i="1"/>
  <c r="F1210" i="1"/>
  <c r="G1209" i="1"/>
  <c r="F1209" i="1"/>
  <c r="G1208" i="1"/>
  <c r="F1208" i="1"/>
  <c r="G1207" i="1"/>
  <c r="F1207" i="1"/>
  <c r="G1204" i="1"/>
  <c r="F1204" i="1"/>
  <c r="G1203" i="1"/>
  <c r="F1203" i="1"/>
  <c r="G1202" i="1"/>
  <c r="F1202" i="1"/>
  <c r="G1201" i="1"/>
  <c r="F1201" i="1"/>
  <c r="G1200" i="1"/>
  <c r="F1200" i="1"/>
  <c r="G1198" i="1"/>
  <c r="F1198" i="1"/>
  <c r="G1197" i="1"/>
  <c r="F1197" i="1"/>
  <c r="G1195" i="1"/>
  <c r="F1195" i="1"/>
  <c r="G1194" i="1"/>
  <c r="F1194" i="1"/>
  <c r="G1193" i="1"/>
  <c r="F1193" i="1"/>
  <c r="G1192" i="1"/>
  <c r="F1192" i="1"/>
  <c r="G1191" i="1"/>
  <c r="F1191" i="1"/>
  <c r="G1190" i="1"/>
  <c r="F1190" i="1"/>
  <c r="G1188" i="1"/>
  <c r="F1188" i="1"/>
  <c r="G1186" i="1"/>
  <c r="F1186" i="1"/>
  <c r="G1185" i="1"/>
  <c r="F1185" i="1"/>
  <c r="G1184" i="1"/>
  <c r="F1184" i="1"/>
  <c r="G1183" i="1"/>
  <c r="F1183" i="1"/>
  <c r="G1182" i="1"/>
  <c r="F1182" i="1"/>
  <c r="G1181" i="1"/>
  <c r="F1181" i="1"/>
  <c r="G1180" i="1"/>
  <c r="F1180" i="1"/>
  <c r="G1179" i="1"/>
  <c r="F1179" i="1"/>
  <c r="G1178" i="1"/>
  <c r="F1178" i="1"/>
  <c r="G1177" i="1"/>
  <c r="F1177" i="1"/>
  <c r="G1176" i="1"/>
  <c r="F1176" i="1"/>
  <c r="G1175" i="1"/>
  <c r="F1175" i="1"/>
  <c r="G1174" i="1"/>
  <c r="F1174" i="1"/>
  <c r="G1173" i="1"/>
  <c r="F1173" i="1"/>
  <c r="G1172" i="1"/>
  <c r="F1172" i="1"/>
  <c r="G1171" i="1"/>
  <c r="F1171" i="1"/>
  <c r="G1170" i="1"/>
  <c r="F1170" i="1"/>
  <c r="G1168" i="1"/>
  <c r="F1168" i="1"/>
  <c r="G1167" i="1"/>
  <c r="F1167" i="1"/>
  <c r="G1166" i="1"/>
  <c r="F1166" i="1"/>
  <c r="G1165" i="1"/>
  <c r="F1165" i="1"/>
  <c r="G1164" i="1"/>
  <c r="F1164" i="1"/>
  <c r="G1163" i="1"/>
  <c r="F1163" i="1"/>
  <c r="G1162" i="1"/>
  <c r="F1162" i="1"/>
  <c r="G1160" i="1"/>
  <c r="F1160" i="1"/>
  <c r="G1159" i="1"/>
  <c r="F1159" i="1"/>
  <c r="G1158" i="1"/>
  <c r="F1158" i="1"/>
  <c r="G1152" i="1"/>
  <c r="F1152" i="1"/>
  <c r="G1148" i="1"/>
  <c r="F1148" i="1"/>
  <c r="G1147" i="1"/>
  <c r="F1147" i="1"/>
  <c r="G1144" i="1"/>
  <c r="F1144" i="1"/>
  <c r="G1143" i="1"/>
  <c r="F1143" i="1"/>
  <c r="G1141" i="1"/>
  <c r="F1141" i="1"/>
  <c r="G1140" i="1"/>
  <c r="F1140" i="1"/>
  <c r="G1138" i="1"/>
  <c r="F1138" i="1"/>
  <c r="G1137" i="1"/>
  <c r="F1137" i="1"/>
  <c r="G1134" i="1"/>
  <c r="F1134" i="1"/>
  <c r="G1133" i="1"/>
  <c r="F1133" i="1"/>
  <c r="G1128" i="1"/>
  <c r="F1128" i="1"/>
  <c r="G1127" i="1"/>
  <c r="F1127" i="1"/>
  <c r="G1126" i="1"/>
  <c r="F1126" i="1"/>
  <c r="G1124" i="1"/>
  <c r="F1124" i="1"/>
  <c r="G1118" i="1"/>
  <c r="F1118" i="1"/>
  <c r="G1113" i="1"/>
  <c r="F1113" i="1"/>
  <c r="G1112" i="1"/>
  <c r="F1112" i="1"/>
  <c r="G1110" i="1"/>
  <c r="F1110" i="1"/>
  <c r="G1108" i="1"/>
  <c r="F1108" i="1"/>
  <c r="G1107" i="1"/>
  <c r="F1107" i="1"/>
  <c r="G1106" i="1"/>
  <c r="F1106" i="1"/>
  <c r="G1105" i="1"/>
  <c r="F1105" i="1"/>
  <c r="G1101" i="1"/>
  <c r="F1101" i="1"/>
  <c r="G1100" i="1"/>
  <c r="F1100" i="1"/>
  <c r="G1099" i="1"/>
  <c r="F1099" i="1"/>
  <c r="G1098" i="1"/>
  <c r="F1098" i="1"/>
  <c r="G1097" i="1"/>
  <c r="F1097" i="1"/>
  <c r="G1094" i="1"/>
  <c r="F1094" i="1"/>
  <c r="G1090" i="1"/>
  <c r="F1090" i="1"/>
  <c r="G1087" i="1"/>
  <c r="F1087" i="1"/>
  <c r="G1086" i="1"/>
  <c r="F1086" i="1"/>
  <c r="G1085" i="1"/>
  <c r="F1085" i="1"/>
  <c r="G1084" i="1"/>
  <c r="F1084" i="1"/>
  <c r="G1083" i="1"/>
  <c r="F1083" i="1"/>
  <c r="G1082" i="1"/>
  <c r="F1082" i="1"/>
  <c r="G1081" i="1"/>
  <c r="F1081" i="1"/>
  <c r="G1080" i="1"/>
  <c r="F1080" i="1"/>
  <c r="G1078" i="1"/>
  <c r="F1078" i="1"/>
  <c r="G1077" i="1"/>
  <c r="F1077" i="1"/>
  <c r="G1076" i="1"/>
  <c r="F1076" i="1"/>
  <c r="G1075" i="1"/>
  <c r="F1075" i="1"/>
  <c r="G1074" i="1"/>
  <c r="F1074" i="1"/>
  <c r="G1073" i="1"/>
  <c r="F1073" i="1"/>
  <c r="G1072" i="1"/>
  <c r="F1072" i="1"/>
  <c r="G1071" i="1"/>
  <c r="F1071" i="1"/>
  <c r="G1070" i="1"/>
  <c r="F1070" i="1"/>
  <c r="G1069" i="1"/>
  <c r="F1069" i="1"/>
  <c r="G1068" i="1"/>
  <c r="F1068" i="1"/>
  <c r="G1067" i="1"/>
  <c r="F1067" i="1"/>
  <c r="G1066" i="1"/>
  <c r="F1066" i="1"/>
  <c r="G1065" i="1"/>
  <c r="F1065" i="1"/>
  <c r="G1063" i="1"/>
  <c r="F1063" i="1"/>
  <c r="G1062" i="1"/>
  <c r="F1062" i="1"/>
  <c r="G1061" i="1"/>
  <c r="F1061" i="1"/>
  <c r="G1060" i="1"/>
  <c r="F1060" i="1"/>
  <c r="G1057" i="1"/>
  <c r="F1057" i="1"/>
  <c r="G1055" i="1"/>
  <c r="F1055" i="1"/>
  <c r="G1054" i="1"/>
  <c r="F1054" i="1"/>
  <c r="G1053" i="1"/>
  <c r="F1053" i="1"/>
  <c r="G1052" i="1"/>
  <c r="F1052" i="1"/>
  <c r="G1051" i="1"/>
  <c r="F1051" i="1"/>
  <c r="G1050" i="1"/>
  <c r="F1050" i="1"/>
  <c r="G1049" i="1"/>
  <c r="F1049" i="1"/>
  <c r="G1048" i="1"/>
  <c r="F1048" i="1"/>
  <c r="G1047" i="1"/>
  <c r="F1047" i="1"/>
  <c r="G1046" i="1"/>
  <c r="F1046" i="1"/>
  <c r="G1045" i="1"/>
  <c r="F1045" i="1"/>
  <c r="G1043" i="1"/>
  <c r="F1043" i="1"/>
  <c r="G1042" i="1"/>
  <c r="F1042" i="1"/>
  <c r="G1041" i="1"/>
  <c r="F1041" i="1"/>
  <c r="G1040" i="1"/>
  <c r="F1040" i="1"/>
  <c r="G1039" i="1"/>
  <c r="F1039" i="1"/>
  <c r="G1037" i="1"/>
  <c r="F1037" i="1"/>
  <c r="G1036" i="1"/>
  <c r="F1036" i="1"/>
  <c r="G1035" i="1"/>
  <c r="F1035" i="1"/>
  <c r="G1033" i="1"/>
  <c r="F1033" i="1"/>
  <c r="G1032" i="1"/>
  <c r="F1032" i="1"/>
  <c r="G1031" i="1"/>
  <c r="F1031" i="1"/>
  <c r="G1030" i="1"/>
  <c r="F1030" i="1"/>
  <c r="G1029" i="1"/>
  <c r="F1029" i="1"/>
  <c r="G1028" i="1"/>
  <c r="F1028" i="1"/>
  <c r="G1026" i="1"/>
  <c r="F1026" i="1"/>
  <c r="G1023" i="1"/>
  <c r="F1023" i="1"/>
  <c r="G1022" i="1"/>
  <c r="F1022" i="1"/>
  <c r="G1019" i="1"/>
  <c r="F1019" i="1"/>
  <c r="G1018" i="1"/>
  <c r="F1018" i="1"/>
  <c r="G1017" i="1"/>
  <c r="F1017" i="1"/>
  <c r="G1016" i="1"/>
  <c r="F1016" i="1"/>
  <c r="G1015" i="1"/>
  <c r="F1015" i="1"/>
  <c r="G1014" i="1"/>
  <c r="F1014" i="1"/>
  <c r="G1011" i="1"/>
  <c r="F1011" i="1"/>
  <c r="G1007" i="1"/>
  <c r="F1007" i="1"/>
  <c r="G1006" i="1"/>
  <c r="F1006" i="1"/>
  <c r="G1004" i="1"/>
  <c r="F1004" i="1"/>
  <c r="G1003" i="1"/>
  <c r="F1003" i="1"/>
  <c r="G1000" i="1"/>
  <c r="F1000" i="1"/>
  <c r="G999" i="1"/>
  <c r="F999" i="1"/>
  <c r="G996" i="1"/>
  <c r="F996" i="1"/>
  <c r="G995" i="1"/>
  <c r="F995" i="1"/>
  <c r="G993" i="1"/>
  <c r="F993" i="1"/>
  <c r="G991" i="1"/>
  <c r="F991" i="1"/>
  <c r="G990" i="1"/>
  <c r="F990" i="1"/>
  <c r="G988" i="1"/>
  <c r="F988" i="1"/>
  <c r="G987" i="1"/>
  <c r="F987" i="1"/>
  <c r="G986" i="1"/>
  <c r="F986" i="1"/>
  <c r="G985" i="1"/>
  <c r="F985" i="1"/>
  <c r="G984" i="1"/>
  <c r="F984" i="1"/>
  <c r="G983" i="1"/>
  <c r="F983" i="1"/>
  <c r="G982" i="1"/>
  <c r="F982" i="1"/>
  <c r="G981" i="1"/>
  <c r="F981" i="1"/>
  <c r="G980" i="1"/>
  <c r="F980" i="1"/>
  <c r="G979" i="1"/>
  <c r="F979" i="1"/>
  <c r="G978" i="1"/>
  <c r="F978" i="1"/>
  <c r="G974" i="1"/>
  <c r="F974" i="1"/>
  <c r="G968" i="1"/>
  <c r="F968" i="1"/>
  <c r="G967" i="1"/>
  <c r="F967" i="1"/>
  <c r="G966" i="1"/>
  <c r="F966" i="1"/>
  <c r="G965" i="1"/>
  <c r="F965" i="1"/>
  <c r="G964" i="1"/>
  <c r="F964" i="1"/>
  <c r="G962" i="1"/>
  <c r="F962" i="1"/>
  <c r="G955" i="1"/>
  <c r="F955" i="1"/>
  <c r="G952" i="1"/>
  <c r="F952" i="1"/>
  <c r="G951" i="1"/>
  <c r="F951" i="1"/>
  <c r="G949" i="1"/>
  <c r="F949" i="1"/>
  <c r="G948" i="1"/>
  <c r="F948" i="1"/>
  <c r="G946" i="1"/>
  <c r="F946" i="1"/>
  <c r="G943" i="1"/>
  <c r="F943" i="1"/>
  <c r="G942" i="1"/>
  <c r="F942" i="1"/>
  <c r="G939" i="1"/>
  <c r="F939" i="1"/>
  <c r="G936" i="1"/>
  <c r="F936" i="1"/>
  <c r="G935" i="1"/>
  <c r="F935" i="1"/>
  <c r="G934" i="1"/>
  <c r="F934" i="1"/>
  <c r="G933" i="1"/>
  <c r="F933" i="1"/>
  <c r="G932" i="1"/>
  <c r="F932" i="1"/>
  <c r="G931" i="1"/>
  <c r="F931" i="1"/>
  <c r="G929" i="1"/>
  <c r="F929" i="1"/>
  <c r="G928" i="1"/>
  <c r="F928" i="1"/>
  <c r="G927" i="1"/>
  <c r="F927" i="1"/>
  <c r="G926" i="1"/>
  <c r="F926" i="1"/>
  <c r="G925" i="1"/>
  <c r="F925" i="1"/>
  <c r="G924" i="1"/>
  <c r="F924" i="1"/>
  <c r="G922" i="1"/>
  <c r="F922" i="1"/>
  <c r="G921" i="1"/>
  <c r="F921" i="1"/>
  <c r="G920" i="1"/>
  <c r="F920" i="1"/>
  <c r="G919" i="1"/>
  <c r="F919" i="1"/>
  <c r="G917" i="1"/>
  <c r="F917" i="1"/>
  <c r="G916" i="1"/>
  <c r="F916" i="1"/>
  <c r="G915" i="1"/>
  <c r="F915" i="1"/>
  <c r="G914" i="1"/>
  <c r="F914" i="1"/>
  <c r="G913" i="1"/>
  <c r="F913" i="1"/>
  <c r="G912" i="1"/>
  <c r="F912" i="1"/>
  <c r="G911" i="1"/>
  <c r="F911" i="1"/>
  <c r="G909" i="1"/>
  <c r="F909" i="1"/>
  <c r="G904" i="1"/>
  <c r="F904" i="1"/>
  <c r="G903" i="1"/>
  <c r="F903" i="1"/>
  <c r="G902" i="1"/>
  <c r="F902" i="1"/>
  <c r="G901" i="1"/>
  <c r="F901" i="1"/>
  <c r="G900" i="1"/>
  <c r="F900" i="1"/>
  <c r="G898" i="1"/>
  <c r="F898" i="1"/>
  <c r="G897" i="1"/>
  <c r="F897" i="1"/>
  <c r="G895" i="1"/>
  <c r="F895" i="1"/>
  <c r="G894" i="1"/>
  <c r="F894" i="1"/>
  <c r="G893" i="1"/>
  <c r="F893" i="1"/>
  <c r="G891" i="1"/>
  <c r="F891" i="1"/>
  <c r="G890" i="1"/>
  <c r="F890" i="1"/>
  <c r="G889" i="1"/>
  <c r="F889" i="1"/>
  <c r="G886" i="1"/>
  <c r="F886" i="1"/>
  <c r="G884" i="1"/>
  <c r="F884" i="1"/>
  <c r="G881" i="1"/>
  <c r="F881" i="1"/>
  <c r="G880" i="1"/>
  <c r="F880" i="1"/>
  <c r="G879" i="1"/>
  <c r="F879" i="1"/>
  <c r="G878" i="1"/>
  <c r="F878" i="1"/>
  <c r="G876" i="1"/>
  <c r="F876" i="1"/>
  <c r="G875" i="1"/>
  <c r="F875" i="1"/>
  <c r="G872" i="1"/>
  <c r="F872" i="1"/>
  <c r="G871" i="1"/>
  <c r="F871" i="1"/>
  <c r="G870" i="1"/>
  <c r="F870" i="1"/>
  <c r="G869" i="1"/>
  <c r="F869" i="1"/>
  <c r="G867" i="1"/>
  <c r="F867" i="1"/>
  <c r="G866" i="1"/>
  <c r="F866" i="1"/>
  <c r="G865" i="1"/>
  <c r="F865" i="1"/>
  <c r="G863" i="1"/>
  <c r="F863" i="1"/>
  <c r="G862" i="1"/>
  <c r="F862" i="1"/>
  <c r="G861" i="1"/>
  <c r="F861" i="1"/>
  <c r="G860" i="1"/>
  <c r="F860" i="1"/>
  <c r="G859" i="1"/>
  <c r="F859" i="1"/>
  <c r="G857" i="1"/>
  <c r="F857" i="1"/>
  <c r="G856" i="1"/>
  <c r="F856" i="1"/>
  <c r="G853" i="1"/>
  <c r="F853" i="1"/>
  <c r="G851" i="1"/>
  <c r="F851" i="1"/>
  <c r="G850" i="1"/>
  <c r="F850" i="1"/>
  <c r="G847" i="1"/>
  <c r="F847" i="1"/>
  <c r="G846" i="1"/>
  <c r="F846" i="1"/>
  <c r="G845" i="1"/>
  <c r="F845" i="1"/>
  <c r="G844" i="1"/>
  <c r="F844" i="1"/>
  <c r="G843" i="1"/>
  <c r="F843" i="1"/>
  <c r="G842" i="1"/>
  <c r="F842" i="1"/>
  <c r="G840" i="1"/>
  <c r="F840" i="1"/>
  <c r="G839" i="1"/>
  <c r="F839" i="1"/>
  <c r="G838" i="1"/>
  <c r="F838" i="1"/>
  <c r="G837" i="1"/>
  <c r="F837" i="1"/>
  <c r="G836" i="1"/>
  <c r="F836" i="1"/>
  <c r="G834" i="1"/>
  <c r="F834" i="1"/>
  <c r="G833" i="1"/>
  <c r="F833" i="1"/>
  <c r="G831" i="1"/>
  <c r="F831" i="1"/>
  <c r="G830" i="1"/>
  <c r="F830" i="1"/>
  <c r="G824" i="1"/>
  <c r="F824" i="1"/>
  <c r="G822" i="1"/>
  <c r="F822" i="1"/>
  <c r="G820" i="1"/>
  <c r="F820" i="1"/>
  <c r="G819" i="1"/>
  <c r="F819" i="1"/>
  <c r="G818" i="1"/>
  <c r="F818" i="1"/>
  <c r="G813" i="1"/>
  <c r="F813" i="1"/>
  <c r="G811" i="1"/>
  <c r="F811" i="1"/>
  <c r="G805" i="1"/>
  <c r="F805" i="1"/>
  <c r="G804" i="1"/>
  <c r="F804" i="1"/>
  <c r="G803" i="1"/>
  <c r="F803" i="1"/>
  <c r="G801" i="1"/>
  <c r="F801" i="1"/>
  <c r="G800" i="1"/>
  <c r="F800" i="1"/>
  <c r="G798" i="1"/>
  <c r="F798" i="1"/>
  <c r="G797" i="1"/>
  <c r="F797" i="1"/>
  <c r="G796" i="1"/>
  <c r="F796" i="1"/>
  <c r="G795" i="1"/>
  <c r="F795" i="1"/>
  <c r="G794" i="1"/>
  <c r="F794" i="1"/>
  <c r="G792" i="1"/>
  <c r="F792" i="1"/>
  <c r="G791" i="1"/>
  <c r="F791" i="1"/>
  <c r="G790" i="1"/>
  <c r="F790" i="1"/>
  <c r="G787" i="1"/>
  <c r="F787" i="1"/>
  <c r="G786" i="1"/>
  <c r="F786" i="1"/>
  <c r="G785" i="1"/>
  <c r="F785" i="1"/>
  <c r="G781" i="1"/>
  <c r="F781" i="1"/>
  <c r="G780" i="1"/>
  <c r="F780" i="1"/>
  <c r="G779" i="1"/>
  <c r="F779" i="1"/>
  <c r="G778" i="1"/>
  <c r="F778" i="1"/>
  <c r="G777" i="1"/>
  <c r="F777" i="1"/>
  <c r="G776" i="1"/>
  <c r="F776" i="1"/>
  <c r="G772" i="1"/>
  <c r="F772" i="1"/>
  <c r="G770" i="1"/>
  <c r="F770" i="1"/>
  <c r="G769" i="1"/>
  <c r="F769" i="1"/>
  <c r="G768" i="1"/>
  <c r="F768" i="1"/>
  <c r="G767" i="1"/>
  <c r="F767" i="1"/>
  <c r="G766" i="1"/>
  <c r="F766" i="1"/>
  <c r="G764" i="1"/>
  <c r="F764" i="1"/>
  <c r="G763" i="1"/>
  <c r="F763" i="1"/>
  <c r="G762" i="1"/>
  <c r="F762" i="1"/>
  <c r="G760" i="1"/>
  <c r="F760" i="1"/>
  <c r="G758" i="1"/>
  <c r="F758" i="1"/>
  <c r="G756" i="1"/>
  <c r="F756" i="1"/>
  <c r="G755" i="1"/>
  <c r="F755" i="1"/>
  <c r="G754" i="1"/>
  <c r="F754" i="1"/>
  <c r="G753" i="1"/>
  <c r="F753" i="1"/>
  <c r="G752" i="1"/>
  <c r="F752" i="1"/>
  <c r="G751" i="1"/>
  <c r="F751" i="1"/>
  <c r="G750" i="1"/>
  <c r="F750" i="1"/>
  <c r="G749" i="1"/>
  <c r="F749" i="1"/>
  <c r="G747" i="1"/>
  <c r="F747" i="1"/>
  <c r="G746" i="1"/>
  <c r="F746" i="1"/>
  <c r="G745" i="1"/>
  <c r="F745" i="1"/>
  <c r="G744" i="1"/>
  <c r="F744" i="1"/>
  <c r="G743" i="1"/>
  <c r="F743" i="1"/>
  <c r="G741" i="1"/>
  <c r="F741" i="1"/>
  <c r="G737" i="1"/>
  <c r="F737" i="1"/>
  <c r="G736" i="1"/>
  <c r="F736" i="1"/>
  <c r="G733" i="1"/>
  <c r="F733" i="1"/>
  <c r="G732" i="1"/>
  <c r="F732" i="1"/>
  <c r="G729" i="1"/>
  <c r="F729" i="1"/>
  <c r="G728" i="1"/>
  <c r="F728" i="1"/>
  <c r="G727" i="1"/>
  <c r="F727" i="1"/>
  <c r="G726" i="1"/>
  <c r="F726" i="1"/>
  <c r="G725" i="1"/>
  <c r="F725" i="1"/>
  <c r="G715" i="1"/>
  <c r="F715" i="1"/>
  <c r="G714" i="1"/>
  <c r="F714" i="1"/>
  <c r="G713" i="1"/>
  <c r="F713" i="1"/>
  <c r="G712" i="1"/>
  <c r="F712" i="1"/>
  <c r="G711" i="1"/>
  <c r="F711" i="1"/>
  <c r="G709" i="1"/>
  <c r="F709" i="1"/>
  <c r="G708" i="1"/>
  <c r="F708" i="1"/>
  <c r="G707" i="1"/>
  <c r="F707" i="1"/>
  <c r="G699" i="1"/>
  <c r="F699" i="1"/>
  <c r="G698" i="1"/>
  <c r="F698" i="1"/>
  <c r="G694" i="1"/>
  <c r="F694" i="1"/>
  <c r="G693" i="1"/>
  <c r="F693" i="1"/>
  <c r="G692" i="1"/>
  <c r="F692" i="1"/>
  <c r="G691" i="1"/>
  <c r="F691" i="1"/>
  <c r="G690" i="1"/>
  <c r="F690" i="1"/>
  <c r="G689" i="1"/>
  <c r="F689" i="1"/>
  <c r="G687" i="1"/>
  <c r="F687" i="1"/>
  <c r="G686" i="1"/>
  <c r="F686" i="1"/>
  <c r="G685" i="1"/>
  <c r="F685" i="1"/>
  <c r="G684" i="1"/>
  <c r="F684" i="1"/>
  <c r="G683" i="1"/>
  <c r="F683" i="1"/>
  <c r="G681" i="1"/>
  <c r="F681" i="1"/>
  <c r="G680" i="1"/>
  <c r="F680" i="1"/>
  <c r="G679" i="1"/>
  <c r="F679" i="1"/>
  <c r="G677" i="1"/>
  <c r="F677" i="1"/>
  <c r="G676" i="1"/>
  <c r="F676" i="1"/>
  <c r="G673" i="1"/>
  <c r="F673" i="1"/>
  <c r="G671" i="1"/>
  <c r="F671" i="1"/>
  <c r="G669" i="1"/>
  <c r="F669" i="1"/>
  <c r="G668" i="1"/>
  <c r="F668" i="1"/>
  <c r="G667" i="1"/>
  <c r="F667" i="1"/>
  <c r="G666" i="1"/>
  <c r="F666" i="1"/>
  <c r="G665" i="1"/>
  <c r="F665" i="1"/>
  <c r="G664" i="1"/>
  <c r="F664" i="1"/>
  <c r="G663" i="1"/>
  <c r="F663" i="1"/>
  <c r="G659" i="1"/>
  <c r="F659" i="1"/>
  <c r="G658" i="1"/>
  <c r="F658" i="1"/>
  <c r="G657" i="1"/>
  <c r="F657" i="1"/>
  <c r="G655" i="1"/>
  <c r="F655" i="1"/>
  <c r="G654" i="1"/>
  <c r="F654" i="1"/>
  <c r="G653" i="1"/>
  <c r="F653" i="1"/>
  <c r="G652" i="1"/>
  <c r="F652" i="1"/>
  <c r="G651" i="1"/>
  <c r="F651" i="1"/>
  <c r="G650" i="1"/>
  <c r="F650" i="1"/>
  <c r="G649" i="1"/>
  <c r="F649" i="1"/>
  <c r="G648" i="1"/>
  <c r="F648" i="1"/>
  <c r="G647" i="1"/>
  <c r="F647" i="1"/>
  <c r="G645" i="1"/>
  <c r="F645" i="1"/>
  <c r="G644" i="1"/>
  <c r="F644" i="1"/>
  <c r="G639" i="1"/>
  <c r="F639" i="1"/>
  <c r="G638" i="1"/>
  <c r="F638" i="1"/>
  <c r="G636" i="1"/>
  <c r="F636" i="1"/>
  <c r="G635" i="1"/>
  <c r="F635" i="1"/>
  <c r="G634" i="1"/>
  <c r="F634" i="1"/>
  <c r="G632" i="1"/>
  <c r="F632" i="1"/>
  <c r="G631" i="1"/>
  <c r="F631" i="1"/>
  <c r="G630" i="1"/>
  <c r="F630" i="1"/>
  <c r="G629" i="1"/>
  <c r="F629" i="1"/>
  <c r="G628" i="1"/>
  <c r="F628" i="1"/>
  <c r="G627" i="1"/>
  <c r="F627" i="1"/>
  <c r="G626" i="1"/>
  <c r="F626" i="1"/>
  <c r="G625" i="1"/>
  <c r="F625" i="1"/>
  <c r="G624" i="1"/>
  <c r="F624" i="1"/>
  <c r="G622" i="1"/>
  <c r="F622" i="1"/>
  <c r="G621" i="1"/>
  <c r="F621" i="1"/>
  <c r="G620" i="1"/>
  <c r="F620" i="1"/>
  <c r="G617" i="1"/>
  <c r="F617" i="1"/>
  <c r="G616" i="1"/>
  <c r="F616" i="1"/>
  <c r="G614" i="1"/>
  <c r="F614" i="1"/>
  <c r="G612" i="1"/>
  <c r="F612" i="1"/>
  <c r="G611" i="1"/>
  <c r="F611" i="1"/>
  <c r="G610" i="1"/>
  <c r="F610" i="1"/>
  <c r="G607" i="1"/>
  <c r="F607" i="1"/>
  <c r="G603" i="1"/>
  <c r="F603" i="1"/>
  <c r="G599" i="1"/>
  <c r="F599" i="1"/>
  <c r="G598" i="1"/>
  <c r="F598" i="1"/>
  <c r="G597" i="1"/>
  <c r="F597" i="1"/>
  <c r="G595" i="1"/>
  <c r="F595" i="1"/>
  <c r="G594" i="1"/>
  <c r="F594" i="1"/>
  <c r="G593" i="1"/>
  <c r="F593" i="1"/>
  <c r="G592" i="1"/>
  <c r="F592" i="1"/>
  <c r="G591" i="1"/>
  <c r="F591" i="1"/>
  <c r="G590" i="1"/>
  <c r="F590" i="1"/>
  <c r="G589" i="1"/>
  <c r="F589" i="1"/>
  <c r="G586" i="1"/>
  <c r="F586" i="1"/>
  <c r="G585" i="1"/>
  <c r="F585" i="1"/>
  <c r="G583" i="1"/>
  <c r="F583" i="1"/>
  <c r="G582" i="1"/>
  <c r="F582" i="1"/>
  <c r="G579" i="1"/>
  <c r="F579" i="1"/>
  <c r="G577" i="1"/>
  <c r="F577" i="1"/>
  <c r="G575" i="1"/>
  <c r="F575" i="1"/>
  <c r="G573" i="1"/>
  <c r="F573" i="1"/>
  <c r="G572" i="1"/>
  <c r="F572" i="1"/>
  <c r="G571" i="1"/>
  <c r="F571" i="1"/>
  <c r="G567" i="1"/>
  <c r="F567" i="1"/>
  <c r="G566" i="1"/>
  <c r="F566" i="1"/>
  <c r="G565" i="1"/>
  <c r="F565" i="1"/>
  <c r="G564" i="1"/>
  <c r="F564" i="1"/>
  <c r="G563" i="1"/>
  <c r="F563" i="1"/>
  <c r="G561" i="1"/>
  <c r="F561" i="1"/>
  <c r="G559" i="1"/>
  <c r="F559" i="1"/>
  <c r="G558" i="1"/>
  <c r="F558" i="1"/>
  <c r="G557" i="1"/>
  <c r="F557" i="1"/>
  <c r="G552" i="1"/>
  <c r="F552" i="1"/>
  <c r="G551" i="1"/>
  <c r="F551" i="1"/>
  <c r="G549" i="1"/>
  <c r="F549" i="1"/>
  <c r="G548" i="1"/>
  <c r="F548" i="1"/>
  <c r="G545" i="1"/>
  <c r="F545" i="1"/>
  <c r="G544" i="1"/>
  <c r="F544" i="1"/>
  <c r="G543" i="1"/>
  <c r="F543" i="1"/>
  <c r="G542" i="1"/>
  <c r="F542" i="1"/>
  <c r="G541" i="1"/>
  <c r="F541" i="1"/>
  <c r="G540" i="1"/>
  <c r="F540" i="1"/>
  <c r="G539" i="1"/>
  <c r="F539" i="1"/>
  <c r="G534" i="1"/>
  <c r="F534" i="1"/>
  <c r="G532" i="1"/>
  <c r="F532" i="1"/>
  <c r="G531" i="1"/>
  <c r="F531" i="1"/>
  <c r="G530" i="1"/>
  <c r="F530" i="1"/>
  <c r="G527" i="1"/>
  <c r="F527" i="1"/>
  <c r="G526" i="1"/>
  <c r="F526" i="1"/>
  <c r="G525" i="1"/>
  <c r="F525" i="1"/>
  <c r="G524" i="1"/>
  <c r="F524" i="1"/>
  <c r="G523" i="1"/>
  <c r="F523" i="1"/>
  <c r="G522" i="1"/>
  <c r="F522" i="1"/>
  <c r="G521" i="1"/>
  <c r="F521" i="1"/>
  <c r="G520" i="1"/>
  <c r="F520" i="1"/>
  <c r="G519" i="1"/>
  <c r="F519" i="1"/>
  <c r="G518" i="1"/>
  <c r="F518" i="1"/>
  <c r="G517" i="1"/>
  <c r="F517" i="1"/>
  <c r="G516" i="1"/>
  <c r="F516" i="1"/>
  <c r="G514" i="1"/>
  <c r="F514" i="1"/>
  <c r="G513" i="1"/>
  <c r="F513" i="1"/>
  <c r="G512" i="1"/>
  <c r="F512" i="1"/>
  <c r="G511" i="1"/>
  <c r="F511" i="1"/>
  <c r="G510" i="1"/>
  <c r="F510" i="1"/>
  <c r="G509" i="1"/>
  <c r="F509" i="1"/>
  <c r="G508" i="1"/>
  <c r="F508" i="1"/>
  <c r="G504" i="1"/>
  <c r="F504" i="1"/>
  <c r="G503" i="1"/>
  <c r="F503" i="1"/>
  <c r="G502" i="1"/>
  <c r="F502" i="1"/>
  <c r="G501" i="1"/>
  <c r="F501" i="1"/>
  <c r="G500" i="1"/>
  <c r="F500" i="1"/>
  <c r="G498" i="1"/>
  <c r="F498" i="1"/>
  <c r="G497" i="1"/>
  <c r="F497" i="1"/>
  <c r="G495" i="1"/>
  <c r="F495" i="1"/>
  <c r="G494" i="1"/>
  <c r="F494" i="1"/>
  <c r="G493" i="1"/>
  <c r="F493" i="1"/>
  <c r="G492" i="1"/>
  <c r="F492" i="1"/>
  <c r="G488" i="1"/>
  <c r="F488" i="1"/>
  <c r="G487" i="1"/>
  <c r="F487" i="1"/>
  <c r="G486" i="1"/>
  <c r="F486" i="1"/>
  <c r="G483" i="1"/>
  <c r="F483" i="1"/>
  <c r="G480" i="1"/>
  <c r="F480" i="1"/>
  <c r="G479" i="1"/>
  <c r="F479" i="1"/>
  <c r="G478" i="1"/>
  <c r="F478" i="1"/>
  <c r="G477" i="1"/>
  <c r="F477" i="1"/>
  <c r="G476" i="1"/>
  <c r="F476" i="1"/>
  <c r="G475" i="1"/>
  <c r="F475" i="1"/>
  <c r="G473" i="1"/>
  <c r="F473" i="1"/>
  <c r="G472" i="1"/>
  <c r="F472" i="1"/>
  <c r="G471" i="1"/>
  <c r="F471" i="1"/>
  <c r="G470" i="1"/>
  <c r="F470" i="1"/>
  <c r="G469" i="1"/>
  <c r="F469" i="1"/>
  <c r="G468" i="1"/>
  <c r="F468" i="1"/>
  <c r="G467" i="1"/>
  <c r="F467" i="1"/>
  <c r="G466" i="1"/>
  <c r="F466" i="1"/>
  <c r="G465" i="1"/>
  <c r="F465" i="1"/>
  <c r="G464" i="1"/>
  <c r="F464" i="1"/>
  <c r="G463" i="1"/>
  <c r="F463" i="1"/>
  <c r="G462" i="1"/>
  <c r="F462" i="1"/>
  <c r="G460" i="1"/>
  <c r="F460" i="1"/>
  <c r="G458" i="1"/>
  <c r="F458" i="1"/>
  <c r="G457" i="1"/>
  <c r="F457" i="1"/>
  <c r="G453" i="1"/>
  <c r="F453" i="1"/>
  <c r="G450" i="1"/>
  <c r="F450" i="1"/>
  <c r="G449" i="1"/>
  <c r="F449" i="1"/>
  <c r="G448" i="1"/>
  <c r="F448" i="1"/>
  <c r="G447" i="1"/>
  <c r="F447" i="1"/>
  <c r="G446" i="1"/>
  <c r="F446" i="1"/>
  <c r="G445" i="1"/>
  <c r="F445" i="1"/>
  <c r="G439" i="1"/>
  <c r="F439" i="1"/>
  <c r="G438" i="1"/>
  <c r="F438" i="1"/>
  <c r="G437" i="1"/>
  <c r="F437" i="1"/>
  <c r="G436" i="1"/>
  <c r="F436" i="1"/>
  <c r="G433" i="1"/>
  <c r="F433" i="1"/>
  <c r="G431" i="1"/>
  <c r="F431" i="1"/>
  <c r="G429" i="1"/>
  <c r="F429" i="1"/>
  <c r="G428" i="1"/>
  <c r="F428" i="1"/>
  <c r="G427" i="1"/>
  <c r="F427" i="1"/>
  <c r="G426" i="1"/>
  <c r="F426" i="1"/>
  <c r="G425" i="1"/>
  <c r="F425" i="1"/>
  <c r="G424" i="1"/>
  <c r="F424" i="1"/>
  <c r="G423" i="1"/>
  <c r="F423" i="1"/>
  <c r="G421" i="1"/>
  <c r="F421" i="1"/>
  <c r="G419" i="1"/>
  <c r="F419" i="1"/>
  <c r="G416" i="1"/>
  <c r="F416" i="1"/>
  <c r="G415" i="1"/>
  <c r="F415" i="1"/>
  <c r="G414" i="1"/>
  <c r="F414" i="1"/>
  <c r="G411" i="1"/>
  <c r="F411" i="1"/>
  <c r="G408" i="1"/>
  <c r="F408" i="1"/>
  <c r="G407" i="1"/>
  <c r="F407" i="1"/>
  <c r="G406" i="1"/>
  <c r="F406" i="1"/>
  <c r="G405" i="1"/>
  <c r="F405" i="1"/>
  <c r="G400" i="1"/>
  <c r="F400" i="1"/>
  <c r="G398" i="1"/>
  <c r="F398" i="1"/>
  <c r="G397" i="1"/>
  <c r="F397" i="1"/>
  <c r="G396" i="1"/>
  <c r="F396" i="1"/>
  <c r="G395" i="1"/>
  <c r="F395" i="1"/>
  <c r="G394" i="1"/>
  <c r="F394" i="1"/>
  <c r="G391" i="1"/>
  <c r="F391" i="1"/>
  <c r="G388" i="1"/>
  <c r="F388" i="1"/>
  <c r="G387" i="1"/>
  <c r="F387" i="1"/>
  <c r="G386" i="1"/>
  <c r="F386" i="1"/>
  <c r="G385" i="1"/>
  <c r="F385" i="1"/>
  <c r="G383" i="1"/>
  <c r="F383" i="1"/>
  <c r="G382" i="1"/>
  <c r="F382" i="1"/>
  <c r="G381" i="1"/>
  <c r="F381" i="1"/>
  <c r="G380" i="1"/>
  <c r="F380" i="1"/>
  <c r="G379" i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58" i="1"/>
  <c r="F358" i="1"/>
  <c r="G357" i="1"/>
  <c r="F357" i="1"/>
  <c r="G355" i="1"/>
  <c r="F355" i="1"/>
  <c r="G354" i="1"/>
  <c r="F354" i="1"/>
  <c r="G353" i="1"/>
  <c r="F353" i="1"/>
  <c r="G352" i="1"/>
  <c r="F352" i="1"/>
  <c r="G351" i="1"/>
  <c r="F351" i="1"/>
  <c r="G349" i="1"/>
  <c r="F349" i="1"/>
  <c r="G348" i="1"/>
  <c r="F348" i="1"/>
  <c r="G347" i="1"/>
  <c r="F347" i="1"/>
  <c r="G346" i="1"/>
  <c r="F346" i="1"/>
  <c r="G343" i="1"/>
  <c r="F343" i="1"/>
  <c r="G340" i="1"/>
  <c r="F340" i="1"/>
  <c r="G339" i="1"/>
  <c r="F339" i="1"/>
  <c r="G338" i="1"/>
  <c r="F338" i="1"/>
  <c r="G337" i="1"/>
  <c r="F337" i="1"/>
  <c r="G335" i="1"/>
  <c r="F335" i="1"/>
  <c r="G334" i="1"/>
  <c r="F334" i="1"/>
  <c r="G333" i="1"/>
  <c r="F333" i="1"/>
  <c r="G332" i="1"/>
  <c r="F332" i="1"/>
  <c r="G331" i="1"/>
  <c r="F331" i="1"/>
  <c r="G329" i="1"/>
  <c r="F329" i="1"/>
  <c r="G328" i="1"/>
  <c r="F328" i="1"/>
  <c r="G325" i="1"/>
  <c r="F325" i="1"/>
  <c r="G323" i="1"/>
  <c r="F323" i="1"/>
  <c r="G321" i="1"/>
  <c r="F321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6" i="1"/>
  <c r="F276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3" i="1"/>
  <c r="F263" i="1"/>
  <c r="G262" i="1"/>
  <c r="F262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1" i="1"/>
  <c r="F251" i="1"/>
  <c r="G250" i="1"/>
  <c r="F250" i="1"/>
  <c r="G249" i="1"/>
  <c r="F249" i="1"/>
  <c r="G248" i="1"/>
  <c r="F248" i="1"/>
  <c r="G247" i="1"/>
  <c r="F247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4" i="1"/>
  <c r="F224" i="1"/>
  <c r="G221" i="1"/>
  <c r="F221" i="1"/>
  <c r="G217" i="1"/>
  <c r="F217" i="1"/>
  <c r="G215" i="1"/>
  <c r="F215" i="1"/>
  <c r="G214" i="1"/>
  <c r="F214" i="1"/>
  <c r="G212" i="1"/>
  <c r="F212" i="1"/>
  <c r="G209" i="1"/>
  <c r="F209" i="1"/>
  <c r="G208" i="1"/>
  <c r="F208" i="1"/>
  <c r="G207" i="1"/>
  <c r="F207" i="1"/>
  <c r="G205" i="1"/>
  <c r="F205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1" i="1"/>
  <c r="F191" i="1"/>
  <c r="G190" i="1"/>
  <c r="F190" i="1"/>
  <c r="G189" i="1"/>
  <c r="F189" i="1"/>
  <c r="G187" i="1"/>
  <c r="F187" i="1"/>
  <c r="G186" i="1"/>
  <c r="F186" i="1"/>
  <c r="G185" i="1"/>
  <c r="F185" i="1"/>
  <c r="G184" i="1"/>
  <c r="F184" i="1"/>
  <c r="G183" i="1"/>
  <c r="F183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3" i="1"/>
  <c r="F173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58" i="1"/>
  <c r="F158" i="1"/>
  <c r="G157" i="1"/>
  <c r="F157" i="1"/>
  <c r="G156" i="1"/>
  <c r="F156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4" i="1"/>
  <c r="F144" i="1"/>
  <c r="G143" i="1"/>
  <c r="F143" i="1"/>
  <c r="G142" i="1"/>
  <c r="F142" i="1"/>
  <c r="G141" i="1"/>
  <c r="F141" i="1"/>
  <c r="G139" i="1"/>
  <c r="F139" i="1"/>
  <c r="G138" i="1"/>
  <c r="F138" i="1"/>
  <c r="G137" i="1"/>
  <c r="F137" i="1"/>
  <c r="G135" i="1"/>
  <c r="F135" i="1"/>
  <c r="G134" i="1"/>
  <c r="F134" i="1"/>
  <c r="G132" i="1"/>
  <c r="F132" i="1"/>
  <c r="G129" i="1"/>
  <c r="F129" i="1"/>
  <c r="G128" i="1"/>
  <c r="F128" i="1"/>
  <c r="G127" i="1"/>
  <c r="F127" i="1"/>
  <c r="G125" i="1"/>
  <c r="F125" i="1"/>
  <c r="G121" i="1"/>
  <c r="F121" i="1"/>
  <c r="G119" i="1"/>
  <c r="F119" i="1"/>
  <c r="G118" i="1"/>
  <c r="F118" i="1"/>
  <c r="G117" i="1"/>
  <c r="F117" i="1"/>
  <c r="G116" i="1"/>
  <c r="F116" i="1"/>
  <c r="G114" i="1"/>
  <c r="F114" i="1"/>
  <c r="G113" i="1"/>
  <c r="F113" i="1"/>
  <c r="G111" i="1"/>
  <c r="F111" i="1"/>
  <c r="G110" i="1"/>
  <c r="F110" i="1"/>
  <c r="G109" i="1"/>
  <c r="F109" i="1"/>
  <c r="G108" i="1"/>
  <c r="F108" i="1"/>
  <c r="G107" i="1"/>
  <c r="F107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6" i="1"/>
  <c r="F96" i="1"/>
  <c r="G95" i="1"/>
  <c r="F95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8" i="1"/>
  <c r="F68" i="1"/>
  <c r="G67" i="1"/>
  <c r="F67" i="1"/>
  <c r="G66" i="1"/>
  <c r="F66" i="1"/>
  <c r="G65" i="1"/>
  <c r="F65" i="1"/>
  <c r="G63" i="1"/>
  <c r="F63" i="1"/>
  <c r="G62" i="1"/>
  <c r="F62" i="1"/>
  <c r="G61" i="1"/>
  <c r="F61" i="1"/>
  <c r="G58" i="1"/>
  <c r="F58" i="1"/>
  <c r="G57" i="1"/>
  <c r="F57" i="1"/>
  <c r="G56" i="1"/>
  <c r="F56" i="1"/>
  <c r="G55" i="1"/>
  <c r="F55" i="1"/>
  <c r="G53" i="1"/>
  <c r="F53" i="1"/>
  <c r="G52" i="1"/>
  <c r="F52" i="1"/>
  <c r="G51" i="1"/>
  <c r="F51" i="1"/>
  <c r="G49" i="1"/>
  <c r="F49" i="1"/>
  <c r="G47" i="1"/>
  <c r="F47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6" i="1"/>
  <c r="F36" i="1"/>
  <c r="G34" i="1"/>
  <c r="F34" i="1"/>
  <c r="G33" i="1"/>
  <c r="F33" i="1"/>
  <c r="G31" i="1"/>
  <c r="F31" i="1"/>
  <c r="G28" i="1"/>
  <c r="F28" i="1"/>
  <c r="G27" i="1"/>
  <c r="F27" i="1"/>
  <c r="G26" i="1"/>
  <c r="F26" i="1"/>
  <c r="G25" i="1"/>
  <c r="F25" i="1"/>
  <c r="G23" i="1"/>
  <c r="F23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1" i="1"/>
  <c r="F11" i="1"/>
  <c r="G10" i="1"/>
  <c r="F10" i="1"/>
  <c r="G9" i="1"/>
  <c r="F9" i="1"/>
  <c r="G8" i="1"/>
  <c r="F8" i="1"/>
  <c r="G6" i="1"/>
  <c r="F6" i="1"/>
  <c r="G5" i="1"/>
  <c r="F5" i="1"/>
</calcChain>
</file>

<file path=xl/sharedStrings.xml><?xml version="1.0" encoding="utf-8"?>
<sst xmlns="http://schemas.openxmlformats.org/spreadsheetml/2006/main" count="20774" uniqueCount="3733">
  <si>
    <t>Entreprise : Grand hôtel des bains</t>
  </si>
  <si>
    <t>Type d'opération</t>
  </si>
  <si>
    <t>Catégorie détaillée</t>
  </si>
  <si>
    <t>Catégorie</t>
  </si>
  <si>
    <t>Intitulé</t>
  </si>
  <si>
    <t>Montant TTC</t>
  </si>
  <si>
    <t>Date de règlement</t>
  </si>
  <si>
    <t>Date de facturation</t>
  </si>
  <si>
    <t>Identifiant unique de l'opération</t>
  </si>
  <si>
    <t>Compte bancaire</t>
  </si>
  <si>
    <t>Mémo</t>
  </si>
  <si>
    <t>Entreprise</t>
  </si>
  <si>
    <t>Devise</t>
  </si>
  <si>
    <t>Réconcilié</t>
  </si>
  <si>
    <t>Ignorée</t>
  </si>
  <si>
    <t>Synchronisée</t>
  </si>
  <si>
    <t>External Id</t>
  </si>
  <si>
    <t>Décaissement</t>
  </si>
  <si>
    <t>Fournisseurs / F.G / COMMISSION</t>
  </si>
  <si>
    <t>COMMISSION</t>
  </si>
  <si>
    <t>VIR SEPA BOOKING.COM facture 1622599597 nh 254064 facture 1622599597 nh 254064 - 5757343</t>
  </si>
  <si>
    <t>Marze</t>
  </si>
  <si>
    <t>Grand hôtel des bains</t>
  </si>
  <si>
    <t>EUR</t>
  </si>
  <si>
    <t>faux</t>
  </si>
  <si>
    <t>vrai</t>
  </si>
  <si>
    <t>507272746</t>
  </si>
  <si>
    <t>Prêts / PRET MARZE 2030 150 KE</t>
  </si>
  <si>
    <t>PRET MARZE 2030 150 KE</t>
  </si>
  <si>
    <t>ECH PRET DONT CAP 1039,95 ASS. 0,00E INT. 116,15 COM. 0,00E - 9062098</t>
  </si>
  <si>
    <t>507272788</t>
  </si>
  <si>
    <t>Fournisseurs / F.G / TELEPHONE INTERNET</t>
  </si>
  <si>
    <t>TELEPHONE INTERNET</t>
  </si>
  <si>
    <t>PRLV SEPA Orange SA Votre abonnement fixe: 04XXXXX21 ++M0021517012 - 0DHGFA8</t>
  </si>
  <si>
    <t>507272754</t>
  </si>
  <si>
    <t>frais bancaire</t>
  </si>
  <si>
    <t>ARRETE COMPTE 4 EME TRIMESTRE 2024 - 1199021</t>
  </si>
  <si>
    <t>507272722</t>
  </si>
  <si>
    <t>INVESTISSEMENT / IVESTISSEMENT BTP</t>
  </si>
  <si>
    <t>IVESTISSEMENT BTP</t>
  </si>
  <si>
    <t>VIR SEPA MFG solde facture I-25-01-7 solde facture I-25-01-7 - 5929598</t>
  </si>
  <si>
    <t>507272707</t>
  </si>
  <si>
    <t>Fournisseurs / F.G / LOCATION</t>
  </si>
  <si>
    <t>LOCATION</t>
  </si>
  <si>
    <t>VIR PERM MR CAMINALE OLI LOCATION MAJIDA - 1221215</t>
  </si>
  <si>
    <t>507272730</t>
  </si>
  <si>
    <t>Fournisseurs / F.G / PUB/COM</t>
  </si>
  <si>
    <t>PUB/COM</t>
  </si>
  <si>
    <t>PRLV SEPA SOLOCAL SA 204 /INV/FORM:0001797796/27.12.2024/ 02937492002 - 0DJNCS7</t>
  </si>
  <si>
    <t>507272742</t>
  </si>
  <si>
    <t>Fournisseurs / MP / CAVE</t>
  </si>
  <si>
    <t>CAVE</t>
  </si>
  <si>
    <t>VIR SEPA FAUSTIN WINE facture 2725 facture 2725 - 5757769</t>
  </si>
  <si>
    <t>507272779</t>
  </si>
  <si>
    <t>Fournisseurs / F.G / REPARATION</t>
  </si>
  <si>
    <t>REPARATION</t>
  </si>
  <si>
    <t>VIR SEPA Vialle centre e facture 2 facture 2 - 5757411</t>
  </si>
  <si>
    <t>507272752</t>
  </si>
  <si>
    <t>PRLV SEPA HOTELIOS Maintenance Mensuelle INFHOTIK C-10-48-201109-10041889-7 - 0DGW1KP</t>
  </si>
  <si>
    <t>507272774</t>
  </si>
  <si>
    <t>Fournisseurs / F.G / BURAUTIQUE</t>
  </si>
  <si>
    <t>BURAUTIQUE</t>
  </si>
  <si>
    <t>PRLV SEPA IWINERESTO XXZZZA00272820067113 - 0DI9Y3P</t>
  </si>
  <si>
    <t>507272711</t>
  </si>
  <si>
    <t>Fournisseurs / F.G / ASSURANCE</t>
  </si>
  <si>
    <t>ASSURANCE</t>
  </si>
  <si>
    <t>PRLV SEPA AXA I0000833571279-CONTRAT0000010175 00AX000000000011646934 - 0DGF847</t>
  </si>
  <si>
    <t>507272738</t>
  </si>
  <si>
    <t>PRLV SEPA PREFILOC CAPIT F250016965 PRE000121421 - 0DIOEKU</t>
  </si>
  <si>
    <t>507272739</t>
  </si>
  <si>
    <t>Fournisseurs / F.G / HONORAIRE</t>
  </si>
  <si>
    <t>HONORAIRE</t>
  </si>
  <si>
    <t>VIR SEPA CABINET IMBERT 005033 005033 - 5895242</t>
  </si>
  <si>
    <t>507272761</t>
  </si>
  <si>
    <t>PRLV SEPA AXA I0000833432325-CONTRAT0000005863 00AX000000000007242109 - 0DGF0CD</t>
  </si>
  <si>
    <t>507272756</t>
  </si>
  <si>
    <t>ECH PRET DONT CAP 3514,21 ASS. 0,00E INT. 315,71 COM. 0,00E - 9062097</t>
  </si>
  <si>
    <t>507272789</t>
  </si>
  <si>
    <t>COM CB 5667966016 - NB0001/147061 - 0078061</t>
  </si>
  <si>
    <t>507272766</t>
  </si>
  <si>
    <t>PRLV SEPA AXA I0000833432324-CONTRAT0000005877 00AX000000000007242097 - 0DGF2PW</t>
  </si>
  <si>
    <t>507272755</t>
  </si>
  <si>
    <t>PRLV SEPA AXA I0000833432322-CONTRAT0000005927 00AX000000000007242074 - 0DGF2UG</t>
  </si>
  <si>
    <t>507272773</t>
  </si>
  <si>
    <t>Fournisseurs / F.G / EAU</t>
  </si>
  <si>
    <t>EAU</t>
  </si>
  <si>
    <t>PRLV SEPA REGIE SYNDICAT PRELEVEMENT SEBA FR62ZZZ81CBFD-2618032217-29089 - 0DGX11W</t>
  </si>
  <si>
    <t>507272721</t>
  </si>
  <si>
    <t>VIR SEPA CABINET IMBERT facture 004917 facture 004917 - 5505191</t>
  </si>
  <si>
    <t>507272790</t>
  </si>
  <si>
    <t>M.O / Salaire</t>
  </si>
  <si>
    <t>Salaire</t>
  </si>
  <si>
    <t>VIR SEPA MADAME AUBRY CA P8806895 Salaire - 5702014</t>
  </si>
  <si>
    <t>507272724</t>
  </si>
  <si>
    <t>VIR SEPA AUBRY ALEXANDRA P8806895 Salaire - 5702038</t>
  </si>
  <si>
    <t>507272715</t>
  </si>
  <si>
    <t>FRAIS PAI CB DD HORS EEE XCPCB210 2024123100427035000001 COMMISSION CB 281224 CANVA* I0 - 0427035</t>
  </si>
  <si>
    <t>507272777</t>
  </si>
  <si>
    <t>COMM. CAUTIONS</t>
  </si>
  <si>
    <t>507272781</t>
  </si>
  <si>
    <t>PRLV SEPA Free Pro FACTURE FREEPRO 15/01/2025 F2025 JNRUMSATHERMALECLIMA020230706103 - 0DIBL0X</t>
  </si>
  <si>
    <t>507272765</t>
  </si>
  <si>
    <t>PRLV SEPA GIE CHARMHOTEL COTISATION CHARMHOTEL ++OCTOBRE2011 - 0DGICFO</t>
  </si>
  <si>
    <t>507272719</t>
  </si>
  <si>
    <t>311224 CB****9655 CCM AUBENAS ET FR AUBENAS 1000,00EUR 1 EURO = 1,000000 - 03YW2SX</t>
  </si>
  <si>
    <t>507272764</t>
  </si>
  <si>
    <t>IMPOT / SACEM</t>
  </si>
  <si>
    <t>SACEM</t>
  </si>
  <si>
    <t>PRLV SEPA SPRE Prelevement SPRE 15-MAN-2563709-544222805-01 - 0DI4654</t>
  </si>
  <si>
    <t>507272737</t>
  </si>
  <si>
    <t>VIR SEPA SUDEL facture 04010002 facture 04010002 - 5757561</t>
  </si>
  <si>
    <t>507272726</t>
  </si>
  <si>
    <t>PRLV SEPA Orange SA Votre abonnement internet (factu M0037206468 - 0DI3GKG</t>
  </si>
  <si>
    <t>507272728</t>
  </si>
  <si>
    <t>PRLV SEPA AXA I0000833432326-CONTRAT0000005877 00AX000000000007242122 - 0DGF7I8</t>
  </si>
  <si>
    <t>507272771</t>
  </si>
  <si>
    <t>COM CB 5667966016 - NB0001/618061 - 0079061</t>
  </si>
  <si>
    <t>507272743</t>
  </si>
  <si>
    <t>Fournisseurs / F.G / PETIT MATERIEL</t>
  </si>
  <si>
    <t>PETIT MATERIEL</t>
  </si>
  <si>
    <t>PRLV SEPA CEGID SAS FA002-01400048 00RC0000019770055000002B00 - 0DHEAUT</t>
  </si>
  <si>
    <t>507272740</t>
  </si>
  <si>
    <t>ABON CYBERPLUS XCBVX665 2024123100427033000001 HABILITATION P8806895 - 0427033</t>
  </si>
  <si>
    <t>507272780</t>
  </si>
  <si>
    <t>ECH PRET DONT CAP 1247,68 ASS. 0,00E INT. 65,78 COM. 0,00E - 5406472</t>
  </si>
  <si>
    <t>507272758</t>
  </si>
  <si>
    <t>VIR SEPA SARL FROID CUIS FF24110100 FF24110100 - 5895388</t>
  </si>
  <si>
    <t>507272759</t>
  </si>
  <si>
    <t>ECH PRET DONT CAP 799,27 ASS. 0,00E INT. 71,81 COM. 0,00E - 9062099</t>
  </si>
  <si>
    <t>507272785</t>
  </si>
  <si>
    <t>PRLV SEPA AXA I0000833656179-CONTRAT0000010436 00AX000000000013353338 - 0DGF71Y</t>
  </si>
  <si>
    <t>507272744</t>
  </si>
  <si>
    <t>Fournisseurs / F.G / FRAIS REPRESENTATION</t>
  </si>
  <si>
    <t>FRAIS REPRESENTATION</t>
  </si>
  <si>
    <t>VIR SEPA PRINGOT DAVID avance frais salon josy avance frais salon josy - 5945547</t>
  </si>
  <si>
    <t>507272751</t>
  </si>
  <si>
    <t>PRLV SEPA REGIE SYNDICAT PRELEVEMENT SEBA FR62ZZZ81CBFD-2618032232-29090 - 0DGX1MD</t>
  </si>
  <si>
    <t>507272723</t>
  </si>
  <si>
    <t>PRLV SEPA AXA I0000833582730-CONTRAT0000010237 00AX000000000011935983 - 0DGH7PQ</t>
  </si>
  <si>
    <t>507272733</t>
  </si>
  <si>
    <t>M.O / Urssaf</t>
  </si>
  <si>
    <t>Urssaf</t>
  </si>
  <si>
    <t>PRLV SEPA URSSAF RHONE A UR 827000002110121762 DEC 247 T1430653867203200001297356941940 - 0DJZYKA</t>
  </si>
  <si>
    <t>507272713</t>
  </si>
  <si>
    <t>Prêts / BPI 2031 350 KE</t>
  </si>
  <si>
    <t>BPI 2031 350 KE</t>
  </si>
  <si>
    <t>PRLV SEPA BPIFRANCE 4981340 F2501/000014985 RUM-01255916 - 0DGC1YI</t>
  </si>
  <si>
    <t>507272732</t>
  </si>
  <si>
    <t>PRLV SEPA Xerox Financia 3827571 FR30PF2112674 - 0DFWBBY</t>
  </si>
  <si>
    <t>507272727</t>
  </si>
  <si>
    <t>CYBER+ PAIEMENT ABONNEMT XCPSD033 2025011000056410000001 ABONNEMENT PSD0006262976 - 0056410</t>
  </si>
  <si>
    <t>507272783</t>
  </si>
  <si>
    <t>PRLV SEPA AXA I0000833432323-CONTRAT0000005851 00AX000000000007242082 - 0DGF0ZA</t>
  </si>
  <si>
    <t>507272786</t>
  </si>
  <si>
    <t>Autre</t>
  </si>
  <si>
    <t>Fournisseurs / F.G / AUTRES / LAVAGE LINGE</t>
  </si>
  <si>
    <t>LAVAGE LINGE</t>
  </si>
  <si>
    <t>LA POSTE 070030</t>
  </si>
  <si>
    <t>Carte Visa Platinum Business DD - Xxxxxxxxxxxx9655</t>
  </si>
  <si>
    <t>507272750</t>
  </si>
  <si>
    <t>AMAZON PAYMENTS</t>
  </si>
  <si>
    <t>507272753</t>
  </si>
  <si>
    <t>GOOGLE*ADS26328</t>
  </si>
  <si>
    <t>507272748</t>
  </si>
  <si>
    <t>Microsoft*Store</t>
  </si>
  <si>
    <t>507272747</t>
  </si>
  <si>
    <t>Amazon.fr*UI09P</t>
  </si>
  <si>
    <t>507272775</t>
  </si>
  <si>
    <t>AMZN Mktp FR*UQ</t>
  </si>
  <si>
    <t>507272708</t>
  </si>
  <si>
    <t>STARLINK INTERN</t>
  </si>
  <si>
    <t>507272770</t>
  </si>
  <si>
    <t>507272741</t>
  </si>
  <si>
    <t>Fournisseurs / F.G / DIVERS / Autre</t>
  </si>
  <si>
    <t>DAC COMAVIA</t>
  </si>
  <si>
    <t>507272718</t>
  </si>
  <si>
    <t>AMAZON EU SARL</t>
  </si>
  <si>
    <t>507272776</t>
  </si>
  <si>
    <t>MANOMANO</t>
  </si>
  <si>
    <t>507272716</t>
  </si>
  <si>
    <t>507272787</t>
  </si>
  <si>
    <t>HPY*book-ici.co</t>
  </si>
  <si>
    <t>507272729</t>
  </si>
  <si>
    <t>WFS*Odoo</t>
  </si>
  <si>
    <t>507272763</t>
  </si>
  <si>
    <t>BOOKING.COM</t>
  </si>
  <si>
    <t>507272706</t>
  </si>
  <si>
    <t>507272720</t>
  </si>
  <si>
    <t>507272760</t>
  </si>
  <si>
    <t>Amazon Prime*D2</t>
  </si>
  <si>
    <t>507272710</t>
  </si>
  <si>
    <t>PAIEMENT PAR CARTE X3718 BOUL JENNY KICKOFF D 09/01</t>
  </si>
  <si>
    <t>Crédit agricol</t>
  </si>
  <si>
    <t>507273638</t>
  </si>
  <si>
    <t>PAIEMENT PAR CARTE X3718 LA PAUSE GOURMANDE M 08/01</t>
  </si>
  <si>
    <t>507273663</t>
  </si>
  <si>
    <t>PAIEMENT PAR CARTE X7976 HOTEL LE GOUVERN OBE 11/01</t>
  </si>
  <si>
    <t>507273646</t>
  </si>
  <si>
    <t>Prêts / PRET CA 2030 518 KE</t>
  </si>
  <si>
    <t>PRET CA 2030 518 KE</t>
  </si>
  <si>
    <t>REMBOURSEMENT DE PRET 00001519822 05/01/25 CAPITAL</t>
  </si>
  <si>
    <t>507273644</t>
  </si>
  <si>
    <t>PAIEMENT PAR CARTE X7976 APRR BERSAILLIN ST A 08/01</t>
  </si>
  <si>
    <t>507273635</t>
  </si>
  <si>
    <t>PRELEVEMENT Abonnement vente à distance</t>
  </si>
  <si>
    <t>507273641</t>
  </si>
  <si>
    <t>PAIEMENT PAR CARTE X7976 BOULANGERIE EDEN OBE 11/01</t>
  </si>
  <si>
    <t>507273669</t>
  </si>
  <si>
    <t>PAIEMENT PAR CARTE X7976 APRR VILLEFRANCHE-LI 11/01</t>
  </si>
  <si>
    <t>507273668</t>
  </si>
  <si>
    <t>PRELEVEMENT Noelse France CPREL2501011002077 S6239571919-2239646 FR80ZZZ328855</t>
  </si>
  <si>
    <t>507273640</t>
  </si>
  <si>
    <t>PAIEMENT PAR CARTE X3718 ASF-CHANAS VEDENE CE 12/01</t>
  </si>
  <si>
    <t>507273636</t>
  </si>
  <si>
    <t>PAIEMENT PAR CARTE X7976 APRR SAINT MAURICE S 08/01</t>
  </si>
  <si>
    <t>507273662</t>
  </si>
  <si>
    <t>PAIEMENT PAR CARTE X7976 Sanef SENLIS 09/01</t>
  </si>
  <si>
    <t>507273653</t>
  </si>
  <si>
    <t>PAIEMENT PAR CARTE X7976 DRIVECO Chargin PANC 07/01</t>
  </si>
  <si>
    <t>507273666</t>
  </si>
  <si>
    <t>PAIEMENT PAR CARTE X3718 HESTIA RESTAURATION 11/01</t>
  </si>
  <si>
    <t>507273648</t>
  </si>
  <si>
    <t>PAIEMENT PAR CARTE X3718 BRASS ACADEMIE MACON 07/01</t>
  </si>
  <si>
    <t>507273659</t>
  </si>
  <si>
    <t>PAIEMENT PAR CARTE X7976 ASF-LORIOL VEDENE CE 12/01</t>
  </si>
  <si>
    <t>507273633</t>
  </si>
  <si>
    <t>PAIEMENT PAR CARTE X3718 LE JARDIN PROVENCAL 07/01</t>
  </si>
  <si>
    <t>507273649</t>
  </si>
  <si>
    <t>PAIEMENT PAR CARTE X7976 LE BOIS DORMANT CHAM 08/01</t>
  </si>
  <si>
    <t>507273660</t>
  </si>
  <si>
    <t>PAIEMENT PAR CARTE X3718 HOTEL LA BALANC MONT 08/01</t>
  </si>
  <si>
    <t>507273645</t>
  </si>
  <si>
    <t>PAIEMENT PAR CARTE X7976 APRR MACON SUD ST AP 07/01</t>
  </si>
  <si>
    <t>507273634</t>
  </si>
  <si>
    <t>PAIEMENT PAR CARTE X3718 A L AMI FRITZ OTTROT 09/01</t>
  </si>
  <si>
    <t>507273657</t>
  </si>
  <si>
    <t>PAIEMENT PAR CARTE X7976 CHARME HOTEL MACON 08/01</t>
  </si>
  <si>
    <t>507273654</t>
  </si>
  <si>
    <t>REMBOURSEMENT DE PRET 00001519822 05/01/25 INTERETS</t>
  </si>
  <si>
    <t>507273664</t>
  </si>
  <si>
    <t>PAIEMENT PAR CARTE X7976 ASF-VIENNE VEDENE CE 07/01</t>
  </si>
  <si>
    <t>507273652</t>
  </si>
  <si>
    <t>PRELEVEMENT Offre Compte à composer Pro</t>
  </si>
  <si>
    <t>507273655</t>
  </si>
  <si>
    <t>Fournisseurs / F.G / SOUS-TRAITANT</t>
  </si>
  <si>
    <t>SOUS-TRAITANT</t>
  </si>
  <si>
    <t>PRELEVEMENT AVEM /INV/NM LOC-11491166 18.12.2024/R/ 2000026824/2214693161 1000-000001045657 FR73ZZZ395135</t>
  </si>
  <si>
    <t>507273651</t>
  </si>
  <si>
    <t>VIR SEPA RICARDO GOMES D 1 er acompte sur devis 1 er acompte sur devis - 5986531</t>
  </si>
  <si>
    <t>507879318</t>
  </si>
  <si>
    <t>FACEBK *4TKE3JU</t>
  </si>
  <si>
    <t>507879321</t>
  </si>
  <si>
    <t>507879319</t>
  </si>
  <si>
    <t>PRLV SEPA Orange SA-ORAN Votre abonnement mobile: 06XXXXX ++M0017687880 - 0DKAR6V</t>
  </si>
  <si>
    <t>508553513</t>
  </si>
  <si>
    <t>Electricité &amp; Gaz</t>
  </si>
  <si>
    <t>PRLV SEPA EDF SA THERMALE CLIMATIQUE D Ref EDF MA970001250911 - 0DK0CUE</t>
  </si>
  <si>
    <t>508553516</t>
  </si>
  <si>
    <t>PRLV SEPA Autoroutes du KL004424080041376270 122024 ++25004137627001188445 - 0DJ0FJ2</t>
  </si>
  <si>
    <t>508553515</t>
  </si>
  <si>
    <t>Fournisseurs / REBOURSEMENT CLIENT TROP VERSE</t>
  </si>
  <si>
    <t>REBOURSEMENT CLIENT TROP VERSE</t>
  </si>
  <si>
    <t>VIR SEPA supernova reboursement caution reboursement caution - 6036592</t>
  </si>
  <si>
    <t>509337374</t>
  </si>
  <si>
    <t>VIR SEPA Garonzi Virement de Sa Thermale Et Clima Virement de Sa Thermale Et Clima - 6064568</t>
  </si>
  <si>
    <t>510132071</t>
  </si>
  <si>
    <t>Fournisseurs / F.G / MAINTENANCE</t>
  </si>
  <si>
    <t>MAINTENANCE</t>
  </si>
  <si>
    <t>VIR SEPA ASSOCHUILETIC facture 24-10-233-11-242-07-223 facture 24-10-233-11-242-07-223 - 6061377</t>
  </si>
  <si>
    <t>510132067</t>
  </si>
  <si>
    <t>CHEQUE 253850210010831B38810000 1600 2119202501219938810020041 - 0000431</t>
  </si>
  <si>
    <t>510132074</t>
  </si>
  <si>
    <t>SOCIETE THEATRE</t>
  </si>
  <si>
    <t>510132078</t>
  </si>
  <si>
    <t>BILLETREDUC.COM</t>
  </si>
  <si>
    <t>510132077</t>
  </si>
  <si>
    <t>510132070</t>
  </si>
  <si>
    <t>PAIEMENT PAR CARTE X3718 Vistaprint Venlo 20/01</t>
  </si>
  <si>
    <t>510137318</t>
  </si>
  <si>
    <t>PRLV SEPA Orange SA Votre abonnement fibre (facture: EPCB202311295646844 - 0DKD2GP</t>
  </si>
  <si>
    <t>510856305</t>
  </si>
  <si>
    <t>PRLV SEPA Orange SA Votre abonnement fixe: 04XXXXX98 M0049215427 - 0DKD2LC</t>
  </si>
  <si>
    <t>510856315</t>
  </si>
  <si>
    <t>PRLV SEPA Orange SA Votre abonnement fixe: 04XXXXX52 M0036834648 - 0DKD2HM</t>
  </si>
  <si>
    <t>510856307</t>
  </si>
  <si>
    <t>VIR SEPA web acces f-2025-075 f-2025-075 - 6125208</t>
  </si>
  <si>
    <t>510856310</t>
  </si>
  <si>
    <t>IMPOT / TVA</t>
  </si>
  <si>
    <t>TVA</t>
  </si>
  <si>
    <t>PRLV INT ETS DGFIP PASDSN15012025-122024-3867203200 NN386720320DGFIP2020807504KDIIJX - 0DKM67Q</t>
  </si>
  <si>
    <t>510856308</t>
  </si>
  <si>
    <t>VIR SEPA web visite facture 2024-13342 facture 2024-13342 - 6098587</t>
  </si>
  <si>
    <t>510856306</t>
  </si>
  <si>
    <t>PRLV SEPA EDF SA THERMALE CLIMATIQUE D Ref EDF MA970001250911 - 0DKQVFX</t>
  </si>
  <si>
    <t>510856314</t>
  </si>
  <si>
    <t>VIR SEPA L'ALE OUET poll facture 244284 facture 244284 - 6095214</t>
  </si>
  <si>
    <t>510856312</t>
  </si>
  <si>
    <t>academiedugout</t>
  </si>
  <si>
    <t>510856309</t>
  </si>
  <si>
    <t>LEDKIA</t>
  </si>
  <si>
    <t>510856311</t>
  </si>
  <si>
    <t>511599433</t>
  </si>
  <si>
    <t>511817852</t>
  </si>
  <si>
    <t>AMZN Mktp FR*2X</t>
  </si>
  <si>
    <t>511817854</t>
  </si>
  <si>
    <t>AMZN Mktp FR*WK</t>
  </si>
  <si>
    <t>511817855</t>
  </si>
  <si>
    <t>AMZN Mktp FR*Z5</t>
  </si>
  <si>
    <t>511817853</t>
  </si>
  <si>
    <t>M.O / Retraites</t>
  </si>
  <si>
    <t>Retraites</t>
  </si>
  <si>
    <t>PRLV SEPA GIE KLESIA COT RETRAITE - GIE KLESIA COTIS - 20 SCG023URAE000659949S - 0DL2CO8</t>
  </si>
  <si>
    <t>512628211</t>
  </si>
  <si>
    <t>PRLV SEPA Orange SA Votre abonnement mobile: 06XXXXX ++M0003219595 - 0DKYZZU</t>
  </si>
  <si>
    <t>512628210</t>
  </si>
  <si>
    <t>VIR SEPA web access facture f2024 037 facture f2024 037 - 6210832</t>
  </si>
  <si>
    <t>513465584</t>
  </si>
  <si>
    <t>VIR SEPA STVB LES THERME facture 200101et 199721 facture 200101et 199721 - 6243487</t>
  </si>
  <si>
    <t>514242489</t>
  </si>
  <si>
    <t>PRLV SEPA ASSOCIATION C ASS CONTACT HOTEL 4110704C60 - 0DLRSIN</t>
  </si>
  <si>
    <t>514242487</t>
  </si>
  <si>
    <t>VIR SEPA SD 07 facture 000640 facture 000640 - 6237966</t>
  </si>
  <si>
    <t>514242491</t>
  </si>
  <si>
    <t>PRLV SEPA MAT AL MATAL HI20200610163029721430 - 0DLJWKF</t>
  </si>
  <si>
    <t>514242494</t>
  </si>
  <si>
    <t>VIR SEPA SARL SUD BUREAU fc-027647 fc-027647 - 6243207</t>
  </si>
  <si>
    <t>514242490</t>
  </si>
  <si>
    <t>VIR SEPA AUBRY ALEXANDRA P8806895 Salaire - 6300553</t>
  </si>
  <si>
    <t>514242483</t>
  </si>
  <si>
    <t>M.O / Recrutement</t>
  </si>
  <si>
    <t>Recrutement</t>
  </si>
  <si>
    <t>VIR SEPA alzea COTISATION 2025 COTISATION 2025 - 6281288</t>
  </si>
  <si>
    <t>514242482</t>
  </si>
  <si>
    <t>VIR SEPA CABINET CHAUSSI 00250002343/2232/20264/1950 00250002343/2232/20264/1950 - 6282227</t>
  </si>
  <si>
    <t>514242496</t>
  </si>
  <si>
    <t>VIR SEPA PRINGOT DAVID solde frais deplacement salon jo solde frais deplacement salon jo - 6237863</t>
  </si>
  <si>
    <t>514242497</t>
  </si>
  <si>
    <t>IKEA CSC E COMM</t>
  </si>
  <si>
    <t>514242495</t>
  </si>
  <si>
    <t>514242492</t>
  </si>
  <si>
    <t>THEATRE BRUYERE</t>
  </si>
  <si>
    <t>514242493</t>
  </si>
  <si>
    <t>A Catégoriser</t>
  </si>
  <si>
    <t>CHEQUE 250130601720608436823609 1600 42407001010 17206 - 0000255</t>
  </si>
  <si>
    <t>514981593</t>
  </si>
  <si>
    <t>SAMSE 310125 - 4428036</t>
  </si>
  <si>
    <t>514981595</t>
  </si>
  <si>
    <t>PRLV SEPA GIE CHARMHOTEL COTISATION CHARMHOTEL ++OCTOBRE2011 - 0DLZOLS</t>
  </si>
  <si>
    <t>514981594</t>
  </si>
  <si>
    <t>PRLV SEPA IDEAL PEINTURE FA4015261 GRAND HOTEL LES BAINS-12/2021-00 - 0DM3OBO</t>
  </si>
  <si>
    <t>514981592</t>
  </si>
  <si>
    <t>PAIEMENT PAR CARTE X3718 Vistaprint Venlo 29/01</t>
  </si>
  <si>
    <t>514985141</t>
  </si>
  <si>
    <t>ABON CYBERPLUS XCBVX665 2025013100434780000001 HABILITATION P8806895 - 0434780</t>
  </si>
  <si>
    <t>515724021</t>
  </si>
  <si>
    <t>ECH PRET DONT CAP 1248,62 ASS. 0,00E INT. 64,84 COM. 0,00E - 5406472</t>
  </si>
  <si>
    <t>515724024</t>
  </si>
  <si>
    <t>VIR SEPA RICARDO GOMES D solde devis solde devis - 6357167</t>
  </si>
  <si>
    <t>515724022</t>
  </si>
  <si>
    <t>CARTE PAIEMENTS CB</t>
  </si>
  <si>
    <t>515724023</t>
  </si>
  <si>
    <t>515724025</t>
  </si>
  <si>
    <t>Amazon.fr*3X8IO</t>
  </si>
  <si>
    <t>516230819</t>
  </si>
  <si>
    <t>VIR SEPA :6 saison ete 2 P8806895 salire janvier 2025 salire janvier 2025 - 6420017</t>
  </si>
  <si>
    <t>516977660</t>
  </si>
  <si>
    <t>ECH PRET DONT CAP 3521,97 ASS. 0,00E INT. 307,95 COM. 0,00E - 9062097</t>
  </si>
  <si>
    <t>518157950</t>
  </si>
  <si>
    <t>PRLV SEPA Xerox Financia 3840025 FR30PF2112674 - 0DLF1VE</t>
  </si>
  <si>
    <t>518157952</t>
  </si>
  <si>
    <t>PRLV SEPA Orange SA Votre abonnement fixe: 04XXXXX21 ++M0021517012 - 0DLN1VU</t>
  </si>
  <si>
    <t>518157959</t>
  </si>
  <si>
    <t>VIR SEPA BOOKING.COM facture 1624248102 nh 254064 facture 1624248102 nh 254064 - 6446764</t>
  </si>
  <si>
    <t>518157947</t>
  </si>
  <si>
    <t>PRLV SEPA HOTELIOS Maintenance Mensuelle INFHOTIK C-10-48-201109-10041889-7 - 0DMGJKQ</t>
  </si>
  <si>
    <t>518157951</t>
  </si>
  <si>
    <t>Beliani.com</t>
  </si>
  <si>
    <t>518157949</t>
  </si>
  <si>
    <t>GOOGLE *ADS2632</t>
  </si>
  <si>
    <t>518157948</t>
  </si>
  <si>
    <t>518161649</t>
  </si>
  <si>
    <t>VIREMENT EMIS WEB POLYFROID CLIMATISATION</t>
  </si>
  <si>
    <t>518161652</t>
  </si>
  <si>
    <t>PRLV SEPA KLESIA 20250130CGKLESIA 031925192 0CE8832D0C304AEEB72BC20A094029C5 - 0DNAL1V</t>
  </si>
  <si>
    <t>519254140</t>
  </si>
  <si>
    <t>PRLV SEPA REGIE SYNDICAT PRELEVEMENT SEBA FR62ZZZ81CBFD-2618032217-29089 - 0DMWRXV</t>
  </si>
  <si>
    <t>519254141</t>
  </si>
  <si>
    <t>PRLV SEPA KLESIA 20250130CGKLESIA 031925212 0CE8832D0C304AEEB72BC20A094029C5 - 0DNAMI5</t>
  </si>
  <si>
    <t>519254139</t>
  </si>
  <si>
    <t>VIR SEPA MFG FACTURE 158 FACTURE 158 - 6527379</t>
  </si>
  <si>
    <t>519254143</t>
  </si>
  <si>
    <t>VIR SEPA RICARDO GOMES D solde facture salon solde facture salon - 6441380</t>
  </si>
  <si>
    <t>519254146</t>
  </si>
  <si>
    <t>PRLV SEPA Orange SA Votre abonnement internet (factu M0037206468 - 0DMCNJJ</t>
  </si>
  <si>
    <t>519254148</t>
  </si>
  <si>
    <t>PRLV SEPA REGIE SYNDICAT PRELEVEMENT SEBA FR62ZZZ81CBFD-2618032232-29090 - 0DMWRYK</t>
  </si>
  <si>
    <t>519254147</t>
  </si>
  <si>
    <t>LE CITRON PRESS</t>
  </si>
  <si>
    <t>519254142</t>
  </si>
  <si>
    <t>Fournisseurs / F.G / AFFRANCHISSEMENT</t>
  </si>
  <si>
    <t>AFFRANCHISSEMENT</t>
  </si>
  <si>
    <t>PAIEMENT PAR CARTE X3718 LA POSTE.FR PARIS CE 04/02</t>
  </si>
  <si>
    <t>519266638</t>
  </si>
  <si>
    <t>REMBOURSEMENT DE PRET 00001519822 05/02/25 CAPITAL</t>
  </si>
  <si>
    <t>519266636</t>
  </si>
  <si>
    <t>REMBOURSEMENT DE PRET 00001519822 05/02/25 INTERETS</t>
  </si>
  <si>
    <t>519266627</t>
  </si>
  <si>
    <t>520300337</t>
  </si>
  <si>
    <t>2THELOO GARE DE</t>
  </si>
  <si>
    <t>520300339</t>
  </si>
  <si>
    <t>UBER *TRIP</t>
  </si>
  <si>
    <t>520300338</t>
  </si>
  <si>
    <t>LE CLOS BOURGUI</t>
  </si>
  <si>
    <t>520300340</t>
  </si>
  <si>
    <t>ST PETERSBOURG</t>
  </si>
  <si>
    <t>520300341</t>
  </si>
  <si>
    <t>520300342</t>
  </si>
  <si>
    <t>SUPER U</t>
  </si>
  <si>
    <t>520300343</t>
  </si>
  <si>
    <t>PRELEVEMENT AVEM /INV/NM LOC-11491166 18.1.2025/R/ 2000082440/2214693161 1000-000001045657 FR73ZZZ395135</t>
  </si>
  <si>
    <t>520303465</t>
  </si>
  <si>
    <t>4 BLD CAPUCINES</t>
  </si>
  <si>
    <t>521431642</t>
  </si>
  <si>
    <t>HORETO PARIS</t>
  </si>
  <si>
    <t>521431641</t>
  </si>
  <si>
    <t>Park Hyatt Vend</t>
  </si>
  <si>
    <t>521431639</t>
  </si>
  <si>
    <t>521431640</t>
  </si>
  <si>
    <t>521431637</t>
  </si>
  <si>
    <t>521708646</t>
  </si>
  <si>
    <t>521708645</t>
  </si>
  <si>
    <t>521708644</t>
  </si>
  <si>
    <t>MARCOMATTI</t>
  </si>
  <si>
    <t>521708643</t>
  </si>
  <si>
    <t>PRLV SEPA IWINERESTO XXZZZA00272820067113 - 0DMWQQH</t>
  </si>
  <si>
    <t>522527398</t>
  </si>
  <si>
    <t>PRLV SEPA PREFILOC CAPIT F250085601 PRE000121421 - 0DOCX6O</t>
  </si>
  <si>
    <t>522527399</t>
  </si>
  <si>
    <t>ECH PRET DONT CAP 801,04 ASS. 0,00E INT. 70,04 COM. 0,00E - 9062099</t>
  </si>
  <si>
    <t>523443219</t>
  </si>
  <si>
    <t>CYBER+ PAIEMENT ABONNEMT XCPSD033 2025021000071916000001 ABONNEMENT PSD0006262976 - 0071916</t>
  </si>
  <si>
    <t>523443223</t>
  </si>
  <si>
    <t>VIR SEPA MADAME AUBRY CA P8806895 Salaire - 6684929</t>
  </si>
  <si>
    <t>523443221</t>
  </si>
  <si>
    <t>ECH PRET DONT CAP 1042,24 ASS. 0,00E INT. 113,86 COM. 0,00E - 9062098</t>
  </si>
  <si>
    <t>523443213</t>
  </si>
  <si>
    <t>GD HOTEL C PAIX</t>
  </si>
  <si>
    <t>523443215</t>
  </si>
  <si>
    <t>523443225</t>
  </si>
  <si>
    <t>QUELQUE PART...</t>
  </si>
  <si>
    <t>523443226</t>
  </si>
  <si>
    <t>523443224</t>
  </si>
  <si>
    <t>523443214</t>
  </si>
  <si>
    <t>523443222</t>
  </si>
  <si>
    <t>EFFIA</t>
  </si>
  <si>
    <t>523443227</t>
  </si>
  <si>
    <t>Fournisseurs / F.G / AUTRES / FRAIS BANQUE</t>
  </si>
  <si>
    <t>FRAIS BANQUE</t>
  </si>
  <si>
    <t>BIG BEN BAR</t>
  </si>
  <si>
    <t>523443216</t>
  </si>
  <si>
    <t>100225 CB****9655 CCM AUBENAS ET FR AUBENAS 500,00EUR 1 EURO = 1,000000 - 1Y4DYW4</t>
  </si>
  <si>
    <t>524239615</t>
  </si>
  <si>
    <t>524239612</t>
  </si>
  <si>
    <t>LA POSTE.FR</t>
  </si>
  <si>
    <t>524239613</t>
  </si>
  <si>
    <t>GGM Gastro Inte</t>
  </si>
  <si>
    <t>524239614</t>
  </si>
  <si>
    <t>AMZN Mktp FR*TK</t>
  </si>
  <si>
    <t>524239607</t>
  </si>
  <si>
    <t>PRELEVEMENT Noelse France CPREL2502011001915 S6239571919-2239646 FR80ZZZ328855</t>
  </si>
  <si>
    <t>524251815</t>
  </si>
  <si>
    <t>PRLV SEPA SOLOCAL SA 204 /INV/FORM:0001921865/27.01.2025/ 02937492002 - 0DPGAED</t>
  </si>
  <si>
    <t>525581391</t>
  </si>
  <si>
    <t>PRLV SEPA Free Pro FACTURE FREEPRO 17/02/2025 F2025 JNRUMSATHERMALECLIMA020230706103 - 0DP54SU</t>
  </si>
  <si>
    <t>525581379</t>
  </si>
  <si>
    <t>Microsoft*Subsc</t>
  </si>
  <si>
    <t>526229402</t>
  </si>
  <si>
    <t>LPA GROS CAILLO</t>
  </si>
  <si>
    <t>526229408</t>
  </si>
  <si>
    <t>MARIE T</t>
  </si>
  <si>
    <t>526229400</t>
  </si>
  <si>
    <t>ESPACE PRO</t>
  </si>
  <si>
    <t>526229409</t>
  </si>
  <si>
    <t>526229407</t>
  </si>
  <si>
    <t>526229411</t>
  </si>
  <si>
    <t>526229403</t>
  </si>
  <si>
    <t>526501104</t>
  </si>
  <si>
    <t>RESTAURANT GALV</t>
  </si>
  <si>
    <t>526501105</t>
  </si>
  <si>
    <t>526501106</t>
  </si>
  <si>
    <t>PRLV SEPA EDF SA THERMALE ET CLIMATIQU Ref EDF MA970001250911 - 0DPBUC4</t>
  </si>
  <si>
    <t>527505589</t>
  </si>
  <si>
    <t>VIR SEPA CABINET IMBERT factures 004979-005015 factures 004979-005015 - 6846661</t>
  </si>
  <si>
    <t>528686792</t>
  </si>
  <si>
    <t>VIR SEPA RICARDO GOMES D factures lustres factures lustes - 6846783</t>
  </si>
  <si>
    <t>528686791</t>
  </si>
  <si>
    <t>VIR SEPA M GARONZI PASCA acompte sur salaire acompte sur salaire - 6846878</t>
  </si>
  <si>
    <t>528686782</t>
  </si>
  <si>
    <t>PRLV SEPA URSSAF RHONE A UR 827000002110121762 JANV257 T1430653867203200001297356941940 - 0DQ0VOE</t>
  </si>
  <si>
    <t>528686786</t>
  </si>
  <si>
    <t>AMBASSADEUR</t>
  </si>
  <si>
    <t>528686787</t>
  </si>
  <si>
    <t>Amazon Prime*RT</t>
  </si>
  <si>
    <t>528686789</t>
  </si>
  <si>
    <t>LPA ST GEORGES</t>
  </si>
  <si>
    <t>528686780</t>
  </si>
  <si>
    <t>CASA CORSA</t>
  </si>
  <si>
    <t>528686790</t>
  </si>
  <si>
    <t>528686781</t>
  </si>
  <si>
    <t>FACEBK*</t>
  </si>
  <si>
    <t>528686784</t>
  </si>
  <si>
    <t>528688779</t>
  </si>
  <si>
    <t>PRLV SEPA Autoroutes du LA004189950041376270 012025 ++25004137627001188445 - 0DOZT7Q</t>
  </si>
  <si>
    <t>529425619</t>
  </si>
  <si>
    <t>PRLV SEPA REGIE SYNDICAT PRELEVEMENT SEBA FR62ZZZ81CBFD-3418-28223 - 0DQ7JE2</t>
  </si>
  <si>
    <t>529425618</t>
  </si>
  <si>
    <t>Adobe</t>
  </si>
  <si>
    <t>529425621</t>
  </si>
  <si>
    <t>PRLV SEPA Orange SA-ORAN Votre abonnement mobile: 06XXXXX ++M0017687880 - 0DQHELF</t>
  </si>
  <si>
    <t>530172997</t>
  </si>
  <si>
    <t>VIR SEPA GARAGE CEVENNES FA00000033804 FA00000033804 - 6924606</t>
  </si>
  <si>
    <t>530172995</t>
  </si>
  <si>
    <t>VIR SEPA CABINET IMBERT 005144 005144 - 6924133</t>
  </si>
  <si>
    <t>530172989</t>
  </si>
  <si>
    <t>VIR SEPA OTIS VOF 8000039 CLIENT 23108 VOF 8000039 CLIENT 23108 - 6924811</t>
  </si>
  <si>
    <t>530172993</t>
  </si>
  <si>
    <t>VIR SEPA moulon services f/20250/0000203 f/20250/0000203 - 6923653</t>
  </si>
  <si>
    <t>530172990</t>
  </si>
  <si>
    <t>VIR SEPA MICROCONCPT vf20409 vf20409 - 6923585</t>
  </si>
  <si>
    <t>530172999</t>
  </si>
  <si>
    <t>VIR SEPA SD 07 facture 000661 facture 000661 - 6924050</t>
  </si>
  <si>
    <t>530172991</t>
  </si>
  <si>
    <t>VIR SEPA web access facture f-2025-076 facture f-2025-076 - 6924003</t>
  </si>
  <si>
    <t>530173000</t>
  </si>
  <si>
    <t>VIR SEPA piscine assista facture 745 facture 745 - 6923893</t>
  </si>
  <si>
    <t>530172998</t>
  </si>
  <si>
    <t>VIR SEPA OTIS VOF 8000038 CLIENT 23108 VOF 8000038 CLIENT 23108 - 6924758</t>
  </si>
  <si>
    <t>530172994</t>
  </si>
  <si>
    <t>VIR SEPA INTERFACE TECHN facture 6636-24 facture 6636-24 - 6924206</t>
  </si>
  <si>
    <t>530172992</t>
  </si>
  <si>
    <t>VIR SEPA MFG reboursement avance entrepot du reboursement avance entrepot du - 6950094</t>
  </si>
  <si>
    <t>530682005</t>
  </si>
  <si>
    <t>530941709</t>
  </si>
  <si>
    <t>VEEPEE</t>
  </si>
  <si>
    <t>530941708</t>
  </si>
  <si>
    <t>PPG*SHOPDESCHEF</t>
  </si>
  <si>
    <t>530941710</t>
  </si>
  <si>
    <t>PRLV SEPA Orange SA Votre abonnement fixe: 04XXXXX52 M0036834648 - 0DQ8D7M</t>
  </si>
  <si>
    <t>531359908</t>
  </si>
  <si>
    <t>VIR SEPA NOHEM ETHIC CRE PROFORMA 0001916 PROFORMA 0001916 - 6986472</t>
  </si>
  <si>
    <t>531359910</t>
  </si>
  <si>
    <t>VIR SEPA menuisserie LAG facture 01684 facture 01684 - 6986291</t>
  </si>
  <si>
    <t>531359912</t>
  </si>
  <si>
    <t>PRLV SEPA Orange SA Votre abonnement fibre (facture: EPCB202311295646844 - 0DQ8D6Q</t>
  </si>
  <si>
    <t>531359907</t>
  </si>
  <si>
    <t>VIR SEPA HU MANA NATALY materiel avance pour institut materiel avance pour institut - 6986336</t>
  </si>
  <si>
    <t>531359914</t>
  </si>
  <si>
    <t>PRLV SEPA IZAKTECH MAINTENANCE ANNUELLE DAE 1725 - 0DQMUPJ</t>
  </si>
  <si>
    <t>531359916</t>
  </si>
  <si>
    <t>PRLV SEPA Orange SA Votre abonnement fixe: 04XXXXX98 M0049215427 - 0DQ8D84</t>
  </si>
  <si>
    <t>531359911</t>
  </si>
  <si>
    <t>PRLV SEPA GIE CHARMHOTEL COTISATION CHARMHOTEL ++OCTOBRE2011 - 0DQP1BP</t>
  </si>
  <si>
    <t>531359913</t>
  </si>
  <si>
    <t>PRLV SEPA Orange SA Votre abonnement mobile: 06XXXXX ++M0003219595 - 0DQM8GV</t>
  </si>
  <si>
    <t>532159988</t>
  </si>
  <si>
    <t>Fournisseurs / F.G / PRODUITS ENTRETIEN</t>
  </si>
  <si>
    <t>PRODUITS ENTRETIEN</t>
  </si>
  <si>
    <t>Amazon.fr*R02ZQ</t>
  </si>
  <si>
    <t>532159989</t>
  </si>
  <si>
    <t>AMZN Mktp FR*R8</t>
  </si>
  <si>
    <t>532159987</t>
  </si>
  <si>
    <t>PRLV INT ETS DGFIP PASDSN17022025-012025-3867203200 NN386720320DGFIP2020807504KDIIJX - 0DQPSP5</t>
  </si>
  <si>
    <t>532929933</t>
  </si>
  <si>
    <t>PRLV SEPA GIE KLESIA COT RETRAITE - GIE KLESIA COTIS - 20 SCG023URAE000659949S - 0DQYFXR</t>
  </si>
  <si>
    <t>532929928</t>
  </si>
  <si>
    <t>PRLV SEPA EDF SA THERMALE CLIMATIQUE D Ref EDF MA970001250911 - 0DQO4ZE</t>
  </si>
  <si>
    <t>532929934</t>
  </si>
  <si>
    <t>PRLV SEPA CEGID SAS FA002-01427001 00RC0000019770055000002B00 - 0DQGK7M</t>
  </si>
  <si>
    <t>532929929</t>
  </si>
  <si>
    <t>VIR SEPA CARSO LABORATOI factures lse24f-7864 et-91429 factures lse24f-7864 et-91429 - 7073910</t>
  </si>
  <si>
    <t>532929924</t>
  </si>
  <si>
    <t>Amazon.fr*R00VG</t>
  </si>
  <si>
    <t>532929931</t>
  </si>
  <si>
    <t>Amazon.fr*R054P</t>
  </si>
  <si>
    <t>532929930</t>
  </si>
  <si>
    <t>AMZN Mktp FR*R0</t>
  </si>
  <si>
    <t>532929927</t>
  </si>
  <si>
    <t>532929932</t>
  </si>
  <si>
    <t>532929926</t>
  </si>
  <si>
    <t>Fournisseurs / MP / EPICERIE</t>
  </si>
  <si>
    <t>EPICERIE</t>
  </si>
  <si>
    <t>HUILERIE RICHAR</t>
  </si>
  <si>
    <t>532929925</t>
  </si>
  <si>
    <t>CEF-YESSS ELEC. DIV. SUD REF TIRE:216/30013 ECH:28/02/25 - 4809029</t>
  </si>
  <si>
    <t>533681913</t>
  </si>
  <si>
    <t>PRLV SEPA IDEAL PEINTURE FA4015441 GRAND HOTEL LES BAINS-12/2021-00 - 0DRIZRO</t>
  </si>
  <si>
    <t>533681919</t>
  </si>
  <si>
    <t>PRLV SEPA ASSOCIATION C ASS CONTACT HOTEL 4110704C60 - 0DRDP6S</t>
  </si>
  <si>
    <t>533681916</t>
  </si>
  <si>
    <t>PRLV SEPA UMIH 07 1ER PRELEVEMENT COTISATION 2025 CAMINALE012014 - 0DRHOOF</t>
  </si>
  <si>
    <t>533681918</t>
  </si>
  <si>
    <t>VIR SEPA AUBRY ALEXANDRA P8806895 Salaire - 7114570</t>
  </si>
  <si>
    <t>533681914</t>
  </si>
  <si>
    <t>SAMSE 280225 - 4809028</t>
  </si>
  <si>
    <t>533681910</t>
  </si>
  <si>
    <t>PRLV SEPA BPIFRANCE 5058101 F2502/000100080 RUM-01255916 - 0DR6BQM</t>
  </si>
  <si>
    <t>533681915</t>
  </si>
  <si>
    <t>VIR SEPA MADAME AUBRY CA P8806895 Salaire - 7114518</t>
  </si>
  <si>
    <t>533681917</t>
  </si>
  <si>
    <t>ABON CYBERPLUS XCBVX665 2025022800471580000001 HABILITATION P8806895 - 0471580</t>
  </si>
  <si>
    <t>534493063</t>
  </si>
  <si>
    <t>534493059</t>
  </si>
  <si>
    <t>VIR SEPA EDITIONS LVA AH25020453 AH25020453 - 7151840</t>
  </si>
  <si>
    <t>534493061</t>
  </si>
  <si>
    <t>ECH PRET DONT CAP 1249,56 ASS. 0,00E INT. 63,90 COM. 0,00E - 5406472</t>
  </si>
  <si>
    <t>534493058</t>
  </si>
  <si>
    <t>Restaurant Brio</t>
  </si>
  <si>
    <t>534493064</t>
  </si>
  <si>
    <t>534848232</t>
  </si>
  <si>
    <t>534848234</t>
  </si>
  <si>
    <t>RETRAIT AU DISTRIBUTEUR GLS VALS LES BAINS 01/03 08H05</t>
  </si>
  <si>
    <t>534858867</t>
  </si>
  <si>
    <t>PRLV SEPA HOTELIOS Maintenance Mensuelle INFHOTIK C-10-48-201109-10041889-7 - 0DRTQ9C</t>
  </si>
  <si>
    <t>535456804</t>
  </si>
  <si>
    <t>PRLV SEPA EDF SA THERMALE CLIMATIQUE D Ref EDF MA970001250911 - 0DRFZMM</t>
  </si>
  <si>
    <t>535456807</t>
  </si>
  <si>
    <t>PRLV SEPA Xerox Financia 3851375 FR30PF2112674 - 0DRDDCM</t>
  </si>
  <si>
    <t>535456808</t>
  </si>
  <si>
    <t>VIR SEPA :6 saison ete 2 P8806895 salaire fevrier 2025 - 7227931</t>
  </si>
  <si>
    <t>536559004</t>
  </si>
  <si>
    <t>ECH PRET DONT CAP 3529,75 ASS. 0,00E INT. 300,17 COM. 0,00E - 9062097</t>
  </si>
  <si>
    <t>536559006</t>
  </si>
  <si>
    <t>VIR SEPA EXTERIEUR CONFO acompte sur devis 2025-02609 acompte sur devis 2025-02609 - 7228337</t>
  </si>
  <si>
    <t>536559008</t>
  </si>
  <si>
    <t>536559005</t>
  </si>
  <si>
    <t>536571983</t>
  </si>
  <si>
    <t>PRLV SEPA REGIE SYNDICAT PRELEVEMENT SEBA FR62ZZZ81CBFD-2618032232-29090 - 0DSDU6W</t>
  </si>
  <si>
    <t>537410905</t>
  </si>
  <si>
    <t>PRLV SEPA ASS CONTACT HO REGUL NUM 01/2025 CONTACT HOTEL 0704 - 0DSO4M0</t>
  </si>
  <si>
    <t>537410897</t>
  </si>
  <si>
    <t>PRLV SEPA SOCIETE PRINT GRAND HOTEL DES BAINS SSC003702 - 0DRBUGS</t>
  </si>
  <si>
    <t>537410898</t>
  </si>
  <si>
    <t>PRLV SEPA REGIE SYNDICAT PRELEVEMENT SEBA FR62ZZZ81CBFD-2618032217-29089 - 0DSDUCF</t>
  </si>
  <si>
    <t>537410908</t>
  </si>
  <si>
    <t>PRLV SEPA Orange SA Votre abonnement fixe: 04XXXXX21 ++M0021517012 - 0DRUBCX</t>
  </si>
  <si>
    <t>537410900</t>
  </si>
  <si>
    <t>AMZN Mktp FR*R2</t>
  </si>
  <si>
    <t>537410895</t>
  </si>
  <si>
    <t>537410901</t>
  </si>
  <si>
    <t>537410904</t>
  </si>
  <si>
    <t>537410903</t>
  </si>
  <si>
    <t>537410907</t>
  </si>
  <si>
    <t>PRELEVEMENT AVEM /INV/NM LOC-11491166 18.2.2025/R/ 2000133580/2214693161 1000-000001045657 FR73ZZZ395135</t>
  </si>
  <si>
    <t>537437282</t>
  </si>
  <si>
    <t>REMBOURSEMENT DE PRET 00001519822 05/03/25 CAPITAL</t>
  </si>
  <si>
    <t>537437281</t>
  </si>
  <si>
    <t>REMBOURSEMENT DE PRET 00001519822 05/03/25 INTERETS</t>
  </si>
  <si>
    <t>537437280</t>
  </si>
  <si>
    <t>VIR SEPA moulon services FACTURE F/202502/00002031 FACTURE F/202502/00002031 - 7358178</t>
  </si>
  <si>
    <t>542465700</t>
  </si>
  <si>
    <t>VIR SEPA BOOKING.COM facture 1625975270 nh 254064 facture 1625975270 nh 254064 - 7348816</t>
  </si>
  <si>
    <t>542465705</t>
  </si>
  <si>
    <t>050325 CB****9655 CCM AUBENAS ET FR AUBENAS 500,00EUR 1 EURO = 1,000000 - 305QXY4</t>
  </si>
  <si>
    <t>542465703</t>
  </si>
  <si>
    <t>542465704</t>
  </si>
  <si>
    <t>VIR SEPA SOCOTEC facture 2501000045/975T0 facture 2501000045/975T0 - 7358105</t>
  </si>
  <si>
    <t>542465706</t>
  </si>
  <si>
    <t>PRLV SEPA Orange SA Votre abonnement internet (factu M0037206468 - 0DSW60K</t>
  </si>
  <si>
    <t>546298782</t>
  </si>
  <si>
    <t>PRLV SEPA IWINERESTO XXZZZA00272820067113 - 0DSBBTB</t>
  </si>
  <si>
    <t>546298781</t>
  </si>
  <si>
    <t>PRLV SEPA PREFILOC CAPIT F250157446 PRE000121421 - 0DTR14Y</t>
  </si>
  <si>
    <t>546298783</t>
  </si>
  <si>
    <t>CYBER+ PAIEMENT ABONNEMT XCPSD033 2025031000071414000001 ABONNEMENT PSD0006262976 - 0071414</t>
  </si>
  <si>
    <t>549441470</t>
  </si>
  <si>
    <t>ECH PRET DONT CAP 802,81 ASS. 0,00E INT. 68,27 COM. 0,00E - 9062099</t>
  </si>
  <si>
    <t>549441471</t>
  </si>
  <si>
    <t>ECH PRET DONT CAP 1044,54 ASS. 0,00E INT. 111,56 COM. 0,00E - 9062098</t>
  </si>
  <si>
    <t>549441465</t>
  </si>
  <si>
    <t>549441473</t>
  </si>
  <si>
    <t>PRLV SEPA CEGID SAS FA002-01452501 00RC0000019770055000002B00 - 0DTTVF9</t>
  </si>
  <si>
    <t>550250683</t>
  </si>
  <si>
    <t>COM CB 5667966016 - NB0001/843391 - 0080391</t>
  </si>
  <si>
    <t>550250680</t>
  </si>
  <si>
    <t>PRLV SEPA REGIE SYNDICAT PRELEVEMENT SEBA FR62ZZZ81CBFD-3418-28223 - 0DUFXOE</t>
  </si>
  <si>
    <t>550250675</t>
  </si>
  <si>
    <t>AMZN Mktp FR*RB</t>
  </si>
  <si>
    <t>550250672</t>
  </si>
  <si>
    <t>550250682</t>
  </si>
  <si>
    <t>550250686</t>
  </si>
  <si>
    <t>550250671</t>
  </si>
  <si>
    <t>550250684</t>
  </si>
  <si>
    <t>550250687</t>
  </si>
  <si>
    <t>550250674</t>
  </si>
  <si>
    <t>ORANGE VAD M8</t>
  </si>
  <si>
    <t>550250670</t>
  </si>
  <si>
    <t>550250673</t>
  </si>
  <si>
    <t>550250679</t>
  </si>
  <si>
    <t>PAIEMENT PAR CARTE X3718 CULTURELA AUBENAS 12/03</t>
  </si>
  <si>
    <t>550266807</t>
  </si>
  <si>
    <t>PRELEVEMENT Noelse France CPREL2503011001812 S6239571919-2239646 FR80ZZZ328855</t>
  </si>
  <si>
    <t>550266809</t>
  </si>
  <si>
    <t>PRLV SEPA SOLOCAL SA 204 /INV/FORM:0002047776/27.02.2025/ 02937492002 - 0DV0V8W</t>
  </si>
  <si>
    <t>551077131</t>
  </si>
  <si>
    <t>PRLV SEPA Free Pro FACTURE FREEPRO 17/03/2025 F2025 JNRUMSATHERMALECLIMA020230706103 - 0DUQ4VP</t>
  </si>
  <si>
    <t>551077136</t>
  </si>
  <si>
    <t>INTER CARBURANT</t>
  </si>
  <si>
    <t>551077132</t>
  </si>
  <si>
    <t>Amazon.fr*RB96W</t>
  </si>
  <si>
    <t>551077134</t>
  </si>
  <si>
    <t>IKEA MONTPELLIE</t>
  </si>
  <si>
    <t>551077133</t>
  </si>
  <si>
    <t>551077135</t>
  </si>
  <si>
    <t>551759192</t>
  </si>
  <si>
    <t>PRLV SEPA EDF SA THERMALE ET CLIMATIQU Ref EDF MA970001250911 - 0DUWEMS</t>
  </si>
  <si>
    <t>553627060</t>
  </si>
  <si>
    <t>PRLV SEPA Orange SA Votre abonnement fibre (facture: M0067001527 - 0DUSERY</t>
  </si>
  <si>
    <t>553627061</t>
  </si>
  <si>
    <t>PRLV SEPA URSSAF RHONE A UR 827000002110121762 FEV 257 T1430653867203200001297356941940 - 0DVL906</t>
  </si>
  <si>
    <t>555392507</t>
  </si>
  <si>
    <t>Amazon Prime*RI</t>
  </si>
  <si>
    <t>555392505</t>
  </si>
  <si>
    <t>555399626</t>
  </si>
  <si>
    <t>VIR SEPA CABINET CHAUSSI 00250003087/002028 00250003087/002028 - 7670265</t>
  </si>
  <si>
    <t>556271352</t>
  </si>
  <si>
    <t>VIR SEPA Vialle centre e FACTURE N 50 FACTURE N 50 - 7669823</t>
  </si>
  <si>
    <t>556271354</t>
  </si>
  <si>
    <t>VIR SEPA Mfg remboursement avance ticket Virement de Sa Thermale Et Clima - 7639611</t>
  </si>
  <si>
    <t>556271355</t>
  </si>
  <si>
    <t>VIR SEPA MICHEL HENRY-LE FACTURE 25A/2129X FACTURE 25A/2129X - 7670195</t>
  </si>
  <si>
    <t>556271350</t>
  </si>
  <si>
    <t>VIR SEPA CABINET CHAUSSI FACTURE 00250003215/002028 FACTURE 00250003215/002028 - 7669764</t>
  </si>
  <si>
    <t>556271346</t>
  </si>
  <si>
    <t>PRLV SEPA Orange SA-ORAN Votre abonnement mobile: 06XXXXX ++M0017687880 - 0DVWWOC</t>
  </si>
  <si>
    <t>556271349</t>
  </si>
  <si>
    <t>PRLV SEPA Autoroutes du LB004203130041376270 022025 ++25004137627001188445 - 0DUKTMR</t>
  </si>
  <si>
    <t>556271348</t>
  </si>
  <si>
    <t>VIR SEPA zinc-elec alban FACTURE 25/03/1510 FACTURE 25/03/1510 - 7669581</t>
  </si>
  <si>
    <t>556271347</t>
  </si>
  <si>
    <t>556271353</t>
  </si>
  <si>
    <t>VIR INST klesia prevoyan Pour KLESIA PREVOYANCE regul 2022 - WJKB4EF</t>
  </si>
  <si>
    <t>557309017</t>
  </si>
  <si>
    <t>VIR INST klesia prevoyan Pour KLESIA PREVOYANCE regul 2025 - WJKB4GH</t>
  </si>
  <si>
    <t>557309019</t>
  </si>
  <si>
    <t>STATION CARREFO</t>
  </si>
  <si>
    <t>557309021</t>
  </si>
  <si>
    <t>DECOR DISCOUNT</t>
  </si>
  <si>
    <t>557309020</t>
  </si>
  <si>
    <t>VENTILECO.FR</t>
  </si>
  <si>
    <t>558059428</t>
  </si>
  <si>
    <t>558059429</t>
  </si>
  <si>
    <t>Le Bistrot du J</t>
  </si>
  <si>
    <t>558059427</t>
  </si>
  <si>
    <t>558316289</t>
  </si>
  <si>
    <t>Amazon.fr*RW2U8</t>
  </si>
  <si>
    <t>558316290</t>
  </si>
  <si>
    <t>PRLV SEPA Orange SA Votre abonnement mobile: 06XXXXX ++M0003219595 - 0DW1SYZ</t>
  </si>
  <si>
    <t>558862474</t>
  </si>
  <si>
    <t>VIR SEPA MADAME AUBRY CA P8806895 Salaire - 7767672</t>
  </si>
  <si>
    <t>558862479</t>
  </si>
  <si>
    <t>VIR SEPA web access F-2025-079 F-2025-079 - 7742473</t>
  </si>
  <si>
    <t>558862475</t>
  </si>
  <si>
    <t>PRLV SEPA EDF SA THERMALE CLIMATIQUE D Ref EDF MA970001250911 - 0DVYA63</t>
  </si>
  <si>
    <t>558862480</t>
  </si>
  <si>
    <t>VIR SEPA AUBRY ALEXANDRA P8806895 Salaire - 7767688</t>
  </si>
  <si>
    <t>558862476</t>
  </si>
  <si>
    <t>VIR SEPA CLIMATPRO FS20250235-236-237-238 FS20250235-236-237-238 - 7742373</t>
  </si>
  <si>
    <t>558862478</t>
  </si>
  <si>
    <t>PRLV SEPA Orange SA Votre abonnement fixe: 04XXXXX52 M0036834648 - 0DVT36J</t>
  </si>
  <si>
    <t>558862481</t>
  </si>
  <si>
    <t>PRLV SEPA Orange SA Votre abonnement fibre (facture: EPCB202311295646844 - 0DVT308</t>
  </si>
  <si>
    <t>558862477</t>
  </si>
  <si>
    <t>PRLV SEPA GIE CHARMHOTEL GIE CHARMHOTEL ++OCTOBRE2011 - 0DWHVBM</t>
  </si>
  <si>
    <t>561060532</t>
  </si>
  <si>
    <t>PRLV SEPA GIE KLESIA COT RETRAITE - GIE KLESIA COTIS - 20 SCG023URAE000659949S - 0DWARNK</t>
  </si>
  <si>
    <t>561060534</t>
  </si>
  <si>
    <t>DE BUYER INDUST</t>
  </si>
  <si>
    <t>561060528</t>
  </si>
  <si>
    <t>561060529</t>
  </si>
  <si>
    <t>Amazon.fr*RW2F5</t>
  </si>
  <si>
    <t>561060533</t>
  </si>
  <si>
    <t>PRLV INT ETS DGFIP PASDSN17032025-022025-3867203200 NN386720320DGFIP2020807504KDIIJX - 0DWAGRQ</t>
  </si>
  <si>
    <t>561880984</t>
  </si>
  <si>
    <t>AMZN Mktp FR*RW</t>
  </si>
  <si>
    <t>561880981</t>
  </si>
  <si>
    <t>561880987</t>
  </si>
  <si>
    <t>FOIR'FOUILLE</t>
  </si>
  <si>
    <t>561880988</t>
  </si>
  <si>
    <t>561880986</t>
  </si>
  <si>
    <t>561880991</t>
  </si>
  <si>
    <t>561880983</t>
  </si>
  <si>
    <t>561880985</t>
  </si>
  <si>
    <t>VIR INST AREAS Pour AREAS CA0132BCA - WJL7T2D</t>
  </si>
  <si>
    <t>562624506</t>
  </si>
  <si>
    <t>COM CB 5667966016 - NB0002/328551 - 0081551</t>
  </si>
  <si>
    <t>562624503</t>
  </si>
  <si>
    <t>FOIR FOUILLE</t>
  </si>
  <si>
    <t>562624504</t>
  </si>
  <si>
    <t>CHARME ET COSY</t>
  </si>
  <si>
    <t>562624507</t>
  </si>
  <si>
    <t>VIR INST GARONZI Pour GARONZI acompte salaire - WJLE6KL</t>
  </si>
  <si>
    <t>563235396</t>
  </si>
  <si>
    <t>RET DAB BPS MARZE PONT CARTE ******9655 RETRAIT LE 28/03/2025 A 14:25 - P703896</t>
  </si>
  <si>
    <t>563235393</t>
  </si>
  <si>
    <t>563235395</t>
  </si>
  <si>
    <t>PAIEMENT PAR CARTE X3718 CASA AUBENAS 1 27/03</t>
  </si>
  <si>
    <t>563240108</t>
  </si>
  <si>
    <t>PAIEMENT PAR CARTE X3718 LA FLEURISTERIE AUBE 27/03</t>
  </si>
  <si>
    <t>563240110</t>
  </si>
  <si>
    <t>PRLV SEPA LOCAM PRELEVEMENT LOCAM PARTENAIRE DE LD159120820200062519 - 0DWZ3L6</t>
  </si>
  <si>
    <t>564255914</t>
  </si>
  <si>
    <t>SAMSE 310325 - 5236028</t>
  </si>
  <si>
    <t>564255898</t>
  </si>
  <si>
    <t>PRLV SEPA ASSOCIATION C ASS CONTACT HOTEL 4110704C60 - 0DX6P2N</t>
  </si>
  <si>
    <t>564255906</t>
  </si>
  <si>
    <t>LMS 310325 REF TIRE:6044148200 - 5318062</t>
  </si>
  <si>
    <t>564255916</t>
  </si>
  <si>
    <t>COM CB 5667966016 - NB0001/691871 - 0082871</t>
  </si>
  <si>
    <t>564255911</t>
  </si>
  <si>
    <t>CEF-YESSS ELEC. DIV. SUD REF TIRE:216/30013 ECH:31/03/25 - 5236029</t>
  </si>
  <si>
    <t>564255920</t>
  </si>
  <si>
    <t>PRLV SEPA IDEAL PEINTURE FA4015639 GRAND HOTEL LES BAINS-12/2021-00 - 0DX9QIF</t>
  </si>
  <si>
    <t>564255918</t>
  </si>
  <si>
    <t>ABON CYBERPLUS XCBVX665 2025033100444459000001 HABILITATION P8806895 - 0444459</t>
  </si>
  <si>
    <t>566342246</t>
  </si>
  <si>
    <t>Fournisseurs / MP / BOUCHERIE</t>
  </si>
  <si>
    <t>BOUCHERIE</t>
  </si>
  <si>
    <t>VIR SEPA SARL ETS CHANEA FC2549253 FC2549253 - 7992238</t>
  </si>
  <si>
    <t>566342254</t>
  </si>
  <si>
    <t>ECH PRET DONT CAP 1250,49 ASS. 0,00E INT. 62,97 COM. 0,00E - 5406472</t>
  </si>
  <si>
    <t>566342244</t>
  </si>
  <si>
    <t>566342251</t>
  </si>
  <si>
    <t>VIR SEPA SCEA PISCICULTU FAC91811 FAC91811 - 7992126</t>
  </si>
  <si>
    <t>566342245</t>
  </si>
  <si>
    <t>PAIEMENT PAR CARTE X3718 LIDL 2719 LABEGUDE 28/03</t>
  </si>
  <si>
    <t>566351230</t>
  </si>
  <si>
    <t>566351229</t>
  </si>
  <si>
    <t>568194814</t>
  </si>
  <si>
    <t>BUT AUBENAS</t>
  </si>
  <si>
    <t>568194809</t>
  </si>
  <si>
    <t>Juma Internatio</t>
  </si>
  <si>
    <t>568194811</t>
  </si>
  <si>
    <t>AMZN Mktp FR*RN</t>
  </si>
  <si>
    <t>568194805</t>
  </si>
  <si>
    <t>568194819</t>
  </si>
  <si>
    <t>LIDL 2719</t>
  </si>
  <si>
    <t>568194818</t>
  </si>
  <si>
    <t>Google ADS26328</t>
  </si>
  <si>
    <t>568194816</t>
  </si>
  <si>
    <t>ECH PRET DONT CAP 3537,54 ASS. 0,00E INT. 292,38 COM. 0,00E - 9062097</t>
  </si>
  <si>
    <t>568194812</t>
  </si>
  <si>
    <t>PRLV SEPA HOTELIOS Maintenance Mensuelle INFHOTIK C-10-48-201109-10041889-7 - 0DXRB92</t>
  </si>
  <si>
    <t>568194815</t>
  </si>
  <si>
    <t>568194806</t>
  </si>
  <si>
    <t>PRLV SEPA Xerox Financia 3866491 FR30PF2112674 - 0DX0ZI5</t>
  </si>
  <si>
    <t>568194808</t>
  </si>
  <si>
    <t>PRLV SEPA Orange SA Votre abonnement fixe: 04XXXXX21 ++M0021517012 - 0DXB3TE</t>
  </si>
  <si>
    <t>569137353</t>
  </si>
  <si>
    <t>569137354</t>
  </si>
  <si>
    <t>569137358</t>
  </si>
  <si>
    <t>569137355</t>
  </si>
  <si>
    <t>PRELEVEMENT AVEM /INV/NM LOC-11491166 18.3.2025/R/ 2000186945/2214693161 1000-000001045657 FR73ZZZ395135</t>
  </si>
  <si>
    <t>569143110</t>
  </si>
  <si>
    <t>570090878</t>
  </si>
  <si>
    <t>VIR SEPA BOOKING.COM FACTURE 1627401282 NH 57616 FACTURE 1627401282 NH 57616 - 8140544</t>
  </si>
  <si>
    <t>570090879</t>
  </si>
  <si>
    <t>VIR SEPA NATHALIE GUNZLE FACTURE 0615 FACTURE 0615 - 8140044</t>
  </si>
  <si>
    <t>570090883</t>
  </si>
  <si>
    <t>VIR SEPA BOOKING.COM 1627419433 NH 254064 1627419433 NH 254064 - 8140442</t>
  </si>
  <si>
    <t>570090875</t>
  </si>
  <si>
    <t>VIR SEPA SCEA PISCICULTU FCA91999 FCA91999 - 8140834</t>
  </si>
  <si>
    <t>570090867</t>
  </si>
  <si>
    <t>VIR SEPA web access FACTURE 2025-084 FACTURE 2025-084 - 8140616</t>
  </si>
  <si>
    <t>570090881</t>
  </si>
  <si>
    <t>VIR SEPA EDITIONS LVA GJ25030346 GJ25030346 - 8148081</t>
  </si>
  <si>
    <t>570090868</t>
  </si>
  <si>
    <t>VIR SEPA ELECTRO7 FACTURE FA00028291 FACTURE FA00028291 - 8141128</t>
  </si>
  <si>
    <t>570090885</t>
  </si>
  <si>
    <t>Fournisseurs / MP / LEGUMES/FRUITS</t>
  </si>
  <si>
    <t>LEGUMES/FRUITS</t>
  </si>
  <si>
    <t>VIR SEPA AU PETIT PRIMEU FACTUE 08945 FACTUE 08945 - 8140755</t>
  </si>
  <si>
    <t>570090865</t>
  </si>
  <si>
    <t>VIR SEPA PASCAL NETTOYAG FC00000928 FC00000928 - 8148314</t>
  </si>
  <si>
    <t>570090869</t>
  </si>
  <si>
    <t>VIR SEPA piscine assista facture 769 facture 769 - 8147930</t>
  </si>
  <si>
    <t>570090877</t>
  </si>
  <si>
    <t>PRLV SEPA METRO FRANCE S /INV/0017.011476 CMR000003928001 - 0DYJBBJ</t>
  </si>
  <si>
    <t>570090874</t>
  </si>
  <si>
    <t>VIR SEPA DUBOIS DE MONTR FACTURE 2025-3-0077 FACTURE 2025-3-0077 - 8139815</t>
  </si>
  <si>
    <t>570090866</t>
  </si>
  <si>
    <t>VIR SEPA :12 saison ete P8806895 SALAIRE MARS 2025 SALAIRE MARS 2025 - 8136291</t>
  </si>
  <si>
    <t>570090872</t>
  </si>
  <si>
    <t>VIR SEPA MICHELLE OBRY SALAIRE MARS 2025 SALAIRE MARS 2025 - 8137386</t>
  </si>
  <si>
    <t>570090871</t>
  </si>
  <si>
    <t>VIR SEPA CAROLINE ALLEGR facture F00003 facture F00003 - 8139589</t>
  </si>
  <si>
    <t>570090870</t>
  </si>
  <si>
    <t>VIR SEPA CABINET CHAUSSI 00250003348-002028 00250003348-002028 - 8147968</t>
  </si>
  <si>
    <t>570090882</t>
  </si>
  <si>
    <t>REMBOURSEMENT DE PRET 00001519822 05/04/25 INTERETS</t>
  </si>
  <si>
    <t>570095190</t>
  </si>
  <si>
    <t>REMBOURSEMENT DE PRET 00001519822 05/04/25 CAPITAL</t>
  </si>
  <si>
    <t>570095188</t>
  </si>
  <si>
    <t>570369495</t>
  </si>
  <si>
    <t>570369494</t>
  </si>
  <si>
    <t>VIR INST GONON DIDIER Pour GONON DIDIER acompte sur salaire avril 2025 - WJNMJN1</t>
  </si>
  <si>
    <t>570369496</t>
  </si>
  <si>
    <t>ARRETE COMPTE 1 ER TRIMESTRE 2025 - 1199021</t>
  </si>
  <si>
    <t>571129397</t>
  </si>
  <si>
    <t>571129399</t>
  </si>
  <si>
    <t>VIR SEPA NATHALIE GUNZLE avance achats spa avance achats spa - 8164436</t>
  </si>
  <si>
    <t>571129398</t>
  </si>
  <si>
    <t>Miele S.A.S.</t>
  </si>
  <si>
    <t>572140950</t>
  </si>
  <si>
    <t>INTERMARCHE</t>
  </si>
  <si>
    <t>572140962</t>
  </si>
  <si>
    <t>572140963</t>
  </si>
  <si>
    <t>La Cadiere d'az</t>
  </si>
  <si>
    <t>572140967</t>
  </si>
  <si>
    <t>572140959</t>
  </si>
  <si>
    <t>PRLV SEPA REGIE SYNDICAT PRELEVEMENT SEBA FR62ZZZ81CBFD-2618032232-29090 - 0DYO9XU</t>
  </si>
  <si>
    <t>572140956</t>
  </si>
  <si>
    <t>PRLV SEPA REGIE SYNDICAT PRELEVEMENT SEBA FR62ZZZ81CBFD-2618032217-29089 - 0DYOABL</t>
  </si>
  <si>
    <t>572140960</t>
  </si>
  <si>
    <t>PRLV SEPA Orange SA Votre abonnement internet (factu M0037206468 - 0DY2ZFP</t>
  </si>
  <si>
    <t>572140961</t>
  </si>
  <si>
    <t>AMZN Mktp FR*R6</t>
  </si>
  <si>
    <t>573237314</t>
  </si>
  <si>
    <t>LA POSTE 070190</t>
  </si>
  <si>
    <t>573237306</t>
  </si>
  <si>
    <t>573237312</t>
  </si>
  <si>
    <t>573237310</t>
  </si>
  <si>
    <t>573237309</t>
  </si>
  <si>
    <t>573237302</t>
  </si>
  <si>
    <t>HPY*materiel-ch</t>
  </si>
  <si>
    <t>573237313</t>
  </si>
  <si>
    <t>ECH PRET DONT CAP 804,58 ASS. 0,00E INT. 66,50 COM. 0,00E - 9062099</t>
  </si>
  <si>
    <t>573237304</t>
  </si>
  <si>
    <t>PRLV SEPA CEGID SAS FA002-01479132 00RC0000019770055000002B00 - 0DYBVFB</t>
  </si>
  <si>
    <t>573237305</t>
  </si>
  <si>
    <t>ECH PRET DONT CAP 1046,85 ASS. 0,00E INT. 109,25 COM. 0,00E - 9062098</t>
  </si>
  <si>
    <t>573237307</t>
  </si>
  <si>
    <t>PAIEMENT PAR CARTE X3718 FOIR FOUILLE AUBENAS 07/04</t>
  </si>
  <si>
    <t>573241751</t>
  </si>
  <si>
    <t>REGUL OPE CREDITRICES CARTE 3097105 001 492373 09/04</t>
  </si>
  <si>
    <t>573241748</t>
  </si>
  <si>
    <t>PRELEVEMENT Noelse France CPREL2504011002000 S6239571919-2239646 FR80ZZZ328855</t>
  </si>
  <si>
    <t>573241749</t>
  </si>
  <si>
    <t>PAIEMENT PAR CARTE X3718 CASA AUBENAS 1 07/04</t>
  </si>
  <si>
    <t>573241752</t>
  </si>
  <si>
    <t>PAIEMENT PAR CARTE X3718 L'INSTANT SAINT ETIE 07/04</t>
  </si>
  <si>
    <t>573241753</t>
  </si>
  <si>
    <t>MOULON SERVICES</t>
  </si>
  <si>
    <t>574874817</t>
  </si>
  <si>
    <t>574874819</t>
  </si>
  <si>
    <t>574874811</t>
  </si>
  <si>
    <t>PRLV SEPA N.E.U/LE PETIT PRELEVEMENT BDC:L559110 10/04/25 L559110 - 0E02TCN</t>
  </si>
  <si>
    <t>574874820</t>
  </si>
  <si>
    <t>FRAIS MEP PRLV SEPA XCIMR010 2025041000062948000001 CREANCIER N.E.U/LE PETIT F - 0062948</t>
  </si>
  <si>
    <t>574874818</t>
  </si>
  <si>
    <t>PRLV SEPA PREFILOC CAPIT F250233926 PRE000121421 - 0DZYUXA</t>
  </si>
  <si>
    <t>574874814</t>
  </si>
  <si>
    <t>VIR INST SUD BUREAU Pour SUD BUREAU FC-028437+028855 - WJOTBD8</t>
  </si>
  <si>
    <t>574874822</t>
  </si>
  <si>
    <t>PRLV SEPA IWINERESTO XXZZZA00272820067113 - 0DXMR8M</t>
  </si>
  <si>
    <t>574874813</t>
  </si>
  <si>
    <t>COM CB 5667966016 - NB0001/732291 - 0083291</t>
  </si>
  <si>
    <t>574874815</t>
  </si>
  <si>
    <t>CYBER+ PAIEMENT ABONNEMT XCPSD033 2025041000062950000001 ABONNEMENT PSD0006262976 - 0062950</t>
  </si>
  <si>
    <t>574874816</t>
  </si>
  <si>
    <t>CHOMETTE.COM</t>
  </si>
  <si>
    <t>575640392</t>
  </si>
  <si>
    <t>575640390</t>
  </si>
  <si>
    <t>575917321</t>
  </si>
  <si>
    <t>575917322</t>
  </si>
  <si>
    <t>VIR INST NATAT MARTINE Pour NATAT MARTINE RESA r16168 ENCAISSEMENT CAUTION - WJP6GIW</t>
  </si>
  <si>
    <t>575917320</t>
  </si>
  <si>
    <t>COM CB 5667966016 - NB0001/226721 - 0084721</t>
  </si>
  <si>
    <t>576756204</t>
  </si>
  <si>
    <t>PRLV SEPA Orange SA Votre abonnement fibre (facture: M0067001527 - 0E02CE1</t>
  </si>
  <si>
    <t>576756203</t>
  </si>
  <si>
    <t>Fournisseurs / MP / GLACES</t>
  </si>
  <si>
    <t>GLACES</t>
  </si>
  <si>
    <t>PRLV SEPA LES GLACES DE GRANHOTELBAINSF51070 EDI2410284RU0000077 - 0DZ6D0V</t>
  </si>
  <si>
    <t>576756207</t>
  </si>
  <si>
    <t>PRLV SEPA REGIE SYNDICAT PRELEVEMENT SEBA FR62ZZZ81CBFD-3418-28223 - 0E0NSKB</t>
  </si>
  <si>
    <t>576756205</t>
  </si>
  <si>
    <t>577674777</t>
  </si>
  <si>
    <t>AMZN Mktp FR*RH</t>
  </si>
  <si>
    <t>579148090</t>
  </si>
  <si>
    <t>579148091</t>
  </si>
  <si>
    <t>579148117</t>
  </si>
  <si>
    <t>Amazon Prime*RH</t>
  </si>
  <si>
    <t>579148103</t>
  </si>
  <si>
    <t>579148095</t>
  </si>
  <si>
    <t>PRLV SEPA SPRE Prelevement SPRE 15-MAN-2563709-544222805-01 - 0E17661</t>
  </si>
  <si>
    <t>579148109</t>
  </si>
  <si>
    <t>VIR SEPA SARL ETS CHANEA FC2549329 FC2549329 - 8448640</t>
  </si>
  <si>
    <t>579148093</t>
  </si>
  <si>
    <t>VIR SEPA KOROL EQUIPEMEN FDR03007 FDR03007 - 8448545</t>
  </si>
  <si>
    <t>579148104</t>
  </si>
  <si>
    <t>PRLV SEPA URSSAF RHONE A UR 827000002110121762 MARS257 T1430653867203200001297356941940 - 0E1EW7D</t>
  </si>
  <si>
    <t>579148102</t>
  </si>
  <si>
    <t>Fournisseurs / MP / BOULANGERIE DESSERTS</t>
  </si>
  <si>
    <t>BOULANGERIE DESSERTS</t>
  </si>
  <si>
    <t>PRLV SEPA GINEYS S.A.S-G 03122740 01-519039-002 - 0E15VPY</t>
  </si>
  <si>
    <t>579148118</t>
  </si>
  <si>
    <t>VIR SEPA MICROCONCPT FACTURE VF20882 FACTURE VF20882 - 8448754</t>
  </si>
  <si>
    <t>579148088</t>
  </si>
  <si>
    <t>PRLV SEPA SACEM-SOC AUTE Prelevement SACEM 01-MAN-2563709-544222805-01 - 0E1DOP9</t>
  </si>
  <si>
    <t>579148096</t>
  </si>
  <si>
    <t>VIR SEPA Cafes richard FACTURE 0909814405 FACTURE 0909814405 - 8448223</t>
  </si>
  <si>
    <t>579148101</t>
  </si>
  <si>
    <t>VIR SEPA MICROCONCPT facture vf21142 facture vf21142 - 8452750</t>
  </si>
  <si>
    <t>579148107</t>
  </si>
  <si>
    <t>PRLV SEPA EDF SA THERMALE ET CLIMATIQU Ref EDF MA970001250911 - 0E0V6BR</t>
  </si>
  <si>
    <t>579148100</t>
  </si>
  <si>
    <t>VIR SEPA CABINET CHAUSSI 00250002682 00250002682 - 8449734</t>
  </si>
  <si>
    <t>579148112</t>
  </si>
  <si>
    <t>VIR SEPA sdez rhone alpe FACTURE 56 FACTURE 56 - 8448134</t>
  </si>
  <si>
    <t>579148099</t>
  </si>
  <si>
    <t>VIR SEPA SARL ETS CHANEA FC2549387 FC2549387 - 8448495</t>
  </si>
  <si>
    <t>579148119</t>
  </si>
  <si>
    <t>PRLV SEPA Free Pro FACTURE FREEPRO 15/04/2025 F2025 JNRUMSATHERMALECLIMA020230706103 - 0DZZMYA</t>
  </si>
  <si>
    <t>579148111</t>
  </si>
  <si>
    <t>VIR SEPA moulon services F/202503/00002055 F/202503/00002055 - 8448435</t>
  </si>
  <si>
    <t>579148113</t>
  </si>
  <si>
    <t>VIR INST AMA ITEA Pour AMA ITEA FA0174546 - WJPSTF9</t>
  </si>
  <si>
    <t>579148115</t>
  </si>
  <si>
    <t>PRLV SEPA GIE CHARMHOTEL GIE CHARMHOTEL ++OCTOBRE2011 - 0E1FJ51</t>
  </si>
  <si>
    <t>579148114</t>
  </si>
  <si>
    <t>PRLV SEPA SOLOCAL SA 204 /INV/FORM:0002170374/27.03.2025/ 02937492002 - 0E12EQC</t>
  </si>
  <si>
    <t>579148105</t>
  </si>
  <si>
    <t>VIR SEPA MADAME AUBRY CA P8806895 Salaire - 8486624</t>
  </si>
  <si>
    <t>579915240</t>
  </si>
  <si>
    <t>VIR SEPA AUBRY ALEXANDRA P8806895 Salaire - 8486640</t>
  </si>
  <si>
    <t>579915241</t>
  </si>
  <si>
    <t>LA VALSOISE</t>
  </si>
  <si>
    <t>579915243</t>
  </si>
  <si>
    <t>INTERMARCHELALE</t>
  </si>
  <si>
    <t>579915244</t>
  </si>
  <si>
    <t>579915742</t>
  </si>
  <si>
    <t>580344189</t>
  </si>
  <si>
    <t>AMZN Mktp FR*RA</t>
  </si>
  <si>
    <t>580344190</t>
  </si>
  <si>
    <t>580588377</t>
  </si>
  <si>
    <t>580588375</t>
  </si>
  <si>
    <t>CAVE COOPVIVARA</t>
  </si>
  <si>
    <t>580588376</t>
  </si>
  <si>
    <t>Fournisseurs / MP / BOF</t>
  </si>
  <si>
    <t>BOF</t>
  </si>
  <si>
    <t>DROMADIS 200425 REF TIRE:00100286 - 5589005</t>
  </si>
  <si>
    <t>582196892</t>
  </si>
  <si>
    <t>PAIEMENT PAR CARTE X3718 LA POSTE.FR PARIS CE 20/04</t>
  </si>
  <si>
    <t>582201464</t>
  </si>
  <si>
    <t>583017895</t>
  </si>
  <si>
    <t>583017891</t>
  </si>
  <si>
    <t>583017882</t>
  </si>
  <si>
    <t>583017887</t>
  </si>
  <si>
    <t>PRLV SEPA MF GRAND HOTEL DES BAINS PAR PRELEV A0701020241015102338480000000000 - 0E28O11</t>
  </si>
  <si>
    <t>583017896</t>
  </si>
  <si>
    <t>PRLV SEPA ORANGE SA Votre abonnement fibre (facture: EPCB202311295646844 - 0E1G39N</t>
  </si>
  <si>
    <t>583017902</t>
  </si>
  <si>
    <t>RET DAB BPS MARZE PONT CARTE ******9655 RETRAIT LE 22/04/2025 A 16:05 - P705195</t>
  </si>
  <si>
    <t>583017899</t>
  </si>
  <si>
    <t>PRLV SEPA LES GLACES DE HOTELBAINF51106 EDI2410284RU0000077 - 0E1N9MP</t>
  </si>
  <si>
    <t>583017884</t>
  </si>
  <si>
    <t>PRLV SEPA LA NATURE A TA Prelevement LC235424 5730 - 0E1I9ZC</t>
  </si>
  <si>
    <t>583017892</t>
  </si>
  <si>
    <t>VIR SEPA HELENE LAMBOTIN 20250001202 20250001202 - 8592476</t>
  </si>
  <si>
    <t>583017909</t>
  </si>
  <si>
    <t>VIR SEPA LOUTRIOL FA 1910724 FA 1910724 - 8592882</t>
  </si>
  <si>
    <t>583017907</t>
  </si>
  <si>
    <t>VIR SEPA SAPHIRESA 2025 000 062 2025 000 062 - 8591814</t>
  </si>
  <si>
    <t>583017886</t>
  </si>
  <si>
    <t>VIR SEPA M GARONZI PASCA ACOMPTE SALAIRE AVRIL2025 ACOMPTE SALAIRE AVRIL2025 - 8593054</t>
  </si>
  <si>
    <t>583017904</t>
  </si>
  <si>
    <t>PRLV SEPA EDF SA THERMALE CLIMATIQUE D Ref EDF MA970001250911 - 0E1KIJ7</t>
  </si>
  <si>
    <t>583017883</t>
  </si>
  <si>
    <t>PRLV SEPA Autoroutes du LC004214960041376270 032025 ++25004137627001188445 - 0E0P5AR</t>
  </si>
  <si>
    <t>583017897</t>
  </si>
  <si>
    <t>PRLV SEPA ORANGE SA-ORAN Votre abonnement mobile: 06XXXXX ++M0017687880 - 0E1QR7A</t>
  </si>
  <si>
    <t>583017901</t>
  </si>
  <si>
    <t>VIR SEPA AU PETIT PRIMEU 100816118 100816118 - 8592010</t>
  </si>
  <si>
    <t>583017885</t>
  </si>
  <si>
    <t>PRLV SEPA RELAIS D OR VA RELAIS D OR VALLEE DU RHONE 4100459801GRANDHOTELDESBAINS - 0E1Q14W</t>
  </si>
  <si>
    <t>583017888</t>
  </si>
  <si>
    <t>COM CB 5667966016 - NB0001/590531 - 0085531</t>
  </si>
  <si>
    <t>583017893</t>
  </si>
  <si>
    <t>VIR SEPA SARL ETS CHANEA FC2549464 FC2549464 - 8592996</t>
  </si>
  <si>
    <t>583017910</t>
  </si>
  <si>
    <t>PRLV SEPA ORANGE SA Votre abonnement fixe: 04XXXXX52 M0036834648 - 0E1G2YP</t>
  </si>
  <si>
    <t>583017905</t>
  </si>
  <si>
    <t>583724832</t>
  </si>
  <si>
    <t>PRLV INT ETS DGFIP PASDSN15042025-032025-3867203200 NN386720320DGFIP2020807504KDIIJX - 0E283DU</t>
  </si>
  <si>
    <t>583724830</t>
  </si>
  <si>
    <t>584294382</t>
  </si>
  <si>
    <t>COM CB 5667966016 - NB0001/092681 - 0086681</t>
  </si>
  <si>
    <t>584294385</t>
  </si>
  <si>
    <t>PRLV SEPA GIE KLESIA COT RETRAITE - GIE KLESIA COTIS - 20 SCG023URAE000659949S - 0E2G34W</t>
  </si>
  <si>
    <t>584294381</t>
  </si>
  <si>
    <t>PRLV SEPA GINEYS S.A.S 03135169 01-519039-002 - 0E2IE7I</t>
  </si>
  <si>
    <t>584294384</t>
  </si>
  <si>
    <t>PRLV SEPA Orange SA Votre abonnement mobile: 06XXXXX ++M0003219595 - 0E2CF0C</t>
  </si>
  <si>
    <t>584294379</t>
  </si>
  <si>
    <t>PRLV SEPA LES GLACES DE HOTELBAINSF51155 EDI2410284RU0000077 - 0E2F9H8</t>
  </si>
  <si>
    <t>585005246</t>
  </si>
  <si>
    <t>COM CB 5667966016 - NB0001/267241 - 0087241</t>
  </si>
  <si>
    <t>585005245</t>
  </si>
  <si>
    <t>VIR SEPA brod alpes facture 25/04/2025 facture 25/04/2025 - 8734261</t>
  </si>
  <si>
    <t>585968148</t>
  </si>
  <si>
    <t>VIR SEPA CABINET CHAUSSI 2853 ET 3599 2853 ET 3599 - 8737038</t>
  </si>
  <si>
    <t>585968151</t>
  </si>
  <si>
    <t>VIR SEPA INTERFACE TECHN id hotel 14528 facture 1078-25 id hotel 14528 facture 1078-25 - 8734067</t>
  </si>
  <si>
    <t>585968141</t>
  </si>
  <si>
    <t>IMPOT / TAXES SEJOUR</t>
  </si>
  <si>
    <t>TAXES SEJOUR</t>
  </si>
  <si>
    <t>VIR SEPA REGIE DE RECETT ref ABV2076462601ERAP ref ABV2076462601ERAP - 8737779</t>
  </si>
  <si>
    <t>585968143</t>
  </si>
  <si>
    <t>VIR SEPA CABINET CHAUSSI 00260000130/002028 00260000130/002028 - 8734342</t>
  </si>
  <si>
    <t>585968131</t>
  </si>
  <si>
    <t>VIR SEPA FAUSTIN WINE FACTURE 2970 FACTURE 2970 - 8736734</t>
  </si>
  <si>
    <t>585968136</t>
  </si>
  <si>
    <t>VIR SEPA LARGIER FACTURE 01250091CH03 FACTURE 01250091CH03 - 8737174</t>
  </si>
  <si>
    <t>585968140</t>
  </si>
  <si>
    <t>VIR SEPA AU PETIT PRIMEU facture 100816082 facture 100816082 - 8734529</t>
  </si>
  <si>
    <t>585968146</t>
  </si>
  <si>
    <t>VIR SEPA SCEA PISCICULTU fac92186 fac92186 - 8734629</t>
  </si>
  <si>
    <t>585968144</t>
  </si>
  <si>
    <t>VIR SEPA PLANCHER FACTURE 03250417 FACTURE 03250417 - 8736848</t>
  </si>
  <si>
    <t>585968137</t>
  </si>
  <si>
    <t>VIR SEPA SARL ETS CHANEA FC2549524 FC2549524 - 8735945</t>
  </si>
  <si>
    <t>585968142</t>
  </si>
  <si>
    <t>VIR SEPA sas sylrius rei fac00000288 fac00000288 - 8735252</t>
  </si>
  <si>
    <t>585968132</t>
  </si>
  <si>
    <t>VIR SEPA CLIMATPRO fs20250302 fs20250302 - 8735524</t>
  </si>
  <si>
    <t>585968135</t>
  </si>
  <si>
    <t>VIR SEPA GIMBER S54955 S54955 - 8735165</t>
  </si>
  <si>
    <t>585968139</t>
  </si>
  <si>
    <t>VIR SEPA piscine assista facture 794 facture 794 - 8735446</t>
  </si>
  <si>
    <t>585968133</t>
  </si>
  <si>
    <t>VIR SEPA CHATEAU DES LEB FACTURE 31 2025 FACTURE 31 2025 - 8736191</t>
  </si>
  <si>
    <t>585968149</t>
  </si>
  <si>
    <t>CEF-YESSS ELEC. DIV. SUD REF TIRE:216/30013 ECH:30/04/25 - 5736008</t>
  </si>
  <si>
    <t>586932230</t>
  </si>
  <si>
    <t>FB SUD EST 300425 - 5736007</t>
  </si>
  <si>
    <t>586932242</t>
  </si>
  <si>
    <t>ABON CYBERPLUS XCBVX665 2025043000474942000001 HABILITATION P8806895 - 0474942</t>
  </si>
  <si>
    <t>586932235</t>
  </si>
  <si>
    <t>SAMSE 300425 - 5679025</t>
  </si>
  <si>
    <t>586932243</t>
  </si>
  <si>
    <t>ECH PRET DONT CAP 1251,43 ASS. 0,00E INT. 62,03 COM. 0,00E - 5406472</t>
  </si>
  <si>
    <t>586932228</t>
  </si>
  <si>
    <t>PRLV SEPA LA NATURE A TA Prelevement LC254728 5730 - 0E35ZR6</t>
  </si>
  <si>
    <t>586932234</t>
  </si>
  <si>
    <t>PRLV SEPA IDEAL PEINTURE FA4015810 GRAND HOTEL LES BAINS-12/2021-00 - 0E3BHTG</t>
  </si>
  <si>
    <t>586932241</t>
  </si>
  <si>
    <t>PRLV SEPA RELAIS D OR VA RELAIS D OR VALLEE DU RHONE 4100459801GRANDHOTELDESBAINS - 0E2C3GB</t>
  </si>
  <si>
    <t>586932238</t>
  </si>
  <si>
    <t>DROMADIS 300425 REF TIRE:00100539 - 5679024</t>
  </si>
  <si>
    <t>586932244</t>
  </si>
  <si>
    <t>586932232</t>
  </si>
  <si>
    <t>AMZN Mktp FR*GZ</t>
  </si>
  <si>
    <t>586932239</t>
  </si>
  <si>
    <t>586932237</t>
  </si>
  <si>
    <t>ENTR BRICOLAGE</t>
  </si>
  <si>
    <t>586932240</t>
  </si>
  <si>
    <t>586932236</t>
  </si>
  <si>
    <t>BON ET VIVANT FR AUBENAS - 12270134049</t>
  </si>
  <si>
    <t>588246272</t>
  </si>
  <si>
    <t>GOOGLE*ADS26328 IE CC GOOGLE.CO - 12270293519</t>
  </si>
  <si>
    <t>588246269</t>
  </si>
  <si>
    <t>PRLV SEPA Xerox Financia 3878827 FR30PF2112674 - 0E32685</t>
  </si>
  <si>
    <t>588246271</t>
  </si>
  <si>
    <t>PRLV SEPA ASSOCIATION C ASS CONTACT HOTEL 4110704C60 - 0E3E1WC</t>
  </si>
  <si>
    <t>588246273</t>
  </si>
  <si>
    <t>ECH PRET DONT CAP 3545,35 ASS. 0,00E INT. 284,57 COM. 0,00E - 9062097</t>
  </si>
  <si>
    <t>588246274</t>
  </si>
  <si>
    <t>588246733</t>
  </si>
  <si>
    <t>INTERMARCHE FR AUBENAS - 12370135038</t>
  </si>
  <si>
    <t>588540170</t>
  </si>
  <si>
    <t>COM CB 5667966016 - NB0001/524911 - 0089911</t>
  </si>
  <si>
    <t>589146367</t>
  </si>
  <si>
    <t>VIR SEPA :24 saison ete P8806895 SALAIRE AVRIL 2025 - 8905745</t>
  </si>
  <si>
    <t>589146366</t>
  </si>
  <si>
    <t>COM CB 5667966016 - NB0001/386781 - 0088781</t>
  </si>
  <si>
    <t>589146368</t>
  </si>
  <si>
    <t>PRLV SEPA GINEYS S.A.S-G 03145992 01-519039-002 - 0E529BP</t>
  </si>
  <si>
    <t>590276081</t>
  </si>
  <si>
    <t>VIR SEPA EDITIONS LVA HA25040293 HA25040293 - 8967070</t>
  </si>
  <si>
    <t>590276103</t>
  </si>
  <si>
    <t>VIR SEPA DUBOIS DE MONTR FACTURE 2025-5-0098 FACTURE 2025-5-0098 - 8966272</t>
  </si>
  <si>
    <t>590276117</t>
  </si>
  <si>
    <t>VIR SEPA sas l3m relais DEVIS N 1-25-04-53 DEVIS N 1-25-04-53 - 8966877</t>
  </si>
  <si>
    <t>590276100</t>
  </si>
  <si>
    <t>VIR SEPA NATHALIE GUNZLE HUMANA FACTURE 755 HUMANA FACTURE 755 - 8966515</t>
  </si>
  <si>
    <t>590276096</t>
  </si>
  <si>
    <t>VIR SEPA Cafes richard 0909863061+0909850545 0909863061+0909850545 - 8966024</t>
  </si>
  <si>
    <t>590276111</t>
  </si>
  <si>
    <t>PRLV SEPA HOTELIOS Facture FCL 2025 1370 - INFRESTA C-10-48-201109-10041889-7 - 0E4AYQS</t>
  </si>
  <si>
    <t>590276106</t>
  </si>
  <si>
    <t>VIR SEPA SAPHIRESA prf 2025 000 068+ 071 prf 2025 000 068+ 071 - 8965187</t>
  </si>
  <si>
    <t>590276120</t>
  </si>
  <si>
    <t>PRLV SEPA REGIE SYNDICAT PRELEVEMENT SEBA FR62ZZZ81CBFD-2618032217-29089 - 0E3N4GM</t>
  </si>
  <si>
    <t>590276112</t>
  </si>
  <si>
    <t>VIR SEPA PST 07 26 FACTURE 25503331 FACTURE 25503331 - 8967763</t>
  </si>
  <si>
    <t>590276099</t>
  </si>
  <si>
    <t>VIR SEPA EXPEDIA LODGING 2520428478 id 866511 2520428478 id 866511 - 8979567</t>
  </si>
  <si>
    <t>590276105</t>
  </si>
  <si>
    <t>VIR SEPA SARL ETS CHANEA FC2549611+FC2549592 FC2549611+FC2549592 - 8966200</t>
  </si>
  <si>
    <t>590276091</t>
  </si>
  <si>
    <t>VIR SEPA AU PETIT PRIMEU FACTURE 100816154 FACTURE 100816154 - 8965861</t>
  </si>
  <si>
    <t>590276124</t>
  </si>
  <si>
    <t>VIR SEPA piscine assista FACTURE 815+802 FACTURE 815+802 - 8967291</t>
  </si>
  <si>
    <t>590276082</t>
  </si>
  <si>
    <t>VIR SEPA ASSOCHUILETIC facture25-05-277 facture25-05-277 - 8979073</t>
  </si>
  <si>
    <t>590276122</t>
  </si>
  <si>
    <t>VIR SEPA alzea acompte LOURDES RAMIREZ FLORES acompte LOURDES RAMIREZ FLORES - 8965342</t>
  </si>
  <si>
    <t>590276126</t>
  </si>
  <si>
    <t>PRLV SEPA KLESIA 20250430CGKLESIA 033605188 0CE8832D0C304AEEB72BC20A094029C5 - 0E527CE</t>
  </si>
  <si>
    <t>590276116</t>
  </si>
  <si>
    <t>VIR SEPA SCEA PISCICULTU FAC92638 FAC92638 - 8966773</t>
  </si>
  <si>
    <t>590276104</t>
  </si>
  <si>
    <t>VIR SEPA BOOKING.COM ID 57616 FACTURE 1629152937 ID 57616 FACTURE 1629152937 - 8966606</t>
  </si>
  <si>
    <t>590276089</t>
  </si>
  <si>
    <t>VIR SEPA BOOKING.COM ID 254064 FACTURE 1629170264 ID 254064 FACTURE 1629170264 - 8966673</t>
  </si>
  <si>
    <t>590276098</t>
  </si>
  <si>
    <t>VIR SEPA CABINET IMBERT facture 25/04/2025 CPAM facture 25/04/2025 CPAM - 8968390</t>
  </si>
  <si>
    <t>590276102</t>
  </si>
  <si>
    <t>PRLV SEPA REGIE SYNDICAT PRELEVEMENT SEBA FR62ZZZ81CBFD-2618032232-29090 - 0E3N3Y2</t>
  </si>
  <si>
    <t>590276087</t>
  </si>
  <si>
    <t>VIR SEPA sdez rhone alpe FACTURE 313 FACTURE 313 - 8965774</t>
  </si>
  <si>
    <t>590276108</t>
  </si>
  <si>
    <t>590276125</t>
  </si>
  <si>
    <t>PRLV SEPA AGICAP agicap JRNVIQJLPIVIN0OP - 0E55JSZ</t>
  </si>
  <si>
    <t>590276121</t>
  </si>
  <si>
    <t>VIR SEPA INTERFACE TECHN FACTURE 2732-25 FACTURE 2732-25 - 8966963</t>
  </si>
  <si>
    <t>590276110</t>
  </si>
  <si>
    <t>PRLV SEPA HOTELIOS Maintenance Mensuelle INFHOTIK C-10-48-201109-10041889-7 - 0E3N2MD</t>
  </si>
  <si>
    <t>590276097</t>
  </si>
  <si>
    <t>PRLV SEPA KLESIA 20250430CGKLESIA 033603616 0CE8832D0C304AEEB72BC20A094029C5 - 0E527CF</t>
  </si>
  <si>
    <t>590276123</t>
  </si>
  <si>
    <t>PRLV SEPA Orange SA Votre abonnement fixe: 04XXXXX21 ++M0021517012 - 0E35HLO</t>
  </si>
  <si>
    <t>590276118</t>
  </si>
  <si>
    <t>LA POSTE 070030 FR AUBENAS CDIS - 12670106437</t>
  </si>
  <si>
    <t>590276090</t>
  </si>
  <si>
    <t>INTERMARCHE FR AUBENAS - 12670106440</t>
  </si>
  <si>
    <t>590276101</t>
  </si>
  <si>
    <t>DARTY FR AUBENAS - 12670106438</t>
  </si>
  <si>
    <t>590276109</t>
  </si>
  <si>
    <t>FOIR'FOUILLE FR AUBENAS - 12670106439</t>
  </si>
  <si>
    <t>590276093</t>
  </si>
  <si>
    <t>LA POSTE 070030 FR AUBENAS CDIS - 12670106436</t>
  </si>
  <si>
    <t>590276084</t>
  </si>
  <si>
    <t>CAVE COOPVIVARA FR SAINT-ETIENN - 12670106441</t>
  </si>
  <si>
    <t>590276088</t>
  </si>
  <si>
    <t>REMBOURSEMENT DE PRET 00001519822 05/05/25 CAPITAL</t>
  </si>
  <si>
    <t>590282697</t>
  </si>
  <si>
    <t>PRELEVEMENT AVEM /INV/NM LOC-11491166 18.4.2025/R/ 2000242000/2214693161 1000-000001045657 FR73ZZZ395135</t>
  </si>
  <si>
    <t>590282695</t>
  </si>
  <si>
    <t>REMBOURSEMENT DE PRET 00001519822 05/05/25 INTERETS</t>
  </si>
  <si>
    <t>590282698</t>
  </si>
  <si>
    <t>PAIEMENT PAR CARTE X7976 LIDL 2719 LABEGUDE 02/05</t>
  </si>
  <si>
    <t>590282701</t>
  </si>
  <si>
    <t>TERRABIO FR AUBENAS - 12770112582</t>
  </si>
  <si>
    <t>591176806</t>
  </si>
  <si>
    <t>AMAZON EU SARL FR PAYLI2090401 - 12770112581</t>
  </si>
  <si>
    <t>591176802</t>
  </si>
  <si>
    <t>FRAIS MEP PRLV SEPA XCIMR012 2025050700060612000001 CREANCIER ATS CULLIGAN VAU - 0060612</t>
  </si>
  <si>
    <t>591176800</t>
  </si>
  <si>
    <t>PRLV SEPA ATS CULLIGAN V RGSC021907 - 0E59QN1</t>
  </si>
  <si>
    <t>591176803</t>
  </si>
  <si>
    <t>PAIEMENT PAR CARTE X7976 LIDL 2719 LABEGUDE 06/05</t>
  </si>
  <si>
    <t>591181345</t>
  </si>
  <si>
    <t>COM CB 5667966016 - NB0001/239551 - 0090551</t>
  </si>
  <si>
    <t>591901921</t>
  </si>
  <si>
    <t>ECH PRET DONT CAP 806,36 ASS. 0,00E INT. 64,72 COM. 0,00E - 9062099</t>
  </si>
  <si>
    <t>592967080</t>
  </si>
  <si>
    <t>PRLV SEPA LES GLACES DE HOTELDESBAINSF51253 EDI2410284RU0000077 - 0E5DY5K</t>
  </si>
  <si>
    <t>592967082</t>
  </si>
  <si>
    <t>ECH PRET DONT CAP 1049,16 ASS. 0,00E INT. 106,94 COM. 0,00E - 9062098</t>
  </si>
  <si>
    <t>592967083</t>
  </si>
  <si>
    <t>PRLV SEPA ORANGE SA Votre abonnement internet (factu M0037206468 - 0E4D33T</t>
  </si>
  <si>
    <t>592967081</t>
  </si>
  <si>
    <t>TOTAL FR 07AUBENAS - 12970305273</t>
  </si>
  <si>
    <t>592967084</t>
  </si>
  <si>
    <t>DROMADIS 100525 REF TIRE:00100763 - 5941008</t>
  </si>
  <si>
    <t>593849961</t>
  </si>
  <si>
    <t>INTERMARCHE FR AUBENAS - 13370102130</t>
  </si>
  <si>
    <t>594847999</t>
  </si>
  <si>
    <t>Amazon.fr*UW90P FR amazon.fr - 13370102128</t>
  </si>
  <si>
    <t>594848008</t>
  </si>
  <si>
    <t>Amazon.fr*XB6U6 FR amazon.fr - 13270114391</t>
  </si>
  <si>
    <t>594848016</t>
  </si>
  <si>
    <t>AMZN Mktp FR*9X LU amazon.fr - 13370102127</t>
  </si>
  <si>
    <t>594848020</t>
  </si>
  <si>
    <t>CARREFOUR MARKE FR VIC-FEZENSAC - 13270114392</t>
  </si>
  <si>
    <t>594848021</t>
  </si>
  <si>
    <t>AMZN Mktp FR*C9 LU amazon.fr - 13370102126</t>
  </si>
  <si>
    <t>594848001</t>
  </si>
  <si>
    <t>SARL LA DINEE FR AVIGNONET-LA - 13270114393</t>
  </si>
  <si>
    <t>594848022</t>
  </si>
  <si>
    <t>RAMAJO FOIE GRA FR DEMU - 13270114394</t>
  </si>
  <si>
    <t>594848000</t>
  </si>
  <si>
    <t>CULTURELA FNAC FR AUBENAS - 13370102131</t>
  </si>
  <si>
    <t>594848027</t>
  </si>
  <si>
    <t>CULTURELA FNAC FR AUBENAS - 13370102129</t>
  </si>
  <si>
    <t>594848015</t>
  </si>
  <si>
    <t>AMAZON EU SARL FR PAYLI2090401 - 13370102125</t>
  </si>
  <si>
    <t>594848026</t>
  </si>
  <si>
    <t>PRLV SEPA CONTACT HOTEL ETAT DES CAGNOTTES 04/2025 0704 - 0E624AY</t>
  </si>
  <si>
    <t>594848003</t>
  </si>
  <si>
    <t>PRLV SEPA PREFILOC CAPIT F250306549 PRE000121421 - 0E5NK32</t>
  </si>
  <si>
    <t>594848019</t>
  </si>
  <si>
    <t>RET DAB BPS MARZE PONT CARTE ******9655 RETRAIT LE 13/05/2025 A 15:43 - P700790</t>
  </si>
  <si>
    <t>594848006</t>
  </si>
  <si>
    <t>PRLV SEPA REGIE SYNDICAT PRELEVEMENT SEBA FR62ZZZ81CBFD-3418-28223 - 0E681ZY</t>
  </si>
  <si>
    <t>594848002</t>
  </si>
  <si>
    <t>PRLV SEPA CEGID SAS FA002-01507752 00RC0000019770055000002B00 - 0E50Y8F</t>
  </si>
  <si>
    <t>594848009</t>
  </si>
  <si>
    <t>RET DAB BPS MARZE PONT CARTE ******9655 RETRAIT LE 13/05/2025 A 15:42 - P700789</t>
  </si>
  <si>
    <t>594848010</t>
  </si>
  <si>
    <t>VIR INST AUBRY ALEXANDRA Pour AUBRY ALEXANDRA salaire - WJURHFS</t>
  </si>
  <si>
    <t>594848023</t>
  </si>
  <si>
    <t>PRLV SEPA LA NATURE A TA Prelevement LC272668 5730 - 0E5L7GG</t>
  </si>
  <si>
    <t>594848024</t>
  </si>
  <si>
    <t>PRLV SEPA N.E.U/LE PETIT PRELEVEMENT BDC:L559110 10/05/25 L559110 - 0E5YB38</t>
  </si>
  <si>
    <t>594847998</t>
  </si>
  <si>
    <t>PRLV SEPA RELAIS D OR VA RELAIS D OR VALLEE DU RHONE 4100459801GRANDHOTELDESBAINS - 0E619TV</t>
  </si>
  <si>
    <t>594848013</t>
  </si>
  <si>
    <t>CYBER+ PAIEMENT ABONNEMT XCPSD033 2025051000031650000001 ABONNEMENT PSD0006262976 - 0031650</t>
  </si>
  <si>
    <t>594848014</t>
  </si>
  <si>
    <t>PAIEMENT PAR CARTE X7976 INTERFACE TECHNOLOG 09/05</t>
  </si>
  <si>
    <t>594856621</t>
  </si>
  <si>
    <t>AMAZON EU SARL FR PAYLI2090401 - 13470105395</t>
  </si>
  <si>
    <t>595683092</t>
  </si>
  <si>
    <t>STARLINK INTERN IE Dublin - 13470105393</t>
  </si>
  <si>
    <t>595683089</t>
  </si>
  <si>
    <t>INTERMARCHE FR AUBENAS - 13470105391</t>
  </si>
  <si>
    <t>595683093</t>
  </si>
  <si>
    <t>AMAZON EU SARL FR PAYLI2090401 - 13470105394</t>
  </si>
  <si>
    <t>595683088</t>
  </si>
  <si>
    <t>AMZN Mktp FR*8M LU amazon.fr - 13470105392</t>
  </si>
  <si>
    <t>595683084</t>
  </si>
  <si>
    <t>PRLV SEPA SACEM-SOC AUTE Prelevement SACEM 01-MAN-2563709-544222805-01 - 0E6RYTL</t>
  </si>
  <si>
    <t>595683085</t>
  </si>
  <si>
    <t>PRLV SEPA SPRE Prelevement SPRE 15-MAN-2563709-544222805-01 - 0E6OC1B</t>
  </si>
  <si>
    <t>595683090</t>
  </si>
  <si>
    <t>COM CB 5667966016 - NB0001/193091 - 0091091</t>
  </si>
  <si>
    <t>595683083</t>
  </si>
  <si>
    <t>PAIEMENT PAR CARTE X7976 BUT AUBENAS LA CHAPE 13/05</t>
  </si>
  <si>
    <t>595695614</t>
  </si>
  <si>
    <t>PRELEVEMENT Noelse France CPREL2505011002383 S6239571919-2239646 FR80ZZZ328855</t>
  </si>
  <si>
    <t>595695617</t>
  </si>
  <si>
    <t>IMPEX FOOD FR CANNES - 13570113805</t>
  </si>
  <si>
    <t>596594925</t>
  </si>
  <si>
    <t>STATIONN 3BA AU FR 26MONTELIMAR - 13570113804</t>
  </si>
  <si>
    <t>596594913</t>
  </si>
  <si>
    <t>VIR SEPA STVB LES THERME facture 213155 facture 213155 - 9214464</t>
  </si>
  <si>
    <t>596594921</t>
  </si>
  <si>
    <t>VIR SEPA Vialle centre e fv/av/24-11-07 fv/av/24-11-07 - 9214686</t>
  </si>
  <si>
    <t>596594916</t>
  </si>
  <si>
    <t>VIR SEPA AU PETIT PRIMEU facture 100816191 facture 100816191 - 9214169</t>
  </si>
  <si>
    <t>596594919</t>
  </si>
  <si>
    <t>VIR SEPA KOROL EQUIPEMEN fdr04065-fdr04064 fdr04065-fdr04064 - 9214598</t>
  </si>
  <si>
    <t>596594927</t>
  </si>
  <si>
    <t>PRLV SEPA Free Pro FACTURE FREEPRO 15/05/2025 F2025 JNRUMSATHERMALECLIMA020230706103 - 0E5LSW3</t>
  </si>
  <si>
    <t>596594922</t>
  </si>
  <si>
    <t>PRLV SEPA SOLOCAL SA 204 /INV/FORM:0002531483/27.04.2025/ 02937492002 - 0E701NC</t>
  </si>
  <si>
    <t>596594926</t>
  </si>
  <si>
    <t>VIR SEPA SARL ETS CHANEA fc2549664 fc2549664 - 9213652</t>
  </si>
  <si>
    <t>596594917</t>
  </si>
  <si>
    <t>VIR SEPA STVB LES THERME factures 599499-600056 factures 599499-600056 - 9214350</t>
  </si>
  <si>
    <t>596594914</t>
  </si>
  <si>
    <t>VIR SEPA ARCANCIANE facture 20250500002 facture 20250500002 - 9213474</t>
  </si>
  <si>
    <t>596594920</t>
  </si>
  <si>
    <t>VIR SEPA SAPHIRESA factures 071-080-079-078-077 factures 071-080-079-078-077 - 9214047</t>
  </si>
  <si>
    <t>596594918</t>
  </si>
  <si>
    <t>PRLV SEPA GINEYS S.A.S-G 03158136 01-519039-002 - 0E701T1</t>
  </si>
  <si>
    <t>596594928</t>
  </si>
  <si>
    <t>PAIEMENT PAR CARTE X3718 FOIR FOUILLE AUBENAS 14/05</t>
  </si>
  <si>
    <t>596603052</t>
  </si>
  <si>
    <t>AMZN Mktp FR*8K LU amazon.fr - 13670113148</t>
  </si>
  <si>
    <t>597226458</t>
  </si>
  <si>
    <t>Amazon Prime*DX FR amazon.fr/pr - 13670113144</t>
  </si>
  <si>
    <t>597226463</t>
  </si>
  <si>
    <t>AMAZON PAYMENTS FR PAYLI2441535 - 13670113146</t>
  </si>
  <si>
    <t>597226462</t>
  </si>
  <si>
    <t>AMZN Mktp FR*5M LU amazon.fr - 13670113145</t>
  </si>
  <si>
    <t>597226467</t>
  </si>
  <si>
    <t>AMAZON PAYMENTS FR PAYLI2441535 - 13670113143</t>
  </si>
  <si>
    <t>597226461</t>
  </si>
  <si>
    <t>LA VALSOISE FR VALS-LES-BAI - 13670113147</t>
  </si>
  <si>
    <t>597226465</t>
  </si>
  <si>
    <t>PRLV SEPA MF GRAND HOTEL DES BAINS PAR PRELEV A0701020241015102338480000000000 - 0E7DL7E</t>
  </si>
  <si>
    <t>597226460</t>
  </si>
  <si>
    <t>PRLV SEPA ORANGE SA Votre abonnement fibre (facture: M0067001527 - 0E6MB1A</t>
  </si>
  <si>
    <t>597226464</t>
  </si>
  <si>
    <t>PRLV SEPA URSSAF RHONE A UR 827000002110121762 AVR 257 T1430653867203200001297356941940 - 0E7ASE3</t>
  </si>
  <si>
    <t>597226466</t>
  </si>
  <si>
    <t>PRLV SEPA EDF SA THERMALE ET CLIMATIQU Ref EDF MA970001250911 - 0E6UGU8</t>
  </si>
  <si>
    <t>597226459</t>
  </si>
  <si>
    <t>597241126</t>
  </si>
  <si>
    <t>VIR SEPA web access F-2025-091 F-2025-091 - 9278482</t>
  </si>
  <si>
    <t>598038110</t>
  </si>
  <si>
    <t>VIR SEPA REGIE DE RECETT abv2076462265ERAP-ABV3758162265E abv2076462265ERAP-ABV3758162265E - 9278347</t>
  </si>
  <si>
    <t>598038111</t>
  </si>
  <si>
    <t>VIR SEPA GIMBER S53400 01657 S53400 01657 - 9278441</t>
  </si>
  <si>
    <t>598038108</t>
  </si>
  <si>
    <t>VIR SEPA taxe de sjour ABV3758162601ERAP ABV3758162601ERAP - 9278383</t>
  </si>
  <si>
    <t>598038109</t>
  </si>
  <si>
    <t>Adobe Systems S IE Saggart, Dub - 13970288329</t>
  </si>
  <si>
    <t>599036208</t>
  </si>
  <si>
    <t>INTERMARCHE FR AUBENAS - 14070100887</t>
  </si>
  <si>
    <t>599036226</t>
  </si>
  <si>
    <t>LA POSTE 070030 FR AUBENAS CDIS - 14070100883</t>
  </si>
  <si>
    <t>599036214</t>
  </si>
  <si>
    <t>AMZN Mktp FR*6S LU amazon.fr - 14070100884</t>
  </si>
  <si>
    <t>599036195</t>
  </si>
  <si>
    <t>AMZN Mktp FR*YF LU amazon.fr - 14070100885</t>
  </si>
  <si>
    <t>599036199</t>
  </si>
  <si>
    <t>DAC COMAVIA FR AUBENAS - 13970117540</t>
  </si>
  <si>
    <t>599036217</t>
  </si>
  <si>
    <t>CASA AUBENAS 1 FR AUBENAS - 14070100886</t>
  </si>
  <si>
    <t>599036200</t>
  </si>
  <si>
    <t>PISCINEDUMONDE2 FR 66PERPIGNAN - 14070100888</t>
  </si>
  <si>
    <t>599036203</t>
  </si>
  <si>
    <t>PRLV SEPA Autoroutes du LD004406240041376270 042025 ++25004137627001188445 - 0E6RJLD</t>
  </si>
  <si>
    <t>599036197</t>
  </si>
  <si>
    <t>PRLV SEPA EDF SA THERMALE CLIMATIQUE D Ref EDF MA970001250911 - 0E71VZN</t>
  </si>
  <si>
    <t>599036222</t>
  </si>
  <si>
    <t>VIR SEPA SUBRENAT in2506-11319 et13115 in2506-11319 et13115 - 9321297</t>
  </si>
  <si>
    <t>599036204</t>
  </si>
  <si>
    <t>VIR SEPA CLAIR ET NET SOLDE ANNEE 2024 SOLDE ANNEE 2024 - 9294095</t>
  </si>
  <si>
    <t>599036223</t>
  </si>
  <si>
    <t>VIR INST ALEXANDRA AUBRY Pour ALEXANDRA AUBRY salaire - WJVWEWT</t>
  </si>
  <si>
    <t>599036229</t>
  </si>
  <si>
    <t>DROMADIS 200525 REF TIRE:00100974 - 6056001</t>
  </si>
  <si>
    <t>599036196</t>
  </si>
  <si>
    <t>VIR SEPA SANOFRUIT 1920565 1920565 - 9293205</t>
  </si>
  <si>
    <t>599036207</t>
  </si>
  <si>
    <t>VIR SEPA SARL ETS CHANEA fc2549735 fc2549735 - 9292881</t>
  </si>
  <si>
    <t>599036215</t>
  </si>
  <si>
    <t>VIR SEPA EDESeco FACTURE 25041682 FACTURE 25041682 - 9298657</t>
  </si>
  <si>
    <t>599036220</t>
  </si>
  <si>
    <t>PRLV SEPA LA NATURE A TA Prelevement LC295051 5730 - 0E7RZDA</t>
  </si>
  <si>
    <t>599036227</t>
  </si>
  <si>
    <t>VIR SEPA SCEA PISCICULTU FAC92904 FAC92904 - 9298532</t>
  </si>
  <si>
    <t>599036211</t>
  </si>
  <si>
    <t>VIR SEPA LOUTRIOL FA1910896 FA1910896 - 9293296</t>
  </si>
  <si>
    <t>599036206</t>
  </si>
  <si>
    <t>PRLV SEPA RELAIS D OR VA RELAIS D OR VALLEE DU RHONE 4100459801GRANDHOTELDESBAINS - 0E6RLTR</t>
  </si>
  <si>
    <t>599036193</t>
  </si>
  <si>
    <t>VIR SEPA soboul producti facture 025064 facture 025064 - 9321728</t>
  </si>
  <si>
    <t>599036209</t>
  </si>
  <si>
    <t>VIR SEPA Vialle centre e facture 43 facture 43 - 9321176</t>
  </si>
  <si>
    <t>599036194</t>
  </si>
  <si>
    <t>COM CB 5667966016 - NB0001/173521 - 0092521</t>
  </si>
  <si>
    <t>599036228</t>
  </si>
  <si>
    <t>PRLV SEPA ORANGE SA-ORAN Votre abonnement mobile: 06XXXXX ++M0017687880 - 0E7GIKI</t>
  </si>
  <si>
    <t>599036198</t>
  </si>
  <si>
    <t>VIR SEPA Cafes richard 0909887867 0909887867 - 9292785</t>
  </si>
  <si>
    <t>599036218</t>
  </si>
  <si>
    <t>VIR SEPA piscine assista FACTURE 838 FACTURE 838 - 9293853</t>
  </si>
  <si>
    <t>599036224</t>
  </si>
  <si>
    <t>VIR SEPA MFG MAXIME FOUC FACTURE 25-05-167 FACTURE 25-05-167 - 9293764</t>
  </si>
  <si>
    <t>599036205</t>
  </si>
  <si>
    <t>PRLV SEPA LES GLACES DE HOTELBAINSF51327 EDI2410284RU0000077 - 0E7RZBF</t>
  </si>
  <si>
    <t>599036219</t>
  </si>
  <si>
    <t>AMZN Mktp FR*NQ LU amazon.fr - 14170107552</t>
  </si>
  <si>
    <t>599867947</t>
  </si>
  <si>
    <t>AMZN Mktp FR*VB LU amazon.fr - 14170107551</t>
  </si>
  <si>
    <t>599867949</t>
  </si>
  <si>
    <t>SUPER U FR RUNGIS - 14170107553</t>
  </si>
  <si>
    <t>599867946</t>
  </si>
  <si>
    <t>COM CB 5667966016 - NB0002/352191 - 0093191</t>
  </si>
  <si>
    <t>599867955</t>
  </si>
  <si>
    <t>PRLV INT ETS DGFIP PASDSN15052025-042025-3867203200 NN386720320DGFIP2020807504KDIIJX - 0E7SZ2V</t>
  </si>
  <si>
    <t>599867948</t>
  </si>
  <si>
    <t>VIR SEPA M GARONZI PASCA ACOMPTE SUR SALAIRE MAI ACOMPTE SUR SALAIRE MAI - 9363912</t>
  </si>
  <si>
    <t>599867954</t>
  </si>
  <si>
    <t>VIR SEPA SARL SUD BUREAU FC029255 FC029255 - 9363859</t>
  </si>
  <si>
    <t>599867952</t>
  </si>
  <si>
    <t>academiedugout FR 92LEVALLOIS - 14270112002</t>
  </si>
  <si>
    <t>600784959</t>
  </si>
  <si>
    <t>PRLV SEPA SAS Skello - S SKELLO U3W2X1UJX5OTK1A6 - 0E8919X</t>
  </si>
  <si>
    <t>601509911</t>
  </si>
  <si>
    <t>PRLV SEPA ORANGE SA Votre abonnement fixe: 04XXXXX52 M0036834648 - 0E7RBYM</t>
  </si>
  <si>
    <t>601509907</t>
  </si>
  <si>
    <t>PRLV SEPA ORANGE SA Votre abonnement fibre (facture: EPCB202311295646844 - 0E7RC1L</t>
  </si>
  <si>
    <t>601509906</t>
  </si>
  <si>
    <t>FRAIS MEP PRLV SEPA XCIMR012 2025052300049045000001 CREANCIER SAS Skello - SIR - 0049045</t>
  </si>
  <si>
    <t>601509910</t>
  </si>
  <si>
    <t>UBER *TRIP NL HELP.UBER.CO - 14470126560</t>
  </si>
  <si>
    <t>601797494</t>
  </si>
  <si>
    <t>BT SECURITY FR COLOMIERS - 14470126561</t>
  </si>
  <si>
    <t>601797493</t>
  </si>
  <si>
    <t>PRLV SEPA GINEYS S.A.S 03168173 01-519039-002 - 0E8DGB0</t>
  </si>
  <si>
    <t>603768900</t>
  </si>
  <si>
    <t>COM CB 5667966016 - NB0001/348481 - 0094481</t>
  </si>
  <si>
    <t>603768907</t>
  </si>
  <si>
    <t>PRLV SEPA GIE KLESIA COT RETRAITE - GIE KLESIA COTIS - 20 SCG023URAE000659949S - 0E8ARWO</t>
  </si>
  <si>
    <t>603768902</t>
  </si>
  <si>
    <t>PRLV SEPA METRO FRANCE S /INV/0002.013520 CMR000003928001 - 0E8HWIG</t>
  </si>
  <si>
    <t>603768903</t>
  </si>
  <si>
    <t>PRLV SEPA GIE CHARMHOTEL GIE CHARMHOTEL ++OCTOBRE2011 - 0E8EATC</t>
  </si>
  <si>
    <t>603768904</t>
  </si>
  <si>
    <t>PRLV SEPA ORANGE SA Votre abonnement mobile: 06XXXXX ++M0003219595 - 0E87D6Z</t>
  </si>
  <si>
    <t>603768905</t>
  </si>
  <si>
    <t>PAIEMENT PAR CARTE X7976 BOULANGER AUBENAS 23/05</t>
  </si>
  <si>
    <t>603774464</t>
  </si>
  <si>
    <t>PAIEMENT PAR CARTE X7976 INTERMARCHE AUBENAS 26/05</t>
  </si>
  <si>
    <t>603774467</t>
  </si>
  <si>
    <t>VIR INST ali amir Pour ALI AMIR acompte salaire mai - WJXFCQA</t>
  </si>
  <si>
    <t>604834360</t>
  </si>
  <si>
    <t>COM CB 5667966016 - NB0001/735221 - 0095221</t>
  </si>
  <si>
    <t>605473607</t>
  </si>
  <si>
    <t>DROMADIS 300525 REF TIRE:00101242 - 6151012</t>
  </si>
  <si>
    <t>605473609</t>
  </si>
  <si>
    <t>PRLV SEPA METRO FRANCE S /INV/0015.010058 CMR000003928001 - 0E9BTZF</t>
  </si>
  <si>
    <t>606210219</t>
  </si>
  <si>
    <t>PRLV SEPA LES GLACES DE HOTELDESBAINSF51422 EDI2410284RU0000077 - 0E95MYQ</t>
  </si>
  <si>
    <t>606210218</t>
  </si>
  <si>
    <t>PRLV SEPA UMIH 07 2EME PRELEVEMENT COTISATION 2025 CAMINALE012014 - 0E9AZS2</t>
  </si>
  <si>
    <t>606210225</t>
  </si>
  <si>
    <t>606210222</t>
  </si>
  <si>
    <t>ECH PRET DONT CAP 1252,37 ASS. 0,00E INT. 61,09 COM. 0,00E - 5406472</t>
  </si>
  <si>
    <t>606210217</t>
  </si>
  <si>
    <t>PRLV SEPA RELAIS D OR VA RELAIS D OR VALLEE DU RHONE 4100459801GRANDHOTELDESBAINS - 0E81R6B</t>
  </si>
  <si>
    <t>606210221</t>
  </si>
  <si>
    <t>PRLV SEPA IDEAL PEINTURE FA4015976 GRAND HOTEL LES BAINS-12/2021-00 - 0E92NC2</t>
  </si>
  <si>
    <t>606210223</t>
  </si>
  <si>
    <t>PRLV SEPA SOCIETE PRINT GRAND HOTEL DES BAINS SSC003702 - 0E8FTF8</t>
  </si>
  <si>
    <t>606210220</t>
  </si>
  <si>
    <t>VIR INST Plicque marie Pour PLICQUE MARIE acompte sur salaire mai - WJXWW7T</t>
  </si>
  <si>
    <t>606489983</t>
  </si>
  <si>
    <t>FB SUD EST 310525 - 6203061</t>
  </si>
  <si>
    <t>606978750</t>
  </si>
  <si>
    <t>COMPTOIR ELECTRIQUE FRAN REF TIRE:216/30013 ECH:31/05/25 - 6203059</t>
  </si>
  <si>
    <t>606978736</t>
  </si>
  <si>
    <t>COM CB 5667966016 - NB0001/035611 - 0096611</t>
  </si>
  <si>
    <t>606978737</t>
  </si>
  <si>
    <t>VIR SEPA PLANCHER FACTURE 04250436 FACTURE 04250436 - 9653024</t>
  </si>
  <si>
    <t>606978747</t>
  </si>
  <si>
    <t>VIR SEPA CHATEAU LES AMO FACTURE 250427 FACTURE 250427 - 9652699</t>
  </si>
  <si>
    <t>606978752</t>
  </si>
  <si>
    <t>VIR SEPA SARL ETS CHANEA FC2549865-FC2549799 FC2549865-FC2549799 - 9651318</t>
  </si>
  <si>
    <t>606978739</t>
  </si>
  <si>
    <t>VIR SEPA L'ALE OUET poll FACTURE 250762 FACTURE 250762 - 9651749</t>
  </si>
  <si>
    <t>606978748</t>
  </si>
  <si>
    <t>VIR SEPA AU PETIT PRIMEU FACTURE 100816229 FACTURE 100816229 - 9651167</t>
  </si>
  <si>
    <t>606978738</t>
  </si>
  <si>
    <t>VIR SEPA THERMHOTEL FCATURE FA250012 FCATURE FA250012 - 9651646</t>
  </si>
  <si>
    <t>606978735</t>
  </si>
  <si>
    <t>VIR SEPA CLIMATPRO FS20250474-473-475 FS20250474-473-475 - 9651133</t>
  </si>
  <si>
    <t>606978749</t>
  </si>
  <si>
    <t>VIR SEPA CENTRE DES FINA 70000-2025-210 70000-2025-210 - 9651085</t>
  </si>
  <si>
    <t>606978746</t>
  </si>
  <si>
    <t>VIR SEPA ARDROM SECURITE FACTURE 015433/DIEC FACTURE 015433/DIEC - 9651703</t>
  </si>
  <si>
    <t>606978741</t>
  </si>
  <si>
    <t>VIR SEPA AQUA NET SERVIC FACTURE 1857 FACTURE 1857 - 9651582</t>
  </si>
  <si>
    <t>606978745</t>
  </si>
  <si>
    <t>VIR SEPA CHATEAU DES LEB FACTURE 49-2025 FACTURE 49-2025 - 9652798</t>
  </si>
  <si>
    <t>606978751</t>
  </si>
  <si>
    <t>VIR SEPA FAUSTIN WINE FACTURE 3071 ET 3069 FACTURE 3071 ET 3069 - 9652973</t>
  </si>
  <si>
    <t>606978744</t>
  </si>
  <si>
    <t>VIR SEPA INTERFACE TECHN FACTURE 3150-25 FACTURE 3150-25 - 9651487</t>
  </si>
  <si>
    <t>606978743</t>
  </si>
  <si>
    <t>SAMSE 310525 - 6203060</t>
  </si>
  <si>
    <t>606978740</t>
  </si>
  <si>
    <t>INTERMARCHE FR AUBENAS - 15470106063</t>
  </si>
  <si>
    <t>608180541</t>
  </si>
  <si>
    <t>GOOGLE *ADS2632 IE ccàgoogle.co - 15370293848</t>
  </si>
  <si>
    <t>608180533</t>
  </si>
  <si>
    <t>VIR SEPA SAPHIRESA FACTURE 2025000098 FACTURE 2025000098 - 9716242</t>
  </si>
  <si>
    <t>608180528</t>
  </si>
  <si>
    <t>VIR SEPA sdez rhone alpe FACTURE 389 FACTURE 389 - 9718133</t>
  </si>
  <si>
    <t>608180526</t>
  </si>
  <si>
    <t>VIR SEPA Plicque marie SALAIRE MAI 2025 SALAIRE MAI 2025 - 9723752</t>
  </si>
  <si>
    <t>608180539</t>
  </si>
  <si>
    <t>PRLV SEPA Xerox Financia 3889989 FR30PF2112674 - 0E95NJ1</t>
  </si>
  <si>
    <t>608180518</t>
  </si>
  <si>
    <t>PRLV SEPA ASSOCIATION C ASS CONTACT HOTEL 4110704C60 - 0E9JWTI</t>
  </si>
  <si>
    <t>608180517</t>
  </si>
  <si>
    <t>VIR SEPA AU PETIT PRIMEU FACTURE 100816267 FACTURE 100816267 - 9717440</t>
  </si>
  <si>
    <t>608180537</t>
  </si>
  <si>
    <t>PRLV SEPA HOTELIOS Maintenance Mensuelle INFHOTIK C-10-48-201109-10041889-7 - 0E9MB33</t>
  </si>
  <si>
    <t>608180532</t>
  </si>
  <si>
    <t>VIR SEPA L'ALE OUET poll FACTURE 251726 FACTURE 251726 - 9716914</t>
  </si>
  <si>
    <t>608180521</t>
  </si>
  <si>
    <t>VIR SEPA CAROLINE ALLEGR FACTURE F00004 FACTURE F00004 - 9717346</t>
  </si>
  <si>
    <t>608180519</t>
  </si>
  <si>
    <t>VIR SEPA ali amir SALAIRE MAI 2025 SALAIRE MAI 2025 - 9723792</t>
  </si>
  <si>
    <t>608180543</t>
  </si>
  <si>
    <t>PRLV SEPA LA NATURE A TA Prelevement LC201502 5730 - 0E8GTXO</t>
  </si>
  <si>
    <t>608180534</t>
  </si>
  <si>
    <t>VIR SEPA NATHALIE GUNZLE FACTURE 788 FACTURE 788 - 9717246</t>
  </si>
  <si>
    <t>608180536</t>
  </si>
  <si>
    <t>PRLV SEPA BPIFRANCE 5181648 F2506/000239812 RUM-01255916 - 0E98L8K</t>
  </si>
  <si>
    <t>608180531</t>
  </si>
  <si>
    <t>VIR SEPA :20 saison ete P8806895 SALAIRE MAI 2025 SALAIRE MAI 2025 - 9723465</t>
  </si>
  <si>
    <t>608180522</t>
  </si>
  <si>
    <t>VIR SEPA CHOMETTE FACTURE 4533494 CLIENT 1003693 FACTURE 4533494 CLIENT 1003693 - 9717717</t>
  </si>
  <si>
    <t>608180524</t>
  </si>
  <si>
    <t>VIR SEPA DUBOIS DE MONTR FACTURE 2025-5-0118 FACTURE 2025-5-0118 - 9717159</t>
  </si>
  <si>
    <t>608180525</t>
  </si>
  <si>
    <t>ABON CYBERPLUS XCBVX665 2025053100057038000001 HABILITATION P8806895 - 0057038</t>
  </si>
  <si>
    <t>608180535</t>
  </si>
  <si>
    <t>VIR SEPA ACCARD LAURENCE FACTURES 4073-4072-4075-4076-407 FACTURES 4073-4072-4075-4076-407 - 9716844</t>
  </si>
  <si>
    <t>608180520</t>
  </si>
  <si>
    <t>ECH PRET DONT CAP 3553,18 ASS. 0,00E INT. 276,74 COM. 0,00E - 9062097</t>
  </si>
  <si>
    <t>608180523</t>
  </si>
  <si>
    <t>608187655</t>
  </si>
  <si>
    <t>INTERMARCHE FR AUBENAS - 15570117750</t>
  </si>
  <si>
    <t>609238146</t>
  </si>
  <si>
    <t>AMZN Mktp FR*3O LU amazon.fr - 15570117751</t>
  </si>
  <si>
    <t>609238145</t>
  </si>
  <si>
    <t>VIR INST GONON DIDIER Pour GONON DIDIER erreur sur salaire acompte non p - WJZ32RS</t>
  </si>
  <si>
    <t>609238144</t>
  </si>
  <si>
    <t>COM CB 5667966016 - NB0001/662801 - 0097801</t>
  </si>
  <si>
    <t>609238147</t>
  </si>
  <si>
    <t>VIR INST SALMA EL FARH L Pour SALMA EL FARH Leila salaire mai 2025 - WJZ3DP6</t>
  </si>
  <si>
    <t>609238143</t>
  </si>
  <si>
    <t>REMBOURSEMENT DE PRET 00001519822 05/06/25 INTERETS</t>
  </si>
  <si>
    <t>609241002</t>
  </si>
  <si>
    <t>PRELEVEMENT AVEM /INV/NM LOC-11491166 18.5.2025/R/ 2000294409/2214693161 1000-000001045657 FR73ZZZ395135</t>
  </si>
  <si>
    <t>609241003</t>
  </si>
  <si>
    <t>REMBOURSEMENT DE PRET 00001519822 05/06/25 CAPITAL</t>
  </si>
  <si>
    <t>609240996</t>
  </si>
  <si>
    <t>VIR SEPA BOOKING.COM facture 1630987328 nh 57616 facture 1630987328 nh 57616 - 9790070</t>
  </si>
  <si>
    <t>610144387</t>
  </si>
  <si>
    <t>PRLV SEPA REGIE SYNDICAT PRELEVEMENT SEBA FR62ZZZ81CBFD-2618032217-29089 - 0EAG0R1</t>
  </si>
  <si>
    <t>610144385</t>
  </si>
  <si>
    <t>VIR SEPA AUBRY ALEXANDRA P8806895 Avance - 9811168</t>
  </si>
  <si>
    <t>610144389</t>
  </si>
  <si>
    <t>PRLV SEPA REGIE SYNDICAT PRELEVEMENT SEBA FR62ZZZ81CBFD-2618032232-29090 - 0EAG0W5</t>
  </si>
  <si>
    <t>610144386</t>
  </si>
  <si>
    <t>PRLV SEPA GINEYS S.A.S-G 03180728 01-519039-002 - 0EASJI0</t>
  </si>
  <si>
    <t>610144383</t>
  </si>
  <si>
    <t>VIR SEPA BOOKING.COM facture 1631008597 nh 254064 facture 1631008597 nh 254064 - 9789923</t>
  </si>
  <si>
    <t>610144384</t>
  </si>
  <si>
    <t>PRLV SEPA LES GLACES DE HOTELBAINSF51484 EDI2410284RU0000077 - 0EAVIAE</t>
  </si>
  <si>
    <t>610786741</t>
  </si>
  <si>
    <t>PRLV SEPA ATS CULLIGAN G RGSC021907 - 0EBH40N</t>
  </si>
  <si>
    <t>610786738</t>
  </si>
  <si>
    <t>VIR INST la valsoise Pour LA VALSOISE facture 00000072 - WJZXPXH</t>
  </si>
  <si>
    <t>610786739</t>
  </si>
  <si>
    <t>AMAZON PAYMENTS FR PAYLI2441535 - 15770117929</t>
  </si>
  <si>
    <t>610786737</t>
  </si>
  <si>
    <t>AMAZON PAYMENTS FR PAYLI2441535 - 15770117930</t>
  </si>
  <si>
    <t>610786740</t>
  </si>
  <si>
    <t>MOULON SERVICES FR AUBENAS - 16170232251</t>
  </si>
  <si>
    <t>612366931</t>
  </si>
  <si>
    <t>INTERMARCHE FR AUBENAS - 16170232252</t>
  </si>
  <si>
    <t>612366938</t>
  </si>
  <si>
    <t>PRLV SEPA RELAIS D OR VA RELAIS D OR VALLEE DU RHONE 4100459801GRANDHOTELDESBAINS - 0E9V7LQ</t>
  </si>
  <si>
    <t>612366929</t>
  </si>
  <si>
    <t>TERRABIO FR AUBENAS - 16170232253</t>
  </si>
  <si>
    <t>612366921</t>
  </si>
  <si>
    <t>VIR SEPA MFG MAXIME FOUC facture 25-06-169 facture 25-06-169 - 9883132</t>
  </si>
  <si>
    <t>612366940</t>
  </si>
  <si>
    <t>MANOMANO FR PARIS - 16170464168</t>
  </si>
  <si>
    <t>612366925</t>
  </si>
  <si>
    <t>COM CB 5667966016 - NB0001/245441 - 0098441</t>
  </si>
  <si>
    <t>612366943</t>
  </si>
  <si>
    <t>VIR SEPA LOUTRIOL fa1910944 fa1910944 - 9883095</t>
  </si>
  <si>
    <t>612366939</t>
  </si>
  <si>
    <t>PRLV SEPA PREFILOC CAPIT F250381794 PRE000121421 - 0EATB6O</t>
  </si>
  <si>
    <t>612366936</t>
  </si>
  <si>
    <t>VIR SEPA La Valsoise Virement de Sa Thermale Et Clima Virement de Sa Thermale Et Clima - 9899879</t>
  </si>
  <si>
    <t>612366927</t>
  </si>
  <si>
    <t>PRLV SEPA ORANGE SA Votre abonnement internet (factu M0037206468 - 0EAHTI6</t>
  </si>
  <si>
    <t>612366928</t>
  </si>
  <si>
    <t>PRLV SEPA AXA I0000871737404-CONTRAT0030773900 00AX000000000007242062 - 0EBZH33</t>
  </si>
  <si>
    <t>612366935</t>
  </si>
  <si>
    <t>PRLV SEPA N.E.U/LE PETIT PRELEVEMENT BDC:L559110 10/06/25 L559110 - 0EC2EFB</t>
  </si>
  <si>
    <t>612366917</t>
  </si>
  <si>
    <t>ECH PRET DONT CAP 1051,48 ASS. 0,00E INT. 104,62 COM. 0,00E - 9062098</t>
  </si>
  <si>
    <t>612366919</t>
  </si>
  <si>
    <t>VIR SEPA web access F-2025-094 F-2025-094 - 9883921</t>
  </si>
  <si>
    <t>612366916</t>
  </si>
  <si>
    <t>ECH PRET DONT CAP 808,14 ASS. 0,00E INT. 62,94 COM. 0,00E - 9062099</t>
  </si>
  <si>
    <t>612366932</t>
  </si>
  <si>
    <t>VIR SEPA SARL ETS CHANEA fc2549930 fc2549930 - 9883345</t>
  </si>
  <si>
    <t>612366912</t>
  </si>
  <si>
    <t>612366941</t>
  </si>
  <si>
    <t>CYBER+ PAIEMENT ABONNEMT XCPSD033 2025061000077430000001 ABONNEMENT PSD0006262976 - 0077430</t>
  </si>
  <si>
    <t>612366922</t>
  </si>
  <si>
    <t>VIR SEPA EXPEDIA LODGING facture 2520574561 id 866511 facture 2520574561 id 866511 - 9883243</t>
  </si>
  <si>
    <t>612366918</t>
  </si>
  <si>
    <t>PRLV SEPA LA NATURE A TA Prelevement LC229634 5730 - 0EBZDH5</t>
  </si>
  <si>
    <t>612366933</t>
  </si>
  <si>
    <t>PRLV SEPA ASS CONTACT HO CAGNOTTES 05/2025 CONTACT HOTEL 0704 - 0EBZ2GU</t>
  </si>
  <si>
    <t>612366937</t>
  </si>
  <si>
    <t>DROMADIS 090625 REF TIRE:00101445 - 6397004</t>
  </si>
  <si>
    <t>612366920</t>
  </si>
  <si>
    <t>VIR SEPA LOUTRIOL FA1911068 FA1911068 - 9883412</t>
  </si>
  <si>
    <t>612366930</t>
  </si>
  <si>
    <t>VIR INST AUBRY ALEXANDRA P8806895 BIPT251620300241187_ Avance - WK0S6GW</t>
  </si>
  <si>
    <t>613356239</t>
  </si>
  <si>
    <t>PRELEVEMENT Noelse France CPREL2506011001910 S6239571919-2239646 FR80ZZZ328855</t>
  </si>
  <si>
    <t>613367203</t>
  </si>
  <si>
    <t>PRLV SEPA REGIE SYNDICAT PRELEVEMENT SEBA FR62ZZZ81CBFD-3418-28223 - 0ECEA2B</t>
  </si>
  <si>
    <t>614254668</t>
  </si>
  <si>
    <t>COM CB 5667966016 - NB0001/044651 - 0099651</t>
  </si>
  <si>
    <t>614254663</t>
  </si>
  <si>
    <t>INTERMARCHELALE FR LALEVADE D'A - 16370121602</t>
  </si>
  <si>
    <t>614254665</t>
  </si>
  <si>
    <t>COMMISSION CARTE 3097105 001 033958 12/06</t>
  </si>
  <si>
    <t>614260634</t>
  </si>
  <si>
    <t>PRLV SEPA Free Pro FACTURE FREEPRO 16/06/2025 F2025 JNRUMSATHERMALECLIMA020230706103 - 0EC1SMI</t>
  </si>
  <si>
    <t>614932344</t>
  </si>
  <si>
    <t>PRLV SEPA CEGID SAS FA002-01535484 00RC0000019770055000002B00 - 0EBP85Y</t>
  </si>
  <si>
    <t>614932347</t>
  </si>
  <si>
    <t>CHEZ CAMILLOU FR PEYRE EN AUB - 16470118604</t>
  </si>
  <si>
    <t>614932342</t>
  </si>
  <si>
    <t>Amazon.fr*K17TF FR amazon.fr - 16470118603</t>
  </si>
  <si>
    <t>614932349</t>
  </si>
  <si>
    <t>COMMISSION CARTE 3097105 001 044100 13/06</t>
  </si>
  <si>
    <t>614932682</t>
  </si>
  <si>
    <t>AMZN Mktp FR*TO LU amazon.fr - 16570134340</t>
  </si>
  <si>
    <t>615172458</t>
  </si>
  <si>
    <t>INTERMARCHE FR AUBENAS - 16570134342</t>
  </si>
  <si>
    <t>615172460</t>
  </si>
  <si>
    <t>STARLINK INTERN IE Dublin - 16570134341</t>
  </si>
  <si>
    <t>615172461</t>
  </si>
  <si>
    <t>BUT AUBENAS FR 07LA CHAPELL - 16570134343</t>
  </si>
  <si>
    <t>615172456</t>
  </si>
  <si>
    <t>CULTURELA FNAC FR AUBENAS - 16570134344</t>
  </si>
  <si>
    <t>615172459</t>
  </si>
  <si>
    <t>LA POSTE 070030 FR AUBENAS CDIS - 16570134339</t>
  </si>
  <si>
    <t>615172457</t>
  </si>
  <si>
    <t>metro.fr O25-49 DE Duesseldorf - 16870106534</t>
  </si>
  <si>
    <t>616794433</t>
  </si>
  <si>
    <t>Amazon Prime*19 FR amazon.fr/pr - 16770289648</t>
  </si>
  <si>
    <t>616794441</t>
  </si>
  <si>
    <t>CULTURELA FNAC FR AUBENAS - 16870106533</t>
  </si>
  <si>
    <t>616794442</t>
  </si>
  <si>
    <t>AMZN Mktp FR*79 LU amazon.fr - 16770115441</t>
  </si>
  <si>
    <t>616794440</t>
  </si>
  <si>
    <t>PPG*MESEPICES FR Pont Saint M - 16870106532</t>
  </si>
  <si>
    <t>616794452</t>
  </si>
  <si>
    <t>AMZN Mktp FR*R5 LU amazon.fr - 16770289649</t>
  </si>
  <si>
    <t>616794453</t>
  </si>
  <si>
    <t>PRLV SEPA LES GLACES DE HOTELDESBAINSF51554 EDI2410284RU0000077 - 0ECLR9D</t>
  </si>
  <si>
    <t>616794451</t>
  </si>
  <si>
    <t>VIR SEPA Cafes richard 0909912013 0909912013 - 0057562</t>
  </si>
  <si>
    <t>616794448</t>
  </si>
  <si>
    <t>VIR SEPA moulon services f20250500002111 f20250500002111 - 0057501</t>
  </si>
  <si>
    <t>616794438</t>
  </si>
  <si>
    <t>PRLV SEPA MF GRAND HOTEL DES BAINS PAR PRELEV A0701020241015102338480000000000 - 0EDHY4M</t>
  </si>
  <si>
    <t>616794439</t>
  </si>
  <si>
    <t>VIR SEPA EDITIONS LVA ha25050250 ha25050250 - 0057415</t>
  </si>
  <si>
    <t>616794445</t>
  </si>
  <si>
    <t>PRLV SEPA ORANGE SA Votre abonnement fibre (facture: M0067001527 - 0ECECN6</t>
  </si>
  <si>
    <t>616794447</t>
  </si>
  <si>
    <t>VIR SEPA ARCANCIANE f-20250600001 f-20250600001 - 0057314</t>
  </si>
  <si>
    <t>616794434</t>
  </si>
  <si>
    <t>PRLV SEPA SOLOCAL SA 204 /INV/FORM:0002647280/27.05.2025/ 02937492002 - 0ECXTQH</t>
  </si>
  <si>
    <t>616794443</t>
  </si>
  <si>
    <t>PRLV SEPA EDF SA THERMALE ET CLIMATIQU Ref EDF MA970001250911 - 0ECNMYL</t>
  </si>
  <si>
    <t>616794432</t>
  </si>
  <si>
    <t>PRLV SEPA EDF SA THERMALE CLIMATIQUE D Ref EDF MA970001250911 - 0ECW3UH</t>
  </si>
  <si>
    <t>616794435</t>
  </si>
  <si>
    <t>VIR SEPA SARL ETS CHANEA fc2550007 fc2550007 - 0057365</t>
  </si>
  <si>
    <t>616794437</t>
  </si>
  <si>
    <t>VIR SEPA AU PETIT PRIMEU 100816306 100816306 - 0057462</t>
  </si>
  <si>
    <t>616794430</t>
  </si>
  <si>
    <t>VIR SEPA CHAREYRE ELEC facture 63901 facture 63901 - 0057265</t>
  </si>
  <si>
    <t>616794431</t>
  </si>
  <si>
    <t>PRLV SEPA GINEYS S.A.S 03194129 01-519039-002 - 0ED19K6</t>
  </si>
  <si>
    <t>616794429</t>
  </si>
  <si>
    <t>PRLV SEPA URSSAF RHONE A UR 827000002110121762 MAI 257 T1430653867203200001297356941940 - 0EDGVXJ</t>
  </si>
  <si>
    <t>616794436</t>
  </si>
  <si>
    <t>COMMISSION CARTE 3097105 001 053951 14/06</t>
  </si>
  <si>
    <t>616797056</t>
  </si>
  <si>
    <t>616797051</t>
  </si>
  <si>
    <t>COMMISSION CARTE 3097105 001 078477 17/06</t>
  </si>
  <si>
    <t>616797054</t>
  </si>
  <si>
    <t>Amazon.fr*AI3XV FR amazon.fr - 16970114082</t>
  </si>
  <si>
    <t>617710302</t>
  </si>
  <si>
    <t>2CO.COMùBITDEFE NL AMSTERDAM - 16970114083</t>
  </si>
  <si>
    <t>617710296</t>
  </si>
  <si>
    <t>INTERMARCHE FR AUBENAS - 16970114085</t>
  </si>
  <si>
    <t>617710298</t>
  </si>
  <si>
    <t>2CO.COMùBITDEFE NL AMSTERDAM - 16970114084</t>
  </si>
  <si>
    <t>617710300</t>
  </si>
  <si>
    <t>VIR SEPA J.PEPIN facture 104 facture 104 - 0114252</t>
  </si>
  <si>
    <t>617710303</t>
  </si>
  <si>
    <t>VIR SEPA ASSOCHUILETIC facture 25-06-287 facture 25-06-287 - 0114353</t>
  </si>
  <si>
    <t>617710294</t>
  </si>
  <si>
    <t>VIR SEPA ACCARD LAURENCE facture 4091 facture 4091 - 0114533</t>
  </si>
  <si>
    <t>617710301</t>
  </si>
  <si>
    <t>VIR SEPA mas du granzon facture 20250407 facture 20250407 - 0115846</t>
  </si>
  <si>
    <t>617710297</t>
  </si>
  <si>
    <t>VIR SEPA L'aigueliere facture 2025-0151 facture 2025-0151 - 0114799</t>
  </si>
  <si>
    <t>617710293</t>
  </si>
  <si>
    <t>VIR SEPA CABINET IMBERT PROVISION PROVISION - 0113928</t>
  </si>
  <si>
    <t>617710299</t>
  </si>
  <si>
    <t>VIR SEPA CABINET CHAUSSI 00260000551/002028 00260000551/002028 - 0115928</t>
  </si>
  <si>
    <t>617710295</t>
  </si>
  <si>
    <t>PRLV SEPA METRO FRANCE S /INV/0014.002211 CMR000003928001 - 0EDMPY9</t>
  </si>
  <si>
    <t>617710304</t>
  </si>
  <si>
    <t>PAIEMENT PAR CARTE X7976 LIDL 2719 LABEGUDE 17/06</t>
  </si>
  <si>
    <t>617732743</t>
  </si>
  <si>
    <t>FRAIS REED. CODE NON URG XCGFC034 2025061900053869000001 REEDITION CODE ********255G - 0053869</t>
  </si>
  <si>
    <t>618488693</t>
  </si>
  <si>
    <t>FRAIS REED. CODE NON URG XCGFC034 2025061900053868000001 REEDITION CODE ********259G - 0053868</t>
  </si>
  <si>
    <t>618488701</t>
  </si>
  <si>
    <t>VIR SEPA Plicque marie acompte salaire juin 2025 acompte salaire juin 2025 - 0136994</t>
  </si>
  <si>
    <t>618488687</t>
  </si>
  <si>
    <t>VIR SEPA STIENT- renner acompte sur salaire juin acompte sur salaire juin - 0138470</t>
  </si>
  <si>
    <t>618488700</t>
  </si>
  <si>
    <t>PRLV SEPA GC RE SOMMIT ANNAPURNA SOFT - SA THERMALE CLI 25FQ9Y5 - 0EDTV95</t>
  </si>
  <si>
    <t>618488695</t>
  </si>
  <si>
    <t>FRAIS MEP PRLV SEPA XCIMR012 2025061900053870000001 CREANCIER GC RE SOMMIT - 0053870</t>
  </si>
  <si>
    <t>618488696</t>
  </si>
  <si>
    <t>DROMADIS 200625 REF TIRE:00101649 - 6542001</t>
  </si>
  <si>
    <t>618488698</t>
  </si>
  <si>
    <t>VIR SEPA MFG FACTURE 1-25-06-4 FACTURE 1-25-06-4 - 0138422</t>
  </si>
  <si>
    <t>618488691</t>
  </si>
  <si>
    <t>ARTEUM MUSEES FR PARIS - 17070118057</t>
  </si>
  <si>
    <t>618488692</t>
  </si>
  <si>
    <t>EPICES DU MONDE FR AUBENAS - 17070118054</t>
  </si>
  <si>
    <t>618488697</t>
  </si>
  <si>
    <t>Adobe Systems S IE Saggart, Dub - 17070118055</t>
  </si>
  <si>
    <t>618488694</t>
  </si>
  <si>
    <t>EPICES DU MONDE FR AUBENAS - 17070118056</t>
  </si>
  <si>
    <t>618488684</t>
  </si>
  <si>
    <t>PRLV SEPA LA NATURE A TA Prelevement LC249214 5730 - 0EDIPTF</t>
  </si>
  <si>
    <t>619058245</t>
  </si>
  <si>
    <t>COTISATION CARTE DD XCGFC157 2025062000050714000001 PLATINUMBUSINES ********528G - 0050714</t>
  </si>
  <si>
    <t>619058246</t>
  </si>
  <si>
    <t>PRLV SEPA RELAIS D OR VA RELAIS D OR VALLEE DU RHONE 4100459801GRANDHOTELDESBAINS - 0ECTM6K</t>
  </si>
  <si>
    <t>619058247</t>
  </si>
  <si>
    <t>PRLV SEPA ORANGE SA-ORAN Votre abonnement mobile: 06XXXXX ++M0017687880 - 0EDZIU6</t>
  </si>
  <si>
    <t>619058248</t>
  </si>
  <si>
    <t>PRLV SEPA Autoroutes du LE004475180041376270 052025 ++25004137627001188445 - 0ECQDUM</t>
  </si>
  <si>
    <t>619058244</t>
  </si>
  <si>
    <t>PAIEMENT PAR CARTE X7976 LIDL 2719 LABEGUDE 19/06</t>
  </si>
  <si>
    <t>619058702</t>
  </si>
  <si>
    <t>COMMISSION CARTE 3097105 001 107782 20/06</t>
  </si>
  <si>
    <t>619058700</t>
  </si>
  <si>
    <t>LIDL 2719 FR 072719LABEGU - 17470116825</t>
  </si>
  <si>
    <t>620915620</t>
  </si>
  <si>
    <t>LA POSTE 070030 FR AUBENAS CDIS - 17570108039</t>
  </si>
  <si>
    <t>620915598</t>
  </si>
  <si>
    <t>Amazon.fr*DC9L3 FR amazon.fr - 17570108037</t>
  </si>
  <si>
    <t>620915604</t>
  </si>
  <si>
    <t>INTERMARCHE FR AUBENAS - 17570108038</t>
  </si>
  <si>
    <t>620915608</t>
  </si>
  <si>
    <t>INTERMARCHE FR AUBENAS - 17470116826</t>
  </si>
  <si>
    <t>620915618</t>
  </si>
  <si>
    <t>academiedugout FR 92LEVALLOIS - 17470116824</t>
  </si>
  <si>
    <t>620915626</t>
  </si>
  <si>
    <t>VIR SEPA STVB LES THERME facture 215720 facture 215720 - 0255192</t>
  </si>
  <si>
    <t>620915599</t>
  </si>
  <si>
    <t>VIR SEPA INTERFACE TECHN facture 3285-25 facture 3285-25 - 0254915</t>
  </si>
  <si>
    <t>620915621</t>
  </si>
  <si>
    <t>COM CB 5667966016 - NB0001/033142 - 0100142</t>
  </si>
  <si>
    <t>620915609</t>
  </si>
  <si>
    <t>VIR INST AUBRY ALEXANDRA CC Avance - WK2YTU1</t>
  </si>
  <si>
    <t>620915603</t>
  </si>
  <si>
    <t>VIR INST GARONZI Pour GARONZI stc - WK2PMEC</t>
  </si>
  <si>
    <t>620915629</t>
  </si>
  <si>
    <t>230625 CB****9655 CCM AUBENAS ET FR AUBENAS 600,00EUR 1 EURO = 1,000000 - 822V4ZJ</t>
  </si>
  <si>
    <t>620915622</t>
  </si>
  <si>
    <t>VIR SEPA SARL ETS CHANEA fc255077 fc255077 - 0254847</t>
  </si>
  <si>
    <t>620915614</t>
  </si>
  <si>
    <t>PRLV INT ETS DGFIP PASDSN16062025-052025-3867203200 NN386720320DGFIP2020807504KDIIJX - 0EE8WX5</t>
  </si>
  <si>
    <t>620915617</t>
  </si>
  <si>
    <t>VIR SEPA subrenat easyte in2506-20300 in2506-20300 - 0255648</t>
  </si>
  <si>
    <t>620915602</t>
  </si>
  <si>
    <t>VIR SEPA SAPHIRESA 2025000110 2025000110 - 0255990</t>
  </si>
  <si>
    <t>620915625</t>
  </si>
  <si>
    <t>VIR SEPA AU PETIT PRIMEU facture 100816352 facture 100816352 - 0253329</t>
  </si>
  <si>
    <t>620915596</t>
  </si>
  <si>
    <t>VIR SEPA EXTERIEUR CONFO facture fa20211251 facture fa20211251 - 0255745</t>
  </si>
  <si>
    <t>620915605</t>
  </si>
  <si>
    <t>PRLV SEPA ORANGE SA Votre abonnement mobile: 06XXXXX ++M0003219595 - 0EDXUQ2</t>
  </si>
  <si>
    <t>620915606</t>
  </si>
  <si>
    <t>VIR SEPA SCEA PISCICULTU fac93058 fac93058 - 0253402</t>
  </si>
  <si>
    <t>620915631</t>
  </si>
  <si>
    <t>VIR SEPA SARL SUD BUREAU facture fc-029670 facture fc-029670 - 0253913</t>
  </si>
  <si>
    <t>620915624</t>
  </si>
  <si>
    <t>VIR SEPA Cafes richard facture 0909938929 facture 0909938929 - 0255876</t>
  </si>
  <si>
    <t>620915607</t>
  </si>
  <si>
    <t>VIR SEPA GIMBER facture 03924 facture 03924 - 0253534</t>
  </si>
  <si>
    <t>620915633</t>
  </si>
  <si>
    <t>PRLV SEPA GIE CHARMHOTEL GIE CHARMHOTEL ++OCTOBRE2011 - 0EE827P</t>
  </si>
  <si>
    <t>620915611</t>
  </si>
  <si>
    <t>VIR INST ALEXANDRA AUBRY P8806895 BIPT251750300906253_ Salaire - WK2YTSS</t>
  </si>
  <si>
    <t>620915628</t>
  </si>
  <si>
    <t>VIR SEPA nolo frere facture 14803 facture 14803 - 0254633</t>
  </si>
  <si>
    <t>620915632</t>
  </si>
  <si>
    <t>PRLV SEPA ORANGE SA Votre abonnement fibre (facture: EPCB202311295646844 - 0EDOVQ2</t>
  </si>
  <si>
    <t>620915597</t>
  </si>
  <si>
    <t>COMMISSION CARTE 3097105 001 126214 22/06</t>
  </si>
  <si>
    <t>620917266</t>
  </si>
  <si>
    <t>PRLV SEPA GINEYS S.A.S 03207377 01-519039-002 - 0EELL4E</t>
  </si>
  <si>
    <t>621768251</t>
  </si>
  <si>
    <t>PRLV SEPA GIE KLESIA COT RETRAITE - GIE KLESIA COTIS - 20 SCG023URAE000659949S - 0EEIJNN</t>
  </si>
  <si>
    <t>621768248</t>
  </si>
  <si>
    <t>CREATY'S FLOR FR JOYEUSE - 17670112152</t>
  </si>
  <si>
    <t>621768249</t>
  </si>
  <si>
    <t>Amazon.fr*5O81T FR amazon.fr - 17670112150</t>
  </si>
  <si>
    <t>621768250</t>
  </si>
  <si>
    <t>SUMUP *SARL PO FR VALS LES BAI - 17670112154</t>
  </si>
  <si>
    <t>621768245</t>
  </si>
  <si>
    <t>DARTY FR AUBENAS - 17670112153</t>
  </si>
  <si>
    <t>621768243</t>
  </si>
  <si>
    <t>INTERMARCHE FR AUBENAS - 17670112151</t>
  </si>
  <si>
    <t>621768247</t>
  </si>
  <si>
    <t>COMMISSION CARTE 3097105 001 149991 25/06</t>
  </si>
  <si>
    <t>621771618</t>
  </si>
  <si>
    <t>INTERMARCHE FR AUBENAS - 17770121551</t>
  </si>
  <si>
    <t>622609773</t>
  </si>
  <si>
    <t>VIR SEPA ASSO OFFICE MUN F2025-0001 F2025-0001 - 0317381</t>
  </si>
  <si>
    <t>622609768</t>
  </si>
  <si>
    <t>IMPOT / TF</t>
  </si>
  <si>
    <t>TF</t>
  </si>
  <si>
    <t>PRLV SEPA DIRECTION GENE 0704738672032000012222 NNFR46ZZZ005002P007000329105 - 0ED4H9Z</t>
  </si>
  <si>
    <t>622609770</t>
  </si>
  <si>
    <t>PRLV INT ETS DGFIP TVA-062025-3310CA3 NN386720320DGFIP2020807504KDIIJX - 0EENUBK</t>
  </si>
  <si>
    <t>622609769</t>
  </si>
  <si>
    <t>COMMISSION CARTE 3097105 001 159618 26/06</t>
  </si>
  <si>
    <t>622610481</t>
  </si>
  <si>
    <t>ENTR BRICOLAGE FR AUBENAS - 17870123471</t>
  </si>
  <si>
    <t>623270073</t>
  </si>
  <si>
    <t>FOIR FOUILLE FR AUBENAS - 17870123470</t>
  </si>
  <si>
    <t>623270085</t>
  </si>
  <si>
    <t>BUT AUBENAS FR 07LA CHAPELL - 17870123472</t>
  </si>
  <si>
    <t>623270068</t>
  </si>
  <si>
    <t>AMZN Mktp FR*VN LU amazon.fr - 17870123466</t>
  </si>
  <si>
    <t>623270061</t>
  </si>
  <si>
    <t>AMZN Mktp FR*2J LU amazon.fr - 17870123469</t>
  </si>
  <si>
    <t>623270064</t>
  </si>
  <si>
    <t>AMZN Mktp FR*KD LU amazon.fr - 17870123467</t>
  </si>
  <si>
    <t>623270060</t>
  </si>
  <si>
    <t>AMZN Mktp FR*RH LU amazon.fr - 17870123468</t>
  </si>
  <si>
    <t>623270077</t>
  </si>
  <si>
    <t>VIR INST LOUTRIOL Pour LOUTRIOL FA1911174 - WK3IYLC</t>
  </si>
  <si>
    <t>623270086</t>
  </si>
  <si>
    <t>VIR SEPA CABINET CHAUSSI facture 00250002232 facture 00250002232 - 0370040</t>
  </si>
  <si>
    <t>623270062</t>
  </si>
  <si>
    <t>VIR SEPA LOUTRIOL facture 1911235 facture 1911235 - 0357775</t>
  </si>
  <si>
    <t>623270084</t>
  </si>
  <si>
    <t>VIR INST sdez rhone alpe Pour sdez rhone alpes linge FACTURE 464 - WK3JQCE</t>
  </si>
  <si>
    <t>623270065</t>
  </si>
  <si>
    <t>VIR SEPA SANOFRUIT facture 1920983 facture 1920983 - 0356377</t>
  </si>
  <si>
    <t>623270072</t>
  </si>
  <si>
    <t>VIR SEPA cave a biere facture 25123648 facture 25123648 - 0358472</t>
  </si>
  <si>
    <t>623270078</t>
  </si>
  <si>
    <t>VIR INST DAVID REYNAUD Pour DAVID REYNAUD FACTURE 20260909 - WK3JGCY</t>
  </si>
  <si>
    <t>623270076</t>
  </si>
  <si>
    <t>VIR INST CLIMAT PRO Pour CLIMAT PRO FS20250578+FS20250579 - WK3JO6A</t>
  </si>
  <si>
    <t>623270071</t>
  </si>
  <si>
    <t>VIR INST LES CAVES VIVAR Pour LES CAVES VIVARAISES FACTURE 2505172 - WK3JGAS</t>
  </si>
  <si>
    <t>623270063</t>
  </si>
  <si>
    <t>COM CB 5667966016 - NB0001/571631 - 0101631</t>
  </si>
  <si>
    <t>623270082</t>
  </si>
  <si>
    <t>VIR INST INTERFACE TECHN Pour INTERFACE TECHNOLOGIES FACTURE 3257-25 - WK3IYOB</t>
  </si>
  <si>
    <t>623270080</t>
  </si>
  <si>
    <t>VIR INST CHATEAU DES LEB Pour CHATEAU DES LEBRES FACTURE 74-2025 - WK3JO29</t>
  </si>
  <si>
    <t>623270067</t>
  </si>
  <si>
    <t>VIR SEPA STVB LES THERME facture 216399 facture 216399 - 0356269</t>
  </si>
  <si>
    <t>623270079</t>
  </si>
  <si>
    <t>VIR SEPA SARL ETS CHANEA fc25520142 fc25520142 - 0358216</t>
  </si>
  <si>
    <t>623270083</t>
  </si>
  <si>
    <t>VIR SEPA EURL BROT FA00003613 FA00003613 - 0370959</t>
  </si>
  <si>
    <t>623270074</t>
  </si>
  <si>
    <t>VIR SEPA ACCARD LAURENCE FACTURE 4104 FACTURE 4104 - 0370832</t>
  </si>
  <si>
    <t>623270069</t>
  </si>
  <si>
    <t>DROMADIS 300625 REF TIRE:00101924 - 6622041</t>
  </si>
  <si>
    <t>624040898</t>
  </si>
  <si>
    <t>COMPTOIR ELECTRIQUE FRAN REF TIRE:216/30013 ECH:30/06/25 - 6704065</t>
  </si>
  <si>
    <t>624040894</t>
  </si>
  <si>
    <t>SAMSE 300625 - 6622042</t>
  </si>
  <si>
    <t>624040896</t>
  </si>
  <si>
    <t>FB SUD EST 300625 - 6622040</t>
  </si>
  <si>
    <t>624040895</t>
  </si>
  <si>
    <t>metro.fr O25-49 DE Duesseldorf - 18270118556</t>
  </si>
  <si>
    <t>625445804</t>
  </si>
  <si>
    <t>metro.fr O25-49 DE Duesseldorf - 18270118557</t>
  </si>
  <si>
    <t>625445801</t>
  </si>
  <si>
    <t>LA POSTE 070030 FR AUBENAS CDIS - 18170124047</t>
  </si>
  <si>
    <t>625445792</t>
  </si>
  <si>
    <t>AMAZON PAYMENTS FR PAYLI2441535 - 18170434202</t>
  </si>
  <si>
    <t>625445799</t>
  </si>
  <si>
    <t>AMAZON EU SARL FR PAYLI2090401 - 18170124048</t>
  </si>
  <si>
    <t>625445797</t>
  </si>
  <si>
    <t>VIR SEPA TRES.HOSPITALIE P8806895 MUKYALA STELLA - 0495101</t>
  </si>
  <si>
    <t>625445795</t>
  </si>
  <si>
    <t>ABON CYBERPLUS XCBVX665 2025063000477109000001 HABILITATION P8806895 - 0477109</t>
  </si>
  <si>
    <t>625445793</t>
  </si>
  <si>
    <t>VIR SEPA M LOIC CAMINALE avance travaux kango avance travaux kango - 0437189</t>
  </si>
  <si>
    <t>625445796</t>
  </si>
  <si>
    <t>PRLV SEPA LOCAM PRELEVEMENT LOCAM PARTENAIRE DE LD159120820200062519 - 0EF8L1D</t>
  </si>
  <si>
    <t>625445789</t>
  </si>
  <si>
    <t>PRLV SEPA RELAIS D OR VA RELAIS D OR VALLEE DU RHONE 4100459801GRANDHOTELDESBAINS - 0EEEISR</t>
  </si>
  <si>
    <t>625445787</t>
  </si>
  <si>
    <t>PRLV SEPA LA NATURE A TA Prelevement LC268130 5730 - 0EFCBC1</t>
  </si>
  <si>
    <t>625445800</t>
  </si>
  <si>
    <t>VIR SEPA moulon services f/202504/00002082 f/202504/00002082 - 0437313</t>
  </si>
  <si>
    <t>625445794</t>
  </si>
  <si>
    <t>VIR SEPA CHOMETTE facture 5686401 facture 5686401 - 0436787</t>
  </si>
  <si>
    <t>625445791</t>
  </si>
  <si>
    <t>625445809</t>
  </si>
  <si>
    <t>VIR SEPA alzea CONVENTION DELEGATION LOURDES CONVENTION DELEGATION LOURDES - 0495249</t>
  </si>
  <si>
    <t>625445811</t>
  </si>
  <si>
    <t>PRLV SEPA ASSOCIATION C ASS CONTACT HOTEL 4110704C60 - 0EFB0MZ</t>
  </si>
  <si>
    <t>625445802</t>
  </si>
  <si>
    <t>PRLV SEPA Xerox Financia 3904900 FR30PF2112674 - 0EF544L</t>
  </si>
  <si>
    <t>625445812</t>
  </si>
  <si>
    <t>PRLV SEPA IDEAL PEINTURE FA4016172 GRAND HOTEL LES BAINS-12/2021-00 - 0EFBJK5</t>
  </si>
  <si>
    <t>625445807</t>
  </si>
  <si>
    <t>VIR SEPA SAPHIRESA facture 2025000117 facture 2025000117 - 0436687</t>
  </si>
  <si>
    <t>625445813</t>
  </si>
  <si>
    <t>VIR SEPA EDITIONS LVA ha25060230 ha25060230 - 0437013</t>
  </si>
  <si>
    <t>625445814</t>
  </si>
  <si>
    <t>625445808</t>
  </si>
  <si>
    <t>VIR SEPA :2 saison ete 2 P8806895 salaire juin salaire juin - 0493273</t>
  </si>
  <si>
    <t>625445788</t>
  </si>
  <si>
    <t>ECH PRET DONT CAP 1253,31 ASS. 0,00E INT. 60,15 COM. 0,00E - 5406472</t>
  </si>
  <si>
    <t>625445805</t>
  </si>
  <si>
    <t>VIR SEPA :21 saison ete P8806895 SALAIRE JUIN SALAIRE JUIN - 0492037</t>
  </si>
  <si>
    <t>625445806</t>
  </si>
  <si>
    <t>PAIEMENT PAR CARTE X7976 AMAZON PAYMENTS PAYL 27/06</t>
  </si>
  <si>
    <t>625447680</t>
  </si>
  <si>
    <t>COMMISSION CARTE 3097105 001 188243 29/06</t>
  </si>
  <si>
    <t>625447688</t>
  </si>
  <si>
    <t>PAIEMENT PAR CARTE X7976 FOIR FOUILLE AUBENAS 27/06</t>
  </si>
  <si>
    <t>625447678</t>
  </si>
  <si>
    <t>COMMISSION CARTE 3097105 001 203139 01/07</t>
  </si>
  <si>
    <t>625447679</t>
  </si>
  <si>
    <t>625447686</t>
  </si>
  <si>
    <t>GOOGLE *ADS2632 IE ccàgoogle.co - 18370123870</t>
  </si>
  <si>
    <t>626459237</t>
  </si>
  <si>
    <t>INTERMARCHE FR AUBENAS - 18370123868</t>
  </si>
  <si>
    <t>626459246</t>
  </si>
  <si>
    <t>LA POSTE 070030 FR AUBENAS CDIS - 18370123869</t>
  </si>
  <si>
    <t>626459240</t>
  </si>
  <si>
    <t>metro.fr O25-49 DE Duesseldorf - 18370123871</t>
  </si>
  <si>
    <t>626459239</t>
  </si>
  <si>
    <t>PRLV SEPA HOTELIOS Maintenance Mensuelle INFHOTIK C-10-48-201109-10041889-7 - 0EFDWTI</t>
  </si>
  <si>
    <t>626459245</t>
  </si>
  <si>
    <t>VIR SEPA BOUQALLABA SARA regul stc regul stc - 0540721</t>
  </si>
  <si>
    <t>626459255</t>
  </si>
  <si>
    <t>VIR SEPA ACCARD LAURENCE facture 4107+4108 facture 4107+4108 - 0527579</t>
  </si>
  <si>
    <t>626459242</t>
  </si>
  <si>
    <t>PRLV SEPA METRO FRANCE S /INV/0018.004726 CMR000003928001 - 0EFZK6F</t>
  </si>
  <si>
    <t>626459248</t>
  </si>
  <si>
    <t>VIR SEPA CABINET CHAUSSI 679+942 679+942 - 0540207</t>
  </si>
  <si>
    <t>626459241</t>
  </si>
  <si>
    <t>VIR SEPA NATHALIE GUNZLE facture 789 facture 789 - 0527671</t>
  </si>
  <si>
    <t>626459243</t>
  </si>
  <si>
    <t>ECH PRET DONT CAP 3561,03 ASS. 0,00E INT. 268,89 COM. 0,00E - 9062097</t>
  </si>
  <si>
    <t>626459254</t>
  </si>
  <si>
    <t>VIR SEPA moulon services f/202506/00002143 f/202506/00002143 - 0540287</t>
  </si>
  <si>
    <t>626459250</t>
  </si>
  <si>
    <t>VIR SEPA AU PETIT PRIMEU facture 100816390 facture 100816390 - 0527430</t>
  </si>
  <si>
    <t>626459253</t>
  </si>
  <si>
    <t>VIR SEPA ARDROM FACTURE 015433/DIEC FACTURE 015433/DIEC - 0527344</t>
  </si>
  <si>
    <t>626459247</t>
  </si>
  <si>
    <t>VIR SEPA PROMOTION SERVI facture f-2025060159 facture f-2025060159 - 0527848</t>
  </si>
  <si>
    <t>626459249</t>
  </si>
  <si>
    <t>COM CB 5667966016 - NB0002/360631 - 0102631</t>
  </si>
  <si>
    <t>626459251</t>
  </si>
  <si>
    <t>VIR SEPA DUBOIS DE MONTR facture 2025-6-0139 facture 2025-6-0139 - 0527762</t>
  </si>
  <si>
    <t>626459252</t>
  </si>
  <si>
    <t>VIR SEPA domaine chaboud facture 25000593 facture 25000593 - 0534787</t>
  </si>
  <si>
    <t>626459238</t>
  </si>
  <si>
    <t>PAIEMENT PAR CARTE X7976 INTERMARCHELALEVADE 01/07</t>
  </si>
  <si>
    <t>626464704</t>
  </si>
  <si>
    <t>COMMISSION CARTE 3097105 001 213114 02/07</t>
  </si>
  <si>
    <t>626464702</t>
  </si>
  <si>
    <t>626464701</t>
  </si>
  <si>
    <t>INTERMARCHE FR AUBENAS - 18470131329</t>
  </si>
  <si>
    <t>627446062</t>
  </si>
  <si>
    <t>AMZN Mktp FR*KL LU amazon.fr - 18470131330</t>
  </si>
  <si>
    <t>627446052</t>
  </si>
  <si>
    <t>VIR SEPA Cafes richard FACTURE 0909961849 FACTURE 0909961849 - 0569225</t>
  </si>
  <si>
    <t>627446046</t>
  </si>
  <si>
    <t>VIR SEPA L'ALE OUET poll facture 252185 facture 252185 - 0569312</t>
  </si>
  <si>
    <t>627446049</t>
  </si>
  <si>
    <t>VIR SEPA SARL SUD BUREAU FC-030460 FC-030460 - 0569157</t>
  </si>
  <si>
    <t>627446040</t>
  </si>
  <si>
    <t>DAC COMAVIA FR AUBENAS - 18570126722</t>
  </si>
  <si>
    <t>628171897</t>
  </si>
  <si>
    <t>AMAZON PAYMENTS FR PAYLI2441535 - 18570126721</t>
  </si>
  <si>
    <t>628171894</t>
  </si>
  <si>
    <t>PRLV SEPA LES GLACES DE GRANDHOTELBAINSF51730 EDI2410284RU0000077 - 0EGINTS</t>
  </si>
  <si>
    <t>628171895</t>
  </si>
  <si>
    <t>PRLV SEPA LES GLACES DE HOTELDESBAINSF51798 EDI2410284RU0000077 - 0EGINTQ</t>
  </si>
  <si>
    <t>628171896</t>
  </si>
  <si>
    <t>COMMISSION CARTE 3097105 001 233235 04/07</t>
  </si>
  <si>
    <t>628172554</t>
  </si>
  <si>
    <t>PRELEVEMENT AVEM /INV/NM LOC-11491166 18.6.2025/R/ 2000347705/2214693161 1000-000001045657 FR73ZZZ395135</t>
  </si>
  <si>
    <t>628172555</t>
  </si>
  <si>
    <t>PAIEMENT PAR CARTE X3718 FOIR'FOUILLE AUBENAS 03/07</t>
  </si>
  <si>
    <t>628172558</t>
  </si>
  <si>
    <t>REMBOURSEMENT DE PRET 00001519822 05/07/25 INTERETS</t>
  </si>
  <si>
    <t>628172556</t>
  </si>
  <si>
    <t>REMBOURSEMENT DE PRET 00001519822 05/07/25 CAPITAL</t>
  </si>
  <si>
    <t>628172553</t>
  </si>
  <si>
    <t>ARRETE COMPTE 2 EME TRIMESTRE 2025 - 1199021</t>
  </si>
  <si>
    <t>629093400</t>
  </si>
  <si>
    <t>629093402</t>
  </si>
  <si>
    <t>COM CB 5667966016 - NB0002/940011 - 0103011</t>
  </si>
  <si>
    <t>629093401</t>
  </si>
  <si>
    <t>PRLV SEPA GINEYS S.A.S 03222678 01-519039-002 - 0EH43RH</t>
  </si>
  <si>
    <t>630428310</t>
  </si>
  <si>
    <t>RET DAB BPS MRZ AUBENAS CARTE ******9655 RETRAIT LE 08/07/2025 A 13:45 - PDE1855</t>
  </si>
  <si>
    <t>630428311</t>
  </si>
  <si>
    <t>COM CB 5667966016 - NB0001/400301 - 0104301</t>
  </si>
  <si>
    <t>630428326</t>
  </si>
  <si>
    <t>PRLV SEPA CEGID SAS FA002-01559925 00RC0000019770055000002B00 - 0EFR3WQ</t>
  </si>
  <si>
    <t>630428327</t>
  </si>
  <si>
    <t>ECH PRET DONT CAP 809,92 ASS. 0,00E INT. 61,16 COM. 0,00E - 9062099</t>
  </si>
  <si>
    <t>630428318</t>
  </si>
  <si>
    <t>ECH PRET DONT CAP 1053,80 ASS. 0,00E INT. 102,30 COM. 0,00E - 9062098</t>
  </si>
  <si>
    <t>630428304</t>
  </si>
  <si>
    <t>PRLV SEPA REGIE SYNDICAT FR62ZZZ81CBFD-2618032217-29089 - 0EGTRL7</t>
  </si>
  <si>
    <t>630428303</t>
  </si>
  <si>
    <t>PRLV SEPA REGIE SYNDICAT FR62ZZZ81CBFD-2618032232-29090 - 0EGTQF2</t>
  </si>
  <si>
    <t>630428331</t>
  </si>
  <si>
    <t>PRLV SEPA ATS CULLIGAN G RGSC021907 - 0EHA6D7</t>
  </si>
  <si>
    <t>630428313</t>
  </si>
  <si>
    <t>Amazon.fr*RC9H0 FR amazon.fr - 18870296757</t>
  </si>
  <si>
    <t>630428332</t>
  </si>
  <si>
    <t>AMZN Mktp FR*RC LU amazon.fr - 18970115795</t>
  </si>
  <si>
    <t>630428308</t>
  </si>
  <si>
    <t>AMZN Mktp FR*RC LU amazon.fr - 18970115794</t>
  </si>
  <si>
    <t>630428324</t>
  </si>
  <si>
    <t>COMMISSION CARTE 3097105 001 260259 07/07</t>
  </si>
  <si>
    <t>630429211</t>
  </si>
  <si>
    <t>COMMISSION CARTE 3097105 001 243017 05/07</t>
  </si>
  <si>
    <t>630429208</t>
  </si>
  <si>
    <t>INTERMARCHE FR AUBENAS - 19070115597</t>
  </si>
  <si>
    <t>631449173</t>
  </si>
  <si>
    <t>PRLV SEPA ORANGE SA FIXENT - P - Facture: 301383557 89001440490002244096 - 0EHRPA5</t>
  </si>
  <si>
    <t>631449176</t>
  </si>
  <si>
    <t>DROMADIS 100725 REF TIRE:00102146 - 6890002</t>
  </si>
  <si>
    <t>631449175</t>
  </si>
  <si>
    <t>PAIEMENT PAR CARTE X7976 LIDL 2719 LABEGUDE 08/07</t>
  </si>
  <si>
    <t>631461439</t>
  </si>
  <si>
    <t>AMZN Mktp FR*RC LU amazon.fr - 19170137511</t>
  </si>
  <si>
    <t>632337771</t>
  </si>
  <si>
    <t>PRLV SEPA PREFILOC CAPIT F250460718 PRE000121421 - 0EIGVS5</t>
  </si>
  <si>
    <t>632337770</t>
  </si>
  <si>
    <t>PRLV SEPA CONTACT HOTEL CAGNOTTES 06/2025 CONTACT HOTEL 0704 - 0EIFWU5</t>
  </si>
  <si>
    <t>632337778</t>
  </si>
  <si>
    <t>PRLV SEPA N.E.U/LE PETIT PRELEVEMENT BDC:L559110 10/07/25 L559110 - 0EIIR57</t>
  </si>
  <si>
    <t>632337775</t>
  </si>
  <si>
    <t>PRLV SEPA LA NATURE A TA Prelevement LC283463 5730 - 0EIF0XX</t>
  </si>
  <si>
    <t>632337777</t>
  </si>
  <si>
    <t>PRLV SEPA RELAIS D OR VA RELAIS D OR VALLEE DU RHONE 4100459801GRANDHOTELDESBAINS - 0EFYQ5Q</t>
  </si>
  <si>
    <t>632337774</t>
  </si>
  <si>
    <t>PRLV SEPA AXA I0000881020274-CONTRAT0000010693 00AX000000000015277894 - 0EH1NCI</t>
  </si>
  <si>
    <t>632337772</t>
  </si>
  <si>
    <t>CYBER+ PAIEMENT ABONNEMT XCPSD033 2025071000062616000001 ABONNEMENT PSD0006262976 - 0062616</t>
  </si>
  <si>
    <t>632337779</t>
  </si>
  <si>
    <t>PRLV SEPA LES GLACES DE HOTELDESBAINSF51891 EDI2410284RU0000077 - 0EI9YKY</t>
  </si>
  <si>
    <t>632991571</t>
  </si>
  <si>
    <t>PRELEVEMENT Noelse France CPREL2507011002937 S6239571919-2239646 FR80ZZZ328855</t>
  </si>
  <si>
    <t>632992185</t>
  </si>
  <si>
    <t>COMMISSION CARTE 3097105 001 297330 11/07</t>
  </si>
  <si>
    <t>632992188</t>
  </si>
  <si>
    <t>STARLINK INTERN IE Dublin - 19670217798</t>
  </si>
  <si>
    <t>634651269</t>
  </si>
  <si>
    <t>RET DAB BPS MRZ AUBENAS CARTE ******9655 RETRAIT LE 15/07/2025 A 10:07 - PDE2131</t>
  </si>
  <si>
    <t>634651271</t>
  </si>
  <si>
    <t>PRLV SEPA REGIE SYNDICAT PRELEVEMENT SEBA FR62ZZZ81CBFD-3418-28223 - 0EIX9ME</t>
  </si>
  <si>
    <t>634651270</t>
  </si>
  <si>
    <t>PRLV SEPA SOLOCAL SA 204 /INV/FORM:0002764553/27.06.2025/ 02937492002 - 0EJ6W9F</t>
  </si>
  <si>
    <t>634651268</t>
  </si>
  <si>
    <t>PRLV SEPA Free Pro FACTURE FREEPRO 15/07/2025 F2025 JNRUMSATHERMALECLIMA020230706103 - 0EI801R</t>
  </si>
  <si>
    <t>634651274</t>
  </si>
  <si>
    <t>PRLV SEPA ORANGE SA Votre abonnement fibre (facture: M0067001527 - 0EIBAM8</t>
  </si>
  <si>
    <t>634651277</t>
  </si>
  <si>
    <t>COMMISSION CARTE 3097105 001 315785 13/07</t>
  </si>
  <si>
    <t>634652809</t>
  </si>
  <si>
    <t>PAIEMENT PAR CARTE X7976 ANTARGAZ COURBEVOIE 17/07</t>
  </si>
  <si>
    <t>644929297</t>
  </si>
  <si>
    <t>COMMISSION CARTE 3097105 001 454802 30/07</t>
  </si>
  <si>
    <t>644929312</t>
  </si>
  <si>
    <t>PAIEMENT PAR CARTE X7976 DESCOURS CABA AUBENA 24/07</t>
  </si>
  <si>
    <t>644929322</t>
  </si>
  <si>
    <t>COMMISSION CARTE 3097105 001 423636 26/07</t>
  </si>
  <si>
    <t>644929321</t>
  </si>
  <si>
    <t>COMMISSION CARTE 3097105 001 355720 18/07</t>
  </si>
  <si>
    <t>644929314</t>
  </si>
  <si>
    <t>COMMISSION CARTE 3097105 001 364878 19/07</t>
  </si>
  <si>
    <t>644929306</t>
  </si>
  <si>
    <t>PAIEMENT PAR CARTE X7976 INTERMARCHELALEVADE 17/07</t>
  </si>
  <si>
    <t>644929284</t>
  </si>
  <si>
    <t>COMMISSION CARTE 3097105 001 414859 25/07</t>
  </si>
  <si>
    <t>644929292</t>
  </si>
  <si>
    <t>644929325</t>
  </si>
  <si>
    <t>PAIEMENT PAR CARTE X3718 FOIR FOUILLE AUBENAS 22/07</t>
  </si>
  <si>
    <t>644929315</t>
  </si>
  <si>
    <t>PAIEMENT PAR CARTE X7976 AMAZON PAYMENTS PAYL 19/07</t>
  </si>
  <si>
    <t>644929327</t>
  </si>
  <si>
    <t>COMMISSION CARTE 3097105 001 445718 29/07</t>
  </si>
  <si>
    <t>644929302</t>
  </si>
  <si>
    <t>644929296</t>
  </si>
  <si>
    <t>COMMISSION CARTE 3097105 001 336719 16/07</t>
  </si>
  <si>
    <t>644929294</t>
  </si>
  <si>
    <t>PAIEMENT PAR CARTE X7976 LIDL 2719 LABEGUDE 15/07</t>
  </si>
  <si>
    <t>644929290</t>
  </si>
  <si>
    <t>COMMISSION CARTE 3097105 001 387459 22/07</t>
  </si>
  <si>
    <t>644929280</t>
  </si>
  <si>
    <t>PAIEMENT PAR CARTE X7976 BUT AUBENAS LA CHAPE 23/07</t>
  </si>
  <si>
    <t>644929283</t>
  </si>
  <si>
    <t>COMMISSION CARTE 3097105 001 346326 17/07</t>
  </si>
  <si>
    <t>644929328</t>
  </si>
  <si>
    <t>COMMISSION CARTE 3097105 001 405854 24/07</t>
  </si>
  <si>
    <t>644929318</t>
  </si>
  <si>
    <t>PAIEMENT PAR CARTE X7976 FOIR'FOUILLE AUBENAS 24/07</t>
  </si>
  <si>
    <t>644929288</t>
  </si>
  <si>
    <t>PAIEMENT PAR CARTE X3718 LIDL 2719 LABEGUDE 29/07</t>
  </si>
  <si>
    <t>644929293</t>
  </si>
  <si>
    <t>PRLV SEPA LES GLACES DE HOTELDESBAINSF52021 EDI2410284RU0000077 - 0EKNA3Z</t>
  </si>
  <si>
    <t>644931620</t>
  </si>
  <si>
    <t>PRLV SEPA EDF SA THERMALE CLIMATIQUE D Ref EDF MA970001250911 - 0EJ4ZDO</t>
  </si>
  <si>
    <t>644931685</t>
  </si>
  <si>
    <t>VIR SEPA L'ALE OUET poll facture 251397 facture 251397 - 1192619</t>
  </si>
  <si>
    <t>644931654</t>
  </si>
  <si>
    <t>VIR SEPA MVDV FVD009809 FVD009809 - 1214966</t>
  </si>
  <si>
    <t>644931622</t>
  </si>
  <si>
    <t>S.A.S. LES CAVES VIVAR ECH:31/07/25 - 0224054</t>
  </si>
  <si>
    <t>644931664</t>
  </si>
  <si>
    <t>FB SUD EST 310725 - 0224055</t>
  </si>
  <si>
    <t>644931646</t>
  </si>
  <si>
    <t>PRLV SEPA GINEYS S.A.S-G 03234670 01-519039-002 - 0EJV6FY</t>
  </si>
  <si>
    <t>644931645</t>
  </si>
  <si>
    <t>PRLV SEPA IDEAL PEINTURE FA4016357 GRAND HOTEL LES BAINS-12/2021-00 - 0EM1VB8</t>
  </si>
  <si>
    <t>644931603</t>
  </si>
  <si>
    <t>S.A.S. LES CAVES VIVAR ECH:20/07/25 - 0016008</t>
  </si>
  <si>
    <t>644931606</t>
  </si>
  <si>
    <t>VIR SEPA SARL ETS CHANEA factures fc2550451-367-294 factures fc2550451-367-294 - 1192875</t>
  </si>
  <si>
    <t>644931652</t>
  </si>
  <si>
    <t>PRLV SEPA Autoroutes du LF004434810041376270 062025 ++25004137627001188445 - 0EIN2DK</t>
  </si>
  <si>
    <t>644931631</t>
  </si>
  <si>
    <t>PRLV SEPA UMIH 07 SOLDE COTISATION 2025 CAMINALE012014 - 0ELQO7G</t>
  </si>
  <si>
    <t>644931619</t>
  </si>
  <si>
    <t>PRLV SEPA RELAIS D OR VA RELAIS D OR VALLEE DU RHONE 4100459801GRANDHOTELDESBAINS - 0EKRLXL</t>
  </si>
  <si>
    <t>644931661</t>
  </si>
  <si>
    <t>FRAIS MEP PRLV SEPA XCIMR012 2025071600055758000001 CREANCIER AKTO - 0055758</t>
  </si>
  <si>
    <t>644931612</t>
  </si>
  <si>
    <t>VIR INST AUBRY ALEXANDRA Pour AUBRY ALEXANDRA acompte sur salaire juillet 2025 - WK9KNVT</t>
  </si>
  <si>
    <t>644931627</t>
  </si>
  <si>
    <t>VIR SEPA SAPHIRESA facture 121-123-129-130 facture 121-123-129-130 - 1189997</t>
  </si>
  <si>
    <t>644931632</t>
  </si>
  <si>
    <t>DROMADIS 200725 REF TIRE:00102374 - 0016007</t>
  </si>
  <si>
    <t>644931657</t>
  </si>
  <si>
    <t>PRLV SEPA LA NATURE A TA Prelevement LC222194 5730 - 0ELINI2</t>
  </si>
  <si>
    <t>644931644</t>
  </si>
  <si>
    <t>VIR SEPA piscine assista facture 882 facture 882 - 1192651</t>
  </si>
  <si>
    <t>644931688</t>
  </si>
  <si>
    <t>PRLV SEPA KLESIA COTISAT 20250730CGKLESIA 035341725 0CE8832D0C304AEEB72BC20A094029C5 - 0ELU5OC</t>
  </si>
  <si>
    <t>644931692</t>
  </si>
  <si>
    <t>PRLV SEPA MF GRAND HOTEL DES BAINS PAR PRELEV A0701020241015102338480000000000 - 0EJONKP</t>
  </si>
  <si>
    <t>644931681</t>
  </si>
  <si>
    <t>PRLV SEPA ORANGE SA Votre abonnement mobile: 06XXXXX ++M0003219595 - 0EKX6X2</t>
  </si>
  <si>
    <t>644931634</t>
  </si>
  <si>
    <t>VIR SEPA BOOKING.COM FACTURE 1633749523 ID 254064 FACTURE 1633749523 ID 254064 - 0926201</t>
  </si>
  <si>
    <t>644931673</t>
  </si>
  <si>
    <t>VIR INST PLIQUE MARIE Pour PLIQUE MARIE acompte sur salaire juillet 2025 - WK9KNTY</t>
  </si>
  <si>
    <t>644931608</t>
  </si>
  <si>
    <t>VIR SEPA SCEA PISCICULTU FAC93997 FAC93997 - 1192561</t>
  </si>
  <si>
    <t>644931648</t>
  </si>
  <si>
    <t>PRLV SEPA EDF SA THERMALE ET CLIMATIQU Ref EDF MA970001250911 - 0EIXFAU</t>
  </si>
  <si>
    <t>644931638</t>
  </si>
  <si>
    <t>VIR SEPA L'ALE OUET poll facture 252185 facture 252185 - 1207667</t>
  </si>
  <si>
    <t>644931643</t>
  </si>
  <si>
    <t>PRLV SEPA KLESIA COTISAT 20250730CGKLESIA 035341747 0CE8832D0C304AEEB72BC20A094029C5 - 0ELU4IW</t>
  </si>
  <si>
    <t>644931613</t>
  </si>
  <si>
    <t>VIR SEPA AU PETIT PRIMEU FACTURE 100816465 FACTURE 100816465 - 1208897</t>
  </si>
  <si>
    <t>644931679</t>
  </si>
  <si>
    <t>VIR SEPA STVB LES THERME facture 217351-219487 facture 217351-219487 - 1252407</t>
  </si>
  <si>
    <t>644931618</t>
  </si>
  <si>
    <t>VIR SEPA Cafes richard facture 0909989258 facture 0909989258 - 1193089</t>
  </si>
  <si>
    <t>644931676</t>
  </si>
  <si>
    <t>PRLV SEPA RELAIS D OR VA RELAIS D OR VALLEE DU RHONE 4100459801GRANDHOTELDESBAINS - 0EK61YE</t>
  </si>
  <si>
    <t>644931663</t>
  </si>
  <si>
    <t>VIR SEPA CARSO LABORATOI facture lse25f-56779 facture lse25f-56779 - 1192680</t>
  </si>
  <si>
    <t>644931616</t>
  </si>
  <si>
    <t>210725 CB****9655 CASH SERVICES FR ST QUAY PORT 100,00EUR 1 EURO = 1,000000 - 9CDWUTS</t>
  </si>
  <si>
    <t>644931662</t>
  </si>
  <si>
    <t>VIR SEPA LEOUBE FACTURE FAQ27727 FACTURE FAQ27727 - 1208561</t>
  </si>
  <si>
    <t>644931691</t>
  </si>
  <si>
    <t>PRLV SEPA URSSAF RHONE A UR 827000002110121762 JUIN257 T1430653867203200001297356941940 - 0EJO47N</t>
  </si>
  <si>
    <t>644931640</t>
  </si>
  <si>
    <t>VIR SEPA ACCARD LAURENCE factures 411-4112-4110 factures 411-4112-4110 - 1192732</t>
  </si>
  <si>
    <t>644931629</t>
  </si>
  <si>
    <t>PRLV INT ETS DGFIP TVA-072025-3310CA3 NN386720320DGFIP2020807504KDIIJX - 0EKO8P5</t>
  </si>
  <si>
    <t>644931674</t>
  </si>
  <si>
    <t>VIR SEPA SARL ETS CHANEA fc2550226 fc2550226 - 1193173</t>
  </si>
  <si>
    <t>644931693</t>
  </si>
  <si>
    <t>VIR INST BELLAMY JEAN MA Pour BELLAMY JEAN MATHIEU ACOMPTE SUR SALAIRE - WK8HBCY</t>
  </si>
  <si>
    <t>644931669</t>
  </si>
  <si>
    <t>PRLV SEPA LES GLACES DE HOTELBAINSF52113 EDI2410284RU0000077 - 0EL22PJ</t>
  </si>
  <si>
    <t>644931665</t>
  </si>
  <si>
    <t>260725 CB****9655 CASH SERVICES FR ST QUAY PORT 100,00EUR 1 EURO = 1,000000 - 9NYOACN</t>
  </si>
  <si>
    <t>644931696</t>
  </si>
  <si>
    <t>PRLV SEPA LA NATURE A TA Prelevement LC211794 5730 - 0EKJKFA</t>
  </si>
  <si>
    <t>644931683</t>
  </si>
  <si>
    <t>SAMSE 310725 - 0148037</t>
  </si>
  <si>
    <t>644931642</t>
  </si>
  <si>
    <t>VIR SEPA SANOFRUIT facture 1921164 facture 1921164 - 1251792</t>
  </si>
  <si>
    <t>644931607</t>
  </si>
  <si>
    <t>VIR SEPA BOOKING.COM FACTURE 1633746762 ID57616 FACTURE 1633746762 ID57616 - 0926135</t>
  </si>
  <si>
    <t>644931601</t>
  </si>
  <si>
    <t>VIR SEPA CABINET CHAUSSI 002600001077/002028 002600001077/002028 - 1252064</t>
  </si>
  <si>
    <t>644931650</t>
  </si>
  <si>
    <t>PRLV SEPA GIE CHARMHOTEL GIE CHARMHOTEL ++OCTOBRE2011 - 0EKS55H</t>
  </si>
  <si>
    <t>644931624</t>
  </si>
  <si>
    <t>PRLV SEPA GINEYS S.A.S-G 03251020 01-519039-002 - 0EKXJ5O</t>
  </si>
  <si>
    <t>644931655</t>
  </si>
  <si>
    <t>PRLV SEPA EDF SA THERMALE CLIMATIQUE D Ref EDF MA970001250911 - 0EK8HJC</t>
  </si>
  <si>
    <t>644931625</t>
  </si>
  <si>
    <t>VIR SEPA ASSOC HUILETIC facture 25-07-298 facture 25-07-298 - 1190069</t>
  </si>
  <si>
    <t>644931667</t>
  </si>
  <si>
    <t>DROMADIS 300725 REF TIRE:00102634 - 0110010</t>
  </si>
  <si>
    <t>644931602</t>
  </si>
  <si>
    <t>PRLV SEPA GIE KLESIA COT RETRAITE - GIE KLESIA COTIS - 20 SCG023URAE000659949S - 0EKV22V</t>
  </si>
  <si>
    <t>644931604</t>
  </si>
  <si>
    <t>PRLV SEPA ORANGE SA-ORAN Votre abonnement mobile: 06XXXXX ++M0017687880 - 0EK0COZ</t>
  </si>
  <si>
    <t>644931671</t>
  </si>
  <si>
    <t>VIR SEPA web access facture f-2025-137 facture f-2025-137 - 1190396</t>
  </si>
  <si>
    <t>644931609</t>
  </si>
  <si>
    <t>VIR SEPA CABINET CHAUSSI 00250002232/002028 00250002232/002028 - 1215319</t>
  </si>
  <si>
    <t>644931649</t>
  </si>
  <si>
    <t>PRLV SEPA AKTO AKTO SLMP024531594 - 0EJOPQT</t>
  </si>
  <si>
    <t>644931621</t>
  </si>
  <si>
    <t>VIR SEPA KOROL EQUIPEMEN facture fdr06004 facture fdr06004 - 1193047</t>
  </si>
  <si>
    <t>644931653</t>
  </si>
  <si>
    <t>PRLV SEPA ORANGE SA Votre abonnement fibre (facture: EPCB202311295646844 - 0EJPQZE</t>
  </si>
  <si>
    <t>644931614</t>
  </si>
  <si>
    <t>PRLV SEPA ASSOCIATION C ASS CONTACT HOTEL 4110704C60 - 0ELP8SI</t>
  </si>
  <si>
    <t>644931633</t>
  </si>
  <si>
    <t>VIR SEPA AU PETIT PRIMEU facture 100816427 facture 100816427 - 1192757</t>
  </si>
  <si>
    <t>644931689</t>
  </si>
  <si>
    <t>VIR SEPA SAPHIRESA FACTURE 2025000133 FACTURE 2025000133 - 1215226</t>
  </si>
  <si>
    <t>644931684</t>
  </si>
  <si>
    <t>VIR SEPA MVDV FVD010131 FVD010131 - 1214882</t>
  </si>
  <si>
    <t>644931668</t>
  </si>
  <si>
    <t>PRLV INT ETS DGFIP PASDSN15072025-062025-3867203200 NN386720320DGFIP2020807504KDIIJX - 0EKML1A</t>
  </si>
  <si>
    <t>644931687</t>
  </si>
  <si>
    <t>VIR SEPA EXPEDIA LODGING facture 2520702586 facture 2520702586 - 1189800</t>
  </si>
  <si>
    <t>644931610</t>
  </si>
  <si>
    <t>VIR SEPA DAVID REYNAUD FACTURE 20260451 FACTURE 20260451 - 1214661</t>
  </si>
  <si>
    <t>644931628</t>
  </si>
  <si>
    <t>VIR INST caminale olivie Pour caminale olivier location appartement du personne - WK9KQG9</t>
  </si>
  <si>
    <t>644931675</t>
  </si>
  <si>
    <t>VIR SEPA LOUTRIOL facture 1911388 facture 1911388 - 1251944</t>
  </si>
  <si>
    <t>644931641</t>
  </si>
  <si>
    <t>Amazon Prime*RY FR amazon.fr/pr - 19770121010</t>
  </si>
  <si>
    <t>644931637</t>
  </si>
  <si>
    <t>INTERMARCHE FR AUBENAS - 19770121011</t>
  </si>
  <si>
    <t>644931605</t>
  </si>
  <si>
    <t>Adobe Systems S IE Saggart, Dub - 20070127872</t>
  </si>
  <si>
    <t>644931678</t>
  </si>
  <si>
    <t>AMZN Mktp FR*RY LU amazon.fr - 20270273044</t>
  </si>
  <si>
    <t>644931639</t>
  </si>
  <si>
    <t>AMZN Mktp FR*RY LU amazon.fr - 20270109763</t>
  </si>
  <si>
    <t>644931623</t>
  </si>
  <si>
    <t>academiedugout FR 92LEVALLOIS - 20370112706</t>
  </si>
  <si>
    <t>644931680</t>
  </si>
  <si>
    <t>INTERMARCHE FR AUBENAS - 21170118788</t>
  </si>
  <si>
    <t>644931635</t>
  </si>
  <si>
    <t>TERRABIO FR AUBENAS - 21270120042</t>
  </si>
  <si>
    <t>645933555</t>
  </si>
  <si>
    <t>LA POSTE 070030 FR AUBENAS CDIS - 21270120041</t>
  </si>
  <si>
    <t>645933556</t>
  </si>
  <si>
    <t>645933558</t>
  </si>
  <si>
    <t>ECH PRET DONT CAP 1254,25 ASS. 0,00E INT. 59,21 COM. 0,00E - 5406472</t>
  </si>
  <si>
    <t>645933561</t>
  </si>
  <si>
    <t>FRAIS MEP PRLV SEPA XCIMR010 2025073100460779000001 CREANCIER KLESIA COTISATIO - 0460779</t>
  </si>
  <si>
    <t>645933554</t>
  </si>
  <si>
    <t>ABON CYBERPLUS XCBVX665 2025073100460777000001 HABILITATION P8806895 - 0460777</t>
  </si>
  <si>
    <t>645933553</t>
  </si>
  <si>
    <t>PRLV SEPA Xerox Financia 3917188 FR30PF2112674 - 0ELV8AQ</t>
  </si>
  <si>
    <t>645933559</t>
  </si>
  <si>
    <t>PAIEMENT PAR CARTE X7976 DESCOURS CABA AUBENA 31/07</t>
  </si>
  <si>
    <t>645934103</t>
  </si>
  <si>
    <t>PAIEMENT PAR CARTE X7976 LIDL 2719 LABEGUDE 31/07</t>
  </si>
  <si>
    <t>645934108</t>
  </si>
  <si>
    <t>INTERMARCHE FR AUBENAS - 21370122912</t>
  </si>
  <si>
    <t>646754360</t>
  </si>
  <si>
    <t>COMMISSION CARTE 3097105 001 473102 01/08</t>
  </si>
  <si>
    <t>646754519</t>
  </si>
  <si>
    <t>646754520</t>
  </si>
  <si>
    <t>GOOGLE*ADS26328 IE CC GOOGLE.CO - 21470134782</t>
  </si>
  <si>
    <t>647147960</t>
  </si>
  <si>
    <t>COM CB 5667966016 - NB0001/468801 - 0105801</t>
  </si>
  <si>
    <t>647983292</t>
  </si>
  <si>
    <t>VIR SEPA :25 saison ete P8806895 salaire juillet 2025 salaire juillet 2025 - 1408685</t>
  </si>
  <si>
    <t>647983294</t>
  </si>
  <si>
    <t>PRLV SEPA HOTELIOS Maintenance Mensuelle INFHOTIK C-10-48-201109-10041889-7 - 0EMF9WT</t>
  </si>
  <si>
    <t>647983293</t>
  </si>
  <si>
    <t>PRLV SEPA LES GLACES DE HOTELDESBAINSF52233 EDI2410284RU0000077 - 0EM1CDI</t>
  </si>
  <si>
    <t>647983291</t>
  </si>
  <si>
    <t>Amazon.fr*RV8SE FR amazon.fr - 21670290659</t>
  </si>
  <si>
    <t>649160250</t>
  </si>
  <si>
    <t>LA VALSOISE FR VALS-LES-BAI - 21670290660</t>
  </si>
  <si>
    <t>649160240</t>
  </si>
  <si>
    <t>PRLV SEPA GINEYS S.A.S 03263266 01-519039-002 - 0ENFJT4</t>
  </si>
  <si>
    <t>649160242</t>
  </si>
  <si>
    <t>PRLV SEPA REGIE SYNDICAT PRELEVEMENT SEBA FR62ZZZ81CBFD-2618032232-29090 - 0EMOREV</t>
  </si>
  <si>
    <t>649160245</t>
  </si>
  <si>
    <t>ECH PRET DONT CAP 3568,89 ASS. 0,00E INT. 261,03 COM. 0,00E - 9062097</t>
  </si>
  <si>
    <t>649160251</t>
  </si>
  <si>
    <t>PRLV SEPA REGIE SYNDICAT PRELEVEMENT SEBA FR62ZZZ81CBFD-2618032217-29089 - 0EMOSJZ</t>
  </si>
  <si>
    <t>649160249</t>
  </si>
  <si>
    <t>REMBOURSEMENT DE PRET 00001519822 05/08/25 CAPITAL</t>
  </si>
  <si>
    <t>649160519</t>
  </si>
  <si>
    <t>COMMISSION CARTE 3097105 001 482099 02/08</t>
  </si>
  <si>
    <t>649160520</t>
  </si>
  <si>
    <t>REMBOURSEMENT DE PRET 00001519822 05/08/25 INTERETS</t>
  </si>
  <si>
    <t>649160517</t>
  </si>
  <si>
    <t>INTERMARCHE FR AUBENAS - 21870123608</t>
  </si>
  <si>
    <t>650042099</t>
  </si>
  <si>
    <t>RESTO AUBERGE D FR FREYSSENET - 21770119593</t>
  </si>
  <si>
    <t>650042109</t>
  </si>
  <si>
    <t>SP QUAD LOCK EU NL WAALWIJK - 21770119592</t>
  </si>
  <si>
    <t>650042105</t>
  </si>
  <si>
    <t>PRLV SEPA CEGID SAS FA002-01588301 00RC0000019770055000002B00 - 0EM0JYJ</t>
  </si>
  <si>
    <t>650042113</t>
  </si>
  <si>
    <t>VIR SEPA SAPHIRESA 2025000140 2025000140 - 1523364</t>
  </si>
  <si>
    <t>650042097</t>
  </si>
  <si>
    <t>VIR SEPA CAROLINE ALLEGR facture F00007 facture F00007 - 1523240</t>
  </si>
  <si>
    <t>650042114</t>
  </si>
  <si>
    <t>VIR SEPA GRH POLSKA FACTURE FR/14/07/2025 FACTURE FR/14/07/2025 - 1487422</t>
  </si>
  <si>
    <t>650042110</t>
  </si>
  <si>
    <t>VIR SEPA BOOKING.COM FACTURE 1634890217 NH 57616 FACTURE 1634890217 NH 57616 - 1487573</t>
  </si>
  <si>
    <t>650042102</t>
  </si>
  <si>
    <t>PRLV SEPA ORANGE SA FIXENT - P - Facture: 301741295 89001440490002244096 - 0ENRNH6</t>
  </si>
  <si>
    <t>650042108</t>
  </si>
  <si>
    <t>VIR SEPA AU PETIT PRIMEU 100816501 100816501 - 1523703</t>
  </si>
  <si>
    <t>650042098</t>
  </si>
  <si>
    <t>PRLV SEPA ATS CULLIGAN G RGSC021907 - 0ENWXBE</t>
  </si>
  <si>
    <t>650042092</t>
  </si>
  <si>
    <t>VIR SEPA EXPEDIA LODGING facture 2520722118 id 1165572 facture 2520722118 id 1165572 - 1522306</t>
  </si>
  <si>
    <t>650042090</t>
  </si>
  <si>
    <t>VIR SEPA DUBOIS DE MONTR facture 2025-8-0156 facture 2025-8-0156 - 1523146</t>
  </si>
  <si>
    <t>650042107</t>
  </si>
  <si>
    <t>VIR SEPA SARL ETS CHANEA FACTURE FC2550528 FACTURE FC2550528 - 1523514</t>
  </si>
  <si>
    <t>650042091</t>
  </si>
  <si>
    <t>VIR SEPA SAPHIRESA 2025000138 2025000138 - 1523799</t>
  </si>
  <si>
    <t>650042094</t>
  </si>
  <si>
    <t>VIR SEPA HU MANA NATALY facture 791 facture 791 - 1522942</t>
  </si>
  <si>
    <t>650042100</t>
  </si>
  <si>
    <t>650042093</t>
  </si>
  <si>
    <t>VIR SEPA BOOKING.COM FACTURE 1634897701 NH 254064 FACTURE 1634897701 NH 254064 - 1487686</t>
  </si>
  <si>
    <t>650042112</t>
  </si>
  <si>
    <t>VIR SEPA Cafes richard facture 0910010756 facture 0910010756 - 1522692</t>
  </si>
  <si>
    <t>650042104</t>
  </si>
  <si>
    <t>VIR SEPA KOROL EQUIPEMEN fdr07004 client 20053155 fdr07004 client 20053155 - 1522808</t>
  </si>
  <si>
    <t>650042101</t>
  </si>
  <si>
    <t>COMMISSION CARTE 3097105 001 513966 06/08</t>
  </si>
  <si>
    <t>650042504</t>
  </si>
  <si>
    <t>COMMISSION CARTE 3097105 001 504885 05/08</t>
  </si>
  <si>
    <t>650042507</t>
  </si>
  <si>
    <t>PRELEVEMENT AVEM /INV/NM LOC-11491166 18.7.2025/R/ 2000406642/2214693161 1000-000001045657 FR73ZZZ395135</t>
  </si>
  <si>
    <t>650042513</t>
  </si>
  <si>
    <t>PAIEMENT PAR CARTE X7976 MOULON SERVICES AUBE 05/08</t>
  </si>
  <si>
    <t>650042512</t>
  </si>
  <si>
    <t>AUCHAN DAC 285 FR VALENCE - 21970119929</t>
  </si>
  <si>
    <t>650996255</t>
  </si>
  <si>
    <t>RHONOTEL FR VALENCE - 21970119928</t>
  </si>
  <si>
    <t>650996253</t>
  </si>
  <si>
    <t>PAIEMENT PAR CARTE X3718 LIDL 2719 LABEGUDE 06/08</t>
  </si>
  <si>
    <t>650996563</t>
  </si>
  <si>
    <t>PAIEMENT PAR CARTE X3718 INTERMARCHELALEVADE 07/08</t>
  </si>
  <si>
    <t>650996562</t>
  </si>
  <si>
    <t>ECH PRET DONT CAP 1056,13 ASS. 0,00E INT. 99,97 COM. 0,00E - 9062098</t>
  </si>
  <si>
    <t>651558424</t>
  </si>
  <si>
    <t>VIR SEPA TRES.HOSPITALIE deb 150118605762 mukyala stella deb 150118605762 mukyala stella - 1577994</t>
  </si>
  <si>
    <t>651558421</t>
  </si>
  <si>
    <t>ECH PRET DONT CAP 811,71 ASS. 0,00E INT. 59,37 COM. 0,00E - 9062099</t>
  </si>
  <si>
    <t>651558419</t>
  </si>
  <si>
    <t>VIR SEPA Cafes richard factures avril/mai factures avril/mai - 1577716</t>
  </si>
  <si>
    <t>651558422</t>
  </si>
  <si>
    <t>VIR SEPA sdez rhone alpe facture 529 facture 529 - 1578158</t>
  </si>
  <si>
    <t>651558420</t>
  </si>
  <si>
    <t>PRELEVEMENT Fourniture carte débit</t>
  </si>
  <si>
    <t>651558472</t>
  </si>
  <si>
    <t>651558474</t>
  </si>
  <si>
    <t>Amazon.fr*RF9JM FR amazon.fr - 22170132152</t>
  </si>
  <si>
    <t>651832845</t>
  </si>
  <si>
    <t>DROMADIS 090825 REF TIRE:00102863 - 0387006</t>
  </si>
  <si>
    <t>652337174</t>
  </si>
  <si>
    <t>VIR SEPA FAUSTIN WINE facture 3240 facture 3240 - 1620399</t>
  </si>
  <si>
    <t>652337175</t>
  </si>
  <si>
    <t>PRLV SEPA PREFILOC CAPIT F250541030 PRE000121421 - 0EOECQD</t>
  </si>
  <si>
    <t>652337173</t>
  </si>
  <si>
    <t>PRLV SEPA CONTACT HOTEL CAGNOTTES 07/2025 CONTACT HOTEL 0704 - 0EOMBIB</t>
  </si>
  <si>
    <t>652337170</t>
  </si>
  <si>
    <t>PRLV SEPA N.E.U/LE PETIT PRELEVEMENT BDC:L559110 10/08/25 L559110 - 0EOOH1G</t>
  </si>
  <si>
    <t>652337171</t>
  </si>
  <si>
    <t>PRLV SEPA LA NATURE A TA Prelevement LC238867 5730 - 0EOH22Q</t>
  </si>
  <si>
    <t>652337169</t>
  </si>
  <si>
    <t>PRLV SEPA RELAIS D OR VA RELAIS D OR VALLEE DU RHONE 4100459801GRANDHOTELDESBAINS - 0EOLSJW</t>
  </si>
  <si>
    <t>652337172</t>
  </si>
  <si>
    <t>CYBER+ PAIEMENT ABONNEMT XCPSD033 2025081000026824000001 ABONNEMENT PSD0006262976 - 0026824</t>
  </si>
  <si>
    <t>653358569</t>
  </si>
  <si>
    <t>PRLV SEPA REGIE SYNDICAT PRELEVEMENT SEBA FR62ZZZ81CBFD-3418-28223 - 0EOR124</t>
  </si>
  <si>
    <t>653358567</t>
  </si>
  <si>
    <t>LA VALSOISE FR VALS-LES-BAI - 22370110178</t>
  </si>
  <si>
    <t>653358568</t>
  </si>
  <si>
    <t>AMZN Mktp FR*RF LU amazon.fr - 22370110177</t>
  </si>
  <si>
    <t>653358571</t>
  </si>
  <si>
    <t>PAIEMENT PAR CARTE X7976 BT SECURITY COLOMIER 08/08</t>
  </si>
  <si>
    <t>653359350</t>
  </si>
  <si>
    <t>COMMISSION CARTE 3097105 001 540501 09/08</t>
  </si>
  <si>
    <t>653359348</t>
  </si>
  <si>
    <t>PAIEMENT PAR CARTE X7976 AMAZON PAYMENTS PAYL 07/08</t>
  </si>
  <si>
    <t>653359346</t>
  </si>
  <si>
    <t>COMMISSION CARTE 3097105 001 555501 11/08</t>
  </si>
  <si>
    <t>653359345</t>
  </si>
  <si>
    <t>PAIEMENT PAR CARTE X3718 INTERMARCHELALEVADE 09/08</t>
  </si>
  <si>
    <t>653359343</t>
  </si>
  <si>
    <t>AMAZON EU SARL FR PAYLI2090401 - 22570120173</t>
  </si>
  <si>
    <t>654260361</t>
  </si>
  <si>
    <t>AMZN Mktp FR*RF LU amazon.fr - 22470118364</t>
  </si>
  <si>
    <t>654260350</t>
  </si>
  <si>
    <t>LIDL 2719 FR 072719LABEGU - 22470118363</t>
  </si>
  <si>
    <t>654260360</t>
  </si>
  <si>
    <t>Amazon.fr*RF0E0 FR amazon.fr - 22470118365</t>
  </si>
  <si>
    <t>654260358</t>
  </si>
  <si>
    <t>AMZN Mktp FR*RF LU amazon.fr - 22470118366</t>
  </si>
  <si>
    <t>654260349</t>
  </si>
  <si>
    <t>PRLV SEPA SOLOCAL SA 204 /INV/FORM:0002877474/27.07.2025/ 02937492002 - 0EPI6EJ</t>
  </si>
  <si>
    <t>654260356</t>
  </si>
  <si>
    <t>PRLV SEPA ORANGE SA Votre abonnement fibre (facture: M0067001527 - 0EORK2Q</t>
  </si>
  <si>
    <t>654260354</t>
  </si>
  <si>
    <t>PRLV SEPA Free Pro FACTURE FREEPRO 18/08/2025 F2025 JNRUMSATHERMALECLIMA020230706103 - 0EOFB34</t>
  </si>
  <si>
    <t>654260352</t>
  </si>
  <si>
    <t>VIR INST ALEXANDRA AUBRY Pour ALEXANDRA AUBRY Salaire - WKDLUDF</t>
  </si>
  <si>
    <t>654260348</t>
  </si>
  <si>
    <t>VIR INST AUBRY ALEXANDRA Pour AUBRY ALEXANDRA Acompte - WKDLUEX</t>
  </si>
  <si>
    <t>654260359</t>
  </si>
  <si>
    <t>PRELEVEMENT Noelse France CPREL2508011001967 S6239571919-2239646 FR80ZZZ328855</t>
  </si>
  <si>
    <t>654261449</t>
  </si>
  <si>
    <t>PAIEMENT PAR CARTE X7976 BOULANGER AUBENAS 12/08</t>
  </si>
  <si>
    <t>654261452</t>
  </si>
  <si>
    <t>STARLINK INTERN IE Dublin - 22670123654</t>
  </si>
  <si>
    <t>654876539</t>
  </si>
  <si>
    <t>INTERMARCHE FR AUBENAS - 22670123656</t>
  </si>
  <si>
    <t>654876552</t>
  </si>
  <si>
    <t>BUT AUBENAS FR 07LA CHAPELL - 22670123653</t>
  </si>
  <si>
    <t>654876538</t>
  </si>
  <si>
    <t>AMZN Mktp FR*RM LU amazon.fr - 22670123655</t>
  </si>
  <si>
    <t>654876523</t>
  </si>
  <si>
    <t>VIR SEPA PARITEL facture CJ0296/E facture CJ0296/E - 1716316</t>
  </si>
  <si>
    <t>654876534</t>
  </si>
  <si>
    <t>VIR SEPA EMERVEILLES PAR facture 2024/00502 facture 2024/00502 - 1715529</t>
  </si>
  <si>
    <t>654876542</t>
  </si>
  <si>
    <t>VIR SEPA L'ALE OUET poll facture 252580 facture 252580 - 1716084</t>
  </si>
  <si>
    <t>654876540</t>
  </si>
  <si>
    <t>VIR SEPA SAPHIRESA facture 2025000143 facture 2025000143 - 1715822</t>
  </si>
  <si>
    <t>654876524</t>
  </si>
  <si>
    <t>VIR SEPA AU PETIT PRIMEU facture 100816537 facture 100816537 - 1715722</t>
  </si>
  <si>
    <t>654876546</t>
  </si>
  <si>
    <t>VIR SEPA web access f-2025-144 f-2025-144 - 1715862</t>
  </si>
  <si>
    <t>654876547</t>
  </si>
  <si>
    <t>VIR SEPA SARL ETS CHANEA FACTURE FC2550610 FACTURE FC2550610 - 1710624</t>
  </si>
  <si>
    <t>654876543</t>
  </si>
  <si>
    <t>VIR SEPA Cafes richard 0910037276 0910037276 - 1710451</t>
  </si>
  <si>
    <t>654876529</t>
  </si>
  <si>
    <t>VIR SEPA PASCAL NETTOYAG fc00001161 fc00001161 - 1715902</t>
  </si>
  <si>
    <t>654876541</t>
  </si>
  <si>
    <t>VIR SEPA OTIS facture U4 25064308 facture U4 25064308 - 1710381</t>
  </si>
  <si>
    <t>654876528</t>
  </si>
  <si>
    <t>VIR SEPA SAPHIRESA facture 2025000146 facture 2025000146 - 1715664</t>
  </si>
  <si>
    <t>654876536</t>
  </si>
  <si>
    <t>VIR SEPA CLAIR ET NET facture 25/9202 facture 25/9202 - 1715603</t>
  </si>
  <si>
    <t>654876550</t>
  </si>
  <si>
    <t>VIR SEPA ASSOCHUILETIC facture 25-07-312 facture 25-07-312 - 1716172</t>
  </si>
  <si>
    <t>654876551</t>
  </si>
  <si>
    <t>PRLV SEPA GINEYS S.A.S-G 03282338 01-519039-002 - 0EPP57D</t>
  </si>
  <si>
    <t>654876537</t>
  </si>
  <si>
    <t>VIR SEPA moulon services facture f/202507/00002174 facture f/202507/00002174 - 1716115</t>
  </si>
  <si>
    <t>654876533</t>
  </si>
  <si>
    <t>VIR SEPA SUD CONSEIL HONORAIRE 00250000078 HONORAIRE 00250000078 - 1716364</t>
  </si>
  <si>
    <t>654876549</t>
  </si>
  <si>
    <t>VIR SEPA STVB LES THERME facture 219691 facture 219691 - 1716219</t>
  </si>
  <si>
    <t>654876526</t>
  </si>
  <si>
    <t>VIR SEPA STVB LES THERME facture 219487/1 facture 219487/1 - 1716248</t>
  </si>
  <si>
    <t>654876525</t>
  </si>
  <si>
    <t>PAIEMENT PAR CARTE X3718 Vistaprint Venlo 13/08</t>
  </si>
  <si>
    <t>654876757</t>
  </si>
  <si>
    <t>PAIEMENT PAR CARTE X7976 BT SECURITY COLOMIER 13/08</t>
  </si>
  <si>
    <t>654876755</t>
  </si>
  <si>
    <t>LA VALSOISE FR VALS-LES-BAI - 22870305286</t>
  </si>
  <si>
    <t>655499535</t>
  </si>
  <si>
    <t>LA VALSOISE FR VALS-LES-BAI - 22870305287</t>
  </si>
  <si>
    <t>655499537</t>
  </si>
  <si>
    <t>LA VALSOISE FR VALS-LES-BAI - 22870305288</t>
  </si>
  <si>
    <t>655499538</t>
  </si>
  <si>
    <t>VIR INST CAPILEZ CHRISTO Pour CAPILEZ CHRISTOPHE KARIN REBOURSEMEENT BOUTEILLE LEBRE RO - WKE8LLO</t>
  </si>
  <si>
    <t>655499536</t>
  </si>
  <si>
    <t>PRLV SEPA ORANGE SA-ORAN Votre abonnement mobile: 06XXXXX ++M0017687880 - 0EPZAQ8</t>
  </si>
  <si>
    <t>655919156</t>
  </si>
  <si>
    <t>PRLV SEPA EDF SA THERMALE CLIMATIQUE D Ref EDF MA970001250911 - 0EPDK4I</t>
  </si>
  <si>
    <t>655919151</t>
  </si>
  <si>
    <t>PRLV SEPA METRO FRANCE S /INV/0017.032762 CMR000003928001 - 0EPZ0QM</t>
  </si>
  <si>
    <t>655919154</t>
  </si>
  <si>
    <t>PRLV SEPA EDF SA THERMALE ET CLIMATIQU Ref EDF MA970001250911 - 0EPDV0N</t>
  </si>
  <si>
    <t>655919152</t>
  </si>
  <si>
    <t>COM CB 5667966016 - NB0001/773051 - 0106051</t>
  </si>
  <si>
    <t>655919155</t>
  </si>
  <si>
    <t>PAIEMENT PAR CARTE X3718 LIDL 2719 LABEGUDE 14/08</t>
  </si>
  <si>
    <t>655919231</t>
  </si>
  <si>
    <t>LIDL 2719 FR 072719LABEGU - 23070104937</t>
  </si>
  <si>
    <t>656769279</t>
  </si>
  <si>
    <t>AMAZON PRIME FR FR PAYLI2469664 - 23070104936</t>
  </si>
  <si>
    <t>656769275</t>
  </si>
  <si>
    <t>AMZN Mktp FR*RM LU amazon.fr - 23070265993</t>
  </si>
  <si>
    <t>656769277</t>
  </si>
  <si>
    <t>AMZN Mktp FR*RM LU amazon.fr - 23070265994</t>
  </si>
  <si>
    <t>656769278</t>
  </si>
  <si>
    <t>INTERMARCHE FR AUBENAS - 23070104938</t>
  </si>
  <si>
    <t>656769273</t>
  </si>
  <si>
    <t>PRLV SEPA URSSAF RHONE A UR 827000002110121762 JUIL257 T1430653867203200001297356941940 - 0EQ72NM</t>
  </si>
  <si>
    <t>656769280</t>
  </si>
  <si>
    <t>COMMISSION CARTE 3097105 001 607401 18/08</t>
  </si>
  <si>
    <t>656770214</t>
  </si>
  <si>
    <t>656770216</t>
  </si>
  <si>
    <t>COMMISSION CARTE 3097105 001 594814 16/08</t>
  </si>
  <si>
    <t>656770213</t>
  </si>
  <si>
    <t>Adobe Systems S IE Saggart, Dub - 23170116104</t>
  </si>
  <si>
    <t>657424901</t>
  </si>
  <si>
    <t>SUPER U FR RUNGIS - 23170116106</t>
  </si>
  <si>
    <t>657424892</t>
  </si>
  <si>
    <t>AMZN Mktp FR*RM LU amazon.fr - 23170116105</t>
  </si>
  <si>
    <t>657424902</t>
  </si>
  <si>
    <t>EFFIA FR VALENCE TGV - 23170116103</t>
  </si>
  <si>
    <t>657424895</t>
  </si>
  <si>
    <t>VIR SEPA HELENE LAMBOTIN debours debours - 1841130</t>
  </si>
  <si>
    <t>657424891</t>
  </si>
  <si>
    <t>VIR SEPA HELENE LAMBOTIN facture 20250001242 facture 20250001242 - 1841178</t>
  </si>
  <si>
    <t>657424900</t>
  </si>
  <si>
    <t>PRLV SEPA RELAIS D OR VA RELAIS D OR VALLEE DU RHONE 4100459801GRANDHOTELDESBAINS - 0EPANVY</t>
  </si>
  <si>
    <t>657424897</t>
  </si>
  <si>
    <t>PRLV SEPA Autoroutes du LG004463540041376270 072025 ++25004137627001188445 - 0EP5LIT</t>
  </si>
  <si>
    <t>657424904</t>
  </si>
  <si>
    <t>PRLV SEPA LA NATURE A TA Prelevement LC270082 5730 - 0EPFWMA</t>
  </si>
  <si>
    <t>657424894</t>
  </si>
  <si>
    <t>VIR SEPA CLIMATPRO FS20250904 FS20250904 - 1841239</t>
  </si>
  <si>
    <t>657424899</t>
  </si>
  <si>
    <t>PRLV SEPA ORANGE SA Votre abonnement fibre (facture: EPCB202311295646844 - 0EPRCLB</t>
  </si>
  <si>
    <t>657424890</t>
  </si>
  <si>
    <t>SAS DROMADIS 200825 REF TIRE:0000103073 - 0523002</t>
  </si>
  <si>
    <t>657424898</t>
  </si>
  <si>
    <t>VIR SEPA piscine assista facture 917 facture 917 - 1840648</t>
  </si>
  <si>
    <t>657424903</t>
  </si>
  <si>
    <t>COMMISSION CARTE 3097105 001 622278 20/08</t>
  </si>
  <si>
    <t>657425616</t>
  </si>
  <si>
    <t>PAIEMENT PAR CARTE X7976 SNCF-VOYAGEURS PARIS 19/08</t>
  </si>
  <si>
    <t>657425620</t>
  </si>
  <si>
    <t>PAIEMENT PAR CARTE X3718 INTERMARCHE AUBENAS 20/08</t>
  </si>
  <si>
    <t>657425617</t>
  </si>
  <si>
    <t>INTERMARCHE FR AUBENAS - 23370119161</t>
  </si>
  <si>
    <t>658111500</t>
  </si>
  <si>
    <t>VIR SEPA BELLAMY JEAN MA ACOMPTE SUR SALAIRE AOUT ACOMPTE SUR SALAIRE AOUT - 1870860</t>
  </si>
  <si>
    <t>658111499</t>
  </si>
  <si>
    <t>academiedugout FR 92LEVALLOIS - 23470120766</t>
  </si>
  <si>
    <t>658544388</t>
  </si>
  <si>
    <t>COMMISSION CARTE 3097105 001 639653 22/08</t>
  </si>
  <si>
    <t>658544525</t>
  </si>
  <si>
    <t>VIR INST BELLAMY JEAN MA Pour BELLAMY JEAN MATHIEU ACOMPTE SUR SALAIRE - WKF4VB3</t>
  </si>
  <si>
    <t>658771985</t>
  </si>
  <si>
    <t>VIR INST MUKYALA STELLA Pour MUKYALA STELLA ACOMPTE SUR SALAIRE - WKF4VBS</t>
  </si>
  <si>
    <t>658771984</t>
  </si>
  <si>
    <t>PRLV SEPA EDF SA THERMALE CLIMATIQUE D Ref EDF MA970001250911 - 0EQK171</t>
  </si>
  <si>
    <t>659430034</t>
  </si>
  <si>
    <t>VIR SEPA CHATEAU DES LEB facture 101-2025 facture 101-2025 - 1919722</t>
  </si>
  <si>
    <t>659430036</t>
  </si>
  <si>
    <t>PRLV SEPA ORANGE SA Votre abonnement mobile: 06XXXXX ++M0003219595 - 0EQN9UA</t>
  </si>
  <si>
    <t>659430033</t>
  </si>
  <si>
    <t>VIR SEPA SARL ETS CHANEA fc2550689-2550760 fc2550689-2550760 - 1919541</t>
  </si>
  <si>
    <t>659430035</t>
  </si>
  <si>
    <t>VIR SEPA domaine chaboud facture 25000687 facture 25000687 - 1919631</t>
  </si>
  <si>
    <t>659430041</t>
  </si>
  <si>
    <t>VIR SEPA AU PETIT PRIMEU facture 100816572 facture 100816572 - 1919589</t>
  </si>
  <si>
    <t>659430040</t>
  </si>
  <si>
    <t>VIR SEPA SAPHIRESA facture 2025000155 facture 2025000155 - 1919488</t>
  </si>
  <si>
    <t>659430038</t>
  </si>
  <si>
    <t>MAIRIE HORODATE FR 30LE GRAU DU - 23770264324</t>
  </si>
  <si>
    <t>660338408</t>
  </si>
  <si>
    <t>PRLV SEPA GINEYS S.A.S-G 03295188 01-519039-002 - 0ER0LJB</t>
  </si>
  <si>
    <t>660338409</t>
  </si>
  <si>
    <t>PRLV SEPA GIE KLESIA COT RETRAITE - GIE KLESIA COTIS - 20 SCG023URAE000659949S - 0EQW13T</t>
  </si>
  <si>
    <t>660338411</t>
  </si>
  <si>
    <t>PRLV INT ETS DGFIP TVA-082025-3310CA3 NN386720320DGFIP2020807504KDIIJX - 0EQOYL3</t>
  </si>
  <si>
    <t>660338406</t>
  </si>
  <si>
    <t>COMMISSION CARTE 3097105 001 656075 24/08</t>
  </si>
  <si>
    <t>660342276</t>
  </si>
  <si>
    <t>PRLV SEPA LES GLACES DE HOTELDESBAINSF52573 EDI2410284RU0000077 - 0ER7Y45</t>
  </si>
  <si>
    <t>661166276</t>
  </si>
  <si>
    <t>PRLV SEPA METRO FRANCE S /INV/0016.025073 CMR000003928001 - 0ERGUT9</t>
  </si>
  <si>
    <t>661166277</t>
  </si>
  <si>
    <t>PRLV INT ETS DGFIP PASDSN18082025-072025-3867203200 NN386720320DGFIP2020807504KDIIJX - 0EQVNU4</t>
  </si>
  <si>
    <t>661166272</t>
  </si>
  <si>
    <t>PRLV SEPA GIE CHARMHOTEL GIE CHARMHOTEL ++OCTOBRE2011 - 0ER70DF</t>
  </si>
  <si>
    <t>661166274</t>
  </si>
  <si>
    <t>PRLV SEPA SOCIETE PRINT GRAND HOTEL DES BAINS SSC003702 - 0ER6U5K</t>
  </si>
  <si>
    <t>661166281</t>
  </si>
  <si>
    <t>COMMISSION CARTE 3097105 001 678092 27/08</t>
  </si>
  <si>
    <t>661171145</t>
  </si>
  <si>
    <t>COMMISSION CARTE 3097105 001 669121 26/08</t>
  </si>
  <si>
    <t>661171147</t>
  </si>
  <si>
    <t>STATION JMM FR LE GRAU DU R - 24070116185</t>
  </si>
  <si>
    <t>662316106</t>
  </si>
  <si>
    <t>PRLV SEPA IDEAL PEINTURE FA4016536 GRAND HOTEL LES BAINS-12/2021-00 - 0ERKZR0</t>
  </si>
  <si>
    <t>662316103</t>
  </si>
  <si>
    <t>VIR INST PULSION MOTO Pour PULSION MOTO TROP PAYE - WKFTO8C</t>
  </si>
  <si>
    <t>662316104</t>
  </si>
  <si>
    <t>PAIEMENT PAR CARTE X7976 LIDL 2719 LABEGUDE 28/08</t>
  </si>
  <si>
    <t>662320438</t>
  </si>
  <si>
    <t>COMMISSION CARTE 3097105 001 687070 28/08</t>
  </si>
  <si>
    <t>662320439</t>
  </si>
  <si>
    <t>COMM ACTUAL PRO XCOPZ110 2025082900439999000001 - 0439999</t>
  </si>
  <si>
    <t>662960798</t>
  </si>
  <si>
    <t>ECH PRET DONT CAP 1255,19 ASS. 0,00E INT. 58,27 COM. 0,00E - 5406472</t>
  </si>
  <si>
    <t>662960800</t>
  </si>
  <si>
    <t>662960797</t>
  </si>
  <si>
    <t>SNCF-VOYAGEURS FR PARIS 10 - 24170128437</t>
  </si>
  <si>
    <t>662960802</t>
  </si>
  <si>
    <t>COMMISSION CARTE 3097105 001 696198 29/08</t>
  </si>
  <si>
    <t>662960907</t>
  </si>
  <si>
    <t>INTERMARCHE FR AUBENAS - 24270128818</t>
  </si>
  <si>
    <t>663220019</t>
  </si>
  <si>
    <t>LA POSTE 070030 FR AUBENAS CDIS - 24270128816</t>
  </si>
  <si>
    <t>663220016</t>
  </si>
  <si>
    <t>Hotel at Bookin NL Amsterdam - 24270128819</t>
  </si>
  <si>
    <t>663220017</t>
  </si>
  <si>
    <t>LA POSTE 070030 FR AUBENAS CDIS - 24270128817</t>
  </si>
  <si>
    <t>663220018</t>
  </si>
  <si>
    <t>PRLV SEPA RELAIS D OR VA RELAIS D OR VALLEE DU RHONE 4100459801GRANDHOTELDESBAINS - 0ERSMKH</t>
  </si>
  <si>
    <t>663817059</t>
  </si>
  <si>
    <t>PRLV SEPA ASSOCIATION C ASS CONTACT HOTEL 4110704C60 - 0ERV59R</t>
  </si>
  <si>
    <t>663817052</t>
  </si>
  <si>
    <t>DROMADIS 300825 REF TIRE:00103345 - 0626054</t>
  </si>
  <si>
    <t>663817056</t>
  </si>
  <si>
    <t>PRLV SEPA Xerox Financia 3928244 FR30PF2112674 - 0ERGEA8</t>
  </si>
  <si>
    <t>663817062</t>
  </si>
  <si>
    <t>SAMSE 310825 - 0626055</t>
  </si>
  <si>
    <t>663817057</t>
  </si>
  <si>
    <t>FB SUD EST 310825 - 0626053</t>
  </si>
  <si>
    <t>663817053</t>
  </si>
  <si>
    <t>S.A.S. LES CAVES VIVAR REF TIRE:00F5000194 ECH:31/08/25 - 0711051</t>
  </si>
  <si>
    <t>663817060</t>
  </si>
  <si>
    <t>PRLV SEPA BPIFRANCE 5322319 F2509/000381885 RUM-01255916 - 0ERJ67M</t>
  </si>
  <si>
    <t>663817054</t>
  </si>
  <si>
    <t>PRLV SEPA LES GLACES DE HOTELBAINSF52710 EDI2410284RU0000077 - 0ERZ14K</t>
  </si>
  <si>
    <t>663817061</t>
  </si>
  <si>
    <t>PRLV SEPA LA NATURE A TA Prelevement LC275977 5730 - 0ERLM3J</t>
  </si>
  <si>
    <t>663817058</t>
  </si>
  <si>
    <t>VIR SEPA STVB LES THERME facture 221052 facture 221052 - 2151503</t>
  </si>
  <si>
    <t>665037528</t>
  </si>
  <si>
    <t>THIRIET AUBENAS FR AUBENAS - 24470288793</t>
  </si>
  <si>
    <t>665037523</t>
  </si>
  <si>
    <t>CHOCOLATERIE GU FR VALS-LES-BAI - 24470118513</t>
  </si>
  <si>
    <t>665037533</t>
  </si>
  <si>
    <t>PRLV SEPA HOTELIOS Maintenance Mensuelle INFHOTIK C-10-48-201109-10041889-7 - 0ESEEN4</t>
  </si>
  <si>
    <t>665037516</t>
  </si>
  <si>
    <t>VIR INST POL FLORIAN Pour POL FLORIAN BROYEUR ROQUE ET LE COEUR - WKGKXPF</t>
  </si>
  <si>
    <t>665037521</t>
  </si>
  <si>
    <t>ABON CYBERPLUS XCBVX665 2025083100051395000001 HABILITATION P8806895 - 0051395</t>
  </si>
  <si>
    <t>665037520</t>
  </si>
  <si>
    <t>VIR SEPA LOUTRIOL fa1911739 fa1911739 - 2151355</t>
  </si>
  <si>
    <t>665037531</t>
  </si>
  <si>
    <t>VIR SEPA mas du granzon facture 20250617 facture 20250617 - 2151617</t>
  </si>
  <si>
    <t>665037532</t>
  </si>
  <si>
    <t>665056618</t>
  </si>
  <si>
    <t>COMMISSION CARTE 3097105 001 705237 30/08</t>
  </si>
  <si>
    <t>665056616</t>
  </si>
  <si>
    <t>GOOGLE *ADS2632 IE ccàgoogle.co - 24570111471</t>
  </si>
  <si>
    <t>666049198</t>
  </si>
  <si>
    <t>VIR SEPA Cafes richard facture 09100507749 facture 09100507749 - 2190846</t>
  </si>
  <si>
    <t>666049196</t>
  </si>
  <si>
    <t>VIR SEPA NATHALIE GUNZLE facture 792 humana beaute facture 792 humana beaute - 2190323</t>
  </si>
  <si>
    <t>666049205</t>
  </si>
  <si>
    <t>VIR SEPA SARL NURY T.P. FA2025031565 FA2025031565 - 2191449</t>
  </si>
  <si>
    <t>666049206</t>
  </si>
  <si>
    <t>VIR SEPA MICROCONCPT FACTURE VF22153 FACTURE VF22153 - 2193677</t>
  </si>
  <si>
    <t>666049199</t>
  </si>
  <si>
    <t>VIR SEPA DUBOIS DE MONTR facture 2025-8-0159 l'instant de facture 2025-8-0159 l'instant de - 2190562</t>
  </si>
  <si>
    <t>666049212</t>
  </si>
  <si>
    <t>VIR INST caminale olivie Pour caminale olivier Aout et septembre appartement ga - WKGXCFU</t>
  </si>
  <si>
    <t>666049197</t>
  </si>
  <si>
    <t>020925 CB****9655 CCM AUBENAS ET FR AUBENAS 450,00EUR 1 EURO = 1,000000 - BBI0RBC</t>
  </si>
  <si>
    <t>666049210</t>
  </si>
  <si>
    <t>VIR SEPA SAPHIRESA FACTURE 2025000166 FACTURE 2025000166 - 2193846</t>
  </si>
  <si>
    <t>666049209</t>
  </si>
  <si>
    <t>VIR SEPA SAPHIRESA facture 2025000162 facture 2025000162 - 2230295</t>
  </si>
  <si>
    <t>666049200</t>
  </si>
  <si>
    <t>ECH PRET DONT CAP 3576,77 ASS. 0,00E INT. 253,15 COM. 0,00E - 9062097</t>
  </si>
  <si>
    <t>666049208</t>
  </si>
  <si>
    <t>VIR SEPA AU PETIT PRIMEU FACTURE 100816611 FACTURE 100816611 - 2192247</t>
  </si>
  <si>
    <t>666049202</t>
  </si>
  <si>
    <t>VIR SEPA SARL ETS CHANEA FC2550821 FC2550821 - 2191545</t>
  </si>
  <si>
    <t>666049214</t>
  </si>
  <si>
    <t>VIR SEPA CAROLINE ALLEGR facture 00010 facture 00010 - 2190678</t>
  </si>
  <si>
    <t>666049217</t>
  </si>
  <si>
    <t>VIR SEPA MECC NUMERO ORDRE 74878 COMPTE 001961 NUMERO ORDRE 74878 COMPTE 001961 - 2229495</t>
  </si>
  <si>
    <t>666049204</t>
  </si>
  <si>
    <t>PRELEVEMENT AVEM /INV/NM LOC-11491166 18.8.2025/R/ 2000460289/2214693161 1000-000001045657 FR73ZZZ395135</t>
  </si>
  <si>
    <t>666051213</t>
  </si>
  <si>
    <t>INTERMARCHE FR AUBENAS - 24770115745</t>
  </si>
  <si>
    <t>667626105</t>
  </si>
  <si>
    <t>PRLV SEPA REGIE SYNDICAT PRELEVEMENT SEBA FR62ZZZ81CBFD-2618032217-29089 - 0ET38P9</t>
  </si>
  <si>
    <t>667626101</t>
  </si>
  <si>
    <t>VIR INST VINCENOT ET FIL Pour VINCENOT ET FILS FACTURE 250003434 - WKHS0RX</t>
  </si>
  <si>
    <t>667626104</t>
  </si>
  <si>
    <t>VIR SEPA GRH POLSKA salaire aout 2025 fr/22/082025 salaire aout 2025 fr/22/082025 - 2257151</t>
  </si>
  <si>
    <t>667626102</t>
  </si>
  <si>
    <t>VIR INST CHATEAU LES AMO Pour CHATEAU LES AMOUREUSES FACTURE 251122 - WKHS0UL</t>
  </si>
  <si>
    <t>667626110</t>
  </si>
  <si>
    <t>PRLV SEPA GINEYS S.A.S-G 03309824 01-519039-002 - 0ETEO2X</t>
  </si>
  <si>
    <t>667626109</t>
  </si>
  <si>
    <t>PRLV SEPA CEGID SAS FA002-01616274 00RC0000019770055000002B00 - 0ESA2PD</t>
  </si>
  <si>
    <t>667626107</t>
  </si>
  <si>
    <t>PRLV SEPA ATS CULLIGAN G RGSC021907 - 0ETG9DN</t>
  </si>
  <si>
    <t>667626106</t>
  </si>
  <si>
    <t>VIR SEPA :25 saison ete P8806895 salaire aout 2025 - 2256159</t>
  </si>
  <si>
    <t>667626103</t>
  </si>
  <si>
    <t>PRLV SEPA REGIE SYNDICAT PRELEVEMENT SEBA FR62ZZZ81CBFD-2618032232-29090 - 0ET38MQ</t>
  </si>
  <si>
    <t>667626108</t>
  </si>
  <si>
    <t>PRLV SEPA AXA I0000891773908-CONTRAT0000010559 00AX000000000014093188 - 0ERUT9R</t>
  </si>
  <si>
    <t>667626100</t>
  </si>
  <si>
    <t>REMBOURSEMENT DE PRET 00001519822 05/09/25 CAPITAL</t>
  </si>
  <si>
    <t>667627632</t>
  </si>
  <si>
    <t>REMBOURSEMENT DE PRET 00001519822 05/09/25 INTERETS</t>
  </si>
  <si>
    <t>667627631</t>
  </si>
  <si>
    <t>PAPILLA FR AUBENAS - 24870116782</t>
  </si>
  <si>
    <t>668498085</t>
  </si>
  <si>
    <t>COMMISSION CARTE 3097105 001 756406 05/09</t>
  </si>
  <si>
    <t>668498162</t>
  </si>
  <si>
    <t>PRLV SEPA LES GLACES DE HOTELBAINSF52797 EDI2410284RU0000077 - 0ET4IGM</t>
  </si>
  <si>
    <t>669566351</t>
  </si>
  <si>
    <t>669566350</t>
  </si>
  <si>
    <t>DROMADIS 090925 REF TIRE:00103547 - 0874001</t>
  </si>
  <si>
    <t>670996764</t>
  </si>
  <si>
    <t>PRLV SEPA RELAIS D OR VA RELAIS D OR VALLEE DU RHONE 4100459801GRANDHOTELDESBAINS - 0ESLIXN</t>
  </si>
  <si>
    <t>670996772</t>
  </si>
  <si>
    <t>PRLV SEPA ORANGE SA FIXENT - P - Facture: 302281143 89001440490002244096 - 0ETUOET</t>
  </si>
  <si>
    <t>670996766</t>
  </si>
  <si>
    <t>ECH PRET DONT CAP 1058,46 ASS. 0,00E INT. 97,64 COM. 0,00E - 9062098</t>
  </si>
  <si>
    <t>670996770</t>
  </si>
  <si>
    <t>ECH PRET DONT CAP 813,50 ASS. 0,00E INT. 57,58 COM. 0,00E - 9062099</t>
  </si>
  <si>
    <t>670996769</t>
  </si>
  <si>
    <t>COMMISSION CARTE 3097105 001 765762 06/09</t>
  </si>
  <si>
    <t>670999625</t>
  </si>
  <si>
    <t>PAIEMENT PAR CARTE X7976 BOULANGER AUBENAS 05/09</t>
  </si>
  <si>
    <t>670999626</t>
  </si>
  <si>
    <t>PAIEMENT PAR CARTE X7976 AMAZON PAYMENTS PAYL 06/09</t>
  </si>
  <si>
    <t>670999628</t>
  </si>
  <si>
    <t>LA POSTE 070030 FR AUBENAS CDIS - 25270102134</t>
  </si>
  <si>
    <t>672357761</t>
  </si>
  <si>
    <t>CYBER+ PAIEMENT ABONNEMT XCPSD033 2025091000063159000001 ABONNEMENT PSD0006262976 - 0063159</t>
  </si>
  <si>
    <t>672357753</t>
  </si>
  <si>
    <t>PRLV SEPA PREFILOC CAPIT F250621273 PRE000121421 - 0EUNQK0</t>
  </si>
  <si>
    <t>672357749</t>
  </si>
  <si>
    <t>COM CB 5667966016 - NB0001/634831 - 0107831</t>
  </si>
  <si>
    <t>672357759</t>
  </si>
  <si>
    <t>PRLV SEPA CEGID SAS FA002-01618816 00RC0000019770055000002B00 - 0ET2ZGB</t>
  </si>
  <si>
    <t>672357762</t>
  </si>
  <si>
    <t>PRLV SEPA LA NATURE A TA Prelevement LC203820 5730 - 0EUH8NU</t>
  </si>
  <si>
    <t>672357754</t>
  </si>
  <si>
    <t>PAIEMENT PAR CARTE X7976 THIRIET AUBENAS 09/09</t>
  </si>
  <si>
    <t>672368143</t>
  </si>
  <si>
    <t>PAIEMENT PAR CARTE X3718 IMAGES 3 SAINT ETIEN 08/09</t>
  </si>
  <si>
    <t>672368136</t>
  </si>
  <si>
    <t>PAIEMENT PAR CARTE X7976 AMAZON PAYMENTS PAYL 08/09</t>
  </si>
  <si>
    <t>672368142</t>
  </si>
  <si>
    <t>COMMISSION CARTE 3097105 001 806573 11/09</t>
  </si>
  <si>
    <t>673373465</t>
  </si>
  <si>
    <t>GGM Gastro Inte DE OCHTRUP - 25470102505</t>
  </si>
  <si>
    <t>673369095</t>
  </si>
  <si>
    <t>DAC COMAVIA FR AUBENAS - 25470102504</t>
  </si>
  <si>
    <t>673369093</t>
  </si>
  <si>
    <t>PRLV SEPA REGIE SYNDICAT PRELEVEMENT SEBA FR62ZZZ81CBFD-3418-28223 - 0EV4MF6</t>
  </si>
  <si>
    <t>673369094</t>
  </si>
  <si>
    <t>PRLV SEPA ORANGE SA Votre abonnement fibre (facture: M0067001527 - 0EUDSSB</t>
  </si>
  <si>
    <t>673369096</t>
  </si>
  <si>
    <t>PRLV SEPA METRO FRANCE S /INV/0002.027721 CMR000003928001 - 0EV92QG</t>
  </si>
  <si>
    <t>673369097</t>
  </si>
  <si>
    <t>VIR SEPA ACCARD LAURENCE FACTURE 4129 FACTURE 4129 - 2479343</t>
  </si>
  <si>
    <t>674193253</t>
  </si>
  <si>
    <t>VIR SEPA ARCANCIANE f-202509000016 f-202509000016 - 2476451</t>
  </si>
  <si>
    <t>674193246</t>
  </si>
  <si>
    <t>EXTRACTION CARTE MAT 8801226 - 5810002</t>
  </si>
  <si>
    <t>674193242</t>
  </si>
  <si>
    <t>VIR SEPA BOOKING.COM facture 1637255245 nh 57616 facture 1637255245 nh 57616 - 2475927</t>
  </si>
  <si>
    <t>674193249</t>
  </si>
  <si>
    <t>VIR SEPA Cafes richard facture 0910073538 facture 0910073538 - 2476337</t>
  </si>
  <si>
    <t>674193250</t>
  </si>
  <si>
    <t>VIR SEPA SARL ETS CHANEA FC2550941 FC2550941 - 2479672</t>
  </si>
  <si>
    <t>674193255</t>
  </si>
  <si>
    <t>VIR SEPA STVB LES THERME facture 222945 facture 222945 - 2476212</t>
  </si>
  <si>
    <t>674193247</t>
  </si>
  <si>
    <t>VIR SEPA EXPEDIA LODGING facture 2521823987 id 1165572 facture 2521823987 id 1165572 - 2476088</t>
  </si>
  <si>
    <t>674193243</t>
  </si>
  <si>
    <t>VIR SEPA ASSOCHUILETIC FACTURE 25-09-317 FACTURE 25-09-317 - 2479225</t>
  </si>
  <si>
    <t>674193244</t>
  </si>
  <si>
    <t>VIR SEPA AU PETIT PRIMEU facture 100816644 facture 100816644 - 2476295</t>
  </si>
  <si>
    <t>674193251</t>
  </si>
  <si>
    <t>VIR SEPA web access F-2025-148 F-2025-148 - 2476540</t>
  </si>
  <si>
    <t>674193245</t>
  </si>
  <si>
    <t>VIR SEPA moulon services f/202508/00002205 f/202508/00002205 - 2476379</t>
  </si>
  <si>
    <t>674193254</t>
  </si>
  <si>
    <t>VIR SEPA SAPHIRESA facture 2025000171 facture 2025000171 - 2476481</t>
  </si>
  <si>
    <t>674193241</t>
  </si>
  <si>
    <t>VIR SEPA SARL ETS CHANEA facture fc2550881 facture fc2550881 - 2476155</t>
  </si>
  <si>
    <t>674193248</t>
  </si>
  <si>
    <t>COMMISSION CARTE 3097105 001 815352 12/09</t>
  </si>
  <si>
    <t>674194605</t>
  </si>
  <si>
    <t>PRELEVEMENT Noelse France CPREL2509011001411 S6239571919-2239646 FR80ZZZ328855</t>
  </si>
  <si>
    <t>674194602</t>
  </si>
  <si>
    <t>PRLV SEPA GINEYS S.A.S-G 03322093 01-519039-002 - 0EVJPF1</t>
  </si>
  <si>
    <t>675357345</t>
  </si>
  <si>
    <t>PRLV SEPA SOLOCAL SA 204 /INV/FORM:0002983915/27.08.2025/ 02937492002 - 0EVD19T</t>
  </si>
  <si>
    <t>675357346</t>
  </si>
  <si>
    <t>PRLV SEPA Free Pro FACTURE FREEPRO 15/09/2025 F2025 JNRUMSATHERMALECLIMA020230706103 - 0EURUR1</t>
  </si>
  <si>
    <t>675357347</t>
  </si>
  <si>
    <t>PRLV SEPA LES GLACES DE HOTELDESBAINSF52839 EDI2410284RU0000077 - 0EUP3YJ</t>
  </si>
  <si>
    <t>675357348</t>
  </si>
  <si>
    <t>STARLINK INTERN IE Dublin - 25870110814</t>
  </si>
  <si>
    <t>676865943</t>
  </si>
  <si>
    <t>COTISATION CARTE DD XCGFC157 2025091400022787000001 PLATINUMBUSINES ********360G - 0022787</t>
  </si>
  <si>
    <t>676865949</t>
  </si>
  <si>
    <t>PRLV SEPA EDF SA THERMALE ET CLIMATIQU Ref EDF MA970001250911 - 0EVBOL7</t>
  </si>
  <si>
    <t>676865946</t>
  </si>
  <si>
    <t>COMMISSION CARTE 3097105 001 839272 15/09</t>
  </si>
  <si>
    <t>676867134</t>
  </si>
  <si>
    <t>AMAZON PRIME FR FR PAYLI2469664 - 25970095706</t>
  </si>
  <si>
    <t>677804816</t>
  </si>
  <si>
    <t>Amazon.fr*CE5O5 FR amazon.fr - 25970095707</t>
  </si>
  <si>
    <t>677804827</t>
  </si>
  <si>
    <t>FACEBK *4RAX92V IE fb.me/ads - 26070106824</t>
  </si>
  <si>
    <t>677804824</t>
  </si>
  <si>
    <t>VIR SEPA BOOKING.COM FACTURE 1637259747 NH 254064 FACTURE 1637259747 NH 254064 - 2583887</t>
  </si>
  <si>
    <t>677804829</t>
  </si>
  <si>
    <t>PRLV SEPA EDF SA THERMALE CLIMATIQUE D Ref EDF MA970001250911 - 0EVJ8RS</t>
  </si>
  <si>
    <t>677804826</t>
  </si>
  <si>
    <t>VIR SEPA GIRARDOT FACTURE 5090119 FACTURE 5090119 - 2583953</t>
  </si>
  <si>
    <t>677804828</t>
  </si>
  <si>
    <t>VIR SEPA SAPHIRESA FACTURE 2025000177 FACTURE 2025000177 - 2583577</t>
  </si>
  <si>
    <t>677804819</t>
  </si>
  <si>
    <t>VIR SEPA CABINET CHAUSSI FACTURE 00260001568/002028 FACTURE 00260001568/002028 - 2584015</t>
  </si>
  <si>
    <t>677804823</t>
  </si>
  <si>
    <t>PRLV SEPA METRO FRANCE S /INV/0055.000810 CMR000003928001 - 0EW3ETK</t>
  </si>
  <si>
    <t>677804817</t>
  </si>
  <si>
    <t>PRLV SEPA URSSAF RHONE A UR 827000002110121762 AOUT257 T1430653867203200001297356941940 - 0EW3OMC</t>
  </si>
  <si>
    <t>677804818</t>
  </si>
  <si>
    <t>677807563</t>
  </si>
  <si>
    <t>VIR INST ALEXANDRA AUBRY Pour ALEXANDRA AUBRY Acompte - WKKLAVB</t>
  </si>
  <si>
    <t>678778545</t>
  </si>
  <si>
    <t>VIR INST AUBRY ALEXANDRA Pour AUBRY ALEXANDRA Acompte - WKKLAW6</t>
  </si>
  <si>
    <t>678778550</t>
  </si>
  <si>
    <t>PRLV SEPA ORANGE SA-ORAN Votre abonnement mobile: 06XXXXX ++M0017687880 - 0EWDOHI</t>
  </si>
  <si>
    <t>678778549</t>
  </si>
  <si>
    <t>PRLV SEPA Autoroutes du LH004545170041376270 082025 ++25004137627001188445 - 0EV7AR6</t>
  </si>
  <si>
    <t>678778546</t>
  </si>
  <si>
    <t>PAIEMENT PAR CARTE X7976 AMAZON PAYMENTS PAYL 17/09</t>
  </si>
  <si>
    <t>678779480</t>
  </si>
  <si>
    <t>PAIEMENT PAR CARTE X3718 CENTRE LECLERC SAINT 18/09</t>
  </si>
  <si>
    <t>678779481</t>
  </si>
  <si>
    <t>Adobe Systems S IE Saggart, Dub - 26270105273</t>
  </si>
  <si>
    <t>679532426</t>
  </si>
  <si>
    <t>PRLV SEPA ORANGE SA Votre abonnement fibre (facture: EPCB202311295646844 - 0EW36WH</t>
  </si>
  <si>
    <t>681641781</t>
  </si>
  <si>
    <t>PRLV SEPA LA NATURE A TA Prelevement LC224043 5730 - 0EWML6Q</t>
  </si>
  <si>
    <t>681641782</t>
  </si>
  <si>
    <t>DROMADIS 200925 REF TIRE:00103726 - 1009003</t>
  </si>
  <si>
    <t>681641780</t>
  </si>
  <si>
    <t>PRLV SEPA LES GLACES DE HOTELDESBAINSF52902 EDI2410284RU0000077 - 0EWGT2B</t>
  </si>
  <si>
    <t>681641783</t>
  </si>
  <si>
    <t>PRLV SEPA RELAIS D OR VA RELAIS D OR VALLEE DU RHONE 4100459801GRANDHOTELDESBAINS - 0EWJQ4B</t>
  </si>
  <si>
    <t>681641784</t>
  </si>
  <si>
    <t>PAIEMENT PAR CARTE X3718 EFFIA CONCESSION PAR 19/09</t>
  </si>
  <si>
    <t>681642162</t>
  </si>
  <si>
    <t>PAIEMENT PAR CARTE X7976 DESCOURS CABA AUBENA 19/09</t>
  </si>
  <si>
    <t>681642160</t>
  </si>
  <si>
    <t>PAIEMENT PAR CARTE X7976 INTERMARCHE AUBENAS 19/09</t>
  </si>
  <si>
    <t>681642161</t>
  </si>
  <si>
    <t>PRLV SEPA EDF SA THERMALE CLIMATIQUE D Ref EDF MA970001250911 - 0EWFQD5</t>
  </si>
  <si>
    <t>682639720</t>
  </si>
  <si>
    <t>COMMISSION CARTE 3097105 001 894569 22/09</t>
  </si>
  <si>
    <t>682640656</t>
  </si>
  <si>
    <t>PAIEMENT PAR CARTE X3718 IBRIGANTI PARIS 22/09</t>
  </si>
  <si>
    <t>682640658</t>
  </si>
  <si>
    <t>PRLV SEPA GIE KLESIA COT RETRAITE - GIE KLESIA COTIS - 20 SCG023URAE000659949S - 0EX39OL</t>
  </si>
  <si>
    <t>684252139</t>
  </si>
  <si>
    <t>VIR SEPA AU PETIT PRIMEU facture 100816679 facture 100816679 - 2750328</t>
  </si>
  <si>
    <t>684252143</t>
  </si>
  <si>
    <t>VIR SEPA SARL SUD BUREAU fc-030852-fc-030033 fc-030852-fc-030033 - 2751776</t>
  </si>
  <si>
    <t>684252138</t>
  </si>
  <si>
    <t>VIR SEPA SAPHIRESA 2025000183 2025000183 - 2747625</t>
  </si>
  <si>
    <t>684252141</t>
  </si>
  <si>
    <t>VIR SEPA SAS ACMARIS factures 122669-122668-122667 factures 122669-122668-122667 - 2747871</t>
  </si>
  <si>
    <t>684252122</t>
  </si>
  <si>
    <t>VIR SEPA HELENE LAMBOTIN note de debours note de debours - 2747534</t>
  </si>
  <si>
    <t>684252133</t>
  </si>
  <si>
    <t>VIR SEPA sdez rhone alpe facture 602 facture 602 - 2747998</t>
  </si>
  <si>
    <t>684252142</t>
  </si>
  <si>
    <t>PRLV SEPA ORANGE SA Votre abonnement mobile: 06XXXXX ++M0003219595 - 0EX5I8D</t>
  </si>
  <si>
    <t>684252132</t>
  </si>
  <si>
    <t>VIR SEPA ACCARD LAURENCE factures 4133-4139 factures 4133-4139 - 2747362</t>
  </si>
  <si>
    <t>684252128</t>
  </si>
  <si>
    <t>PRLV INT ETS DGFIP PASDSN15092025-082025-3867203200 NN386720320DGFIP2020807504KDIIJX - 0EWN9F2</t>
  </si>
  <si>
    <t>684252120</t>
  </si>
  <si>
    <t>VIR SEPA DAVID REYNAUD facture 20261483 facture 20261483 - 2751948</t>
  </si>
  <si>
    <t>684252140</t>
  </si>
  <si>
    <t>VIR SEPA CABINET CHAUSSI 1268/1381/0942/1568 1268/1381/0942/1568 - 2751898</t>
  </si>
  <si>
    <t>684252123</t>
  </si>
  <si>
    <t>VIR SEPA CLIMATPRO facture fs202500991 facture fs202500991 - 2750782</t>
  </si>
  <si>
    <t>684252144</t>
  </si>
  <si>
    <t>PRLV SEPA GINEYS S.A.S-G 03335521 01-519039-002 - 0EX5M9T</t>
  </si>
  <si>
    <t>684252131</t>
  </si>
  <si>
    <t>VIR SEPA SARL ETS CHANEA fc2551007 fc2551007 - 2747936</t>
  </si>
  <si>
    <t>684252121</t>
  </si>
  <si>
    <t>PAIEMENT PAR CARTE X3718 RATP PARIS 22/09</t>
  </si>
  <si>
    <t>684253543</t>
  </si>
  <si>
    <t>PAIEMENT PAR CARTE X7976 INTERMARCHELALEVADE 23/09</t>
  </si>
  <si>
    <t>684253538</t>
  </si>
  <si>
    <t>PAIEMENT PAR CARTE X3718 BOULANGERIE PARIS 24/09</t>
  </si>
  <si>
    <t>684253541</t>
  </si>
  <si>
    <t>PAIEMENT PAR CARTE X3718 RATP PARIS 23/09</t>
  </si>
  <si>
    <t>684253540</t>
  </si>
  <si>
    <t>PAIEMENT PAR CARTE X3718 SNCF VOYAGEURS LYON 22/09</t>
  </si>
  <si>
    <t>684253547</t>
  </si>
  <si>
    <t>PAIEMENT PAR CARTE X3718 FORMULE 1 PARIS 22/09</t>
  </si>
  <si>
    <t>684253536</t>
  </si>
  <si>
    <t>PAIEMENT PAR CARTE X3718 750 GRAMMES PARIS 23/09</t>
  </si>
  <si>
    <t>684253537</t>
  </si>
  <si>
    <t>684253544</t>
  </si>
  <si>
    <t>PRLV SEPA GIE CHARMHOTEL GIE CHARMHOTEL ++OCTOBRE2011 - 0EXFADJ</t>
  </si>
  <si>
    <t>686629803</t>
  </si>
  <si>
    <t>PRLV SEPA METRO FRANCE S /INV/0090232758 CMR000003928001 - 0EXCMPS</t>
  </si>
  <si>
    <t>686629789</t>
  </si>
  <si>
    <t>PAIEMENT PAR CARTE X3718 BOULANGERIE PARIS 25/09</t>
  </si>
  <si>
    <t>686630276</t>
  </si>
  <si>
    <t>PAIEMENT PAR CARTE X3718 FORMULE 1 PARIS 23/09</t>
  </si>
  <si>
    <t>686630275</t>
  </si>
  <si>
    <t>PAIEMENT PAR CARTE X3718 RATP PARIS 25/09</t>
  </si>
  <si>
    <t>687459642</t>
  </si>
  <si>
    <t>687459643</t>
  </si>
  <si>
    <t>COMMISSION CARTE 3097105 001 925957 26/09</t>
  </si>
  <si>
    <t>687459635</t>
  </si>
  <si>
    <t>687459639</t>
  </si>
  <si>
    <t>687459636</t>
  </si>
  <si>
    <t>PAIEMENT PAR CARTE X3718 UBER *TRIP HELP.UBER 24/09</t>
  </si>
  <si>
    <t>687459638</t>
  </si>
  <si>
    <t>VIR SEPA STVB LES THERME FACTURE 2025/004 ET 2025/012 PUB FACTURE 2025/004 ET 2025/012 PUB - 2843788</t>
  </si>
  <si>
    <t>688993276</t>
  </si>
  <si>
    <t>PRLV SEPA LOCAM PRELEVEMENT LOCAM PARTENAIRE DE LD159120820200062519 - 0EXW7JL</t>
  </si>
  <si>
    <t>690554076</t>
  </si>
  <si>
    <t>PRLV SEPA LA NATURE A TA Prelevement LC232740 5730 - 0EXNW4S</t>
  </si>
  <si>
    <t>690554066</t>
  </si>
  <si>
    <t>DROMADIS 300925 REF TIRE:00103972 - 1089049</t>
  </si>
  <si>
    <t>690554070</t>
  </si>
  <si>
    <t>PRLV INT ETS DGFIP TVA-092025-3310CA3 NN386720320DGFIP2020807504KDIIJX - 0EXEL6H</t>
  </si>
  <si>
    <t>690554068</t>
  </si>
  <si>
    <t>SAMSE 300925 - 1089048</t>
  </si>
  <si>
    <t>690554075</t>
  </si>
  <si>
    <t>FB SUD EST 300925 - 1089047</t>
  </si>
  <si>
    <t>690554072</t>
  </si>
  <si>
    <t>PRLV SEPA RELAIS D OR VA RELAIS D OR VALLEE DU RHONE 4100459801GRANDHOTELDESBAINS - 0EXEON4</t>
  </si>
  <si>
    <t>690554073</t>
  </si>
  <si>
    <t>PRLV SEPA ASSOCIATION C ASS CONTACT HOTEL 4110704C60 - 0EXW1KK</t>
  </si>
  <si>
    <t>690554071</t>
  </si>
  <si>
    <t>PRLV SEPA HOTELIOS Maintenance Mensuelle INFHOTIK C-10-48-201109-10041889-7 - 0EYA4PI</t>
  </si>
  <si>
    <t>692237833</t>
  </si>
  <si>
    <t>ABON CYBERPLUS XCBVX665 2025093000469948000001 HABILITATION P8806895 - 0469948</t>
  </si>
  <si>
    <t>692237841</t>
  </si>
  <si>
    <t>ECH PRET DONT CAP 1256,13 ASS. 0,00E INT. 57,33 COM. 0,00E - 5406472</t>
  </si>
  <si>
    <t>692237834</t>
  </si>
  <si>
    <t>PRLV SEPA Xerox Financia 3943073 FR30PF2112674 - 0EXMI2C</t>
  </si>
  <si>
    <t>692237838</t>
  </si>
  <si>
    <t>692237837</t>
  </si>
  <si>
    <t>692237831</t>
  </si>
  <si>
    <t>692239465</t>
  </si>
  <si>
    <t>COMMISSION CARTE 3097105 001 955258 30/09</t>
  </si>
  <si>
    <t>692239460</t>
  </si>
  <si>
    <t>VIR SEPA DUBOIS DE MONTR facture 2025-9-0166 facture 2025-9-0166 - 3027003</t>
  </si>
  <si>
    <t>693951914</t>
  </si>
  <si>
    <t>VIR SEPA NATHALIE GUNZLE 210703310 210703310 - 3026921</t>
  </si>
  <si>
    <t>693951920</t>
  </si>
  <si>
    <t>VIR SEPA SAS ACMARIS facture 122808 facture 122808 - 3027206</t>
  </si>
  <si>
    <t>693951913</t>
  </si>
  <si>
    <t>ECH PRET DONT CAP 3584,67 ASS. 0,00E INT. 245,25 COM. 0,00E - 9062097</t>
  </si>
  <si>
    <t>693951915</t>
  </si>
  <si>
    <t>VIR SEPA SARL SUD BUREAU fc-031204 fc-031204 - 3026709</t>
  </si>
  <si>
    <t>693951918</t>
  </si>
  <si>
    <t>VIR SEPA les freres roye factures 3116-3741-3208-3443-354 factures 3116-3741-3208-3443-354 - 3026641</t>
  </si>
  <si>
    <t>693951912</t>
  </si>
  <si>
    <t>VIR SEPA SAPHIRESA 2025000187 2025000187 - 3027439</t>
  </si>
  <si>
    <t>693951910</t>
  </si>
  <si>
    <t>VIR SEPA SARL ETS CHANEA fc2551125 fc2551125 - 3027313</t>
  </si>
  <si>
    <t>693951916</t>
  </si>
  <si>
    <t>VIR SEPA SANOFRUIT 1920910-0791-1604-0856 1920910-0791-1604-0856 - 3026857</t>
  </si>
  <si>
    <t>693951921</t>
  </si>
  <si>
    <t>VIR SEPA AU PETIT PRIMEU 100816714 100816714 - 3027106</t>
  </si>
  <si>
    <t>693951919</t>
  </si>
  <si>
    <t>PRELEVEMENT AVEM /INV/NM LOC-11491166 18.9.2025/R/ 2000512462/2214693161 1000-000001045657 FR73ZZZ395135</t>
  </si>
  <si>
    <t>694958079</t>
  </si>
  <si>
    <t>PRLV SEPA GINEYS S.A.S 03347216 01-519039-002 - 0EZCNKB</t>
  </si>
  <si>
    <t>695933344</t>
  </si>
  <si>
    <t>COM CB 5667966016 - NB0001/772051 - 0108051</t>
  </si>
  <si>
    <t>695933348</t>
  </si>
  <si>
    <t>PRLV SEPA ATS CULLIGAN G RGSC021907 - 0EZI2ZU</t>
  </si>
  <si>
    <t>695933345</t>
  </si>
  <si>
    <t>ARRETE COMPTE 3 EME TRIMESTRE 2025 - 1199021</t>
  </si>
  <si>
    <t>697193461</t>
  </si>
  <si>
    <t>VIR SEPA :20 saison ete P8806895 salaire septembre 20 salaire septembre 2025 - 3123422</t>
  </si>
  <si>
    <t>697193448</t>
  </si>
  <si>
    <t>VIR SEPA moulon services F/202509/00002235 F/202509/00002235 - 3126064</t>
  </si>
  <si>
    <t>697193459</t>
  </si>
  <si>
    <t>697193451</t>
  </si>
  <si>
    <t>VIR SEPA GRH POLSKA FR/13/09/2025 FR/13/09/2025 - 3126154</t>
  </si>
  <si>
    <t>697193454</t>
  </si>
  <si>
    <t>COM CB 5667966016 - NB0001/068441 - 0109441</t>
  </si>
  <si>
    <t>697193460</t>
  </si>
  <si>
    <t>VIR SEPA ALLIANCE ENVIRO FACTURE FC011614 FACTURE FC011614 - 3126000</t>
  </si>
  <si>
    <t>697193452</t>
  </si>
  <si>
    <t>REMBOURSEMENT DE PRET 00001519822 05/10/25 CAPITAL</t>
  </si>
  <si>
    <t>697196866</t>
  </si>
  <si>
    <t>COMMISSION CARTE 3097105 001 990769 04/10</t>
  </si>
  <si>
    <t>697196868</t>
  </si>
  <si>
    <t>REMBOURSEMENT DE PRET 00001519822 05/10/25 INTERETS</t>
  </si>
  <si>
    <t>697196869</t>
  </si>
  <si>
    <t>ECH PRET DONT CAP 1060,80 ASS. 0,00E INT. 95,30 COM. 0,00E - 9062098</t>
  </si>
  <si>
    <t>698142169</t>
  </si>
  <si>
    <t>VIR INST caminale olivie Pour CAMINALE OLIVIER location appartement - WKP38AH</t>
  </si>
  <si>
    <t>698142179</t>
  </si>
  <si>
    <t>ECH PRET DONT CAP 815,30 ASS. 0,00E INT. 55,78 COM. 0,00E - 9062099</t>
  </si>
  <si>
    <t>698142173</t>
  </si>
  <si>
    <t>PRLV SEPA METRO FRANCE S /INV/0002.030519 CMR000003928001 - 0F0F2FG</t>
  </si>
  <si>
    <t>698142175</t>
  </si>
  <si>
    <t>PRLV SEPA ORANGE SA FIXENT - P - Facture: 302640946 89001440490002244096 - 0EZ6L06</t>
  </si>
  <si>
    <t>698142177</t>
  </si>
  <si>
    <t>COMMISSION CARTE 3097105 001 021310 08/10</t>
  </si>
  <si>
    <t>698143034</t>
  </si>
  <si>
    <t>PRLV SEPA REGIE SYNDICAT PRELEVEMENT SEBA FR62ZZZ81CBFD-2618032232-29090 - 0F0SZM2</t>
  </si>
  <si>
    <t>699014800</t>
  </si>
  <si>
    <t>PRLV SEPA RELAIS D OR VA RELAIS D OR VALLEE DU RHONE 4100459801GRANDHOTELDESBAINS - 0EYIG89</t>
  </si>
  <si>
    <t>699014807</t>
  </si>
  <si>
    <t>VIR SEPA ACCARD LAURENCE FACTURE 4152 FACTURE 4152 - 3225013</t>
  </si>
  <si>
    <t>699014806</t>
  </si>
  <si>
    <t>PRLV SEPA CEGID SAS FA002-01642378 00RC0000019770055000002B00 - 0F02UYO</t>
  </si>
  <si>
    <t>699014798</t>
  </si>
  <si>
    <t>DROMADIS 101025 REF TIRE:00104175 - 1299004</t>
  </si>
  <si>
    <t>699014794</t>
  </si>
  <si>
    <t>VIR SEPA web access F-2025-156 F-2025-156 - 3224676</t>
  </si>
  <si>
    <t>699014797</t>
  </si>
  <si>
    <t>VIR SEPA BOOKING.COM FACTURE 1640089799 NH 57616 FACTURE 1640089799 NH 57616 - 3224858</t>
  </si>
  <si>
    <t>699014808</t>
  </si>
  <si>
    <t>PRLV SEPA PREFILOC CAPIT F250706882 PRE000121421 - 0F10XVG</t>
  </si>
  <si>
    <t>699014809</t>
  </si>
  <si>
    <t>VIR SEPA SAPHIRESA FACTURE 2025000189 FACTURE 2025000189 - 3225621</t>
  </si>
  <si>
    <t>699014802</t>
  </si>
  <si>
    <t>VIR SEPA piscine assista FACTURE 951 FACTURE 951 - 3225457</t>
  </si>
  <si>
    <t>699014811</t>
  </si>
  <si>
    <t>PRLV SEPA LA NATURE A TA Prelevement LC250314 5730 - 0F088D5</t>
  </si>
  <si>
    <t>699014812</t>
  </si>
  <si>
    <t>VIR SEPA piscine assista FACTURE 934 FACTURE 934 - 3225519</t>
  </si>
  <si>
    <t>699014805</t>
  </si>
  <si>
    <t>PRLV SEPA REGIE SYNDICAT PRELEVEMENT SEBA FR62ZZZ81CBFD-2618032217-29089 - 0F0SYSF</t>
  </si>
  <si>
    <t>699014804</t>
  </si>
  <si>
    <t>VIR SEPA SARL ETS CHANEA FACTURE FC2551155 FACTURE FC2551155 - 3225343</t>
  </si>
  <si>
    <t>699014799</t>
  </si>
  <si>
    <t>VIR SEPA KOROL EQUIPEMEN fdr09004 fdr09004 - 3224611</t>
  </si>
  <si>
    <t>699014810</t>
  </si>
  <si>
    <t>VIR SEPA PST 07 26 FACTURE 25511642 FACTURE 25511642 - 3225569</t>
  </si>
  <si>
    <t>699014803</t>
  </si>
  <si>
    <t>VIR SEPA BOOKING.COM FACTURE 1640095436 NH 254064 FACTURE 1640095436 NH 254064 - 3224741</t>
  </si>
  <si>
    <t>699014795</t>
  </si>
  <si>
    <t>VIR SEPA EXPEDIA LODGING FACTURE 2522007382 ID 866511 FACTURE 2522007382 ID 866511 - 3225417</t>
  </si>
  <si>
    <t>699014796</t>
  </si>
  <si>
    <t>CYBER+ PAIEMENT ABONNEMT XCPSD033 2025101000067364000001 ABONNEMENT PSD0006262976 - 0067364</t>
  </si>
  <si>
    <t>700428250</t>
  </si>
  <si>
    <t>PRELEVEMENT Noelse France CPREL2510011002028 S6239571919-2239646 FR80ZZZ328855</t>
  </si>
  <si>
    <t>700428412</t>
  </si>
  <si>
    <t>COMMISSION CARTE 3097105 001 029660 09/10</t>
  </si>
  <si>
    <t>700428410</t>
  </si>
  <si>
    <t>VIR INST AUBRY ALEXANDRA Pour AUBRY ALEXANDRA acompte - WKPUPFB</t>
  </si>
  <si>
    <t>700699096</t>
  </si>
  <si>
    <t>PRLV SEPA LE GROUPE LA P FAC N70211073 2003842543 ++COU2772682 - 0F15N83</t>
  </si>
  <si>
    <t>701759618</t>
  </si>
  <si>
    <t>PRLV SEPA ORANGE SA Votre abonnement fibre (facture: M0067001527 - 0F0I8C6</t>
  </si>
  <si>
    <t>701759617</t>
  </si>
  <si>
    <t>PRLV SEPA REGIE SYNDICAT PRELEVEMENT SEBA FR62ZZZ81CBFD-3418-28223 - 0F15B6P</t>
  </si>
  <si>
    <t>701759619</t>
  </si>
  <si>
    <t>VIR SEPA Alexandra Aubry Virement de Monsieur Olivier Cam Virement de Monsieur Olivier Cam - 3285683</t>
  </si>
  <si>
    <t>701759616</t>
  </si>
  <si>
    <t>VIR SEPA mas du granzon FACTURE 20250805 FACTURE 20250805 - 3312278</t>
  </si>
  <si>
    <t>703195217</t>
  </si>
  <si>
    <t>FRAIS SUR VIR INSTANTANE XCMDZ020 2025101100027715000001 - 0027715</t>
  </si>
  <si>
    <t>703195214</t>
  </si>
  <si>
    <t>VIR SEPA OTIS facture U4 25072576 facture U4 25072576 - 3312180</t>
  </si>
  <si>
    <t>703195216</t>
  </si>
  <si>
    <t>COMMISSION CARTE 3097105 001 052624 12/10</t>
  </si>
  <si>
    <t>703196386</t>
  </si>
  <si>
    <t>COMMISSION CARTE 3097105 001 045211 11/10</t>
  </si>
  <si>
    <t>703196384</t>
  </si>
  <si>
    <t>PRLV SEPA EDF SA THERMALE ET CLIMATIQU Ref EDF MA970001250911 - 0F1SY78</t>
  </si>
  <si>
    <t>704067754</t>
  </si>
  <si>
    <t>S.A.S. LES CAVES VIVAR ECH:15/10/25 - 1359014</t>
  </si>
  <si>
    <t>704067753</t>
  </si>
  <si>
    <t>PRLV SEPA Free Pro FACTURE FREEPRO 15/10/2025 F2025 JNRUMSATHERMALECLIMA020230706103 - 0F0I2RO</t>
  </si>
  <si>
    <t>704067762</t>
  </si>
  <si>
    <t>VIR SEPA guillaume cerdi facture GHB300925 facture GHB300925 - 3370296</t>
  </si>
  <si>
    <t>704067752</t>
  </si>
  <si>
    <t>PRLV SEPA URSSAF RHONE A UR 827000002110121762 SEPT257 T1430653867203200001297356941940 - 0F2B6RG</t>
  </si>
  <si>
    <t>704067756</t>
  </si>
  <si>
    <t>PRLV SEPA GINEYS S.A.S 03357720 01-519039-002 - 0F1XTN3</t>
  </si>
  <si>
    <t>704067751</t>
  </si>
  <si>
    <t>VIR SEPA zinc-elec alban acompte sur devis toiture piscin acompte sur devis toiture piscin - 3373408</t>
  </si>
  <si>
    <t>704067761</t>
  </si>
  <si>
    <t>PRLV SEPA SOLOCAL SA 204 /INV/FORM:0003165958/27.09.2025/ 02937492002 - 0F1U876</t>
  </si>
  <si>
    <t>704067757</t>
  </si>
  <si>
    <t>COMMISSION CARTE 3097105 001 071691 15/10</t>
  </si>
  <si>
    <t>704069799</t>
  </si>
  <si>
    <t>PAIEMENT PAR CARTE X3718 BOULANGER AUBENAS 13/10</t>
  </si>
  <si>
    <t>704069802</t>
  </si>
  <si>
    <t>PRLV SEPA EDF SA THERMALE CLIMATIQUE D Ref EDF MA970001250911 - 0F20LI6</t>
  </si>
  <si>
    <t>704881734</t>
  </si>
  <si>
    <t>704908162</t>
  </si>
  <si>
    <t>VIR SEPA SAPHIRESA facture 2025000194 facture 2025000194 - 3453209</t>
  </si>
  <si>
    <t>706700511</t>
  </si>
  <si>
    <t>PRLV SEPA ORANGE SA Votre abonnement fibre (facture: EPCB202311295646844 - 0F20XWG</t>
  </si>
  <si>
    <t>706700513</t>
  </si>
  <si>
    <t>COM CB 5667966016 - NB0001/951801 - 0110801</t>
  </si>
  <si>
    <t>706700512</t>
  </si>
  <si>
    <t>DROMADIS 201025 REF TIRE:00104755 - 1392002</t>
  </si>
  <si>
    <t>706700514</t>
  </si>
  <si>
    <t>PRLV SEPA RELAIS D OR VA RELAIS D OR VALLEE DU RHONE 4100459801GRANDHOTELDESBAINS - 0F1PXSY</t>
  </si>
  <si>
    <t>706700509</t>
  </si>
  <si>
    <t>PRLV SEPA Autoroutes du LI004267710041376270 092025 ++25004137627001188445 - 0F0X28A</t>
  </si>
  <si>
    <t>706700508</t>
  </si>
  <si>
    <t>PRLV SEPA ORANGE SA-ORAN Votre abonnement mobile: 06XXXXX ++M0017687880 - 0F2P15H</t>
  </si>
  <si>
    <t>706700516</t>
  </si>
  <si>
    <t>VIR SEPA REGIE DE RECETT ref ABV3759162601ERAP ref ABV3759162601ERAP - 3454584</t>
  </si>
  <si>
    <t>706700507</t>
  </si>
  <si>
    <t>VIR SEPA REGIE DE RECETT ABV3759162265ERAP ABV3759162265ERAP - 3454628</t>
  </si>
  <si>
    <t>706700517</t>
  </si>
  <si>
    <t>VIR SEPA SARL ETS CHANEA fc2551213 fc2551213 - 3453120</t>
  </si>
  <si>
    <t>706700510</t>
  </si>
  <si>
    <t>VIR SEPA menuisserie LAG facture 01775 facture 01775 - 3453172</t>
  </si>
  <si>
    <t>706700518</t>
  </si>
  <si>
    <t>VIR SEPA AU PETIT PRIMEU facture 100816745 facture 100816745 - 3453146</t>
  </si>
  <si>
    <t>706700506</t>
  </si>
  <si>
    <t>PAIEMENT PAR CARTE X3718 LIDL 2719 LABEGUDE 18/10</t>
  </si>
  <si>
    <t>706700918</t>
  </si>
  <si>
    <t>PAIEMENT PAR CARTE X3718 INTERMARCHELALEVADE 18/10</t>
  </si>
  <si>
    <t>706700917</t>
  </si>
  <si>
    <t>PRLV SEPA LA NATURE A TA Prelevement LC279809 5730 - 0F2XN19</t>
  </si>
  <si>
    <t>707750868</t>
  </si>
  <si>
    <t>PAIEMENT PAR CARTE X3718 Vistaprint Venlo 18/10</t>
  </si>
  <si>
    <t>707754514</t>
  </si>
  <si>
    <t>PRLV INT ETS DGFIP PASDSN15102025-092025-3867203200 NN386720320DGFIP2020807504KDIIJX - 0F311HM</t>
  </si>
  <si>
    <t>709195527</t>
  </si>
  <si>
    <t>PRLV SEPA EDF SA THERMALE CLIMATIQUE D Ref EDF MA970001250911 - 0F2ZMYW</t>
  </si>
  <si>
    <t>709195530</t>
  </si>
  <si>
    <t>VIR INST GONON DIDIER Pour GONON DIDIER acompte sur salaire octobre - WKRE04K</t>
  </si>
  <si>
    <t>709195538</t>
  </si>
  <si>
    <t>FRAIS SUR VIR INSTANTANE XCMDZ020 2025102100051597000001 - 0051597</t>
  </si>
  <si>
    <t>709195532</t>
  </si>
  <si>
    <t>PRLV SEPA GIE CHARMHOTEL GIE CHARMHOTEL ++OCTOBRE2011 - 0F3HZWW</t>
  </si>
  <si>
    <t>710193151</t>
  </si>
  <si>
    <t>PRLV SEPA ORANGE SA Votre abonnement mobile: 06XXXXX ++M0003219595 - 0F3ACKJ</t>
  </si>
  <si>
    <t>710193154</t>
  </si>
  <si>
    <t>COM CB 5667966016 - NB0001/711121 - 0111121</t>
  </si>
  <si>
    <t>710193155</t>
  </si>
  <si>
    <t>COMMISSION CARTE 3097105 001 127278 23/10</t>
  </si>
  <si>
    <t>710193538</t>
  </si>
  <si>
    <t>PAIEMENT PAR CARTE X7976 CHARME ET COSY AUBEN 23/10</t>
  </si>
  <si>
    <t>710193537</t>
  </si>
  <si>
    <t>VIR SEPA CABINET CHAUSSI 00260002102-0026000210 00260002102-00260002103 - 3608778</t>
  </si>
  <si>
    <t>710757374</t>
  </si>
  <si>
    <t>VIR SEPA SAS ACMARIS 119428 et 119429 119428 et 119429 - 3607956</t>
  </si>
  <si>
    <t>710757383</t>
  </si>
  <si>
    <t>VIR SEPA SARL AMA-ITEA facture fa0174764 facture fa0174764 - 3608682</t>
  </si>
  <si>
    <t>710757375</t>
  </si>
  <si>
    <t>VIR SEPA Cafes richard 0910101497-0910126065 0910101497-0910126065 - 3608588</t>
  </si>
  <si>
    <t>710757377</t>
  </si>
  <si>
    <t>VIR SEPA OC22 fv/2024/0018436 fv/2024/0018436 - 3608029</t>
  </si>
  <si>
    <t>710757373</t>
  </si>
  <si>
    <t>VIR SEPA SAPHIRESA P8806895 facture 201 - 3607833</t>
  </si>
  <si>
    <t>710757372</t>
  </si>
  <si>
    <t>COM CB 5667966016 - NB0001/878391 - 0112391</t>
  </si>
  <si>
    <t>710757379</t>
  </si>
  <si>
    <t>VIR SEPA EDITIONS LVA jg25090325 jg25090325 - 3608247</t>
  </si>
  <si>
    <t>710757376</t>
  </si>
  <si>
    <t>PRLV INT ETS DGFIP TVA-102025-3310CA3 NN386720320DGFIP2020807504KDIIJX - 0F3CHRX</t>
  </si>
  <si>
    <t>710757378</t>
  </si>
  <si>
    <t>VIR SEPA AU PETIT PRIMEU 10081677 10081677 - 3608083</t>
  </si>
  <si>
    <t>710757384</t>
  </si>
  <si>
    <t>VIR SEPA SARL SUD BUREAU fc-031577 fc-031577 - 3608327</t>
  </si>
  <si>
    <t>710757381</t>
  </si>
  <si>
    <t>COMMISSION CARTE 3097105 001 134576 24/10</t>
  </si>
  <si>
    <t>710757527</t>
  </si>
  <si>
    <t>PAIEMENT PAR CARTE X7976 AMAZON EU SARL PARIS 22/10</t>
  </si>
  <si>
    <t>710757522</t>
  </si>
  <si>
    <t>PRLV SEPA DIRECTION GENE 070054656223637324 222 24FR46ZZZ005002P307015659355 - 0F2KQ7M</t>
  </si>
  <si>
    <t>712390963</t>
  </si>
  <si>
    <t>PRLV SEPA GIE KLESIA COT RETRAITE - GIE KLESIA COTIS - 20 SCG023URAE000659949S - 0F3JERG</t>
  </si>
  <si>
    <t>712390962</t>
  </si>
  <si>
    <t>PRLV SEPA GINEYS S.A.S-G 03369305 01-519039-002 - 0F3M8FY</t>
  </si>
  <si>
    <t>712390961</t>
  </si>
  <si>
    <t>PAIEMENT PAR CARTE X7976 INTERMARCHELALEVADE 25/10</t>
  </si>
  <si>
    <t>712391326</t>
  </si>
  <si>
    <t>PAIEMENT PAR CARTE X3718 INTERMARCHELALEVADE 25/10</t>
  </si>
  <si>
    <t>712391325</t>
  </si>
  <si>
    <t>VIR SEPA STVB LES THERME 224491- DOUBLON 219487 240E 224491- DOUBLON 219487 240E - 3671435</t>
  </si>
  <si>
    <t>713502615</t>
  </si>
  <si>
    <t>VIR SEPA CLAIR ET NET FACTURE 25/9340 FACTURE 25/9340 - 3673624</t>
  </si>
  <si>
    <t>713502608</t>
  </si>
  <si>
    <t>VIR SEPA PST 07 26 FACTURE 25518297 FACTURE 25518297 - 3673721</t>
  </si>
  <si>
    <t>713502609</t>
  </si>
  <si>
    <t>VIR SEPA SAPHIRESA 2025000210 2025000210 - 3673842</t>
  </si>
  <si>
    <t>713502611</t>
  </si>
  <si>
    <t>VIR SEPA SARL ETS CHANEA FC2551265-FC2551072-FC2551323 FC2551265-FC2551072-FC2551323 - 3673561</t>
  </si>
  <si>
    <t>713502610</t>
  </si>
  <si>
    <t>VIR SEPA CLIMATPRO FACTURE FS20251129 FACTURE FS20251129 - 3674024</t>
  </si>
  <si>
    <t>713502606</t>
  </si>
  <si>
    <t>VIR SEPA SCEA PISCICULTU FAC96050-95630 FAC96050-95630 - 3671185</t>
  </si>
  <si>
    <t>713502614</t>
  </si>
  <si>
    <t>VIR SEPA SANOFRUIT 1921850 1921850 - 3671252</t>
  </si>
  <si>
    <t>713502607</t>
  </si>
  <si>
    <t>VIR SEPA LOUTRIOL FA1911950-1946 - AVOIR 16.08 FA1911950-1946 - AVOIR 16.08 - 3671353</t>
  </si>
  <si>
    <t>713502605</t>
  </si>
  <si>
    <t>PRLV SEPA ASSOCIATION C ASS CONTACT HOTEL 4110704C60 - 0F4BZKF</t>
  </si>
  <si>
    <t>714477416</t>
  </si>
  <si>
    <t>PRLV SEPA RELAIS D OR VA RELAIS D OR VALLEE DU RHONE 4100459801GRANDHOTELDESBAINS - 0F3413Z</t>
  </si>
  <si>
    <t>714477419</t>
  </si>
  <si>
    <t>COM CB 5667966016 - NB0001/435421 - 0113421</t>
  </si>
  <si>
    <t>714477404</t>
  </si>
  <si>
    <t>DROMADIS 301025 REF TIRE:00105041 - 1482008</t>
  </si>
  <si>
    <t>714477413</t>
  </si>
  <si>
    <t>VIR SEPA adic info grand facture fa2025-3577 facture fa2025-3577 - 3735294</t>
  </si>
  <si>
    <t>714477414</t>
  </si>
  <si>
    <t>PRLV SEPA KLESIA COTISAT 20251030CGKLESIA 037004898 0CE8832D0C304AEEB72BC20A094029C5 - 0F4EFCA</t>
  </si>
  <si>
    <t>714477415</t>
  </si>
  <si>
    <t>PRLV SEPA KLESIA COTISAT 20251030CGKLESIA 037005203 0CE8832D0C304AEEB72BC20A094029C5 - 0F4EFDR</t>
  </si>
  <si>
    <t>714477410</t>
  </si>
  <si>
    <t>COMMISSION CARTE 3097105 001 167039 29/10</t>
  </si>
  <si>
    <t>714478973</t>
  </si>
  <si>
    <t>FB SUD EST 311025 - 1515042</t>
  </si>
  <si>
    <t>715779500</t>
  </si>
  <si>
    <t>SAMSE 311025 - 1515043</t>
  </si>
  <si>
    <t>715779498</t>
  </si>
  <si>
    <t>PRLV SEPA IDEAL PEINTURE FA4016807 GRAND HOTEL LES BAINS-12/2021-00 - 0F4MU9N</t>
  </si>
  <si>
    <t>715779501</t>
  </si>
  <si>
    <t>PRLV SEPA LA NATURE A TA Prelevement LC290851 5730 - 0F40MF8</t>
  </si>
  <si>
    <t>715779502</t>
  </si>
  <si>
    <t>PAIEMENT PAR CARTE X7976 GOOGLE*ADS2632871201 29/10</t>
  </si>
  <si>
    <t>715780315</t>
  </si>
  <si>
    <t>ECH PRET DONT CAP 1257,07 ASS. 0,00E INT. 56,39 COM. 0,00E - 5406472</t>
  </si>
  <si>
    <t>716547716</t>
  </si>
  <si>
    <t>FRAIS PAI CB DD HORS EEE XCPCB210 2025103100468341000001 COMMISSION CB 071025 OFFRESCAS - 0468341</t>
  </si>
  <si>
    <t>716547717</t>
  </si>
  <si>
    <t>716547715</t>
  </si>
  <si>
    <t>ABON CYBERPLUS XCBVX665 2025103100468339000001 HABILITATION P8806895 - 0468339</t>
  </si>
  <si>
    <t>716547714</t>
  </si>
  <si>
    <t>PRELEVEMENT Facture Crédit Agricole 2025-10</t>
  </si>
  <si>
    <t>716548467</t>
  </si>
  <si>
    <t>VIR SEPA Bouttier Annick Virement grand hotel des bains Virement de Monsieur Olivier Cam - 3831876</t>
  </si>
  <si>
    <t>717592924</t>
  </si>
  <si>
    <t>PRLV SEPA Xerox Financia 3955338 FR30PF2112674 - 0F4EEFM</t>
  </si>
  <si>
    <t>717592923</t>
  </si>
  <si>
    <t>PAIEMENT PAR CARTE X3718 FOIR FOUILLE AUBENAS 31/10</t>
  </si>
  <si>
    <t>717593255</t>
  </si>
  <si>
    <t>PAIEMENT PAR CARTE X3718 LIDL 2719 LABEGUDE 01/11</t>
  </si>
  <si>
    <t>717593256</t>
  </si>
  <si>
    <t>PAIEMENT PAR CARTE X7976 GOOGLE *ADS263287120 01/11</t>
  </si>
  <si>
    <t>717593257</t>
  </si>
  <si>
    <t>VIR SEPA EDITIONS LVA ha25100268 ha25100268 - 3902011</t>
  </si>
  <si>
    <t>718991774</t>
  </si>
  <si>
    <t>ECH PRET DONT CAP 3592,59 ASS. 0,00E INT. 237,33 COM. 0,00E - 9062097</t>
  </si>
  <si>
    <t>718991725</t>
  </si>
  <si>
    <t>VIR SEPA STVB LES THERME facture 227483+228360 facture 227483+228360 - 3902900</t>
  </si>
  <si>
    <t>718991772</t>
  </si>
  <si>
    <t>PRLV SEPA HOTELIOS Maintenance Mensuelle INFHOTIK C-10-48-201109-10041889-7 - 0F5JUG5</t>
  </si>
  <si>
    <t>718991773</t>
  </si>
  <si>
    <t>VIR SEPA DUBOIS DE MONTR facure 2025-11-0172 facure 2025-11-0172 - 3904411</t>
  </si>
  <si>
    <t>718991728</t>
  </si>
  <si>
    <t>VIR SEPA SAPHIRESA facture 2025000214 et 215 facture 2025000214 et215 - 3901485</t>
  </si>
  <si>
    <t>718991720</t>
  </si>
  <si>
    <t>VIR SEPA SARL ETS CHANEA facture fc2551383 facture fc2551383 - 3901699</t>
  </si>
  <si>
    <t>718991718</t>
  </si>
  <si>
    <t>VIR SEPA NATHALIE GUNZLE facture 794 facture 794 - 3904300</t>
  </si>
  <si>
    <t>718991721</t>
  </si>
  <si>
    <t>VIR SEPA moulon services f/202510/00002264 f/202510/00002264 - 3901803</t>
  </si>
  <si>
    <t>718991719</t>
  </si>
  <si>
    <t>VIR SEPA CAROLINE ALLEGR F00012 F00012 - 3905011</t>
  </si>
  <si>
    <t>718991726</t>
  </si>
  <si>
    <t>VIR SEPA menuisserie LAG facture 01784 facture 01784 - 3901586</t>
  </si>
  <si>
    <t>718991727</t>
  </si>
  <si>
    <t>VIR SEPA sdez rhone alpe facture 761 facture 761 - 3906834</t>
  </si>
  <si>
    <t>718991730</t>
  </si>
  <si>
    <t>COMMISSION CARTE 3097105 001 189338 01/11</t>
  </si>
  <si>
    <t>718993009</t>
  </si>
  <si>
    <t>PAIEMENT PAR CARTE X3718 RECOMMANDEE Paris 02/11</t>
  </si>
  <si>
    <t>718993015</t>
  </si>
  <si>
    <t>718993017</t>
  </si>
  <si>
    <t>PAIEMENT PAR CARTE X3718 HPY*RECOMMANDEE Pari 02/11</t>
  </si>
  <si>
    <t>718993012</t>
  </si>
  <si>
    <t>FRAIS PRLV SEPA REFUS XCOPP020 2025110500067828000001 - 0067828</t>
  </si>
  <si>
    <t>719997429</t>
  </si>
  <si>
    <t>VIR SEPA CHATEAU DES LEB facture 126-2025 facture 126-2025 - 3947579</t>
  </si>
  <si>
    <t>719997438</t>
  </si>
  <si>
    <t>VIR SEPA GRH POLSKA FR/910/2025 FR/910/2025 - 3977042</t>
  </si>
  <si>
    <t>719997431</t>
  </si>
  <si>
    <t>PRLV SEPA METRO FRANCE S /INV/0002.033413 CMR000003928001 - 0F5X1XE</t>
  </si>
  <si>
    <t>719997440</t>
  </si>
  <si>
    <t>VIR SEPA :17 saison ete P8806895 salaire octobre salaire octobre - 3950197</t>
  </si>
  <si>
    <t>719997436</t>
  </si>
  <si>
    <t>VIR SEPA CHATEAU LES AMO FACTURE 251462 FACTURE 251462 - 3984973</t>
  </si>
  <si>
    <t>719997444</t>
  </si>
  <si>
    <t>PRLV SEPA REGIE SYNDICAT PRELEVEMENT SEBA FR62ZZZ81CBFD-2618032217-29089 - 0F5IPDE</t>
  </si>
  <si>
    <t>719997445</t>
  </si>
  <si>
    <t>VIR SEPA MF DISTRIBUTION FACTURE 94001454-1346-1206 FACTURE 94001454-1346-1206 - 3985489</t>
  </si>
  <si>
    <t>719997430</t>
  </si>
  <si>
    <t>PRLV SEPA REGIE SYNDICAT PRELEVEMENT SEBA FR62ZZZ81CBFD-2618032232-29090 - 0F5IP6K</t>
  </si>
  <si>
    <t>719997442</t>
  </si>
  <si>
    <t>PRLV SEPA GINEYS S.A.S-G 03377974 01-519039-002 - 0F5V4ZD</t>
  </si>
  <si>
    <t>719997434</t>
  </si>
  <si>
    <t>PAIEMENT PAR CARTE X3718 LAGENTILHOMMIERE NUI 03/11</t>
  </si>
  <si>
    <t>719999484</t>
  </si>
  <si>
    <t>REMBOURSEMENT DE PRET 00001519822 05/11/25 INTERETS</t>
  </si>
  <si>
    <t>719999486</t>
  </si>
  <si>
    <t>PAIEMENT PAR CARTE X3718 ASF-VIENNE VEDENE CE 03/11</t>
  </si>
  <si>
    <t>719999478</t>
  </si>
  <si>
    <t>PAIEMENT PAR CARTE X3718 APRR AUTOROUTE 21850 03/11</t>
  </si>
  <si>
    <t>719999473</t>
  </si>
  <si>
    <t>COMMISSION CARTE 3097105 001 208129 04/11</t>
  </si>
  <si>
    <t>719999481</t>
  </si>
  <si>
    <t>PAIEMENT PAR CARTE X7976 INTERMARCHELALEVADE 03/11</t>
  </si>
  <si>
    <t>719999471</t>
  </si>
  <si>
    <t>REMBOURSEMENT DE PRET 00001519822 05/11/25 CAPITAL</t>
  </si>
  <si>
    <t>719999469</t>
  </si>
  <si>
    <t>PAIEMENT PAR CARTE X3718 APRR TOURNUS ST APOL 03/11</t>
  </si>
  <si>
    <t>719999479</t>
  </si>
  <si>
    <t>PAIEMENT PAR CARTE X3718 PARKING* ZENPARK 750 04/11</t>
  </si>
  <si>
    <t>719999485</t>
  </si>
  <si>
    <t>PRELEVEMENT AVEM /INV/NM LOC-11491166 18.10.2025/R/ 2000568836/2214693161 1000-000001045657 FR73ZZZ395135</t>
  </si>
  <si>
    <t>719999468</t>
  </si>
  <si>
    <t>719999480</t>
  </si>
  <si>
    <t>PAIEMENT PAR CARTE X3718 APRR VILLEFRANCHE-LI 04/11</t>
  </si>
  <si>
    <t>719999474</t>
  </si>
  <si>
    <t>PAIEMENT PAR CARTE X3718 SOC NUITONNE NUITS S 03/11</t>
  </si>
  <si>
    <t>719999477</t>
  </si>
  <si>
    <t>721535199</t>
  </si>
  <si>
    <t>PRLV SEPA ORANGE SA FIXENT - P - Facture: 303131236 89001440490002244096 - 0F5RIU7</t>
  </si>
  <si>
    <t>721535202</t>
  </si>
  <si>
    <t>PRLV SEPA ATS CULLIGAN G RGSC021907 - 0F6U4KJ</t>
  </si>
  <si>
    <t>721535200</t>
  </si>
  <si>
    <t>COMMISSION CARTE 3097105 001 223279 06/11</t>
  </si>
  <si>
    <t>721536040</t>
  </si>
  <si>
    <t>PAIEMENT PAR CARTE X3718 CINQ SAVEURS LYON 05/11</t>
  </si>
  <si>
    <t>721536041</t>
  </si>
  <si>
    <t>PAIEMENT PAR CARTE X3718 ASF LORIOL VEDENE 06/11</t>
  </si>
  <si>
    <t>722913024</t>
  </si>
  <si>
    <t>PRLV SEPA PREFILOC CAPIT F250789285 PRE000121421 - 0F71NVO</t>
  </si>
  <si>
    <t>723772735</t>
  </si>
  <si>
    <t>COM CB 5667966016 - NB0003/471041 - 0114041</t>
  </si>
  <si>
    <t>723772737</t>
  </si>
  <si>
    <t>DROMADIS 091125 REF TIRE:00105244 - 1724006</t>
  </si>
  <si>
    <t>723772736</t>
  </si>
  <si>
    <t>PRLV SEPA LA NATURE A TA Prelevement LC209586 5730 - 0F77ZX9</t>
  </si>
  <si>
    <t>723772740</t>
  </si>
  <si>
    <t>PRLV SEPA RELAIS D OR VA RELAIS D OR VALLEE DU RHONE 4100459801GRANDHOTELDESBAINS - 0F5CZNY</t>
  </si>
  <si>
    <t>723772738</t>
  </si>
  <si>
    <t>VIR SEPA Neuveglise Patr Virement de Monsieur Olivier Cam Virement de Monsieur Olivier Cam - 4061670</t>
  </si>
  <si>
    <t>723772739</t>
  </si>
  <si>
    <t>CYBER+ PAIEMENT ABONNEMT XCPSD033 2025111000070497000001 ABONNEMENT PSD0006262976 - 0070497</t>
  </si>
  <si>
    <t>725038736</t>
  </si>
  <si>
    <t>ECH PRET DONT CAP 1063,14 ASS. 0,00E INT. 92,96 COM. 0,00E - 9062098</t>
  </si>
  <si>
    <t>725038737</t>
  </si>
  <si>
    <t>ECH PRET DONT CAP 817,10 ASS. 0,00E INT. 53,98 COM. 0,00E - 9062099</t>
  </si>
  <si>
    <t>725038729</t>
  </si>
  <si>
    <t>PAIEMENT PAR CARTE X3718 LA POSTE.FR PARIS CE 08/11</t>
  </si>
  <si>
    <t>725039225</t>
  </si>
  <si>
    <t>PAIEMENT PAR CARTE X3718 REGIE BPNL 69 CALUIR 06/11</t>
  </si>
  <si>
    <t>725039224</t>
  </si>
  <si>
    <t>VIR SEPA ARCANCIANE F-20251100004 F-20251100004 - 4157290</t>
  </si>
  <si>
    <t>725974102</t>
  </si>
  <si>
    <t>VIR SEPA MADAME AUBRY CA P8806895 Salaire - 4118386</t>
  </si>
  <si>
    <t>725974108</t>
  </si>
  <si>
    <t>VIR SEPA BOOKING.COM FACTURE 1641871934 NH 254064 FACTURE 1641871934 NH 254064 - 4157458</t>
  </si>
  <si>
    <t>725974103</t>
  </si>
  <si>
    <t>PRLV SEPA REGIE SYNDICAT PRELEVEMENT SEBA FR62ZZZ81CBFD-3418-28223 - 0F7N5HO</t>
  </si>
  <si>
    <t>725974104</t>
  </si>
  <si>
    <t>PRLV SEPA CONTACT HOTEL CAGNOTTES 10/2025 CONTACT HOTEL 0704 - 0F7TJIS</t>
  </si>
  <si>
    <t>725974107</t>
  </si>
  <si>
    <t>VIR SEPA AUBRY ALEXANDRA P8806895 Avance - 4118449</t>
  </si>
  <si>
    <t>725974097</t>
  </si>
  <si>
    <t>VIR SEPA BOOKING.COM FACTURE 1641879362 NH 57616 FACTURE 1641879362 NH 57616 - 4157544</t>
  </si>
  <si>
    <t>725974109</t>
  </si>
  <si>
    <t>VIR SEPA MME CAMINALE AI P8806895 Rembt abonnement Chatgpt - 4118330</t>
  </si>
  <si>
    <t>725974099</t>
  </si>
  <si>
    <t>VIR SEPA AU PETIT PRIMEU 100816836 100816836 - 4157352</t>
  </si>
  <si>
    <t>725974095</t>
  </si>
  <si>
    <t>PRELEVEMENT Noelse France CPREL2511011001658 S6239571919-2239646 FR80ZZZ328855</t>
  </si>
  <si>
    <t>725977538</t>
  </si>
  <si>
    <t>PRLV SEPA Free Pro FACTURE FREEPRO 17/11/2025 F2025 JNRUMSATHERMALECLIMA020230706103 - 0F76QW5</t>
  </si>
  <si>
    <t>726835759</t>
  </si>
  <si>
    <t>PRLV SEPA ORANGE SA Votre abonnement fibre (facture: M0067001527 - 0F77AHL</t>
  </si>
  <si>
    <t>726835748</t>
  </si>
  <si>
    <t>PRLV SEPA SOLOCAL SA 204 /INV/FORM:0003273978/27.10.2025/ 02937492002 - 0F82QC2</t>
  </si>
  <si>
    <t>726835755</t>
  </si>
  <si>
    <t>PRLV SEPA GINEYS S.A.S 03389344 01-519039-002 - 0F8BLJW</t>
  </si>
  <si>
    <t>728291531</t>
  </si>
  <si>
    <t>PRLV SEPA EDF SA THERMALE ET CLIMATIQU Ref EDF MA970001250911 - 0F80MJ4</t>
  </si>
  <si>
    <t>728291533</t>
  </si>
  <si>
    <t>PRLV SEPA URSSAF RHONE A UR 827000002110121762 OCT 257 T1430653867203200001297356941940 - 0F8TCQC</t>
  </si>
  <si>
    <t>729407637</t>
  </si>
  <si>
    <t>PRLV SEPA EDF SA THERMALE CLIMATIQUE D Ref EDF MA970001250911 - 0F87GCQ</t>
  </si>
  <si>
    <t>729407639</t>
  </si>
  <si>
    <t>729408298</t>
  </si>
  <si>
    <t>DROMADIS 201125 REF TIRE:00105432 - 1848001</t>
  </si>
  <si>
    <t>730306956</t>
  </si>
  <si>
    <t>COMMISSION CARTE 3097105 001 271491 19/11</t>
  </si>
  <si>
    <t>730309445</t>
  </si>
  <si>
    <t>PRLV SEPA LA NATURE A TA Prelevement LC235610 5730 - 0F8FFXD</t>
  </si>
  <si>
    <t>731129671</t>
  </si>
  <si>
    <t>PRLV SEPA ORANGE SA-ORAN Votre abonnement mobile: 06XXXXX ++M0017687880 - 0F9481B</t>
  </si>
  <si>
    <t>731129672</t>
  </si>
  <si>
    <t>PRLV SEPA RELAIS D OR VA RELAIS D OR VALLEE DU RHONE 4100459801GRANDHOTELDESBAINS - 0F7SS6Y</t>
  </si>
  <si>
    <t>731129670</t>
  </si>
  <si>
    <t>PRLV SEPA Autoroutes du LJ004289320041376270 102025 ++25004137627001188445 - 0F7VIDM</t>
  </si>
  <si>
    <t>731129674</t>
  </si>
  <si>
    <t>VIR SEPA web access F-2025-159 F-2025-159 - 4376144</t>
  </si>
  <si>
    <t>731784712</t>
  </si>
  <si>
    <t>VIR SEPA EI - MONSIEUR M facture 1340 facture 1340 - 4376896</t>
  </si>
  <si>
    <t>731784709</t>
  </si>
  <si>
    <t>VIR SEPA moulon services F/202511/00002287 F/202511/00002287 - 4376973</t>
  </si>
  <si>
    <t>731784716</t>
  </si>
  <si>
    <t>VIR SEPA web access F-2025161 F-2025161 - 4375964</t>
  </si>
  <si>
    <t>731784718</t>
  </si>
  <si>
    <t>VIR SEPA FAUSTIN WINE FACTURE 20253529 FACTURE 20253529 - 4377071</t>
  </si>
  <si>
    <t>731784710</t>
  </si>
  <si>
    <t>VIR SEPA EDITIONS LVA JG25100313 JG25100313 - 4377415</t>
  </si>
  <si>
    <t>731784715</t>
  </si>
  <si>
    <t>PRLV SEPA CEGID SAS FA002-01672933 00RC0000019770055000002B00 - 0F8Q0M2</t>
  </si>
  <si>
    <t>731784711</t>
  </si>
  <si>
    <t>COM CB 5667966016 - NB0001/702531 - 0115531</t>
  </si>
  <si>
    <t>735423369</t>
  </si>
  <si>
    <t>PRLV SEPA ORANGE SA Votre abonnement fibre (facture: EPCB202311295646844 - 0F90EFA</t>
  </si>
  <si>
    <t>738954422</t>
  </si>
  <si>
    <t>PRLV SEPA EDF SA THERMALE CLIMATIQUE D Ref EDF MA970001250911 - 0F95RJF</t>
  </si>
  <si>
    <t>738954426</t>
  </si>
  <si>
    <t>PRLV INT ETS DGFIP PASDSN17112025-102025-3867203200 NN386720320DGFIP2020807504KDIIJX - 0F9JFV7</t>
  </si>
  <si>
    <t>738954423</t>
  </si>
  <si>
    <t>PRLV SEPA EDF SA THERMALE CLIMATIQUE D Ref EDF MA970001250911 - 0F95RHI</t>
  </si>
  <si>
    <t>738954429</t>
  </si>
  <si>
    <t>PRLV SEPA ORANGE SA Votre abonnement mobile: 06XXXXX ++M0003219595 - 0F99RLY</t>
  </si>
  <si>
    <t>738954425</t>
  </si>
  <si>
    <t>PAIEMENT PAR CARTE X3718 ASF TOULOUSE S-O VED 23/11</t>
  </si>
  <si>
    <t>738957385</t>
  </si>
  <si>
    <t>PAIEMENT PAR CARTE X3718 ASF PERPIGNAN-NORD V 23/11</t>
  </si>
  <si>
    <t>738957384</t>
  </si>
  <si>
    <t>VIR SEPA EXPEDIA LODGING FACTURE 2522111788 ID 1165572 FACTURE 2522111788 ID 1165572 - 4509389</t>
  </si>
  <si>
    <t>740217893</t>
  </si>
  <si>
    <t>VIR SEPA Cafes richard FACTURES 9472-80582-71180 FACTURES 9472-80582-71180 - 4509020</t>
  </si>
  <si>
    <t>740217890</t>
  </si>
  <si>
    <t>FRAIS PRLV SEPA REFUS XCOPP020 2025112600054985000001 - 0054985</t>
  </si>
  <si>
    <t>740217894</t>
  </si>
  <si>
    <t>COM CB 5667966016 - NB0004/182771 - 0116771</t>
  </si>
  <si>
    <t>740217891</t>
  </si>
  <si>
    <t>PRLV SEPA GIE KLESIA COT RETRAITE - GIE KLESIA COTIS - 20 SCG023URAE000659949S - 0F9K7IO</t>
  </si>
  <si>
    <t>740217895</t>
  </si>
  <si>
    <t>COM CB 5667966016 - NB0005/371791 - 0117791</t>
  </si>
  <si>
    <t>741088873</t>
  </si>
  <si>
    <t>PRLV INT ETS DGFIP TVA-112025-3310CA3 NN386720320DGFIP2020807504KDIIJX - 0F9ZURU</t>
  </si>
  <si>
    <t>741088872</t>
  </si>
  <si>
    <t>PAIEMENT PAR CARTE X3718 SARL DUFFAU EAUZE 26/11</t>
  </si>
  <si>
    <t>741096043</t>
  </si>
  <si>
    <t>PAIEMENT PAR CARTE X7976 SOL EXPERIENCE NOGAR 27/11</t>
  </si>
  <si>
    <t>741096044</t>
  </si>
  <si>
    <t>FRAIS PAI CB DD HORS EEE XCPCB210 2025112800433574000001 COMMISSION CB 071125 OFFRESCAS - 0433574</t>
  </si>
  <si>
    <t>742032260</t>
  </si>
  <si>
    <t>COM CB 5667966016 - NB0002/539191 - 0118191</t>
  </si>
  <si>
    <t>742032256</t>
  </si>
  <si>
    <t>FRAIS SUR VIR INSTANTANE XCMDZ020 2025112800433573000001 - 0433573</t>
  </si>
  <si>
    <t>742032254</t>
  </si>
  <si>
    <t>742032250</t>
  </si>
  <si>
    <t>PRLV SEPA IDEAL PEINTURE FA4017053 GRAND HOTEL LES BAINS-12/2021-00 - 0FA8AHN</t>
  </si>
  <si>
    <t>742032255</t>
  </si>
  <si>
    <t>ECH PRET DONT CAP 1258,02 ASS. 0,00E INT. 55,44 COM. 0,00E - 5406472</t>
  </si>
  <si>
    <t>742032253</t>
  </si>
  <si>
    <t>VIR INST AUBRY ALEXANDRA Pour AUBRY ALEXANDRA CC - WKYUXJE</t>
  </si>
  <si>
    <t>742032259</t>
  </si>
  <si>
    <t>PAIEMENT PAR CARTE X3718 ASF VEDENE 27/11</t>
  </si>
  <si>
    <t>742032896</t>
  </si>
  <si>
    <t>COM CB 5667966016 - NB0005/903981 - 0120981</t>
  </si>
  <si>
    <t>743387017</t>
  </si>
  <si>
    <t>SAMSE 301125 - 1935046</t>
  </si>
  <si>
    <t>743387014</t>
  </si>
  <si>
    <t>LMS 301125 REF TIRE:6045091900 - 2010128</t>
  </si>
  <si>
    <t>743387016</t>
  </si>
  <si>
    <t>COM CB 5667966016 - NB0005/746471 - 0119471</t>
  </si>
  <si>
    <t>743387010</t>
  </si>
  <si>
    <t>FB SUD EST 301125 - 1935047</t>
  </si>
  <si>
    <t>743387013</t>
  </si>
  <si>
    <t>PRLV SEPA Xerox Financia 3966315 FR30PF2112674 - 0FA7UPD</t>
  </si>
  <si>
    <t>745004394</t>
  </si>
  <si>
    <t>COM CB 5667966016 - NB0005/219641 - 0122641</t>
  </si>
  <si>
    <t>745004398</t>
  </si>
  <si>
    <t>PRLV SEPA BPIFRANCE 5444520 F2512/000520136 RUM-01255916 - 0FAB1TU</t>
  </si>
  <si>
    <t>745004404</t>
  </si>
  <si>
    <t>ABON CYBERPLUS XCBVX665 2025113000067181000001 HABILITATION P8806895 - 0067181</t>
  </si>
  <si>
    <t>745004409</t>
  </si>
  <si>
    <t>ECH PRET DONT CAP 3600,52 ASS. 0,00E INT. 229,40 COM. 0,00E - 9062097</t>
  </si>
  <si>
    <t>745004399</t>
  </si>
  <si>
    <t>VIR SEPA Dubois De Montr Virement de Monsieur Olivier Cam Virement de Monsieur Olivier Cam - 4663474</t>
  </si>
  <si>
    <t>745004402</t>
  </si>
  <si>
    <t>COM CB 5667966016 - NB0001/012981 - 0121981</t>
  </si>
  <si>
    <t>745004406</t>
  </si>
  <si>
    <t>PAIEMENT PAR CARTE X3718 LE PETIT ARDECHO SAI 01/12</t>
  </si>
  <si>
    <t>745010883</t>
  </si>
  <si>
    <t>PAIEMENT PAR CARTE X3718 FOIR'FOUILLE AUBENAS 01/12</t>
  </si>
  <si>
    <t>745010887</t>
  </si>
  <si>
    <t>PAIEMENT PAR CARTE X7976 Google ADS2632871201 01/12</t>
  </si>
  <si>
    <t>745010886</t>
  </si>
  <si>
    <t>745010884</t>
  </si>
  <si>
    <t>COMMISSION CARTE 3097105 001 350777 02/12</t>
  </si>
  <si>
    <t>745010888</t>
  </si>
  <si>
    <t>VIR SEPA FAMILLE PERRIN FVEN25014391 FVEN25014391 - 4761306</t>
  </si>
  <si>
    <t>746157956</t>
  </si>
  <si>
    <t>VIR SEPA AU PETIT PRIMEU FACTURE 100816804 FACTURE 100816804 - 4763269</t>
  </si>
  <si>
    <t>746157955</t>
  </si>
  <si>
    <t>COMMISSION INTERVENTION XCEBR410 2025113000100820000001 1 - 0100820</t>
  </si>
  <si>
    <t>746157958</t>
  </si>
  <si>
    <t>VIR SEPA OTI office de t facture 2026-19 facture 2026-19 - 4760781</t>
  </si>
  <si>
    <t>746157950</t>
  </si>
  <si>
    <t>VIR SEPA SARL ARSAC TOUR facture 2026-19 facture 2026-19 - 4761039</t>
  </si>
  <si>
    <t>746157960</t>
  </si>
  <si>
    <t>VIR SEPA :12 saison ete P8806895 salaire novembre salaire novembre - 4759205</t>
  </si>
  <si>
    <t>746157953</t>
  </si>
  <si>
    <t>VIR SEPA :1 saison ete 2 P8806895 salaire novembre salaire novembre - 4760094</t>
  </si>
  <si>
    <t>746157961</t>
  </si>
  <si>
    <t>VIR SEPA web access F2025 171 F2025 171 - 4761215</t>
  </si>
  <si>
    <t>746157962</t>
  </si>
  <si>
    <t>VIR SEPA CHATEAU DES LEB FACTURE 161-2025 FACTURE 161-2025 - 4762939</t>
  </si>
  <si>
    <t>746157963</t>
  </si>
  <si>
    <t>VIR SEPA web access F-2025-201 F-2025-201 - 4761560</t>
  </si>
  <si>
    <t>746157959</t>
  </si>
  <si>
    <t>COM CB 5667966016 - NB0001/386981 - 0123981</t>
  </si>
  <si>
    <t>746157954</t>
  </si>
  <si>
    <t>PRLV SEPA HOTELIOS Maintenance Mensuelle INFHOTIK C-10-48-201109-10041889-7 - 0FBMBOT</t>
  </si>
  <si>
    <t>746157951</t>
  </si>
  <si>
    <t>PAIEMENT PAR CARTE X7976 CURSOR, AI POWERED I 02/12</t>
  </si>
  <si>
    <t>746159931</t>
  </si>
  <si>
    <t>PRELEVEMENT AVEM /INV/NM LOC-11491166 18.11.2025/R/ 2000622331/2214693161 1000-000001045657 FR73ZZZ395135</t>
  </si>
  <si>
    <t>746159928</t>
  </si>
  <si>
    <t>PRELEVEMENT Frais carte étranger hors UE</t>
  </si>
  <si>
    <t>746159929</t>
  </si>
  <si>
    <t>PRLV SEPA SOCIETE PRINT GRAND HOTEL DES BAINS SSC003702 - 0FA5DIV</t>
  </si>
  <si>
    <t>747129416</t>
  </si>
  <si>
    <t>COM CB 5667966016 - NB0002/597171 - 0124171</t>
  </si>
  <si>
    <t>747129414</t>
  </si>
  <si>
    <t>REMBOURSEMENT DE PRET 00001519822 05/12/25 INTERETS</t>
  </si>
  <si>
    <t>747137945</t>
  </si>
  <si>
    <t>REMBOURSEMENT DE PRET 00001519822 05/12/25 CAPITAL</t>
  </si>
  <si>
    <t>747137944</t>
  </si>
  <si>
    <t>PAIEMENT PAR CARTE X3718 KILOUTOU ALES 03/12</t>
  </si>
  <si>
    <t>747137943</t>
  </si>
  <si>
    <t>PRLV SEPA ATS CULLIGAN G RGSC021907 - 0FCDN51</t>
  </si>
  <si>
    <t>747851767</t>
  </si>
  <si>
    <t>PRLV SEPA REGIE SYNDICAT PRELEVEMENT SEBA FR62ZZZ81CBFD-2618032232-29090 - 0FC1GP0</t>
  </si>
  <si>
    <t>747851769</t>
  </si>
  <si>
    <t>PRLV SEPA REGIE SYNDICAT PRELEVEMENT SEBA FR62ZZZ81CBFD-2618032217-29089 - 0FC1GX1</t>
  </si>
  <si>
    <t>747851770</t>
  </si>
  <si>
    <t>COM CB 5667966016 - NB0001/787651 - 0125651</t>
  </si>
  <si>
    <t>747851768</t>
  </si>
  <si>
    <t>COM CB 5667966016 - NB0005/009541 - 0126541</t>
  </si>
  <si>
    <t>748588681</t>
  </si>
  <si>
    <t>748588678</t>
  </si>
  <si>
    <t>COM CB 5667966016 - NB0005/169711 - 0127711</t>
  </si>
  <si>
    <t>748588677</t>
  </si>
  <si>
    <t>ECH PRET DONT CAP 1065,49 ASS. 0,00E INT. 90,61 COM. 0,00E - 9062098</t>
  </si>
  <si>
    <t>749842741</t>
  </si>
  <si>
    <t>COM CB 5667966016 - NB0002/300921 - 0128921</t>
  </si>
  <si>
    <t>749842734</t>
  </si>
  <si>
    <t>VIR SEPA CLAIR ET NET facture 25/9403 facture 25/9403 - 4898280</t>
  </si>
  <si>
    <t>749842737</t>
  </si>
  <si>
    <t>ECH PRET DONT CAP 818,90 ASS. 0,00E INT. 52,18 COM. 0,00E - 9062099</t>
  </si>
  <si>
    <t>749842742</t>
  </si>
  <si>
    <t>VIR SEPA Aubry Alexandra Virement de Monsieur Olivier Cam Virement de Monsieur Olivier Cam - 4956290</t>
  </si>
  <si>
    <t>749842748</t>
  </si>
  <si>
    <t>VIR SEPA Alexandra Aubry Virement de Monsieur Olivier Cam Virement de Monsieur Olivier Cam - 4956326</t>
  </si>
  <si>
    <t>749842739</t>
  </si>
  <si>
    <t>VIR SEPA BOOKING.COM facture1644692033 nh57616 facture1644692033 nh57616 - 4898207</t>
  </si>
  <si>
    <t>749842740</t>
  </si>
  <si>
    <t>VIR SEPA sdez rhone alpe facture 679/845 facture 679/845 - 4947417</t>
  </si>
  <si>
    <t>749842745</t>
  </si>
  <si>
    <t>VIR SEPA MFG MAXIME FOUC acompte sur salaire decembre 202 acompte sur salaire decembre 202 - 4947811</t>
  </si>
  <si>
    <t>749842738</t>
  </si>
  <si>
    <t>PAIEMENT PAR CARTE X3718 LA POSTE.FR PARIS CE 08/12</t>
  </si>
  <si>
    <t>749849255</t>
  </si>
  <si>
    <t>COMMISSION CARTE 3097105 001 384977 06/12</t>
  </si>
  <si>
    <t>749849254</t>
  </si>
  <si>
    <t>PRLV SEPA ORANGE SA FIXENT - P - Facture: 303452563 89001440490002244096 - 0FCTRGA</t>
  </si>
  <si>
    <t>750862193</t>
  </si>
  <si>
    <t>CYBER+ PAIEMENT ABONNEMT XCPSD033 2025121000065892000001 ABONNEMENT PSD0006262976 - 0065892</t>
  </si>
  <si>
    <t>750862191</t>
  </si>
  <si>
    <t>PRLV SEPA PREFILOC CAPIT F250874788 PRE000121421 - 0FDNSHR</t>
  </si>
  <si>
    <t>750862194</t>
  </si>
  <si>
    <t>PRELEVEMENT Noelse France CPREL2512011001559 S6239571919-2239646 FR80ZZZ328855</t>
  </si>
  <si>
    <t>750864398</t>
  </si>
  <si>
    <t>PRLV SEPA CONTACT HOTEL CAGNOTTES 11/2025 CONTACT HOTEL 0704 - 0FE0TG8</t>
  </si>
  <si>
    <t>751822756</t>
  </si>
  <si>
    <t>COM CB 5667966016 - NB0001/862901 - 0129901</t>
  </si>
  <si>
    <t>751822752</t>
  </si>
  <si>
    <t>PAIEMENT PAR CARTE X7976 ENTR BRICOLAGE AUBEN 10/12</t>
  </si>
  <si>
    <t>751834274</t>
  </si>
  <si>
    <t>PRLV SEPA ORANGE SA Votre abonnement fibre (facture: M0067001527 - 0FDFGMS</t>
  </si>
  <si>
    <t>752531641</t>
  </si>
  <si>
    <t>PRLV SEPA REGIE SYNDICAT PRELEVEMENT SEBA FR62ZZZ81CBFD-3418-28223 - 0FE3OSI</t>
  </si>
  <si>
    <t>752531642</t>
  </si>
  <si>
    <t>PAIEMENT PAR CARTE X7976 AMAZON PAYMENTS PAYL 10/12</t>
  </si>
  <si>
    <t>752531839</t>
  </si>
  <si>
    <t>PAIEMENT PAR CARTE X7976 AMZ DIGITAL FRA PAYL 11/12</t>
  </si>
  <si>
    <t>752531840</t>
  </si>
  <si>
    <t>PAIEMENT PAR CARTE X3718 CB AUBENAS 11/12</t>
  </si>
  <si>
    <t>752531841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</si>
</sst>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0.00"/>
  </numFmts>
  <fonts count="5" x14ac:knownFonts="1">
    <font>
      <sz val="11"/>
      <name val="Calibri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EECFF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 style="medium">
        <color rgb="FF9E9E9E"/>
      </top>
      <bottom/>
      <diagonal/>
    </border>
    <border>
      <left/>
      <right/>
      <top/>
      <bottom style="medium">
        <color rgb="FF9E9E9E"/>
      </bottom>
      <diagonal/>
    </border>
    <border>
      <left style="medium">
        <color rgb="FF9E9E9E"/>
      </left>
      <right/>
      <top style="medium">
        <color rgb="FF9E9E9E"/>
      </top>
      <bottom/>
      <diagonal/>
    </border>
    <border>
      <left style="medium">
        <color rgb="FF9E9E9E"/>
      </left>
      <right/>
      <top/>
      <bottom/>
      <diagonal/>
    </border>
    <border>
      <left style="medium">
        <color rgb="FF9E9E9E"/>
      </left>
      <right/>
      <top/>
      <bottom style="medium">
        <color rgb="FF9E9E9E"/>
      </bottom>
      <diagonal/>
    </border>
    <border>
      <left/>
      <right style="medium">
        <color rgb="FF9E9E9E"/>
      </right>
      <top style="medium">
        <color rgb="FF9E9E9E"/>
      </top>
      <bottom/>
      <diagonal/>
    </border>
    <border>
      <left/>
      <right style="medium">
        <color rgb="FF9E9E9E"/>
      </right>
      <top/>
      <bottom/>
      <diagonal/>
    </border>
    <border>
      <left/>
      <right style="medium">
        <color rgb="FF9E9E9E"/>
      </right>
      <top/>
      <bottom style="medium">
        <color rgb="FF9E9E9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2" xfId="0" applyBorder="1"/>
    <xf numFmtId="0" fontId="3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3" fillId="0" borderId="7" xfId="0" applyFont="1" applyBorder="1"/>
    <xf numFmtId="0" fontId="0" fillId="0" borderId="8" xfId="0" applyBorder="1"/>
    <xf numFmtId="0" fontId="0" fillId="3" borderId="0" xfId="0" applyFill="1"/>
    <xf numFmtId="0" fontId="4" fillId="0" borderId="0" xfId="0" applyFont="1"/>
    <xf numFmtId="0" fontId="1" fillId="0" borderId="4" xfId="0" applyFont="1" applyBorder="1" applyAlignment="1">
      <alignment horizontal="center"/>
    </xf>
    <xf numFmtId="0" fontId="0" fillId="0" borderId="0" xfId="0"/>
    <xf numFmtId="0" fontId="0" fillId="0" borderId="7" xfId="0" applyBorder="1"/>
    <xf numFmtId="0" fontId="2" fillId="2" borderId="4" xfId="0" applyFont="1" applyFill="1" applyBorder="1" applyAlignment="1">
      <alignment horizontal="center"/>
    </xf>
    <xf numFmtId="0" fontId="0" fillId="0" borderId="3" xfId="0" applyBorder="1"/>
    <xf numFmtId="0" fontId="0" fillId="0" borderId="1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8915400</xdr:colOff>
      <xdr:row>0</xdr:row>
      <xdr:rowOff>47625</xdr:rowOff>
    </xdr:from>
    <xdr:ext cx="1323975" cy="323850"/>
    <xdr:pic>
      <xdr:nvPicPr>
        <xdr:cNvPr id="2" name="Agicap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FYNDENM977" displayName="table2FYNDENM977" ref="A4:P3006">
  <autoFilter ref="A4:P3006" xr:uid="{00000000-0009-0000-0100-000001000000}">
    <filterColumn colId="0">
      <customFilters>
        <customFilter operator="notEqual" val=" "/>
      </customFilters>
    </filterColumn>
    <filterColumn colId="2">
      <filters>
        <filter val="A Catégoriser"/>
      </filters>
    </filterColumn>
  </autoFilter>
  <tableColumns count="16">
    <tableColumn id="1" xr3:uid="{00000000-0010-0000-0000-000001000000}" name="Type d'opération"/>
    <tableColumn id="2" xr3:uid="{00000000-0010-0000-0000-000002000000}" name="Catégorie détaillée"/>
    <tableColumn id="3" xr3:uid="{00000000-0010-0000-0000-000003000000}" name="Catégorie"/>
    <tableColumn id="4" xr3:uid="{00000000-0010-0000-0000-000004000000}" name="Intitulé"/>
    <tableColumn id="5" xr3:uid="{00000000-0010-0000-0000-000005000000}" name="Montant TTC"/>
    <tableColumn id="6" xr3:uid="{00000000-0010-0000-0000-000006000000}" name="Date de règlement"/>
    <tableColumn id="7" xr3:uid="{00000000-0010-0000-0000-000007000000}" name="Date de facturation"/>
    <tableColumn id="8" xr3:uid="{00000000-0010-0000-0000-000008000000}" name="Identifiant unique de l'opération"/>
    <tableColumn id="9" xr3:uid="{00000000-0010-0000-0000-000009000000}" name="Compte bancaire"/>
    <tableColumn id="10" xr3:uid="{00000000-0010-0000-0000-00000A000000}" name="Mémo"/>
    <tableColumn id="11" xr3:uid="{00000000-0010-0000-0000-00000B000000}" name="Entreprise"/>
    <tableColumn id="12" xr3:uid="{00000000-0010-0000-0000-00000C000000}" name="Devise"/>
    <tableColumn id="13" xr3:uid="{00000000-0010-0000-0000-00000D000000}" name="Réconcilié"/>
    <tableColumn id="14" xr3:uid="{00000000-0010-0000-0000-00000E000000}" name="Ignorée"/>
    <tableColumn id="15" xr3:uid="{00000000-0010-0000-0000-00000F000000}" name="Synchronisée"/>
    <tableColumn id="16" xr3:uid="{00000000-0010-0000-0000-000010000000}" name="External Id"/>
  </tableColumns>
  <tableStyleInfo name="TableStyleNone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3057"/>
  <sheetViews>
    <sheetView tabSelected="1" topLeftCell="B1917" zoomScale="102" workbookViewId="0">
      <selection activeCell="D2033" sqref="D2033"/>
    </sheetView>
  </sheetViews>
  <sheetFormatPr baseColWidth="10" defaultColWidth="8.83203125" defaultRowHeight="15" x14ac:dyDescent="0.2"/>
  <cols>
    <col min="1" max="1" width="18.83203125" customWidth="1"/>
    <col min="2" max="2" width="51" customWidth="1"/>
    <col min="3" max="3" width="36.1640625" customWidth="1"/>
    <col min="4" max="4" width="141.1640625" customWidth="1"/>
    <col min="5" max="5" width="15.5" customWidth="1"/>
    <col min="6" max="6" width="20" customWidth="1"/>
    <col min="7" max="7" width="20.83203125" customWidth="1"/>
    <col min="8" max="8" width="33.5" customWidth="1"/>
    <col min="9" max="9" width="77.5" customWidth="1"/>
    <col min="10" max="10" width="9.5" customWidth="1"/>
    <col min="11" max="11" width="21.83203125" customWidth="1"/>
    <col min="12" max="12" width="9.33203125" customWidth="1"/>
    <col min="13" max="13" width="12.6640625" customWidth="1"/>
    <col min="14" max="14" width="10.83203125" customWidth="1"/>
    <col min="15" max="15" width="15.83203125" customWidth="1"/>
    <col min="16" max="16" width="13.5" customWidth="1"/>
    <col min="17" max="51" width="9.1640625" customWidth="1"/>
  </cols>
  <sheetData>
    <row r="1" spans="1:51" ht="30" customHeight="1" x14ac:dyDescent="0.2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9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</row>
    <row r="2" spans="1:51" ht="19" x14ac:dyDescent="0.25">
      <c r="A2" s="13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5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</row>
    <row r="3" spans="1:51" ht="21" x14ac:dyDescent="0.25">
      <c r="A3" s="16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</row>
    <row r="4" spans="1:51" x14ac:dyDescent="0.2">
      <c r="A4" s="5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9" t="s">
        <v>16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</row>
    <row r="5" spans="1:51" hidden="1" x14ac:dyDescent="0.2">
      <c r="A5" s="6" t="s">
        <v>17</v>
      </c>
      <c r="B5" t="s">
        <v>18</v>
      </c>
      <c r="C5" t="s">
        <v>19</v>
      </c>
      <c r="D5" t="s">
        <v>20</v>
      </c>
      <c r="E5" s="2">
        <v>270.36</v>
      </c>
      <c r="F5" s="3">
        <f>DATE(2025,1,9)</f>
        <v>45666</v>
      </c>
      <c r="G5" s="3">
        <f>DATE(2025,1,9)</f>
        <v>45666</v>
      </c>
      <c r="H5">
        <v>1669791401</v>
      </c>
      <c r="I5" t="s">
        <v>21</v>
      </c>
      <c r="K5" t="s">
        <v>22</v>
      </c>
      <c r="L5" t="s">
        <v>23</v>
      </c>
      <c r="M5" t="s">
        <v>24</v>
      </c>
      <c r="N5" t="s">
        <v>24</v>
      </c>
      <c r="O5" t="s">
        <v>25</v>
      </c>
      <c r="P5" s="8" t="s">
        <v>26</v>
      </c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</row>
    <row r="6" spans="1:51" hidden="1" x14ac:dyDescent="0.2">
      <c r="A6" s="6" t="s">
        <v>17</v>
      </c>
      <c r="B6" t="s">
        <v>27</v>
      </c>
      <c r="C6" t="s">
        <v>28</v>
      </c>
      <c r="D6" t="s">
        <v>29</v>
      </c>
      <c r="E6" s="2">
        <v>1156.0999999999999</v>
      </c>
      <c r="F6" s="3">
        <f>DATE(2025,1,9)</f>
        <v>45666</v>
      </c>
      <c r="G6" s="3">
        <f>DATE(2025,1,9)</f>
        <v>45666</v>
      </c>
      <c r="H6">
        <v>1669791402</v>
      </c>
      <c r="I6" t="s">
        <v>21</v>
      </c>
      <c r="K6" t="s">
        <v>22</v>
      </c>
      <c r="L6" t="s">
        <v>23</v>
      </c>
      <c r="M6" t="s">
        <v>24</v>
      </c>
      <c r="N6" t="s">
        <v>24</v>
      </c>
      <c r="O6" t="s">
        <v>25</v>
      </c>
      <c r="P6" s="8" t="s">
        <v>30</v>
      </c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</row>
    <row r="7" spans="1:51" hidden="1" x14ac:dyDescent="0.2">
      <c r="A7" s="6"/>
      <c r="E7" s="2"/>
      <c r="F7" s="3"/>
      <c r="G7" s="3"/>
      <c r="P7" s="8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</row>
    <row r="8" spans="1:51" hidden="1" x14ac:dyDescent="0.2">
      <c r="A8" s="6" t="s">
        <v>17</v>
      </c>
      <c r="B8" t="s">
        <v>31</v>
      </c>
      <c r="C8" t="s">
        <v>32</v>
      </c>
      <c r="D8" t="s">
        <v>33</v>
      </c>
      <c r="E8" s="2">
        <v>212.99</v>
      </c>
      <c r="F8" s="3">
        <f>DATE(2025,1,9)</f>
        <v>45666</v>
      </c>
      <c r="G8" s="3">
        <f>DATE(2025,1,9)</f>
        <v>45666</v>
      </c>
      <c r="H8">
        <v>1669791405</v>
      </c>
      <c r="I8" t="s">
        <v>21</v>
      </c>
      <c r="K8" t="s">
        <v>22</v>
      </c>
      <c r="L8" t="s">
        <v>23</v>
      </c>
      <c r="M8" t="s">
        <v>24</v>
      </c>
      <c r="N8" t="s">
        <v>24</v>
      </c>
      <c r="O8" t="s">
        <v>25</v>
      </c>
      <c r="P8" s="8" t="s">
        <v>34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</row>
    <row r="9" spans="1:51" hidden="1" x14ac:dyDescent="0.2">
      <c r="A9" s="6" t="s">
        <v>17</v>
      </c>
      <c r="B9" t="s">
        <v>35</v>
      </c>
      <c r="C9" t="s">
        <v>35</v>
      </c>
      <c r="D9" t="s">
        <v>36</v>
      </c>
      <c r="E9" s="2">
        <v>320.66000000000003</v>
      </c>
      <c r="F9" s="3">
        <f>DATE(2025,1,8)</f>
        <v>45665</v>
      </c>
      <c r="G9" s="3">
        <f>DATE(2025,1,8)</f>
        <v>45665</v>
      </c>
      <c r="H9">
        <v>1669791407</v>
      </c>
      <c r="I9" t="s">
        <v>21</v>
      </c>
      <c r="K9" t="s">
        <v>22</v>
      </c>
      <c r="L9" t="s">
        <v>23</v>
      </c>
      <c r="M9" t="s">
        <v>24</v>
      </c>
      <c r="N9" t="s">
        <v>24</v>
      </c>
      <c r="O9" t="s">
        <v>25</v>
      </c>
      <c r="P9" s="8" t="s">
        <v>37</v>
      </c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</row>
    <row r="10" spans="1:51" hidden="1" x14ac:dyDescent="0.2">
      <c r="A10" s="6" t="s">
        <v>17</v>
      </c>
      <c r="B10" t="s">
        <v>38</v>
      </c>
      <c r="C10" t="s">
        <v>39</v>
      </c>
      <c r="D10" t="s">
        <v>40</v>
      </c>
      <c r="E10" s="2">
        <v>1500</v>
      </c>
      <c r="F10" s="3">
        <f>DATE(2025,1,15)</f>
        <v>45672</v>
      </c>
      <c r="G10" s="3">
        <f>DATE(2025,1,15)</f>
        <v>45672</v>
      </c>
      <c r="H10">
        <v>1669791408</v>
      </c>
      <c r="I10" t="s">
        <v>21</v>
      </c>
      <c r="K10" t="s">
        <v>22</v>
      </c>
      <c r="L10" t="s">
        <v>23</v>
      </c>
      <c r="M10" t="s">
        <v>24</v>
      </c>
      <c r="N10" t="s">
        <v>24</v>
      </c>
      <c r="O10" t="s">
        <v>25</v>
      </c>
      <c r="P10" s="8" t="s">
        <v>41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</row>
    <row r="11" spans="1:51" hidden="1" x14ac:dyDescent="0.2">
      <c r="A11" s="6" t="s">
        <v>17</v>
      </c>
      <c r="B11" t="s">
        <v>42</v>
      </c>
      <c r="C11" t="s">
        <v>43</v>
      </c>
      <c r="D11" t="s">
        <v>44</v>
      </c>
      <c r="E11" s="2">
        <v>500</v>
      </c>
      <c r="F11" s="3">
        <f>DATE(2025,1,7)</f>
        <v>45664</v>
      </c>
      <c r="G11" s="3">
        <f>DATE(2025,1,7)</f>
        <v>45664</v>
      </c>
      <c r="H11">
        <v>1669791409</v>
      </c>
      <c r="I11" t="s">
        <v>21</v>
      </c>
      <c r="K11" t="s">
        <v>22</v>
      </c>
      <c r="L11" t="s">
        <v>23</v>
      </c>
      <c r="M11" t="s">
        <v>24</v>
      </c>
      <c r="N11" t="s">
        <v>24</v>
      </c>
      <c r="O11" t="s">
        <v>25</v>
      </c>
      <c r="P11" s="8" t="s">
        <v>45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</row>
    <row r="12" spans="1:51" hidden="1" x14ac:dyDescent="0.2">
      <c r="A12" s="6"/>
      <c r="E12" s="2"/>
      <c r="F12" s="3"/>
      <c r="G12" s="3"/>
      <c r="P12" s="8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</row>
    <row r="13" spans="1:51" hidden="1" x14ac:dyDescent="0.2">
      <c r="A13" s="6"/>
      <c r="E13" s="2"/>
      <c r="F13" s="3"/>
      <c r="G13" s="3"/>
      <c r="P13" s="8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</row>
    <row r="14" spans="1:51" hidden="1" x14ac:dyDescent="0.2">
      <c r="A14" s="6" t="s">
        <v>17</v>
      </c>
      <c r="B14" t="s">
        <v>46</v>
      </c>
      <c r="C14" t="s">
        <v>47</v>
      </c>
      <c r="D14" t="s">
        <v>48</v>
      </c>
      <c r="E14" s="2">
        <v>398.4</v>
      </c>
      <c r="F14" s="3">
        <f>DATE(2025,1,15)</f>
        <v>45672</v>
      </c>
      <c r="G14" s="3">
        <f>DATE(2025,1,15)</f>
        <v>45672</v>
      </c>
      <c r="H14">
        <v>1669791412</v>
      </c>
      <c r="I14" t="s">
        <v>21</v>
      </c>
      <c r="K14" t="s">
        <v>22</v>
      </c>
      <c r="L14" t="s">
        <v>23</v>
      </c>
      <c r="M14" t="s">
        <v>24</v>
      </c>
      <c r="N14" t="s">
        <v>24</v>
      </c>
      <c r="O14" t="s">
        <v>25</v>
      </c>
      <c r="P14" s="8" t="s">
        <v>49</v>
      </c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</row>
    <row r="15" spans="1:51" hidden="1" x14ac:dyDescent="0.2">
      <c r="A15" s="6" t="s">
        <v>17</v>
      </c>
      <c r="B15" t="s">
        <v>50</v>
      </c>
      <c r="C15" t="s">
        <v>51</v>
      </c>
      <c r="D15" t="s">
        <v>52</v>
      </c>
      <c r="E15" s="2">
        <v>1080</v>
      </c>
      <c r="F15" s="3">
        <f>DATE(2025,1,9)</f>
        <v>45666</v>
      </c>
      <c r="G15" s="3">
        <f>DATE(2025,1,9)</f>
        <v>45666</v>
      </c>
      <c r="H15">
        <v>1669791413</v>
      </c>
      <c r="I15" t="s">
        <v>21</v>
      </c>
      <c r="K15" t="s">
        <v>22</v>
      </c>
      <c r="L15" t="s">
        <v>23</v>
      </c>
      <c r="M15" t="s">
        <v>24</v>
      </c>
      <c r="N15" t="s">
        <v>24</v>
      </c>
      <c r="O15" t="s">
        <v>25</v>
      </c>
      <c r="P15" s="8" t="s">
        <v>53</v>
      </c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</row>
    <row r="16" spans="1:51" hidden="1" x14ac:dyDescent="0.2">
      <c r="A16" s="6" t="s">
        <v>17</v>
      </c>
      <c r="B16" t="s">
        <v>54</v>
      </c>
      <c r="C16" t="s">
        <v>55</v>
      </c>
      <c r="D16" t="s">
        <v>56</v>
      </c>
      <c r="E16" s="2">
        <v>180</v>
      </c>
      <c r="F16" s="3">
        <f>DATE(2025,1,9)</f>
        <v>45666</v>
      </c>
      <c r="G16" s="3">
        <f>DATE(2025,1,9)</f>
        <v>45666</v>
      </c>
      <c r="H16">
        <v>1669791414</v>
      </c>
      <c r="I16" t="s">
        <v>21</v>
      </c>
      <c r="K16" t="s">
        <v>22</v>
      </c>
      <c r="L16" t="s">
        <v>23</v>
      </c>
      <c r="M16" t="s">
        <v>24</v>
      </c>
      <c r="N16" t="s">
        <v>24</v>
      </c>
      <c r="O16" t="s">
        <v>25</v>
      </c>
      <c r="P16" s="8" t="s">
        <v>57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</row>
    <row r="17" spans="1:51" hidden="1" x14ac:dyDescent="0.2">
      <c r="A17" s="6" t="s">
        <v>17</v>
      </c>
      <c r="B17" t="s">
        <v>42</v>
      </c>
      <c r="C17" t="s">
        <v>43</v>
      </c>
      <c r="D17" t="s">
        <v>58</v>
      </c>
      <c r="E17" s="2">
        <v>89</v>
      </c>
      <c r="F17" s="3">
        <f>DATE(2025,1,3)</f>
        <v>45660</v>
      </c>
      <c r="G17" s="3">
        <f>DATE(2025,1,3)</f>
        <v>45660</v>
      </c>
      <c r="H17">
        <v>1669791415</v>
      </c>
      <c r="I17" t="s">
        <v>21</v>
      </c>
      <c r="K17" t="s">
        <v>22</v>
      </c>
      <c r="L17" t="s">
        <v>23</v>
      </c>
      <c r="M17" t="s">
        <v>24</v>
      </c>
      <c r="N17" t="s">
        <v>24</v>
      </c>
      <c r="O17" t="s">
        <v>25</v>
      </c>
      <c r="P17" s="8" t="s">
        <v>59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</row>
    <row r="18" spans="1:51" hidden="1" x14ac:dyDescent="0.2">
      <c r="A18" s="6" t="s">
        <v>17</v>
      </c>
      <c r="B18" t="s">
        <v>60</v>
      </c>
      <c r="C18" t="s">
        <v>61</v>
      </c>
      <c r="D18" t="s">
        <v>62</v>
      </c>
      <c r="E18" s="2">
        <v>118.8</v>
      </c>
      <c r="F18" s="3">
        <f t="shared" ref="F18:G20" si="0">DATE(2025,1,10)</f>
        <v>45667</v>
      </c>
      <c r="G18" s="3">
        <f t="shared" si="0"/>
        <v>45667</v>
      </c>
      <c r="H18">
        <v>1669791416</v>
      </c>
      <c r="I18" t="s">
        <v>21</v>
      </c>
      <c r="K18" t="s">
        <v>22</v>
      </c>
      <c r="L18" t="s">
        <v>23</v>
      </c>
      <c r="M18" t="s">
        <v>24</v>
      </c>
      <c r="N18" t="s">
        <v>24</v>
      </c>
      <c r="O18" t="s">
        <v>25</v>
      </c>
      <c r="P18" s="8" t="s">
        <v>63</v>
      </c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</row>
    <row r="19" spans="1:51" hidden="1" x14ac:dyDescent="0.2">
      <c r="A19" s="6" t="s">
        <v>17</v>
      </c>
      <c r="B19" t="s">
        <v>64</v>
      </c>
      <c r="C19" t="s">
        <v>65</v>
      </c>
      <c r="D19" t="s">
        <v>66</v>
      </c>
      <c r="E19" s="2">
        <v>596.57000000000005</v>
      </c>
      <c r="F19" s="3">
        <f t="shared" si="0"/>
        <v>45667</v>
      </c>
      <c r="G19" s="3">
        <f t="shared" si="0"/>
        <v>45667</v>
      </c>
      <c r="H19">
        <v>1669791417</v>
      </c>
      <c r="I19" t="s">
        <v>21</v>
      </c>
      <c r="K19" t="s">
        <v>22</v>
      </c>
      <c r="L19" t="s">
        <v>23</v>
      </c>
      <c r="M19" t="s">
        <v>24</v>
      </c>
      <c r="N19" t="s">
        <v>24</v>
      </c>
      <c r="O19" t="s">
        <v>25</v>
      </c>
      <c r="P19" s="8" t="s">
        <v>67</v>
      </c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</row>
    <row r="20" spans="1:51" hidden="1" x14ac:dyDescent="0.2">
      <c r="A20" s="6" t="s">
        <v>17</v>
      </c>
      <c r="B20" t="s">
        <v>42</v>
      </c>
      <c r="C20" t="s">
        <v>43</v>
      </c>
      <c r="D20" t="s">
        <v>68</v>
      </c>
      <c r="E20" s="2">
        <v>143.30000000000001</v>
      </c>
      <c r="F20" s="3">
        <f t="shared" si="0"/>
        <v>45667</v>
      </c>
      <c r="G20" s="3">
        <f t="shared" si="0"/>
        <v>45667</v>
      </c>
      <c r="H20">
        <v>1669791418</v>
      </c>
      <c r="I20" t="s">
        <v>21</v>
      </c>
      <c r="K20" t="s">
        <v>22</v>
      </c>
      <c r="L20" t="s">
        <v>23</v>
      </c>
      <c r="M20" t="s">
        <v>24</v>
      </c>
      <c r="N20" t="s">
        <v>24</v>
      </c>
      <c r="O20" t="s">
        <v>25</v>
      </c>
      <c r="P20" s="8" t="s">
        <v>69</v>
      </c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</row>
    <row r="21" spans="1:51" hidden="1" x14ac:dyDescent="0.2">
      <c r="A21" s="6" t="s">
        <v>17</v>
      </c>
      <c r="B21" t="s">
        <v>70</v>
      </c>
      <c r="C21" t="s">
        <v>71</v>
      </c>
      <c r="D21" t="s">
        <v>72</v>
      </c>
      <c r="E21" s="2">
        <v>1095</v>
      </c>
      <c r="F21" s="3">
        <f>DATE(2025,1,14)</f>
        <v>45671</v>
      </c>
      <c r="G21" s="3">
        <f>DATE(2025,1,14)</f>
        <v>45671</v>
      </c>
      <c r="H21">
        <v>1669791419</v>
      </c>
      <c r="I21" t="s">
        <v>21</v>
      </c>
      <c r="K21" t="s">
        <v>22</v>
      </c>
      <c r="L21" t="s">
        <v>23</v>
      </c>
      <c r="M21" t="s">
        <v>24</v>
      </c>
      <c r="N21" t="s">
        <v>24</v>
      </c>
      <c r="O21" t="s">
        <v>25</v>
      </c>
      <c r="P21" s="8" t="s">
        <v>73</v>
      </c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</row>
    <row r="22" spans="1:51" hidden="1" x14ac:dyDescent="0.2">
      <c r="A22" s="6"/>
      <c r="E22" s="2"/>
      <c r="F22" s="3"/>
      <c r="G22" s="3"/>
      <c r="P22" s="8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</row>
    <row r="23" spans="1:51" hidden="1" x14ac:dyDescent="0.2">
      <c r="A23" s="6" t="s">
        <v>17</v>
      </c>
      <c r="B23" t="s">
        <v>64</v>
      </c>
      <c r="C23" t="s">
        <v>65</v>
      </c>
      <c r="D23" t="s">
        <v>74</v>
      </c>
      <c r="E23" s="2">
        <v>4644.62</v>
      </c>
      <c r="F23" s="3">
        <f>DATE(2025,1,10)</f>
        <v>45667</v>
      </c>
      <c r="G23" s="3">
        <f>DATE(2025,1,10)</f>
        <v>45667</v>
      </c>
      <c r="H23">
        <v>1669791421</v>
      </c>
      <c r="I23" t="s">
        <v>21</v>
      </c>
      <c r="K23" t="s">
        <v>22</v>
      </c>
      <c r="L23" t="s">
        <v>23</v>
      </c>
      <c r="M23" t="s">
        <v>24</v>
      </c>
      <c r="N23" t="s">
        <v>24</v>
      </c>
      <c r="O23" t="s">
        <v>25</v>
      </c>
      <c r="P23" s="8" t="s">
        <v>75</v>
      </c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</row>
    <row r="24" spans="1:51" hidden="1" x14ac:dyDescent="0.2">
      <c r="A24" s="6"/>
      <c r="E24" s="2"/>
      <c r="F24" s="3"/>
      <c r="G24" s="3"/>
      <c r="P24" s="8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</row>
    <row r="25" spans="1:51" hidden="1" x14ac:dyDescent="0.2">
      <c r="A25" s="6" t="s">
        <v>17</v>
      </c>
      <c r="B25" t="s">
        <v>27</v>
      </c>
      <c r="C25" t="s">
        <v>28</v>
      </c>
      <c r="D25" t="s">
        <v>76</v>
      </c>
      <c r="E25" s="2">
        <v>3829.92</v>
      </c>
      <c r="F25" s="3">
        <f>DATE(2025,1,3)</f>
        <v>45660</v>
      </c>
      <c r="G25" s="3">
        <f>DATE(2025,1,3)</f>
        <v>45660</v>
      </c>
      <c r="H25">
        <v>1669791423</v>
      </c>
      <c r="I25" t="s">
        <v>21</v>
      </c>
      <c r="K25" t="s">
        <v>22</v>
      </c>
      <c r="L25" t="s">
        <v>23</v>
      </c>
      <c r="M25" t="s">
        <v>24</v>
      </c>
      <c r="N25" t="s">
        <v>24</v>
      </c>
      <c r="O25" t="s">
        <v>25</v>
      </c>
      <c r="P25" s="8" t="s">
        <v>77</v>
      </c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</row>
    <row r="26" spans="1:51" hidden="1" x14ac:dyDescent="0.2">
      <c r="A26" s="6" t="s">
        <v>17</v>
      </c>
      <c r="B26" t="s">
        <v>35</v>
      </c>
      <c r="C26" t="s">
        <v>35</v>
      </c>
      <c r="D26" t="s">
        <v>78</v>
      </c>
      <c r="E26" s="2">
        <v>3.29</v>
      </c>
      <c r="F26" s="3">
        <f>DATE(2025,1,13)</f>
        <v>45670</v>
      </c>
      <c r="G26" s="3">
        <f>DATE(2025,1,13)</f>
        <v>45670</v>
      </c>
      <c r="H26">
        <v>1669791424</v>
      </c>
      <c r="I26" t="s">
        <v>21</v>
      </c>
      <c r="K26" t="s">
        <v>22</v>
      </c>
      <c r="L26" t="s">
        <v>23</v>
      </c>
      <c r="M26" t="s">
        <v>24</v>
      </c>
      <c r="N26" t="s">
        <v>24</v>
      </c>
      <c r="O26" t="s">
        <v>25</v>
      </c>
      <c r="P26" s="8" t="s">
        <v>79</v>
      </c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</row>
    <row r="27" spans="1:51" hidden="1" x14ac:dyDescent="0.2">
      <c r="A27" s="6" t="s">
        <v>17</v>
      </c>
      <c r="B27" t="s">
        <v>64</v>
      </c>
      <c r="C27" t="s">
        <v>65</v>
      </c>
      <c r="D27" t="s">
        <v>80</v>
      </c>
      <c r="E27" s="2">
        <v>810.42</v>
      </c>
      <c r="F27" s="3">
        <f>DATE(2025,1,10)</f>
        <v>45667</v>
      </c>
      <c r="G27" s="3">
        <f>DATE(2025,1,10)</f>
        <v>45667</v>
      </c>
      <c r="H27">
        <v>1669791425</v>
      </c>
      <c r="I27" t="s">
        <v>21</v>
      </c>
      <c r="K27" t="s">
        <v>22</v>
      </c>
      <c r="L27" t="s">
        <v>23</v>
      </c>
      <c r="M27" t="s">
        <v>24</v>
      </c>
      <c r="N27" t="s">
        <v>24</v>
      </c>
      <c r="O27" t="s">
        <v>25</v>
      </c>
      <c r="P27" s="8" t="s">
        <v>81</v>
      </c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</row>
    <row r="28" spans="1:51" hidden="1" x14ac:dyDescent="0.2">
      <c r="A28" s="6" t="s">
        <v>17</v>
      </c>
      <c r="B28" t="s">
        <v>64</v>
      </c>
      <c r="C28" t="s">
        <v>65</v>
      </c>
      <c r="D28" t="s">
        <v>82</v>
      </c>
      <c r="E28" s="2">
        <v>1778.53</v>
      </c>
      <c r="F28" s="3">
        <f>DATE(2025,1,10)</f>
        <v>45667</v>
      </c>
      <c r="G28" s="3">
        <f>DATE(2025,1,10)</f>
        <v>45667</v>
      </c>
      <c r="H28">
        <v>1669791426</v>
      </c>
      <c r="I28" t="s">
        <v>21</v>
      </c>
      <c r="K28" t="s">
        <v>22</v>
      </c>
      <c r="L28" t="s">
        <v>23</v>
      </c>
      <c r="M28" t="s">
        <v>24</v>
      </c>
      <c r="N28" t="s">
        <v>24</v>
      </c>
      <c r="O28" t="s">
        <v>25</v>
      </c>
      <c r="P28" s="8" t="s">
        <v>83</v>
      </c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</row>
    <row r="29" spans="1:51" hidden="1" x14ac:dyDescent="0.2">
      <c r="A29" s="6"/>
      <c r="E29" s="2"/>
      <c r="F29" s="3"/>
      <c r="G29" s="3"/>
      <c r="P29" s="8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</row>
    <row r="30" spans="1:51" hidden="1" x14ac:dyDescent="0.2">
      <c r="A30" s="6"/>
      <c r="E30" s="2"/>
      <c r="F30" s="3"/>
      <c r="G30" s="3"/>
      <c r="P30" s="8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</row>
    <row r="31" spans="1:51" hidden="1" x14ac:dyDescent="0.2">
      <c r="A31" s="6" t="s">
        <v>17</v>
      </c>
      <c r="B31" t="s">
        <v>84</v>
      </c>
      <c r="C31" t="s">
        <v>85</v>
      </c>
      <c r="D31" t="s">
        <v>86</v>
      </c>
      <c r="E31" s="2">
        <v>564.9</v>
      </c>
      <c r="F31" s="3">
        <f>DATE(2025,1,6)</f>
        <v>45663</v>
      </c>
      <c r="G31" s="3">
        <f>DATE(2025,1,6)</f>
        <v>45663</v>
      </c>
      <c r="H31">
        <v>1669791429</v>
      </c>
      <c r="I31" t="s">
        <v>21</v>
      </c>
      <c r="K31" t="s">
        <v>22</v>
      </c>
      <c r="L31" t="s">
        <v>23</v>
      </c>
      <c r="M31" t="s">
        <v>24</v>
      </c>
      <c r="N31" t="s">
        <v>24</v>
      </c>
      <c r="O31" t="s">
        <v>25</v>
      </c>
      <c r="P31" s="8" t="s">
        <v>87</v>
      </c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</row>
    <row r="32" spans="1:51" hidden="1" x14ac:dyDescent="0.2">
      <c r="A32" s="6"/>
      <c r="E32" s="2"/>
      <c r="F32" s="3"/>
      <c r="G32" s="3"/>
      <c r="P32" s="8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</row>
    <row r="33" spans="1:51" hidden="1" x14ac:dyDescent="0.2">
      <c r="A33" s="6" t="s">
        <v>17</v>
      </c>
      <c r="B33" t="s">
        <v>70</v>
      </c>
      <c r="C33" t="s">
        <v>71</v>
      </c>
      <c r="D33" t="s">
        <v>88</v>
      </c>
      <c r="E33" s="2">
        <v>2377</v>
      </c>
      <c r="F33" s="3">
        <f>DATE(2025,1,2)</f>
        <v>45659</v>
      </c>
      <c r="G33" s="3">
        <f>DATE(2025,1,2)</f>
        <v>45659</v>
      </c>
      <c r="H33">
        <v>1669791431</v>
      </c>
      <c r="I33" t="s">
        <v>21</v>
      </c>
      <c r="K33" t="s">
        <v>22</v>
      </c>
      <c r="L33" t="s">
        <v>23</v>
      </c>
      <c r="M33" t="s">
        <v>24</v>
      </c>
      <c r="N33" t="s">
        <v>24</v>
      </c>
      <c r="O33" t="s">
        <v>25</v>
      </c>
      <c r="P33" s="8" t="s">
        <v>89</v>
      </c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</row>
    <row r="34" spans="1:51" hidden="1" x14ac:dyDescent="0.2">
      <c r="A34" s="6" t="s">
        <v>17</v>
      </c>
      <c r="B34" t="s">
        <v>90</v>
      </c>
      <c r="C34" t="s">
        <v>91</v>
      </c>
      <c r="D34" t="s">
        <v>92</v>
      </c>
      <c r="E34" s="2">
        <v>886</v>
      </c>
      <c r="F34" s="3">
        <f>DATE(2025,1,8)</f>
        <v>45665</v>
      </c>
      <c r="G34" s="3">
        <f>DATE(2025,1,8)</f>
        <v>45665</v>
      </c>
      <c r="H34">
        <v>1669791432</v>
      </c>
      <c r="I34" t="s">
        <v>21</v>
      </c>
      <c r="K34" t="s">
        <v>22</v>
      </c>
      <c r="L34" t="s">
        <v>23</v>
      </c>
      <c r="M34" t="s">
        <v>24</v>
      </c>
      <c r="N34" t="s">
        <v>24</v>
      </c>
      <c r="O34" t="s">
        <v>25</v>
      </c>
      <c r="P34" s="8" t="s">
        <v>93</v>
      </c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</row>
    <row r="35" spans="1:51" hidden="1" x14ac:dyDescent="0.2">
      <c r="A35" s="6"/>
      <c r="E35" s="2"/>
      <c r="F35" s="3"/>
      <c r="G35" s="3"/>
      <c r="P35" s="8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</row>
    <row r="36" spans="1:51" hidden="1" x14ac:dyDescent="0.2">
      <c r="A36" s="6" t="s">
        <v>17</v>
      </c>
      <c r="B36" t="s">
        <v>90</v>
      </c>
      <c r="C36" t="s">
        <v>91</v>
      </c>
      <c r="D36" t="s">
        <v>94</v>
      </c>
      <c r="E36" s="2">
        <v>1000</v>
      </c>
      <c r="F36" s="3">
        <f>DATE(2025,1,8)</f>
        <v>45665</v>
      </c>
      <c r="G36" s="3">
        <f>DATE(2025,1,8)</f>
        <v>45665</v>
      </c>
      <c r="H36">
        <v>1669791434</v>
      </c>
      <c r="I36" t="s">
        <v>21</v>
      </c>
      <c r="K36" t="s">
        <v>22</v>
      </c>
      <c r="L36" t="s">
        <v>23</v>
      </c>
      <c r="M36" t="s">
        <v>24</v>
      </c>
      <c r="N36" t="s">
        <v>24</v>
      </c>
      <c r="O36" t="s">
        <v>25</v>
      </c>
      <c r="P36" s="8" t="s">
        <v>95</v>
      </c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</row>
    <row r="37" spans="1:51" hidden="1" x14ac:dyDescent="0.2">
      <c r="A37" s="6"/>
      <c r="E37" s="2"/>
      <c r="F37" s="3"/>
      <c r="G37" s="3"/>
      <c r="P37" s="8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</row>
    <row r="38" spans="1:51" hidden="1" x14ac:dyDescent="0.2">
      <c r="A38" s="6" t="s">
        <v>17</v>
      </c>
      <c r="B38" t="s">
        <v>35</v>
      </c>
      <c r="C38" t="s">
        <v>35</v>
      </c>
      <c r="D38" t="s">
        <v>96</v>
      </c>
      <c r="E38" s="2">
        <v>1.42</v>
      </c>
      <c r="F38" s="3">
        <f>DATE(2025,1,1)</f>
        <v>45658</v>
      </c>
      <c r="G38" s="3">
        <f>DATE(2025,1,1)</f>
        <v>45658</v>
      </c>
      <c r="H38">
        <v>1669791436</v>
      </c>
      <c r="I38" t="s">
        <v>21</v>
      </c>
      <c r="K38" t="s">
        <v>22</v>
      </c>
      <c r="L38" t="s">
        <v>23</v>
      </c>
      <c r="M38" t="s">
        <v>24</v>
      </c>
      <c r="N38" t="s">
        <v>24</v>
      </c>
      <c r="O38" t="s">
        <v>25</v>
      </c>
      <c r="P38" s="8" t="s">
        <v>97</v>
      </c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</row>
    <row r="39" spans="1:51" hidden="1" x14ac:dyDescent="0.2">
      <c r="A39" s="6" t="s">
        <v>17</v>
      </c>
      <c r="B39" t="s">
        <v>35</v>
      </c>
      <c r="C39" t="s">
        <v>35</v>
      </c>
      <c r="D39" t="s">
        <v>98</v>
      </c>
      <c r="E39" s="2">
        <v>82.5</v>
      </c>
      <c r="F39" s="3">
        <f>DATE(2025,1,2)</f>
        <v>45659</v>
      </c>
      <c r="G39" s="3">
        <f>DATE(2025,1,2)</f>
        <v>45659</v>
      </c>
      <c r="H39">
        <v>1669791437</v>
      </c>
      <c r="I39" t="s">
        <v>21</v>
      </c>
      <c r="K39" t="s">
        <v>22</v>
      </c>
      <c r="L39" t="s">
        <v>23</v>
      </c>
      <c r="M39" t="s">
        <v>24</v>
      </c>
      <c r="N39" t="s">
        <v>24</v>
      </c>
      <c r="O39" t="s">
        <v>25</v>
      </c>
      <c r="P39" s="8" t="s">
        <v>99</v>
      </c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</row>
    <row r="40" spans="1:51" hidden="1" x14ac:dyDescent="0.2">
      <c r="A40" s="6" t="s">
        <v>17</v>
      </c>
      <c r="B40" t="s">
        <v>31</v>
      </c>
      <c r="C40" t="s">
        <v>32</v>
      </c>
      <c r="D40" t="s">
        <v>100</v>
      </c>
      <c r="E40" s="2">
        <v>126.89</v>
      </c>
      <c r="F40" s="3">
        <f>DATE(2025,1,15)</f>
        <v>45672</v>
      </c>
      <c r="G40" s="3">
        <f>DATE(2025,1,15)</f>
        <v>45672</v>
      </c>
      <c r="H40">
        <v>1669791438</v>
      </c>
      <c r="I40" t="s">
        <v>21</v>
      </c>
      <c r="K40" t="s">
        <v>22</v>
      </c>
      <c r="L40" t="s">
        <v>23</v>
      </c>
      <c r="M40" t="s">
        <v>24</v>
      </c>
      <c r="N40" t="s">
        <v>24</v>
      </c>
      <c r="O40" t="s">
        <v>25</v>
      </c>
      <c r="P40" s="8" t="s">
        <v>101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</row>
    <row r="41" spans="1:51" hidden="1" x14ac:dyDescent="0.2">
      <c r="A41" s="6" t="s">
        <v>17</v>
      </c>
      <c r="B41" t="s">
        <v>46</v>
      </c>
      <c r="C41" t="s">
        <v>47</v>
      </c>
      <c r="D41" t="s">
        <v>102</v>
      </c>
      <c r="E41" s="2">
        <v>720</v>
      </c>
      <c r="F41" s="3">
        <f>DATE(2025,1,2)</f>
        <v>45659</v>
      </c>
      <c r="G41" s="3">
        <f>DATE(2025,1,2)</f>
        <v>45659</v>
      </c>
      <c r="H41">
        <v>1669791439</v>
      </c>
      <c r="I41" t="s">
        <v>21</v>
      </c>
      <c r="K41" t="s">
        <v>22</v>
      </c>
      <c r="L41" t="s">
        <v>23</v>
      </c>
      <c r="M41" t="s">
        <v>24</v>
      </c>
      <c r="N41" t="s">
        <v>24</v>
      </c>
      <c r="O41" t="s">
        <v>25</v>
      </c>
      <c r="P41" s="8" t="s">
        <v>103</v>
      </c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</row>
    <row r="42" spans="1:51" hidden="1" x14ac:dyDescent="0.2">
      <c r="A42" s="6" t="s">
        <v>17</v>
      </c>
      <c r="B42" t="s">
        <v>90</v>
      </c>
      <c r="C42" t="s">
        <v>91</v>
      </c>
      <c r="D42" t="s">
        <v>104</v>
      </c>
      <c r="E42" s="2">
        <v>1000</v>
      </c>
      <c r="F42" s="3">
        <f>DATE(2025,1,2)</f>
        <v>45659</v>
      </c>
      <c r="G42" s="3">
        <f>DATE(2025,1,2)</f>
        <v>45659</v>
      </c>
      <c r="H42">
        <v>1669791440</v>
      </c>
      <c r="I42" t="s">
        <v>21</v>
      </c>
      <c r="K42" t="s">
        <v>22</v>
      </c>
      <c r="L42" t="s">
        <v>23</v>
      </c>
      <c r="M42" t="s">
        <v>24</v>
      </c>
      <c r="N42" t="s">
        <v>24</v>
      </c>
      <c r="O42" t="s">
        <v>25</v>
      </c>
      <c r="P42" s="8" t="s">
        <v>105</v>
      </c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</row>
    <row r="43" spans="1:51" hidden="1" x14ac:dyDescent="0.2">
      <c r="A43" s="6" t="s">
        <v>17</v>
      </c>
      <c r="B43" t="s">
        <v>106</v>
      </c>
      <c r="C43" t="s">
        <v>107</v>
      </c>
      <c r="D43" t="s">
        <v>108</v>
      </c>
      <c r="E43" s="2">
        <v>109.83</v>
      </c>
      <c r="F43" s="3">
        <f>DATE(2025,1,8)</f>
        <v>45665</v>
      </c>
      <c r="G43" s="3">
        <f>DATE(2025,1,8)</f>
        <v>45665</v>
      </c>
      <c r="H43">
        <v>1669791441</v>
      </c>
      <c r="I43" t="s">
        <v>21</v>
      </c>
      <c r="K43" t="s">
        <v>22</v>
      </c>
      <c r="L43" t="s">
        <v>23</v>
      </c>
      <c r="M43" t="s">
        <v>24</v>
      </c>
      <c r="N43" t="s">
        <v>24</v>
      </c>
      <c r="O43" t="s">
        <v>25</v>
      </c>
      <c r="P43" s="8" t="s">
        <v>109</v>
      </c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</row>
    <row r="44" spans="1:51" hidden="1" x14ac:dyDescent="0.2">
      <c r="A44" s="6" t="s">
        <v>17</v>
      </c>
      <c r="B44" t="s">
        <v>38</v>
      </c>
      <c r="C44" t="s">
        <v>39</v>
      </c>
      <c r="D44" t="s">
        <v>110</v>
      </c>
      <c r="E44" s="2">
        <v>2264</v>
      </c>
      <c r="F44" s="3">
        <f>DATE(2025,1,9)</f>
        <v>45666</v>
      </c>
      <c r="G44" s="3">
        <f>DATE(2025,1,9)</f>
        <v>45666</v>
      </c>
      <c r="H44">
        <v>1669791442</v>
      </c>
      <c r="I44" t="s">
        <v>21</v>
      </c>
      <c r="K44" t="s">
        <v>22</v>
      </c>
      <c r="L44" t="s">
        <v>23</v>
      </c>
      <c r="M44" t="s">
        <v>24</v>
      </c>
      <c r="N44" t="s">
        <v>24</v>
      </c>
      <c r="O44" t="s">
        <v>25</v>
      </c>
      <c r="P44" s="8" t="s">
        <v>111</v>
      </c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</row>
    <row r="45" spans="1:51" hidden="1" x14ac:dyDescent="0.2">
      <c r="A45" s="6" t="s">
        <v>17</v>
      </c>
      <c r="B45" t="s">
        <v>31</v>
      </c>
      <c r="C45" t="s">
        <v>32</v>
      </c>
      <c r="D45" t="s">
        <v>112</v>
      </c>
      <c r="E45" s="2">
        <v>52.5</v>
      </c>
      <c r="F45" s="3">
        <f>DATE(2025,1,10)</f>
        <v>45667</v>
      </c>
      <c r="G45" s="3">
        <f>DATE(2025,1,10)</f>
        <v>45667</v>
      </c>
      <c r="H45">
        <v>1669791443</v>
      </c>
      <c r="I45" t="s">
        <v>21</v>
      </c>
      <c r="K45" t="s">
        <v>22</v>
      </c>
      <c r="L45" t="s">
        <v>23</v>
      </c>
      <c r="M45" t="s">
        <v>24</v>
      </c>
      <c r="N45" t="s">
        <v>24</v>
      </c>
      <c r="O45" t="s">
        <v>25</v>
      </c>
      <c r="P45" s="8" t="s">
        <v>113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</row>
    <row r="46" spans="1:51" hidden="1" x14ac:dyDescent="0.2">
      <c r="A46" s="6"/>
      <c r="E46" s="2"/>
      <c r="F46" s="3"/>
      <c r="G46" s="3"/>
      <c r="P46" s="8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</row>
    <row r="47" spans="1:51" hidden="1" x14ac:dyDescent="0.2">
      <c r="A47" s="6" t="s">
        <v>17</v>
      </c>
      <c r="B47" t="s">
        <v>64</v>
      </c>
      <c r="C47" t="s">
        <v>65</v>
      </c>
      <c r="D47" t="s">
        <v>114</v>
      </c>
      <c r="E47" s="2">
        <v>1009.73</v>
      </c>
      <c r="F47" s="3">
        <f>DATE(2025,1,10)</f>
        <v>45667</v>
      </c>
      <c r="G47" s="3">
        <f>DATE(2025,1,10)</f>
        <v>45667</v>
      </c>
      <c r="H47">
        <v>1669791445</v>
      </c>
      <c r="I47" t="s">
        <v>21</v>
      </c>
      <c r="K47" t="s">
        <v>22</v>
      </c>
      <c r="L47" t="s">
        <v>23</v>
      </c>
      <c r="M47" t="s">
        <v>24</v>
      </c>
      <c r="N47" t="s">
        <v>24</v>
      </c>
      <c r="O47" t="s">
        <v>25</v>
      </c>
      <c r="P47" s="8" t="s">
        <v>115</v>
      </c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</row>
    <row r="48" spans="1:51" hidden="1" x14ac:dyDescent="0.2">
      <c r="A48" s="6"/>
      <c r="E48" s="2"/>
      <c r="F48" s="3"/>
      <c r="G48" s="3"/>
      <c r="P48" s="8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</row>
    <row r="49" spans="1:51" hidden="1" x14ac:dyDescent="0.2">
      <c r="A49" s="6" t="s">
        <v>17</v>
      </c>
      <c r="B49" t="s">
        <v>35</v>
      </c>
      <c r="C49" t="s">
        <v>35</v>
      </c>
      <c r="D49" t="s">
        <v>116</v>
      </c>
      <c r="E49" s="2">
        <v>1.65</v>
      </c>
      <c r="F49" s="3">
        <f>DATE(2025,1,15)</f>
        <v>45672</v>
      </c>
      <c r="G49" s="3">
        <f>DATE(2025,1,15)</f>
        <v>45672</v>
      </c>
      <c r="H49">
        <v>1669791447</v>
      </c>
      <c r="I49" t="s">
        <v>21</v>
      </c>
      <c r="K49" t="s">
        <v>22</v>
      </c>
      <c r="L49" t="s">
        <v>23</v>
      </c>
      <c r="M49" t="s">
        <v>24</v>
      </c>
      <c r="N49" t="s">
        <v>24</v>
      </c>
      <c r="O49" t="s">
        <v>25</v>
      </c>
      <c r="P49" s="8" t="s">
        <v>117</v>
      </c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</row>
    <row r="50" spans="1:51" hidden="1" x14ac:dyDescent="0.2">
      <c r="A50" s="6"/>
      <c r="E50" s="2"/>
      <c r="F50" s="3"/>
      <c r="G50" s="3"/>
      <c r="P50" s="8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</row>
    <row r="51" spans="1:51" hidden="1" x14ac:dyDescent="0.2">
      <c r="A51" s="6" t="s">
        <v>17</v>
      </c>
      <c r="B51" t="s">
        <v>118</v>
      </c>
      <c r="C51" t="s">
        <v>119</v>
      </c>
      <c r="D51" t="s">
        <v>120</v>
      </c>
      <c r="E51" s="2">
        <v>75.8</v>
      </c>
      <c r="F51" s="3">
        <f>DATE(2025,1,10)</f>
        <v>45667</v>
      </c>
      <c r="G51" s="3">
        <f>DATE(2025,1,10)</f>
        <v>45667</v>
      </c>
      <c r="H51">
        <v>1669791449</v>
      </c>
      <c r="I51" t="s">
        <v>21</v>
      </c>
      <c r="K51" t="s">
        <v>22</v>
      </c>
      <c r="L51" t="s">
        <v>23</v>
      </c>
      <c r="M51" t="s">
        <v>24</v>
      </c>
      <c r="N51" t="s">
        <v>24</v>
      </c>
      <c r="O51" t="s">
        <v>25</v>
      </c>
      <c r="P51" s="8" t="s">
        <v>121</v>
      </c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</row>
    <row r="52" spans="1:51" hidden="1" x14ac:dyDescent="0.2">
      <c r="A52" s="6" t="s">
        <v>17</v>
      </c>
      <c r="B52" t="s">
        <v>35</v>
      </c>
      <c r="C52" t="s">
        <v>35</v>
      </c>
      <c r="D52" t="s">
        <v>122</v>
      </c>
      <c r="E52" s="2">
        <v>12.92</v>
      </c>
      <c r="F52" s="3">
        <f>DATE(2025,1,1)</f>
        <v>45658</v>
      </c>
      <c r="G52" s="3">
        <f>DATE(2025,1,1)</f>
        <v>45658</v>
      </c>
      <c r="H52">
        <v>1669791450</v>
      </c>
      <c r="I52" t="s">
        <v>21</v>
      </c>
      <c r="K52" t="s">
        <v>22</v>
      </c>
      <c r="L52" t="s">
        <v>23</v>
      </c>
      <c r="M52" t="s">
        <v>24</v>
      </c>
      <c r="N52" t="s">
        <v>24</v>
      </c>
      <c r="O52" t="s">
        <v>25</v>
      </c>
      <c r="P52" s="8" t="s">
        <v>123</v>
      </c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</row>
    <row r="53" spans="1:51" hidden="1" x14ac:dyDescent="0.2">
      <c r="A53" s="6" t="s">
        <v>17</v>
      </c>
      <c r="B53" t="s">
        <v>27</v>
      </c>
      <c r="C53" t="s">
        <v>28</v>
      </c>
      <c r="D53" t="s">
        <v>124</v>
      </c>
      <c r="E53" s="2">
        <v>1313.46</v>
      </c>
      <c r="F53" s="3">
        <f>DATE(2025,1,1)</f>
        <v>45658</v>
      </c>
      <c r="G53" s="3">
        <f>DATE(2025,1,1)</f>
        <v>45658</v>
      </c>
      <c r="H53">
        <v>1669791451</v>
      </c>
      <c r="I53" t="s">
        <v>21</v>
      </c>
      <c r="K53" t="s">
        <v>22</v>
      </c>
      <c r="L53" t="s">
        <v>23</v>
      </c>
      <c r="M53" t="s">
        <v>24</v>
      </c>
      <c r="N53" t="s">
        <v>24</v>
      </c>
      <c r="O53" t="s">
        <v>25</v>
      </c>
      <c r="P53" s="8" t="s">
        <v>125</v>
      </c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</row>
    <row r="54" spans="1:51" hidden="1" x14ac:dyDescent="0.2">
      <c r="A54" s="6"/>
      <c r="E54" s="2"/>
      <c r="F54" s="3"/>
      <c r="G54" s="3"/>
      <c r="P54" s="8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</row>
    <row r="55" spans="1:51" hidden="1" x14ac:dyDescent="0.2">
      <c r="A55" s="6" t="s">
        <v>17</v>
      </c>
      <c r="B55" t="s">
        <v>54</v>
      </c>
      <c r="C55" t="s">
        <v>55</v>
      </c>
      <c r="D55" t="s">
        <v>126</v>
      </c>
      <c r="E55" s="2">
        <v>5971.2</v>
      </c>
      <c r="F55" s="3">
        <f>DATE(2025,1,14)</f>
        <v>45671</v>
      </c>
      <c r="G55" s="3">
        <f>DATE(2025,1,14)</f>
        <v>45671</v>
      </c>
      <c r="H55">
        <v>1669791453</v>
      </c>
      <c r="I55" t="s">
        <v>21</v>
      </c>
      <c r="K55" t="s">
        <v>22</v>
      </c>
      <c r="L55" t="s">
        <v>23</v>
      </c>
      <c r="M55" t="s">
        <v>24</v>
      </c>
      <c r="N55" t="s">
        <v>24</v>
      </c>
      <c r="O55" t="s">
        <v>25</v>
      </c>
      <c r="P55" s="8" t="s">
        <v>127</v>
      </c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</row>
    <row r="56" spans="1:51" hidden="1" x14ac:dyDescent="0.2">
      <c r="A56" s="6" t="s">
        <v>17</v>
      </c>
      <c r="B56" t="s">
        <v>27</v>
      </c>
      <c r="C56" t="s">
        <v>28</v>
      </c>
      <c r="D56" t="s">
        <v>128</v>
      </c>
      <c r="E56" s="2">
        <v>871.08</v>
      </c>
      <c r="F56" s="3">
        <f>DATE(2025,1,9)</f>
        <v>45666</v>
      </c>
      <c r="G56" s="3">
        <f>DATE(2025,1,9)</f>
        <v>45666</v>
      </c>
      <c r="H56">
        <v>1669791454</v>
      </c>
      <c r="I56" t="s">
        <v>21</v>
      </c>
      <c r="K56" t="s">
        <v>22</v>
      </c>
      <c r="L56" t="s">
        <v>23</v>
      </c>
      <c r="M56" t="s">
        <v>24</v>
      </c>
      <c r="N56" t="s">
        <v>24</v>
      </c>
      <c r="O56" t="s">
        <v>25</v>
      </c>
      <c r="P56" s="8" t="s">
        <v>129</v>
      </c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</row>
    <row r="57" spans="1:51" hidden="1" x14ac:dyDescent="0.2">
      <c r="A57" s="6" t="s">
        <v>17</v>
      </c>
      <c r="B57" t="s">
        <v>64</v>
      </c>
      <c r="C57" t="s">
        <v>65</v>
      </c>
      <c r="D57" t="s">
        <v>130</v>
      </c>
      <c r="E57" s="2">
        <v>587.26</v>
      </c>
      <c r="F57" s="3">
        <f>DATE(2025,1,10)</f>
        <v>45667</v>
      </c>
      <c r="G57" s="3">
        <f>DATE(2025,1,10)</f>
        <v>45667</v>
      </c>
      <c r="H57">
        <v>1669791455</v>
      </c>
      <c r="I57" t="s">
        <v>21</v>
      </c>
      <c r="K57" t="s">
        <v>22</v>
      </c>
      <c r="L57" t="s">
        <v>23</v>
      </c>
      <c r="M57" t="s">
        <v>24</v>
      </c>
      <c r="N57" t="s">
        <v>24</v>
      </c>
      <c r="O57" t="s">
        <v>25</v>
      </c>
      <c r="P57" s="8" t="s">
        <v>131</v>
      </c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</row>
    <row r="58" spans="1:51" hidden="1" x14ac:dyDescent="0.2">
      <c r="A58" s="6" t="s">
        <v>17</v>
      </c>
      <c r="B58" t="s">
        <v>132</v>
      </c>
      <c r="C58" t="s">
        <v>133</v>
      </c>
      <c r="D58" t="s">
        <v>134</v>
      </c>
      <c r="E58" s="2">
        <v>500</v>
      </c>
      <c r="F58" s="3">
        <f>DATE(2025,1,16)</f>
        <v>45673</v>
      </c>
      <c r="G58" s="3">
        <f>DATE(2025,1,16)</f>
        <v>45673</v>
      </c>
      <c r="H58">
        <v>1669791456</v>
      </c>
      <c r="I58" t="s">
        <v>21</v>
      </c>
      <c r="K58" t="s">
        <v>22</v>
      </c>
      <c r="L58" t="s">
        <v>23</v>
      </c>
      <c r="M58" t="s">
        <v>24</v>
      </c>
      <c r="N58" t="s">
        <v>24</v>
      </c>
      <c r="O58" t="s">
        <v>25</v>
      </c>
      <c r="P58" s="8" t="s">
        <v>135</v>
      </c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</row>
    <row r="59" spans="1:51" hidden="1" x14ac:dyDescent="0.2">
      <c r="A59" s="6"/>
      <c r="E59" s="2"/>
      <c r="F59" s="3"/>
      <c r="G59" s="3"/>
      <c r="P59" s="8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</row>
    <row r="60" spans="1:51" hidden="1" x14ac:dyDescent="0.2">
      <c r="A60" s="6"/>
      <c r="E60" s="2"/>
      <c r="F60" s="3"/>
      <c r="G60" s="3"/>
      <c r="P60" s="8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</row>
    <row r="61" spans="1:51" hidden="1" x14ac:dyDescent="0.2">
      <c r="A61" s="6" t="s">
        <v>17</v>
      </c>
      <c r="B61" t="s">
        <v>84</v>
      </c>
      <c r="C61" t="s">
        <v>85</v>
      </c>
      <c r="D61" t="s">
        <v>136</v>
      </c>
      <c r="E61" s="2">
        <v>432.35</v>
      </c>
      <c r="F61" s="3">
        <f>DATE(2025,1,6)</f>
        <v>45663</v>
      </c>
      <c r="G61" s="3">
        <f>DATE(2025,1,6)</f>
        <v>45663</v>
      </c>
      <c r="H61">
        <v>1669791459</v>
      </c>
      <c r="I61" t="s">
        <v>21</v>
      </c>
      <c r="K61" t="s">
        <v>22</v>
      </c>
      <c r="L61" t="s">
        <v>23</v>
      </c>
      <c r="M61" t="s">
        <v>24</v>
      </c>
      <c r="N61" t="s">
        <v>24</v>
      </c>
      <c r="O61" t="s">
        <v>25</v>
      </c>
      <c r="P61" s="8" t="s">
        <v>137</v>
      </c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</row>
    <row r="62" spans="1:51" hidden="1" x14ac:dyDescent="0.2">
      <c r="A62" s="6" t="s">
        <v>17</v>
      </c>
      <c r="B62" t="s">
        <v>64</v>
      </c>
      <c r="C62" t="s">
        <v>65</v>
      </c>
      <c r="D62" t="s">
        <v>138</v>
      </c>
      <c r="E62" s="2">
        <v>596.64</v>
      </c>
      <c r="F62" s="3">
        <f>DATE(2025,1,10)</f>
        <v>45667</v>
      </c>
      <c r="G62" s="3">
        <f>DATE(2025,1,10)</f>
        <v>45667</v>
      </c>
      <c r="H62">
        <v>1669791460</v>
      </c>
      <c r="I62" t="s">
        <v>21</v>
      </c>
      <c r="K62" t="s">
        <v>22</v>
      </c>
      <c r="L62" t="s">
        <v>23</v>
      </c>
      <c r="M62" t="s">
        <v>24</v>
      </c>
      <c r="N62" t="s">
        <v>24</v>
      </c>
      <c r="O62" t="s">
        <v>25</v>
      </c>
      <c r="P62" s="8" t="s">
        <v>139</v>
      </c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</row>
    <row r="63" spans="1:51" hidden="1" x14ac:dyDescent="0.2">
      <c r="A63" s="6" t="s">
        <v>17</v>
      </c>
      <c r="B63" t="s">
        <v>140</v>
      </c>
      <c r="C63" t="s">
        <v>141</v>
      </c>
      <c r="D63" t="s">
        <v>142</v>
      </c>
      <c r="E63" s="2">
        <v>7701</v>
      </c>
      <c r="F63" s="3">
        <f>DATE(2025,1,16)</f>
        <v>45673</v>
      </c>
      <c r="G63" s="3">
        <f>DATE(2025,1,16)</f>
        <v>45673</v>
      </c>
      <c r="H63">
        <v>1669791461</v>
      </c>
      <c r="I63" t="s">
        <v>21</v>
      </c>
      <c r="K63" t="s">
        <v>22</v>
      </c>
      <c r="L63" t="s">
        <v>23</v>
      </c>
      <c r="M63" t="s">
        <v>24</v>
      </c>
      <c r="N63" t="s">
        <v>24</v>
      </c>
      <c r="O63" t="s">
        <v>25</v>
      </c>
      <c r="P63" s="8" t="s">
        <v>143</v>
      </c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</row>
    <row r="64" spans="1:51" hidden="1" x14ac:dyDescent="0.2">
      <c r="A64" s="6"/>
      <c r="E64" s="2"/>
      <c r="F64" s="3"/>
      <c r="G64" s="3"/>
      <c r="P64" s="8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</row>
    <row r="65" spans="1:51" hidden="1" x14ac:dyDescent="0.2">
      <c r="A65" s="6" t="s">
        <v>17</v>
      </c>
      <c r="B65" t="s">
        <v>144</v>
      </c>
      <c r="C65" t="s">
        <v>145</v>
      </c>
      <c r="D65" t="s">
        <v>146</v>
      </c>
      <c r="E65" s="2">
        <v>1330</v>
      </c>
      <c r="F65" s="3">
        <f>DATE(2025,1,3)</f>
        <v>45660</v>
      </c>
      <c r="G65" s="3">
        <f>DATE(2025,1,3)</f>
        <v>45660</v>
      </c>
      <c r="H65">
        <v>1669791463</v>
      </c>
      <c r="I65" t="s">
        <v>21</v>
      </c>
      <c r="K65" t="s">
        <v>22</v>
      </c>
      <c r="L65" t="s">
        <v>23</v>
      </c>
      <c r="M65" t="s">
        <v>24</v>
      </c>
      <c r="N65" t="s">
        <v>24</v>
      </c>
      <c r="O65" t="s">
        <v>25</v>
      </c>
      <c r="P65" s="8" t="s">
        <v>147</v>
      </c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</row>
    <row r="66" spans="1:51" hidden="1" x14ac:dyDescent="0.2">
      <c r="A66" s="6" t="s">
        <v>17</v>
      </c>
      <c r="B66" t="s">
        <v>42</v>
      </c>
      <c r="C66" t="s">
        <v>43</v>
      </c>
      <c r="D66" t="s">
        <v>148</v>
      </c>
      <c r="E66" s="2">
        <v>102.16</v>
      </c>
      <c r="F66" s="3">
        <f>DATE(2025,1,2)</f>
        <v>45659</v>
      </c>
      <c r="G66" s="3">
        <f>DATE(2025,1,2)</f>
        <v>45659</v>
      </c>
      <c r="H66">
        <v>1669791464</v>
      </c>
      <c r="I66" t="s">
        <v>21</v>
      </c>
      <c r="K66" t="s">
        <v>22</v>
      </c>
      <c r="L66" t="s">
        <v>23</v>
      </c>
      <c r="M66" t="s">
        <v>24</v>
      </c>
      <c r="N66" t="s">
        <v>24</v>
      </c>
      <c r="O66" t="s">
        <v>25</v>
      </c>
      <c r="P66" s="8" t="s">
        <v>149</v>
      </c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</row>
    <row r="67" spans="1:51" hidden="1" x14ac:dyDescent="0.2">
      <c r="A67" s="6" t="s">
        <v>17</v>
      </c>
      <c r="B67" t="s">
        <v>118</v>
      </c>
      <c r="C67" t="s">
        <v>119</v>
      </c>
      <c r="D67" t="s">
        <v>150</v>
      </c>
      <c r="E67" s="2">
        <v>30</v>
      </c>
      <c r="F67" s="3">
        <f>DATE(2025,1,11)</f>
        <v>45668</v>
      </c>
      <c r="G67" s="3">
        <f>DATE(2025,1,11)</f>
        <v>45668</v>
      </c>
      <c r="H67">
        <v>1669791465</v>
      </c>
      <c r="I67" t="s">
        <v>21</v>
      </c>
      <c r="K67" t="s">
        <v>22</v>
      </c>
      <c r="L67" t="s">
        <v>23</v>
      </c>
      <c r="M67" t="s">
        <v>24</v>
      </c>
      <c r="N67" t="s">
        <v>24</v>
      </c>
      <c r="O67" t="s">
        <v>25</v>
      </c>
      <c r="P67" s="8" t="s">
        <v>151</v>
      </c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</row>
    <row r="68" spans="1:51" hidden="1" x14ac:dyDescent="0.2">
      <c r="A68" s="6" t="s">
        <v>17</v>
      </c>
      <c r="B68" t="s">
        <v>64</v>
      </c>
      <c r="C68" t="s">
        <v>65</v>
      </c>
      <c r="D68" t="s">
        <v>152</v>
      </c>
      <c r="E68" s="2">
        <v>1064.68</v>
      </c>
      <c r="F68" s="3">
        <f>DATE(2025,1,10)</f>
        <v>45667</v>
      </c>
      <c r="G68" s="3">
        <f>DATE(2025,1,10)</f>
        <v>45667</v>
      </c>
      <c r="H68">
        <v>1669791466</v>
      </c>
      <c r="I68" t="s">
        <v>21</v>
      </c>
      <c r="K68" t="s">
        <v>22</v>
      </c>
      <c r="L68" t="s">
        <v>23</v>
      </c>
      <c r="M68" t="s">
        <v>24</v>
      </c>
      <c r="N68" t="s">
        <v>24</v>
      </c>
      <c r="O68" t="s">
        <v>25</v>
      </c>
      <c r="P68" s="8" t="s">
        <v>153</v>
      </c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</row>
    <row r="69" spans="1:51" hidden="1" x14ac:dyDescent="0.2">
      <c r="A69" s="6"/>
      <c r="E69" s="2"/>
      <c r="F69" s="3"/>
      <c r="G69" s="3"/>
      <c r="P69" s="8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</row>
    <row r="70" spans="1:51" hidden="1" x14ac:dyDescent="0.2">
      <c r="A70" s="6" t="s">
        <v>17</v>
      </c>
      <c r="B70" t="s">
        <v>155</v>
      </c>
      <c r="C70" t="s">
        <v>156</v>
      </c>
      <c r="D70" t="s">
        <v>157</v>
      </c>
      <c r="E70" s="2">
        <v>7.14</v>
      </c>
      <c r="F70" s="3">
        <f>DATE(2025,1,3)</f>
        <v>45660</v>
      </c>
      <c r="G70" s="3">
        <f>DATE(2025,1,3)</f>
        <v>45660</v>
      </c>
      <c r="H70">
        <v>1669791468</v>
      </c>
      <c r="I70" t="s">
        <v>158</v>
      </c>
      <c r="K70" t="s">
        <v>22</v>
      </c>
      <c r="L70" t="s">
        <v>23</v>
      </c>
      <c r="M70" t="s">
        <v>24</v>
      </c>
      <c r="N70" t="s">
        <v>24</v>
      </c>
      <c r="O70" t="s">
        <v>25</v>
      </c>
      <c r="P70" s="8" t="s">
        <v>159</v>
      </c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</row>
    <row r="71" spans="1:51" hidden="1" x14ac:dyDescent="0.2">
      <c r="A71" s="6" t="s">
        <v>17</v>
      </c>
      <c r="B71" t="s">
        <v>118</v>
      </c>
      <c r="C71" t="s">
        <v>119</v>
      </c>
      <c r="D71" t="s">
        <v>160</v>
      </c>
      <c r="E71" s="2">
        <v>7.71</v>
      </c>
      <c r="F71" s="3">
        <f>DATE(2025,1,1)</f>
        <v>45658</v>
      </c>
      <c r="G71" s="3">
        <f>DATE(2025,1,1)</f>
        <v>45658</v>
      </c>
      <c r="H71">
        <v>1669791469</v>
      </c>
      <c r="I71" t="s">
        <v>158</v>
      </c>
      <c r="K71" t="s">
        <v>22</v>
      </c>
      <c r="L71" t="s">
        <v>23</v>
      </c>
      <c r="M71" t="s">
        <v>24</v>
      </c>
      <c r="N71" t="s">
        <v>24</v>
      </c>
      <c r="O71" t="s">
        <v>25</v>
      </c>
      <c r="P71" s="8" t="s">
        <v>161</v>
      </c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</row>
    <row r="72" spans="1:51" hidden="1" x14ac:dyDescent="0.2">
      <c r="A72" s="6" t="s">
        <v>17</v>
      </c>
      <c r="B72" t="s">
        <v>46</v>
      </c>
      <c r="C72" t="s">
        <v>47</v>
      </c>
      <c r="D72" t="s">
        <v>162</v>
      </c>
      <c r="E72" s="2">
        <v>27.94</v>
      </c>
      <c r="F72" s="3">
        <f>DATE(2025,1,1)</f>
        <v>45658</v>
      </c>
      <c r="G72" s="3">
        <f>DATE(2025,1,1)</f>
        <v>45658</v>
      </c>
      <c r="H72">
        <v>1669791470</v>
      </c>
      <c r="I72" t="s">
        <v>158</v>
      </c>
      <c r="K72" t="s">
        <v>22</v>
      </c>
      <c r="L72" t="s">
        <v>23</v>
      </c>
      <c r="M72" t="s">
        <v>24</v>
      </c>
      <c r="N72" t="s">
        <v>24</v>
      </c>
      <c r="O72" t="s">
        <v>25</v>
      </c>
      <c r="P72" s="8" t="s">
        <v>163</v>
      </c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</row>
    <row r="73" spans="1:51" hidden="1" x14ac:dyDescent="0.2">
      <c r="A73" s="6" t="s">
        <v>17</v>
      </c>
      <c r="B73" t="s">
        <v>42</v>
      </c>
      <c r="C73" t="s">
        <v>43</v>
      </c>
      <c r="D73" t="s">
        <v>164</v>
      </c>
      <c r="E73" s="2">
        <v>99</v>
      </c>
      <c r="F73" s="3">
        <f>DATE(2025,1,6)</f>
        <v>45663</v>
      </c>
      <c r="G73" s="3">
        <f>DATE(2025,1,6)</f>
        <v>45663</v>
      </c>
      <c r="H73">
        <v>1669791471</v>
      </c>
      <c r="I73" t="s">
        <v>158</v>
      </c>
      <c r="K73" t="s">
        <v>22</v>
      </c>
      <c r="L73" t="s">
        <v>23</v>
      </c>
      <c r="M73" t="s">
        <v>24</v>
      </c>
      <c r="N73" t="s">
        <v>24</v>
      </c>
      <c r="O73" t="s">
        <v>25</v>
      </c>
      <c r="P73" s="8" t="s">
        <v>165</v>
      </c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</row>
    <row r="74" spans="1:51" hidden="1" x14ac:dyDescent="0.2">
      <c r="A74" s="6" t="s">
        <v>17</v>
      </c>
      <c r="B74" t="s">
        <v>118</v>
      </c>
      <c r="C74" t="s">
        <v>119</v>
      </c>
      <c r="D74" t="s">
        <v>166</v>
      </c>
      <c r="E74" s="2">
        <v>19.07</v>
      </c>
      <c r="F74" s="3">
        <f>DATE(2025,1,7)</f>
        <v>45664</v>
      </c>
      <c r="G74" s="3">
        <f>DATE(2025,1,7)</f>
        <v>45664</v>
      </c>
      <c r="H74">
        <v>1669791472</v>
      </c>
      <c r="I74" t="s">
        <v>158</v>
      </c>
      <c r="K74" t="s">
        <v>22</v>
      </c>
      <c r="L74" t="s">
        <v>23</v>
      </c>
      <c r="M74" t="s">
        <v>24</v>
      </c>
      <c r="N74" t="s">
        <v>24</v>
      </c>
      <c r="O74" t="s">
        <v>25</v>
      </c>
      <c r="P74" s="8" t="s">
        <v>167</v>
      </c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</row>
    <row r="75" spans="1:51" hidden="1" x14ac:dyDescent="0.2">
      <c r="A75" s="6" t="s">
        <v>17</v>
      </c>
      <c r="B75" t="s">
        <v>118</v>
      </c>
      <c r="C75" t="s">
        <v>119</v>
      </c>
      <c r="D75" t="s">
        <v>168</v>
      </c>
      <c r="E75" s="2">
        <v>44.98</v>
      </c>
      <c r="F75" s="3">
        <f>DATE(2025,1,13)</f>
        <v>45670</v>
      </c>
      <c r="G75" s="3">
        <f>DATE(2025,1,13)</f>
        <v>45670</v>
      </c>
      <c r="H75">
        <v>1669791473</v>
      </c>
      <c r="I75" t="s">
        <v>158</v>
      </c>
      <c r="K75" t="s">
        <v>22</v>
      </c>
      <c r="L75" t="s">
        <v>23</v>
      </c>
      <c r="M75" t="s">
        <v>24</v>
      </c>
      <c r="N75" t="s">
        <v>24</v>
      </c>
      <c r="O75" t="s">
        <v>25</v>
      </c>
      <c r="P75" s="8" t="s">
        <v>169</v>
      </c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</row>
    <row r="76" spans="1:51" hidden="1" x14ac:dyDescent="0.2">
      <c r="A76" s="6" t="s">
        <v>17</v>
      </c>
      <c r="B76" t="s">
        <v>42</v>
      </c>
      <c r="C76" t="s">
        <v>43</v>
      </c>
      <c r="D76" t="s">
        <v>170</v>
      </c>
      <c r="E76" s="2">
        <v>40</v>
      </c>
      <c r="F76" s="3">
        <f>DATE(2025,1,13)</f>
        <v>45670</v>
      </c>
      <c r="G76" s="3">
        <f>DATE(2025,1,13)</f>
        <v>45670</v>
      </c>
      <c r="H76">
        <v>1669791474</v>
      </c>
      <c r="I76" t="s">
        <v>158</v>
      </c>
      <c r="K76" t="s">
        <v>22</v>
      </c>
      <c r="L76" t="s">
        <v>23</v>
      </c>
      <c r="M76" t="s">
        <v>24</v>
      </c>
      <c r="N76" t="s">
        <v>24</v>
      </c>
      <c r="O76" t="s">
        <v>25</v>
      </c>
      <c r="P76" s="8" t="s">
        <v>171</v>
      </c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</row>
    <row r="77" spans="1:51" hidden="1" x14ac:dyDescent="0.2">
      <c r="A77" s="6" t="s">
        <v>17</v>
      </c>
      <c r="B77" t="s">
        <v>155</v>
      </c>
      <c r="C77" t="s">
        <v>156</v>
      </c>
      <c r="D77" t="s">
        <v>157</v>
      </c>
      <c r="E77" s="2">
        <v>7.14</v>
      </c>
      <c r="F77" s="3">
        <f>DATE(2025,1,9)</f>
        <v>45666</v>
      </c>
      <c r="G77" s="3">
        <f>DATE(2025,1,9)</f>
        <v>45666</v>
      </c>
      <c r="H77">
        <v>1669791475</v>
      </c>
      <c r="I77" t="s">
        <v>158</v>
      </c>
      <c r="K77" t="s">
        <v>22</v>
      </c>
      <c r="L77" t="s">
        <v>23</v>
      </c>
      <c r="M77" t="s">
        <v>24</v>
      </c>
      <c r="N77" t="s">
        <v>24</v>
      </c>
      <c r="O77" t="s">
        <v>25</v>
      </c>
      <c r="P77" s="8" t="s">
        <v>172</v>
      </c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</row>
    <row r="78" spans="1:51" hidden="1" x14ac:dyDescent="0.2">
      <c r="A78" s="6" t="s">
        <v>17</v>
      </c>
      <c r="B78" t="s">
        <v>173</v>
      </c>
      <c r="C78" t="s">
        <v>154</v>
      </c>
      <c r="D78" t="s">
        <v>174</v>
      </c>
      <c r="E78" s="2">
        <v>96.01</v>
      </c>
      <c r="F78" s="3">
        <f>DATE(2025,1,11)</f>
        <v>45668</v>
      </c>
      <c r="G78" s="3">
        <f>DATE(2025,1,11)</f>
        <v>45668</v>
      </c>
      <c r="H78">
        <v>1669791476</v>
      </c>
      <c r="I78" t="s">
        <v>158</v>
      </c>
      <c r="K78" t="s">
        <v>22</v>
      </c>
      <c r="L78" t="s">
        <v>23</v>
      </c>
      <c r="M78" t="s">
        <v>24</v>
      </c>
      <c r="N78" t="s">
        <v>24</v>
      </c>
      <c r="O78" t="s">
        <v>25</v>
      </c>
      <c r="P78" s="8" t="s">
        <v>175</v>
      </c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</row>
    <row r="79" spans="1:51" hidden="1" x14ac:dyDescent="0.2">
      <c r="A79" s="6" t="s">
        <v>17</v>
      </c>
      <c r="B79" t="s">
        <v>118</v>
      </c>
      <c r="C79" t="s">
        <v>119</v>
      </c>
      <c r="D79" t="s">
        <v>176</v>
      </c>
      <c r="E79" s="2">
        <v>60.61</v>
      </c>
      <c r="F79" s="3">
        <f>DATE(2025,1,10)</f>
        <v>45667</v>
      </c>
      <c r="G79" s="3">
        <f>DATE(2025,1,10)</f>
        <v>45667</v>
      </c>
      <c r="H79">
        <v>1669791477</v>
      </c>
      <c r="I79" t="s">
        <v>158</v>
      </c>
      <c r="K79" t="s">
        <v>22</v>
      </c>
      <c r="L79" t="s">
        <v>23</v>
      </c>
      <c r="M79" t="s">
        <v>24</v>
      </c>
      <c r="N79" t="s">
        <v>24</v>
      </c>
      <c r="O79" t="s">
        <v>25</v>
      </c>
      <c r="P79" s="8" t="s">
        <v>177</v>
      </c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</row>
    <row r="80" spans="1:51" hidden="1" x14ac:dyDescent="0.2">
      <c r="A80" s="6" t="s">
        <v>17</v>
      </c>
      <c r="B80" t="s">
        <v>118</v>
      </c>
      <c r="C80" t="s">
        <v>119</v>
      </c>
      <c r="D80" t="s">
        <v>178</v>
      </c>
      <c r="E80" s="2">
        <v>360</v>
      </c>
      <c r="F80" s="3">
        <f>DATE(2025,1,9)</f>
        <v>45666</v>
      </c>
      <c r="G80" s="3">
        <f>DATE(2025,1,9)</f>
        <v>45666</v>
      </c>
      <c r="H80">
        <v>1669791478</v>
      </c>
      <c r="I80" t="s">
        <v>158</v>
      </c>
      <c r="K80" t="s">
        <v>22</v>
      </c>
      <c r="L80" t="s">
        <v>23</v>
      </c>
      <c r="M80" t="s">
        <v>24</v>
      </c>
      <c r="N80" t="s">
        <v>24</v>
      </c>
      <c r="O80" t="s">
        <v>25</v>
      </c>
      <c r="P80" s="8" t="s">
        <v>179</v>
      </c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</row>
    <row r="81" spans="1:51" hidden="1" x14ac:dyDescent="0.2">
      <c r="A81" s="6" t="s">
        <v>17</v>
      </c>
      <c r="B81" t="s">
        <v>118</v>
      </c>
      <c r="C81" t="s">
        <v>119</v>
      </c>
      <c r="D81" t="s">
        <v>176</v>
      </c>
      <c r="E81" s="2">
        <v>179.74</v>
      </c>
      <c r="F81" s="3">
        <f>DATE(2025,1,6)</f>
        <v>45663</v>
      </c>
      <c r="G81" s="3">
        <f>DATE(2025,1,6)</f>
        <v>45663</v>
      </c>
      <c r="H81">
        <v>1669791479</v>
      </c>
      <c r="I81" t="s">
        <v>158</v>
      </c>
      <c r="K81" t="s">
        <v>22</v>
      </c>
      <c r="L81" t="s">
        <v>23</v>
      </c>
      <c r="M81" t="s">
        <v>24</v>
      </c>
      <c r="N81" t="s">
        <v>24</v>
      </c>
      <c r="O81" t="s">
        <v>25</v>
      </c>
      <c r="P81" s="8" t="s">
        <v>180</v>
      </c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</row>
    <row r="82" spans="1:51" hidden="1" x14ac:dyDescent="0.2">
      <c r="A82" s="6" t="s">
        <v>17</v>
      </c>
      <c r="B82" t="s">
        <v>132</v>
      </c>
      <c r="C82" t="s">
        <v>133</v>
      </c>
      <c r="D82" t="s">
        <v>181</v>
      </c>
      <c r="E82" s="2">
        <v>49.99</v>
      </c>
      <c r="F82" s="3">
        <f>DATE(2025,1,9)</f>
        <v>45666</v>
      </c>
      <c r="G82" s="3">
        <f>DATE(2025,1,9)</f>
        <v>45666</v>
      </c>
      <c r="H82">
        <v>1669791480</v>
      </c>
      <c r="I82" t="s">
        <v>158</v>
      </c>
      <c r="K82" t="s">
        <v>22</v>
      </c>
      <c r="L82" t="s">
        <v>23</v>
      </c>
      <c r="M82" t="s">
        <v>24</v>
      </c>
      <c r="N82" t="s">
        <v>24</v>
      </c>
      <c r="O82" t="s">
        <v>25</v>
      </c>
      <c r="P82" s="8" t="s">
        <v>182</v>
      </c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</row>
    <row r="83" spans="1:51" hidden="1" x14ac:dyDescent="0.2">
      <c r="A83" s="6" t="s">
        <v>17</v>
      </c>
      <c r="B83" t="s">
        <v>42</v>
      </c>
      <c r="C83" t="s">
        <v>43</v>
      </c>
      <c r="D83" t="s">
        <v>183</v>
      </c>
      <c r="E83" s="2">
        <v>238.8</v>
      </c>
      <c r="F83" s="3">
        <f>DATE(2025,1,6)</f>
        <v>45663</v>
      </c>
      <c r="G83" s="3">
        <f>DATE(2025,1,6)</f>
        <v>45663</v>
      </c>
      <c r="H83">
        <v>1669791481</v>
      </c>
      <c r="I83" t="s">
        <v>158</v>
      </c>
      <c r="K83" t="s">
        <v>22</v>
      </c>
      <c r="L83" t="s">
        <v>23</v>
      </c>
      <c r="M83" t="s">
        <v>24</v>
      </c>
      <c r="N83" t="s">
        <v>24</v>
      </c>
      <c r="O83" t="s">
        <v>25</v>
      </c>
      <c r="P83" s="8" t="s">
        <v>184</v>
      </c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</row>
    <row r="84" spans="1:51" hidden="1" x14ac:dyDescent="0.2">
      <c r="A84" s="6" t="s">
        <v>17</v>
      </c>
      <c r="B84" t="s">
        <v>18</v>
      </c>
      <c r="C84" t="s">
        <v>19</v>
      </c>
      <c r="D84" t="s">
        <v>185</v>
      </c>
      <c r="E84" s="2">
        <v>1099.0999999999999</v>
      </c>
      <c r="F84" s="3">
        <f>DATE(2025,1,6)</f>
        <v>45663</v>
      </c>
      <c r="G84" s="3">
        <f>DATE(2025,1,6)</f>
        <v>45663</v>
      </c>
      <c r="H84">
        <v>1669791482</v>
      </c>
      <c r="I84" t="s">
        <v>158</v>
      </c>
      <c r="K84" t="s">
        <v>22</v>
      </c>
      <c r="L84" t="s">
        <v>23</v>
      </c>
      <c r="M84" t="s">
        <v>24</v>
      </c>
      <c r="N84" t="s">
        <v>24</v>
      </c>
      <c r="O84" t="s">
        <v>25</v>
      </c>
      <c r="P84" s="8" t="s">
        <v>186</v>
      </c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</row>
    <row r="85" spans="1:51" hidden="1" x14ac:dyDescent="0.2">
      <c r="A85" s="6" t="s">
        <v>17</v>
      </c>
      <c r="B85" t="s">
        <v>155</v>
      </c>
      <c r="C85" t="s">
        <v>156</v>
      </c>
      <c r="D85" t="s">
        <v>157</v>
      </c>
      <c r="E85" s="2">
        <v>8.5500000000000007</v>
      </c>
      <c r="F85" s="3">
        <f>DATE(2025,1,7)</f>
        <v>45664</v>
      </c>
      <c r="G85" s="3">
        <f>DATE(2025,1,7)</f>
        <v>45664</v>
      </c>
      <c r="H85">
        <v>1669791483</v>
      </c>
      <c r="I85" t="s">
        <v>158</v>
      </c>
      <c r="K85" t="s">
        <v>22</v>
      </c>
      <c r="L85" t="s">
        <v>23</v>
      </c>
      <c r="M85" t="s">
        <v>24</v>
      </c>
      <c r="N85" t="s">
        <v>24</v>
      </c>
      <c r="O85" t="s">
        <v>25</v>
      </c>
      <c r="P85" s="8" t="s">
        <v>187</v>
      </c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</row>
    <row r="86" spans="1:51" hidden="1" x14ac:dyDescent="0.2">
      <c r="A86" s="6" t="s">
        <v>17</v>
      </c>
      <c r="B86" t="s">
        <v>155</v>
      </c>
      <c r="C86" t="s">
        <v>156</v>
      </c>
      <c r="D86" t="s">
        <v>157</v>
      </c>
      <c r="E86" s="2">
        <v>7.14</v>
      </c>
      <c r="F86" s="3">
        <f>DATE(2025,1,11)</f>
        <v>45668</v>
      </c>
      <c r="G86" s="3">
        <f>DATE(2025,1,11)</f>
        <v>45668</v>
      </c>
      <c r="H86">
        <v>1669791484</v>
      </c>
      <c r="I86" t="s">
        <v>158</v>
      </c>
      <c r="K86" t="s">
        <v>22</v>
      </c>
      <c r="L86" t="s">
        <v>23</v>
      </c>
      <c r="M86" t="s">
        <v>24</v>
      </c>
      <c r="N86" t="s">
        <v>24</v>
      </c>
      <c r="O86" t="s">
        <v>25</v>
      </c>
      <c r="P86" s="8" t="s">
        <v>188</v>
      </c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</row>
    <row r="87" spans="1:51" hidden="1" x14ac:dyDescent="0.2">
      <c r="A87" s="6" t="s">
        <v>17</v>
      </c>
      <c r="B87" t="s">
        <v>118</v>
      </c>
      <c r="C87" t="s">
        <v>119</v>
      </c>
      <c r="D87" t="s">
        <v>189</v>
      </c>
      <c r="E87" s="2">
        <v>6.99</v>
      </c>
      <c r="F87" s="3">
        <f>DATE(2025,1,15)</f>
        <v>45672</v>
      </c>
      <c r="G87" s="3">
        <f>DATE(2025,1,15)</f>
        <v>45672</v>
      </c>
      <c r="H87">
        <v>1669791485</v>
      </c>
      <c r="I87" t="s">
        <v>158</v>
      </c>
      <c r="K87" t="s">
        <v>22</v>
      </c>
      <c r="L87" t="s">
        <v>23</v>
      </c>
      <c r="M87" t="s">
        <v>24</v>
      </c>
      <c r="N87" t="s">
        <v>24</v>
      </c>
      <c r="O87" t="s">
        <v>25</v>
      </c>
      <c r="P87" s="8" t="s">
        <v>190</v>
      </c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</row>
    <row r="88" spans="1:51" hidden="1" x14ac:dyDescent="0.2">
      <c r="A88" s="6" t="s">
        <v>17</v>
      </c>
      <c r="B88" t="s">
        <v>132</v>
      </c>
      <c r="C88" t="s">
        <v>133</v>
      </c>
      <c r="D88" t="s">
        <v>191</v>
      </c>
      <c r="E88" s="2">
        <v>25</v>
      </c>
      <c r="F88" s="3">
        <f>DATE(2025,1,10)</f>
        <v>45667</v>
      </c>
      <c r="G88" s="3">
        <f>DATE(2025,1,10)</f>
        <v>45667</v>
      </c>
      <c r="H88">
        <v>1669809309</v>
      </c>
      <c r="I88" t="s">
        <v>192</v>
      </c>
      <c r="K88" t="s">
        <v>22</v>
      </c>
      <c r="L88" t="s">
        <v>23</v>
      </c>
      <c r="M88" t="s">
        <v>24</v>
      </c>
      <c r="N88" t="s">
        <v>24</v>
      </c>
      <c r="O88" t="s">
        <v>25</v>
      </c>
      <c r="P88" s="8" t="s">
        <v>193</v>
      </c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</row>
    <row r="89" spans="1:51" hidden="1" x14ac:dyDescent="0.2">
      <c r="A89" s="6" t="s">
        <v>17</v>
      </c>
      <c r="B89" t="s">
        <v>132</v>
      </c>
      <c r="C89" t="s">
        <v>133</v>
      </c>
      <c r="D89" t="s">
        <v>194</v>
      </c>
      <c r="E89" s="2">
        <v>71.5</v>
      </c>
      <c r="F89" s="3">
        <f>DATE(2025,1,9)</f>
        <v>45666</v>
      </c>
      <c r="G89" s="3">
        <f>DATE(2025,1,9)</f>
        <v>45666</v>
      </c>
      <c r="H89">
        <v>1669809310</v>
      </c>
      <c r="I89" t="s">
        <v>192</v>
      </c>
      <c r="K89" t="s">
        <v>22</v>
      </c>
      <c r="L89" t="s">
        <v>23</v>
      </c>
      <c r="M89" t="s">
        <v>24</v>
      </c>
      <c r="N89" t="s">
        <v>24</v>
      </c>
      <c r="O89" t="s">
        <v>25</v>
      </c>
      <c r="P89" s="8" t="s">
        <v>195</v>
      </c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</row>
    <row r="90" spans="1:51" hidden="1" x14ac:dyDescent="0.2">
      <c r="A90" s="6" t="s">
        <v>17</v>
      </c>
      <c r="B90" t="s">
        <v>132</v>
      </c>
      <c r="C90" t="s">
        <v>133</v>
      </c>
      <c r="D90" t="s">
        <v>196</v>
      </c>
      <c r="E90" s="2">
        <v>216</v>
      </c>
      <c r="F90" s="3">
        <f>DATE(2025,1,13)</f>
        <v>45670</v>
      </c>
      <c r="G90" s="3">
        <f>DATE(2025,1,13)</f>
        <v>45670</v>
      </c>
      <c r="H90">
        <v>1669809311</v>
      </c>
      <c r="I90" t="s">
        <v>192</v>
      </c>
      <c r="K90" t="s">
        <v>22</v>
      </c>
      <c r="L90" t="s">
        <v>23</v>
      </c>
      <c r="M90" t="s">
        <v>24</v>
      </c>
      <c r="N90" t="s">
        <v>24</v>
      </c>
      <c r="O90" t="s">
        <v>25</v>
      </c>
      <c r="P90" s="8" t="s">
        <v>197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</row>
    <row r="91" spans="1:51" hidden="1" x14ac:dyDescent="0.2">
      <c r="A91" s="6" t="s">
        <v>17</v>
      </c>
      <c r="B91" t="s">
        <v>198</v>
      </c>
      <c r="C91" t="s">
        <v>199</v>
      </c>
      <c r="D91" t="s">
        <v>200</v>
      </c>
      <c r="E91" s="2">
        <v>3607.4</v>
      </c>
      <c r="F91" s="3">
        <f>DATE(2025,1,5)</f>
        <v>45662</v>
      </c>
      <c r="G91" s="3">
        <f>DATE(2025,1,5)</f>
        <v>45662</v>
      </c>
      <c r="H91">
        <v>1669809312</v>
      </c>
      <c r="I91" t="s">
        <v>192</v>
      </c>
      <c r="K91" t="s">
        <v>22</v>
      </c>
      <c r="L91" t="s">
        <v>23</v>
      </c>
      <c r="M91" t="s">
        <v>24</v>
      </c>
      <c r="N91" t="s">
        <v>24</v>
      </c>
      <c r="O91" t="s">
        <v>25</v>
      </c>
      <c r="P91" s="8" t="s">
        <v>201</v>
      </c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</row>
    <row r="92" spans="1:51" hidden="1" x14ac:dyDescent="0.2">
      <c r="A92" s="6" t="s">
        <v>17</v>
      </c>
      <c r="B92" t="s">
        <v>132</v>
      </c>
      <c r="C92" t="s">
        <v>133</v>
      </c>
      <c r="D92" t="s">
        <v>202</v>
      </c>
      <c r="E92" s="2">
        <v>10.5</v>
      </c>
      <c r="F92" s="3">
        <f>DATE(2025,1,9)</f>
        <v>45666</v>
      </c>
      <c r="G92" s="3">
        <f>DATE(2025,1,9)</f>
        <v>45666</v>
      </c>
      <c r="H92">
        <v>1669809313</v>
      </c>
      <c r="I92" t="s">
        <v>192</v>
      </c>
      <c r="K92" t="s">
        <v>22</v>
      </c>
      <c r="L92" t="s">
        <v>23</v>
      </c>
      <c r="M92" t="s">
        <v>24</v>
      </c>
      <c r="N92" t="s">
        <v>24</v>
      </c>
      <c r="O92" t="s">
        <v>25</v>
      </c>
      <c r="P92" s="8" t="s">
        <v>203</v>
      </c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</row>
    <row r="93" spans="1:51" hidden="1" x14ac:dyDescent="0.2">
      <c r="A93" s="6" t="s">
        <v>17</v>
      </c>
      <c r="B93" t="s">
        <v>35</v>
      </c>
      <c r="C93" t="s">
        <v>35</v>
      </c>
      <c r="D93" t="s">
        <v>204</v>
      </c>
      <c r="E93" s="2">
        <v>12</v>
      </c>
      <c r="F93" s="3">
        <f>DATE(2025,1,2)</f>
        <v>45659</v>
      </c>
      <c r="G93" s="3">
        <f>DATE(2025,1,2)</f>
        <v>45659</v>
      </c>
      <c r="H93">
        <v>1669809314</v>
      </c>
      <c r="I93" t="s">
        <v>192</v>
      </c>
      <c r="K93" t="s">
        <v>22</v>
      </c>
      <c r="L93" t="s">
        <v>23</v>
      </c>
      <c r="M93" t="s">
        <v>24</v>
      </c>
      <c r="N93" t="s">
        <v>24</v>
      </c>
      <c r="O93" t="s">
        <v>25</v>
      </c>
      <c r="P93" s="8" t="s">
        <v>205</v>
      </c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</row>
    <row r="94" spans="1:51" hidden="1" x14ac:dyDescent="0.2">
      <c r="A94" s="6"/>
      <c r="E94" s="2"/>
      <c r="F94" s="3"/>
      <c r="G94" s="3"/>
      <c r="P94" s="8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</row>
    <row r="95" spans="1:51" hidden="1" x14ac:dyDescent="0.2">
      <c r="A95" s="6" t="s">
        <v>17</v>
      </c>
      <c r="B95" t="s">
        <v>132</v>
      </c>
      <c r="C95" t="s">
        <v>133</v>
      </c>
      <c r="D95" t="s">
        <v>206</v>
      </c>
      <c r="E95" s="2">
        <v>31.1</v>
      </c>
      <c r="F95" s="3">
        <f>DATE(2025,1,13)</f>
        <v>45670</v>
      </c>
      <c r="G95" s="3">
        <f>DATE(2025,1,13)</f>
        <v>45670</v>
      </c>
      <c r="H95">
        <v>1669809316</v>
      </c>
      <c r="I95" t="s">
        <v>192</v>
      </c>
      <c r="K95" t="s">
        <v>22</v>
      </c>
      <c r="L95" t="s">
        <v>23</v>
      </c>
      <c r="M95" t="s">
        <v>24</v>
      </c>
      <c r="N95" t="s">
        <v>24</v>
      </c>
      <c r="O95" t="s">
        <v>25</v>
      </c>
      <c r="P95" s="8" t="s">
        <v>207</v>
      </c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</row>
    <row r="96" spans="1:51" hidden="1" x14ac:dyDescent="0.2">
      <c r="A96" s="6" t="s">
        <v>17</v>
      </c>
      <c r="B96" t="s">
        <v>132</v>
      </c>
      <c r="C96" t="s">
        <v>133</v>
      </c>
      <c r="D96" t="s">
        <v>208</v>
      </c>
      <c r="E96" s="2">
        <v>6.7</v>
      </c>
      <c r="F96" s="3">
        <f>DATE(2025,1,13)</f>
        <v>45670</v>
      </c>
      <c r="G96" s="3">
        <f>DATE(2025,1,13)</f>
        <v>45670</v>
      </c>
      <c r="H96">
        <v>1669809317</v>
      </c>
      <c r="I96" t="s">
        <v>192</v>
      </c>
      <c r="K96" t="s">
        <v>22</v>
      </c>
      <c r="L96" t="s">
        <v>23</v>
      </c>
      <c r="M96" t="s">
        <v>24</v>
      </c>
      <c r="N96" t="s">
        <v>24</v>
      </c>
      <c r="O96" t="s">
        <v>25</v>
      </c>
      <c r="P96" s="8" t="s">
        <v>209</v>
      </c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</row>
    <row r="97" spans="1:51" hidden="1" x14ac:dyDescent="0.2">
      <c r="A97" s="6"/>
      <c r="E97" s="2"/>
      <c r="F97" s="3"/>
      <c r="G97" s="3"/>
      <c r="P97" s="8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</row>
    <row r="98" spans="1:51" hidden="1" x14ac:dyDescent="0.2">
      <c r="A98" s="6"/>
      <c r="E98" s="2"/>
      <c r="F98" s="3"/>
      <c r="G98" s="3"/>
      <c r="P98" s="8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</row>
    <row r="99" spans="1:51" hidden="1" x14ac:dyDescent="0.2">
      <c r="A99" s="6"/>
      <c r="E99" s="2"/>
      <c r="F99" s="3"/>
      <c r="G99" s="3"/>
      <c r="P99" s="8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</row>
    <row r="100" spans="1:51" hidden="1" x14ac:dyDescent="0.2">
      <c r="A100" s="6" t="s">
        <v>17</v>
      </c>
      <c r="B100" t="s">
        <v>35</v>
      </c>
      <c r="C100" t="s">
        <v>35</v>
      </c>
      <c r="D100" t="s">
        <v>210</v>
      </c>
      <c r="E100" s="2">
        <v>30.23</v>
      </c>
      <c r="F100" s="3">
        <f>DATE(2025,1,10)</f>
        <v>45667</v>
      </c>
      <c r="G100" s="3">
        <f>DATE(2025,1,10)</f>
        <v>45667</v>
      </c>
      <c r="H100">
        <v>1669809321</v>
      </c>
      <c r="I100" t="s">
        <v>192</v>
      </c>
      <c r="K100" t="s">
        <v>22</v>
      </c>
      <c r="L100" t="s">
        <v>23</v>
      </c>
      <c r="M100" t="s">
        <v>24</v>
      </c>
      <c r="N100" t="s">
        <v>24</v>
      </c>
      <c r="O100" t="s">
        <v>25</v>
      </c>
      <c r="P100" s="8" t="s">
        <v>211</v>
      </c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</row>
    <row r="101" spans="1:51" hidden="1" x14ac:dyDescent="0.2">
      <c r="A101" s="6" t="s">
        <v>17</v>
      </c>
      <c r="B101" t="s">
        <v>132</v>
      </c>
      <c r="C101" t="s">
        <v>133</v>
      </c>
      <c r="D101" t="s">
        <v>212</v>
      </c>
      <c r="E101" s="2">
        <v>4.2</v>
      </c>
      <c r="F101" s="3">
        <f>DATE(2025,1,13)</f>
        <v>45670</v>
      </c>
      <c r="G101" s="3">
        <f>DATE(2025,1,13)</f>
        <v>45670</v>
      </c>
      <c r="H101">
        <v>1669809322</v>
      </c>
      <c r="I101" t="s">
        <v>192</v>
      </c>
      <c r="K101" t="s">
        <v>22</v>
      </c>
      <c r="L101" t="s">
        <v>23</v>
      </c>
      <c r="M101" t="s">
        <v>24</v>
      </c>
      <c r="N101" t="s">
        <v>24</v>
      </c>
      <c r="O101" t="s">
        <v>25</v>
      </c>
      <c r="P101" s="8" t="s">
        <v>213</v>
      </c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</row>
    <row r="102" spans="1:51" hidden="1" x14ac:dyDescent="0.2">
      <c r="A102" s="6" t="s">
        <v>17</v>
      </c>
      <c r="B102" t="s">
        <v>132</v>
      </c>
      <c r="C102" t="s">
        <v>133</v>
      </c>
      <c r="D102" t="s">
        <v>214</v>
      </c>
      <c r="E102" s="2">
        <v>9.1999999999999993</v>
      </c>
      <c r="F102" s="3">
        <f>DATE(2025,1,9)</f>
        <v>45666</v>
      </c>
      <c r="G102" s="3">
        <f>DATE(2025,1,9)</f>
        <v>45666</v>
      </c>
      <c r="H102">
        <v>1669809323</v>
      </c>
      <c r="I102" t="s">
        <v>192</v>
      </c>
      <c r="K102" t="s">
        <v>22</v>
      </c>
      <c r="L102" t="s">
        <v>23</v>
      </c>
      <c r="M102" t="s">
        <v>24</v>
      </c>
      <c r="N102" t="s">
        <v>24</v>
      </c>
      <c r="O102" t="s">
        <v>25</v>
      </c>
      <c r="P102" s="8" t="s">
        <v>215</v>
      </c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</row>
    <row r="103" spans="1:51" hidden="1" x14ac:dyDescent="0.2">
      <c r="A103" s="6" t="s">
        <v>17</v>
      </c>
      <c r="B103" t="s">
        <v>132</v>
      </c>
      <c r="C103" t="s">
        <v>133</v>
      </c>
      <c r="D103" t="s">
        <v>216</v>
      </c>
      <c r="E103" s="2">
        <v>2.5</v>
      </c>
      <c r="F103" s="3">
        <f>DATE(2025,1,13)</f>
        <v>45670</v>
      </c>
      <c r="G103" s="3">
        <f>DATE(2025,1,13)</f>
        <v>45670</v>
      </c>
      <c r="H103">
        <v>1669809324</v>
      </c>
      <c r="I103" t="s">
        <v>192</v>
      </c>
      <c r="K103" t="s">
        <v>22</v>
      </c>
      <c r="L103" t="s">
        <v>23</v>
      </c>
      <c r="M103" t="s">
        <v>24</v>
      </c>
      <c r="N103" t="s">
        <v>24</v>
      </c>
      <c r="O103" t="s">
        <v>25</v>
      </c>
      <c r="P103" s="8" t="s">
        <v>217</v>
      </c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</row>
    <row r="104" spans="1:51" hidden="1" x14ac:dyDescent="0.2">
      <c r="A104" s="6" t="s">
        <v>17</v>
      </c>
      <c r="B104" t="s">
        <v>132</v>
      </c>
      <c r="C104" t="s">
        <v>133</v>
      </c>
      <c r="D104" t="s">
        <v>218</v>
      </c>
      <c r="E104" s="2">
        <v>21.53</v>
      </c>
      <c r="F104" s="3">
        <f>DATE(2025,1,9)</f>
        <v>45666</v>
      </c>
      <c r="G104" s="3">
        <f>DATE(2025,1,9)</f>
        <v>45666</v>
      </c>
      <c r="H104">
        <v>1669809325</v>
      </c>
      <c r="I104" t="s">
        <v>192</v>
      </c>
      <c r="K104" t="s">
        <v>22</v>
      </c>
      <c r="L104" t="s">
        <v>23</v>
      </c>
      <c r="M104" t="s">
        <v>24</v>
      </c>
      <c r="N104" t="s">
        <v>24</v>
      </c>
      <c r="O104" t="s">
        <v>25</v>
      </c>
      <c r="P104" s="8" t="s">
        <v>219</v>
      </c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</row>
    <row r="105" spans="1:51" hidden="1" x14ac:dyDescent="0.2">
      <c r="A105" s="6" t="s">
        <v>17</v>
      </c>
      <c r="B105" t="s">
        <v>132</v>
      </c>
      <c r="C105" t="s">
        <v>133</v>
      </c>
      <c r="D105" t="s">
        <v>220</v>
      </c>
      <c r="E105" s="2">
        <v>42</v>
      </c>
      <c r="F105" s="3">
        <f>DATE(2025,1,13)</f>
        <v>45670</v>
      </c>
      <c r="G105" s="3">
        <f>DATE(2025,1,13)</f>
        <v>45670</v>
      </c>
      <c r="H105">
        <v>1669809326</v>
      </c>
      <c r="I105" t="s">
        <v>192</v>
      </c>
      <c r="K105" t="s">
        <v>22</v>
      </c>
      <c r="L105" t="s">
        <v>23</v>
      </c>
      <c r="M105" t="s">
        <v>24</v>
      </c>
      <c r="N105" t="s">
        <v>24</v>
      </c>
      <c r="O105" t="s">
        <v>25</v>
      </c>
      <c r="P105" s="8" t="s">
        <v>221</v>
      </c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</row>
    <row r="106" spans="1:51" hidden="1" x14ac:dyDescent="0.2">
      <c r="A106" s="6"/>
      <c r="E106" s="2"/>
      <c r="F106" s="3"/>
      <c r="G106" s="3"/>
      <c r="P106" s="8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</row>
    <row r="107" spans="1:51" hidden="1" x14ac:dyDescent="0.2">
      <c r="A107" s="6" t="s">
        <v>17</v>
      </c>
      <c r="B107" t="s">
        <v>132</v>
      </c>
      <c r="C107" t="s">
        <v>133</v>
      </c>
      <c r="D107" t="s">
        <v>222</v>
      </c>
      <c r="E107" s="2">
        <v>34</v>
      </c>
      <c r="F107" s="3">
        <f>DATE(2025,1,8)</f>
        <v>45665</v>
      </c>
      <c r="G107" s="3">
        <f>DATE(2025,1,8)</f>
        <v>45665</v>
      </c>
      <c r="H107">
        <v>1669809328</v>
      </c>
      <c r="I107" t="s">
        <v>192</v>
      </c>
      <c r="K107" t="s">
        <v>22</v>
      </c>
      <c r="L107" t="s">
        <v>23</v>
      </c>
      <c r="M107" t="s">
        <v>24</v>
      </c>
      <c r="N107" t="s">
        <v>24</v>
      </c>
      <c r="O107" t="s">
        <v>25</v>
      </c>
      <c r="P107" s="8" t="s">
        <v>223</v>
      </c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</row>
    <row r="108" spans="1:51" hidden="1" x14ac:dyDescent="0.2">
      <c r="A108" s="6" t="s">
        <v>17</v>
      </c>
      <c r="B108" t="s">
        <v>132</v>
      </c>
      <c r="C108" t="s">
        <v>133</v>
      </c>
      <c r="D108" t="s">
        <v>224</v>
      </c>
      <c r="E108" s="2">
        <v>6.5</v>
      </c>
      <c r="F108" s="3">
        <f>DATE(2025,1,13)</f>
        <v>45670</v>
      </c>
      <c r="G108" s="3">
        <f>DATE(2025,1,13)</f>
        <v>45670</v>
      </c>
      <c r="H108">
        <v>1669809329</v>
      </c>
      <c r="I108" t="s">
        <v>192</v>
      </c>
      <c r="K108" t="s">
        <v>22</v>
      </c>
      <c r="L108" t="s">
        <v>23</v>
      </c>
      <c r="M108" t="s">
        <v>24</v>
      </c>
      <c r="N108" t="s">
        <v>24</v>
      </c>
      <c r="O108" t="s">
        <v>25</v>
      </c>
      <c r="P108" s="8" t="s">
        <v>225</v>
      </c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</row>
    <row r="109" spans="1:51" hidden="1" x14ac:dyDescent="0.2">
      <c r="A109" s="6" t="s">
        <v>17</v>
      </c>
      <c r="B109" t="s">
        <v>46</v>
      </c>
      <c r="C109" t="s">
        <v>47</v>
      </c>
      <c r="D109" t="s">
        <v>226</v>
      </c>
      <c r="E109" s="2">
        <v>27</v>
      </c>
      <c r="F109" s="3">
        <f>DATE(2025,1,8)</f>
        <v>45665</v>
      </c>
      <c r="G109" s="3">
        <f>DATE(2025,1,8)</f>
        <v>45665</v>
      </c>
      <c r="H109">
        <v>1669809330</v>
      </c>
      <c r="I109" t="s">
        <v>192</v>
      </c>
      <c r="K109" t="s">
        <v>22</v>
      </c>
      <c r="L109" t="s">
        <v>23</v>
      </c>
      <c r="M109" t="s">
        <v>24</v>
      </c>
      <c r="N109" t="s">
        <v>24</v>
      </c>
      <c r="O109" t="s">
        <v>25</v>
      </c>
      <c r="P109" s="8" t="s">
        <v>227</v>
      </c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</row>
    <row r="110" spans="1:51" hidden="1" x14ac:dyDescent="0.2">
      <c r="A110" s="6" t="s">
        <v>17</v>
      </c>
      <c r="B110" t="s">
        <v>132</v>
      </c>
      <c r="C110" t="s">
        <v>133</v>
      </c>
      <c r="D110" t="s">
        <v>228</v>
      </c>
      <c r="E110" s="2">
        <v>30</v>
      </c>
      <c r="F110" s="3">
        <f>DATE(2025,1,9)</f>
        <v>45666</v>
      </c>
      <c r="G110" s="3">
        <f>DATE(2025,1,9)</f>
        <v>45666</v>
      </c>
      <c r="H110">
        <v>1669809331</v>
      </c>
      <c r="I110" t="s">
        <v>192</v>
      </c>
      <c r="K110" t="s">
        <v>22</v>
      </c>
      <c r="L110" t="s">
        <v>23</v>
      </c>
      <c r="M110" t="s">
        <v>24</v>
      </c>
      <c r="N110" t="s">
        <v>24</v>
      </c>
      <c r="O110" t="s">
        <v>25</v>
      </c>
      <c r="P110" s="8" t="s">
        <v>229</v>
      </c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</row>
    <row r="111" spans="1:51" hidden="1" x14ac:dyDescent="0.2">
      <c r="A111" s="6" t="s">
        <v>17</v>
      </c>
      <c r="B111" t="s">
        <v>132</v>
      </c>
      <c r="C111" t="s">
        <v>133</v>
      </c>
      <c r="D111" t="s">
        <v>230</v>
      </c>
      <c r="E111" s="2">
        <v>117.2</v>
      </c>
      <c r="F111" s="3">
        <f>DATE(2025,1,9)</f>
        <v>45666</v>
      </c>
      <c r="G111" s="3">
        <f>DATE(2025,1,9)</f>
        <v>45666</v>
      </c>
      <c r="H111">
        <v>1669809332</v>
      </c>
      <c r="I111" t="s">
        <v>192</v>
      </c>
      <c r="K111" t="s">
        <v>22</v>
      </c>
      <c r="L111" t="s">
        <v>23</v>
      </c>
      <c r="M111" t="s">
        <v>24</v>
      </c>
      <c r="N111" t="s">
        <v>24</v>
      </c>
      <c r="O111" t="s">
        <v>25</v>
      </c>
      <c r="P111" s="8" t="s">
        <v>231</v>
      </c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</row>
    <row r="112" spans="1:51" hidden="1" x14ac:dyDescent="0.2">
      <c r="A112" s="6"/>
      <c r="E112" s="2"/>
      <c r="F112" s="3"/>
      <c r="G112" s="3"/>
      <c r="P112" s="8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</row>
    <row r="113" spans="1:51" hidden="1" x14ac:dyDescent="0.2">
      <c r="A113" s="6" t="s">
        <v>17</v>
      </c>
      <c r="B113" t="s">
        <v>132</v>
      </c>
      <c r="C113" t="s">
        <v>133</v>
      </c>
      <c r="D113" t="s">
        <v>232</v>
      </c>
      <c r="E113" s="2">
        <v>5.8</v>
      </c>
      <c r="F113" s="3">
        <f>DATE(2025,1,8)</f>
        <v>45665</v>
      </c>
      <c r="G113" s="3">
        <f>DATE(2025,1,8)</f>
        <v>45665</v>
      </c>
      <c r="H113">
        <v>1669809334</v>
      </c>
      <c r="I113" t="s">
        <v>192</v>
      </c>
      <c r="K113" t="s">
        <v>22</v>
      </c>
      <c r="L113" t="s">
        <v>23</v>
      </c>
      <c r="M113" t="s">
        <v>24</v>
      </c>
      <c r="N113" t="s">
        <v>24</v>
      </c>
      <c r="O113" t="s">
        <v>25</v>
      </c>
      <c r="P113" s="8" t="s">
        <v>233</v>
      </c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</row>
    <row r="114" spans="1:51" hidden="1" x14ac:dyDescent="0.2">
      <c r="A114" s="6" t="s">
        <v>17</v>
      </c>
      <c r="B114" t="s">
        <v>132</v>
      </c>
      <c r="C114" t="s">
        <v>133</v>
      </c>
      <c r="D114" t="s">
        <v>234</v>
      </c>
      <c r="E114" s="2">
        <v>107.23</v>
      </c>
      <c r="F114" s="3">
        <f>DATE(2025,1,10)</f>
        <v>45667</v>
      </c>
      <c r="G114" s="3">
        <f>DATE(2025,1,10)</f>
        <v>45667</v>
      </c>
      <c r="H114">
        <v>1669809335</v>
      </c>
      <c r="I114" t="s">
        <v>192</v>
      </c>
      <c r="K114" t="s">
        <v>22</v>
      </c>
      <c r="L114" t="s">
        <v>23</v>
      </c>
      <c r="M114" t="s">
        <v>24</v>
      </c>
      <c r="N114" t="s">
        <v>24</v>
      </c>
      <c r="O114" t="s">
        <v>25</v>
      </c>
      <c r="P114" s="8" t="s">
        <v>235</v>
      </c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</row>
    <row r="115" spans="1:51" hidden="1" x14ac:dyDescent="0.2">
      <c r="A115" s="6"/>
      <c r="E115" s="2"/>
      <c r="F115" s="3"/>
      <c r="G115" s="3"/>
      <c r="P115" s="8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</row>
    <row r="116" spans="1:51" hidden="1" x14ac:dyDescent="0.2">
      <c r="A116" s="6" t="s">
        <v>17</v>
      </c>
      <c r="B116" t="s">
        <v>132</v>
      </c>
      <c r="C116" t="s">
        <v>133</v>
      </c>
      <c r="D116" t="s">
        <v>236</v>
      </c>
      <c r="E116" s="2">
        <v>132.4</v>
      </c>
      <c r="F116" s="3">
        <f>DATE(2025,1,9)</f>
        <v>45666</v>
      </c>
      <c r="G116" s="3">
        <f>DATE(2025,1,9)</f>
        <v>45666</v>
      </c>
      <c r="H116">
        <v>1669809337</v>
      </c>
      <c r="I116" t="s">
        <v>192</v>
      </c>
      <c r="K116" t="s">
        <v>22</v>
      </c>
      <c r="L116" t="s">
        <v>23</v>
      </c>
      <c r="M116" t="s">
        <v>24</v>
      </c>
      <c r="N116" t="s">
        <v>24</v>
      </c>
      <c r="O116" t="s">
        <v>25</v>
      </c>
      <c r="P116" s="8" t="s">
        <v>237</v>
      </c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</row>
    <row r="117" spans="1:51" hidden="1" x14ac:dyDescent="0.2">
      <c r="A117" s="6" t="s">
        <v>17</v>
      </c>
      <c r="B117" t="s">
        <v>198</v>
      </c>
      <c r="C117" t="s">
        <v>199</v>
      </c>
      <c r="D117" t="s">
        <v>238</v>
      </c>
      <c r="E117" s="2">
        <v>245.46</v>
      </c>
      <c r="F117" s="3">
        <f>DATE(2025,1,5)</f>
        <v>45662</v>
      </c>
      <c r="G117" s="3">
        <f>DATE(2025,1,5)</f>
        <v>45662</v>
      </c>
      <c r="H117">
        <v>1669809339</v>
      </c>
      <c r="I117" t="s">
        <v>192</v>
      </c>
      <c r="K117" t="s">
        <v>22</v>
      </c>
      <c r="L117" t="s">
        <v>23</v>
      </c>
      <c r="M117" t="s">
        <v>24</v>
      </c>
      <c r="N117" t="s">
        <v>24</v>
      </c>
      <c r="O117" t="s">
        <v>25</v>
      </c>
      <c r="P117" s="8" t="s">
        <v>239</v>
      </c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</row>
    <row r="118" spans="1:51" hidden="1" x14ac:dyDescent="0.2">
      <c r="A118" s="6" t="s">
        <v>17</v>
      </c>
      <c r="B118" t="s">
        <v>132</v>
      </c>
      <c r="C118" t="s">
        <v>133</v>
      </c>
      <c r="D118" t="s">
        <v>240</v>
      </c>
      <c r="E118" s="2">
        <v>12.6</v>
      </c>
      <c r="F118" s="3">
        <f>DATE(2025,1,8)</f>
        <v>45665</v>
      </c>
      <c r="G118" s="3">
        <f>DATE(2025,1,8)</f>
        <v>45665</v>
      </c>
      <c r="H118">
        <v>1669809340</v>
      </c>
      <c r="I118" t="s">
        <v>192</v>
      </c>
      <c r="K118" t="s">
        <v>22</v>
      </c>
      <c r="L118" t="s">
        <v>23</v>
      </c>
      <c r="M118" t="s">
        <v>24</v>
      </c>
      <c r="N118" t="s">
        <v>24</v>
      </c>
      <c r="O118" t="s">
        <v>25</v>
      </c>
      <c r="P118" s="8" t="s">
        <v>241</v>
      </c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</row>
    <row r="119" spans="1:51" hidden="1" x14ac:dyDescent="0.2">
      <c r="A119" s="6" t="s">
        <v>17</v>
      </c>
      <c r="B119" t="s">
        <v>35</v>
      </c>
      <c r="C119" t="s">
        <v>35</v>
      </c>
      <c r="D119" t="s">
        <v>242</v>
      </c>
      <c r="E119" s="2">
        <v>57</v>
      </c>
      <c r="F119" s="3">
        <f>DATE(2025,1,16)</f>
        <v>45673</v>
      </c>
      <c r="G119" s="3">
        <f>DATE(2025,1,16)</f>
        <v>45673</v>
      </c>
      <c r="H119">
        <v>1669809341</v>
      </c>
      <c r="I119" t="s">
        <v>192</v>
      </c>
      <c r="K119" t="s">
        <v>22</v>
      </c>
      <c r="L119" t="s">
        <v>23</v>
      </c>
      <c r="M119" t="s">
        <v>24</v>
      </c>
      <c r="N119" t="s">
        <v>24</v>
      </c>
      <c r="O119" t="s">
        <v>25</v>
      </c>
      <c r="P119" s="8" t="s">
        <v>243</v>
      </c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</row>
    <row r="120" spans="1:51" hidden="1" x14ac:dyDescent="0.2">
      <c r="A120" s="6"/>
      <c r="E120" s="2"/>
      <c r="F120" s="3"/>
      <c r="G120" s="3"/>
      <c r="P120" s="8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</row>
    <row r="121" spans="1:51" hidden="1" x14ac:dyDescent="0.2">
      <c r="A121" s="6" t="s">
        <v>17</v>
      </c>
      <c r="B121" t="s">
        <v>244</v>
      </c>
      <c r="C121" t="s">
        <v>245</v>
      </c>
      <c r="D121" t="s">
        <v>246</v>
      </c>
      <c r="E121" s="2">
        <v>18.600000000000001</v>
      </c>
      <c r="F121" s="3">
        <f>DATE(2025,1,9)</f>
        <v>45666</v>
      </c>
      <c r="G121" s="3">
        <f>DATE(2025,1,9)</f>
        <v>45666</v>
      </c>
      <c r="H121">
        <v>1669809343</v>
      </c>
      <c r="I121" t="s">
        <v>192</v>
      </c>
      <c r="K121" t="s">
        <v>22</v>
      </c>
      <c r="L121" t="s">
        <v>23</v>
      </c>
      <c r="M121" t="s">
        <v>24</v>
      </c>
      <c r="N121" t="s">
        <v>24</v>
      </c>
      <c r="O121" t="s">
        <v>25</v>
      </c>
      <c r="P121" s="8" t="s">
        <v>247</v>
      </c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</row>
    <row r="122" spans="1:51" hidden="1" x14ac:dyDescent="0.2">
      <c r="A122" s="6"/>
      <c r="E122" s="2"/>
      <c r="F122" s="3"/>
      <c r="G122" s="3"/>
      <c r="P122" s="8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</row>
    <row r="123" spans="1:51" hidden="1" x14ac:dyDescent="0.2">
      <c r="A123" s="6"/>
      <c r="E123" s="2"/>
      <c r="F123" s="3"/>
      <c r="G123" s="3"/>
      <c r="P123" s="8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</row>
    <row r="124" spans="1:51" hidden="1" x14ac:dyDescent="0.2">
      <c r="A124" s="6"/>
      <c r="E124" s="2"/>
      <c r="F124" s="3"/>
      <c r="G124" s="3"/>
      <c r="P124" s="8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</row>
    <row r="125" spans="1:51" hidden="1" x14ac:dyDescent="0.2">
      <c r="A125" s="6" t="s">
        <v>17</v>
      </c>
      <c r="B125" t="s">
        <v>38</v>
      </c>
      <c r="C125" t="s">
        <v>39</v>
      </c>
      <c r="D125" t="s">
        <v>248</v>
      </c>
      <c r="E125" s="2">
        <v>1500</v>
      </c>
      <c r="F125" s="3">
        <f>DATE(2025,1,17)</f>
        <v>45674</v>
      </c>
      <c r="G125" s="3">
        <f>DATE(2025,1,17)</f>
        <v>45674</v>
      </c>
      <c r="H125">
        <v>1674332693</v>
      </c>
      <c r="I125" t="s">
        <v>21</v>
      </c>
      <c r="K125" t="s">
        <v>22</v>
      </c>
      <c r="L125" t="s">
        <v>23</v>
      </c>
      <c r="M125" t="s">
        <v>24</v>
      </c>
      <c r="N125" t="s">
        <v>24</v>
      </c>
      <c r="O125" t="s">
        <v>25</v>
      </c>
      <c r="P125" s="8" t="s">
        <v>249</v>
      </c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</row>
    <row r="126" spans="1:51" hidden="1" x14ac:dyDescent="0.2">
      <c r="A126" s="6"/>
      <c r="E126" s="2"/>
      <c r="F126" s="3"/>
      <c r="G126" s="3"/>
      <c r="P126" s="8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</row>
    <row r="127" spans="1:51" hidden="1" x14ac:dyDescent="0.2">
      <c r="A127" s="6" t="s">
        <v>17</v>
      </c>
      <c r="B127" t="s">
        <v>46</v>
      </c>
      <c r="C127" t="s">
        <v>47</v>
      </c>
      <c r="D127" t="s">
        <v>250</v>
      </c>
      <c r="E127" s="2">
        <v>6.32</v>
      </c>
      <c r="F127" s="3">
        <f>DATE(2025,1,16)</f>
        <v>45673</v>
      </c>
      <c r="G127" s="3">
        <f>DATE(2025,1,16)</f>
        <v>45673</v>
      </c>
      <c r="H127">
        <v>1674332695</v>
      </c>
      <c r="I127" t="s">
        <v>158</v>
      </c>
      <c r="K127" t="s">
        <v>22</v>
      </c>
      <c r="L127" t="s">
        <v>23</v>
      </c>
      <c r="M127" t="s">
        <v>24</v>
      </c>
      <c r="N127" t="s">
        <v>24</v>
      </c>
      <c r="O127" t="s">
        <v>25</v>
      </c>
      <c r="P127" s="8" t="s">
        <v>251</v>
      </c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</row>
    <row r="128" spans="1:51" hidden="1" x14ac:dyDescent="0.2">
      <c r="A128" s="6" t="s">
        <v>17</v>
      </c>
      <c r="B128" t="s">
        <v>155</v>
      </c>
      <c r="C128" t="s">
        <v>156</v>
      </c>
      <c r="D128" t="s">
        <v>157</v>
      </c>
      <c r="E128" s="2">
        <v>7.96</v>
      </c>
      <c r="F128" s="3">
        <f>DATE(2025,1,16)</f>
        <v>45673</v>
      </c>
      <c r="G128" s="3">
        <f>DATE(2025,1,16)</f>
        <v>45673</v>
      </c>
      <c r="H128">
        <v>1674332696</v>
      </c>
      <c r="I128" t="s">
        <v>158</v>
      </c>
      <c r="K128" t="s">
        <v>22</v>
      </c>
      <c r="L128" t="s">
        <v>23</v>
      </c>
      <c r="M128" t="s">
        <v>24</v>
      </c>
      <c r="N128" t="s">
        <v>24</v>
      </c>
      <c r="O128" t="s">
        <v>25</v>
      </c>
      <c r="P128" s="8" t="s">
        <v>252</v>
      </c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</row>
    <row r="129" spans="1:51" hidden="1" x14ac:dyDescent="0.2">
      <c r="A129" s="6" t="s">
        <v>17</v>
      </c>
      <c r="B129" t="s">
        <v>31</v>
      </c>
      <c r="C129" t="s">
        <v>32</v>
      </c>
      <c r="D129" t="s">
        <v>253</v>
      </c>
      <c r="E129" s="2">
        <v>72.95</v>
      </c>
      <c r="F129" s="3">
        <f t="shared" ref="F129:G135" si="1">DATE(2025,1,20)</f>
        <v>45677</v>
      </c>
      <c r="G129" s="3">
        <f t="shared" si="1"/>
        <v>45677</v>
      </c>
      <c r="H129">
        <v>1682748403</v>
      </c>
      <c r="I129" t="s">
        <v>21</v>
      </c>
      <c r="K129" t="s">
        <v>22</v>
      </c>
      <c r="L129" t="s">
        <v>23</v>
      </c>
      <c r="M129" t="s">
        <v>24</v>
      </c>
      <c r="N129" t="s">
        <v>24</v>
      </c>
      <c r="O129" t="s">
        <v>25</v>
      </c>
      <c r="P129" s="8" t="s">
        <v>254</v>
      </c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</row>
    <row r="130" spans="1:51" hidden="1" x14ac:dyDescent="0.2">
      <c r="A130" s="6"/>
      <c r="E130" s="2"/>
      <c r="F130" s="3"/>
      <c r="G130" s="3"/>
      <c r="P130" s="8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</row>
    <row r="131" spans="1:51" hidden="1" x14ac:dyDescent="0.2">
      <c r="A131" s="6"/>
      <c r="E131" s="2"/>
      <c r="F131" s="3"/>
      <c r="G131" s="3"/>
      <c r="P131" s="8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</row>
    <row r="132" spans="1:51" hidden="1" x14ac:dyDescent="0.2">
      <c r="A132" s="6" t="s">
        <v>17</v>
      </c>
      <c r="B132" t="s">
        <v>255</v>
      </c>
      <c r="C132" t="s">
        <v>255</v>
      </c>
      <c r="D132" t="s">
        <v>256</v>
      </c>
      <c r="E132" s="2">
        <v>102.58</v>
      </c>
      <c r="F132" s="3">
        <f t="shared" si="1"/>
        <v>45677</v>
      </c>
      <c r="G132" s="3">
        <f t="shared" si="1"/>
        <v>45677</v>
      </c>
      <c r="H132">
        <v>1682748406</v>
      </c>
      <c r="I132" t="s">
        <v>21</v>
      </c>
      <c r="K132" t="s">
        <v>22</v>
      </c>
      <c r="L132" t="s">
        <v>23</v>
      </c>
      <c r="M132" t="s">
        <v>24</v>
      </c>
      <c r="N132" t="s">
        <v>24</v>
      </c>
      <c r="O132" t="s">
        <v>25</v>
      </c>
      <c r="P132" s="8" t="s">
        <v>257</v>
      </c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</row>
    <row r="133" spans="1:51" hidden="1" x14ac:dyDescent="0.2">
      <c r="A133" s="6"/>
      <c r="E133" s="2"/>
      <c r="F133" s="3"/>
      <c r="G133" s="3"/>
      <c r="P133" s="8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</row>
    <row r="134" spans="1:51" hidden="1" x14ac:dyDescent="0.2">
      <c r="A134" s="6" t="s">
        <v>17</v>
      </c>
      <c r="B134" t="s">
        <v>155</v>
      </c>
      <c r="C134" t="s">
        <v>156</v>
      </c>
      <c r="D134" t="s">
        <v>258</v>
      </c>
      <c r="E134" s="2">
        <v>50.94</v>
      </c>
      <c r="F134" s="3">
        <f t="shared" si="1"/>
        <v>45677</v>
      </c>
      <c r="G134" s="3">
        <f t="shared" si="1"/>
        <v>45677</v>
      </c>
      <c r="H134">
        <v>1682748408</v>
      </c>
      <c r="I134" t="s">
        <v>21</v>
      </c>
      <c r="K134" t="s">
        <v>22</v>
      </c>
      <c r="L134" t="s">
        <v>23</v>
      </c>
      <c r="M134" t="s">
        <v>24</v>
      </c>
      <c r="N134" t="s">
        <v>24</v>
      </c>
      <c r="O134" t="s">
        <v>25</v>
      </c>
      <c r="P134" s="8" t="s">
        <v>259</v>
      </c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</row>
    <row r="135" spans="1:51" hidden="1" x14ac:dyDescent="0.2">
      <c r="A135" s="6" t="s">
        <v>17</v>
      </c>
      <c r="B135" t="s">
        <v>260</v>
      </c>
      <c r="C135" t="s">
        <v>261</v>
      </c>
      <c r="D135" t="s">
        <v>262</v>
      </c>
      <c r="E135" s="2">
        <v>1000</v>
      </c>
      <c r="F135" s="3">
        <f t="shared" si="1"/>
        <v>45677</v>
      </c>
      <c r="G135" s="3">
        <f t="shared" si="1"/>
        <v>45677</v>
      </c>
      <c r="H135">
        <v>1687911194</v>
      </c>
      <c r="I135" t="s">
        <v>21</v>
      </c>
      <c r="K135" t="s">
        <v>22</v>
      </c>
      <c r="L135" t="s">
        <v>23</v>
      </c>
      <c r="M135" t="s">
        <v>24</v>
      </c>
      <c r="N135" t="s">
        <v>24</v>
      </c>
      <c r="O135" t="s">
        <v>25</v>
      </c>
      <c r="P135" s="8" t="s">
        <v>263</v>
      </c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</row>
    <row r="136" spans="1:51" hidden="1" x14ac:dyDescent="0.2">
      <c r="A136" s="6"/>
      <c r="E136" s="2"/>
      <c r="F136" s="3"/>
      <c r="G136" s="3"/>
      <c r="P136" s="8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</row>
    <row r="137" spans="1:51" hidden="1" x14ac:dyDescent="0.2">
      <c r="A137" s="6" t="s">
        <v>17</v>
      </c>
      <c r="B137" t="s">
        <v>38</v>
      </c>
      <c r="C137" t="s">
        <v>39</v>
      </c>
      <c r="D137" t="s">
        <v>264</v>
      </c>
      <c r="E137" s="2">
        <v>600</v>
      </c>
      <c r="F137" s="3">
        <f t="shared" ref="F137:G139" si="2">DATE(2025,1,21)</f>
        <v>45678</v>
      </c>
      <c r="G137" s="3">
        <f t="shared" si="2"/>
        <v>45678</v>
      </c>
      <c r="H137">
        <v>1694730623</v>
      </c>
      <c r="I137" t="s">
        <v>21</v>
      </c>
      <c r="K137" t="s">
        <v>22</v>
      </c>
      <c r="L137" t="s">
        <v>23</v>
      </c>
      <c r="M137" t="s">
        <v>24</v>
      </c>
      <c r="N137" t="s">
        <v>24</v>
      </c>
      <c r="O137" t="s">
        <v>25</v>
      </c>
      <c r="P137" s="8" t="s">
        <v>265</v>
      </c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</row>
    <row r="138" spans="1:51" hidden="1" x14ac:dyDescent="0.2">
      <c r="A138" s="6" t="s">
        <v>17</v>
      </c>
      <c r="B138" t="s">
        <v>266</v>
      </c>
      <c r="C138" t="s">
        <v>267</v>
      </c>
      <c r="D138" t="s">
        <v>268</v>
      </c>
      <c r="E138" s="2">
        <v>875.8</v>
      </c>
      <c r="F138" s="3">
        <f t="shared" si="2"/>
        <v>45678</v>
      </c>
      <c r="G138" s="3">
        <f t="shared" si="2"/>
        <v>45678</v>
      </c>
      <c r="H138">
        <v>1694730628</v>
      </c>
      <c r="I138" t="s">
        <v>21</v>
      </c>
      <c r="K138" t="s">
        <v>22</v>
      </c>
      <c r="L138" t="s">
        <v>23</v>
      </c>
      <c r="M138" t="s">
        <v>24</v>
      </c>
      <c r="N138" t="s">
        <v>24</v>
      </c>
      <c r="O138" t="s">
        <v>25</v>
      </c>
      <c r="P138" s="8" t="s">
        <v>269</v>
      </c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</row>
    <row r="139" spans="1:51" hidden="1" x14ac:dyDescent="0.2">
      <c r="A139" s="6" t="s">
        <v>17</v>
      </c>
      <c r="B139" t="s">
        <v>90</v>
      </c>
      <c r="C139" t="s">
        <v>91</v>
      </c>
      <c r="D139" t="s">
        <v>270</v>
      </c>
      <c r="E139" s="2">
        <v>2577.12</v>
      </c>
      <c r="F139" s="3">
        <f t="shared" si="2"/>
        <v>45678</v>
      </c>
      <c r="G139" s="3">
        <f t="shared" si="2"/>
        <v>45678</v>
      </c>
      <c r="H139">
        <v>1694730629</v>
      </c>
      <c r="I139" t="s">
        <v>21</v>
      </c>
      <c r="K139" t="s">
        <v>22</v>
      </c>
      <c r="L139" t="s">
        <v>23</v>
      </c>
      <c r="M139" t="s">
        <v>24</v>
      </c>
      <c r="N139" t="s">
        <v>24</v>
      </c>
      <c r="O139" t="s">
        <v>25</v>
      </c>
      <c r="P139" s="8" t="s">
        <v>271</v>
      </c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</row>
    <row r="140" spans="1:51" hidden="1" x14ac:dyDescent="0.2">
      <c r="A140" s="6"/>
      <c r="E140" s="2"/>
      <c r="F140" s="3"/>
      <c r="G140" s="3"/>
      <c r="P140" s="8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</row>
    <row r="141" spans="1:51" hidden="1" x14ac:dyDescent="0.2">
      <c r="A141" s="6" t="s">
        <v>17</v>
      </c>
      <c r="B141" t="s">
        <v>132</v>
      </c>
      <c r="C141" t="s">
        <v>133</v>
      </c>
      <c r="D141" t="s">
        <v>272</v>
      </c>
      <c r="E141" s="2">
        <v>150</v>
      </c>
      <c r="F141" s="3">
        <f t="shared" ref="F141:G143" si="3">DATE(2025,1,20)</f>
        <v>45677</v>
      </c>
      <c r="G141" s="3">
        <f t="shared" si="3"/>
        <v>45677</v>
      </c>
      <c r="H141">
        <v>1694730644</v>
      </c>
      <c r="I141" t="s">
        <v>158</v>
      </c>
      <c r="K141" t="s">
        <v>22</v>
      </c>
      <c r="L141" t="s">
        <v>23</v>
      </c>
      <c r="M141" t="s">
        <v>24</v>
      </c>
      <c r="N141" t="s">
        <v>24</v>
      </c>
      <c r="O141" t="s">
        <v>25</v>
      </c>
      <c r="P141" s="8" t="s">
        <v>273</v>
      </c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</row>
    <row r="142" spans="1:51" hidden="1" x14ac:dyDescent="0.2">
      <c r="A142" s="6" t="s">
        <v>17</v>
      </c>
      <c r="B142" t="s">
        <v>132</v>
      </c>
      <c r="C142" t="s">
        <v>133</v>
      </c>
      <c r="D142" t="s">
        <v>274</v>
      </c>
      <c r="E142" s="2">
        <v>54</v>
      </c>
      <c r="F142" s="3">
        <f t="shared" si="3"/>
        <v>45677</v>
      </c>
      <c r="G142" s="3">
        <f t="shared" si="3"/>
        <v>45677</v>
      </c>
      <c r="H142">
        <v>1694730645</v>
      </c>
      <c r="I142" t="s">
        <v>158</v>
      </c>
      <c r="K142" t="s">
        <v>22</v>
      </c>
      <c r="L142" t="s">
        <v>23</v>
      </c>
      <c r="M142" t="s">
        <v>24</v>
      </c>
      <c r="N142" t="s">
        <v>24</v>
      </c>
      <c r="O142" t="s">
        <v>25</v>
      </c>
      <c r="P142" s="8" t="s">
        <v>275</v>
      </c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</row>
    <row r="143" spans="1:51" hidden="1" x14ac:dyDescent="0.2">
      <c r="A143" s="6" t="s">
        <v>17</v>
      </c>
      <c r="B143" t="s">
        <v>155</v>
      </c>
      <c r="C143" t="s">
        <v>156</v>
      </c>
      <c r="D143" t="s">
        <v>157</v>
      </c>
      <c r="E143" s="2">
        <v>7.96</v>
      </c>
      <c r="F143" s="3">
        <f t="shared" si="3"/>
        <v>45677</v>
      </c>
      <c r="G143" s="3">
        <f t="shared" si="3"/>
        <v>45677</v>
      </c>
      <c r="H143">
        <v>1694730646</v>
      </c>
      <c r="I143" t="s">
        <v>158</v>
      </c>
      <c r="K143" t="s">
        <v>22</v>
      </c>
      <c r="L143" t="s">
        <v>23</v>
      </c>
      <c r="M143" t="s">
        <v>24</v>
      </c>
      <c r="N143" t="s">
        <v>24</v>
      </c>
      <c r="O143" t="s">
        <v>25</v>
      </c>
      <c r="P143" s="8" t="s">
        <v>276</v>
      </c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</row>
    <row r="144" spans="1:51" hidden="1" x14ac:dyDescent="0.2">
      <c r="A144" s="6" t="s">
        <v>17</v>
      </c>
      <c r="B144" t="s">
        <v>46</v>
      </c>
      <c r="C144" t="s">
        <v>47</v>
      </c>
      <c r="D144" t="s">
        <v>277</v>
      </c>
      <c r="E144" s="2">
        <v>62.57</v>
      </c>
      <c r="F144" s="3">
        <f>DATE(2025,1,21)</f>
        <v>45678</v>
      </c>
      <c r="G144" s="3">
        <f>DATE(2025,1,21)</f>
        <v>45678</v>
      </c>
      <c r="H144">
        <v>1694830258</v>
      </c>
      <c r="I144" t="s">
        <v>192</v>
      </c>
      <c r="K144" t="s">
        <v>22</v>
      </c>
      <c r="L144" t="s">
        <v>23</v>
      </c>
      <c r="M144" t="s">
        <v>24</v>
      </c>
      <c r="N144" t="s">
        <v>24</v>
      </c>
      <c r="O144" t="s">
        <v>25</v>
      </c>
      <c r="P144" s="8" t="s">
        <v>278</v>
      </c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</row>
    <row r="145" spans="1:51" hidden="1" x14ac:dyDescent="0.2">
      <c r="A145" s="6"/>
      <c r="E145" s="2"/>
      <c r="F145" s="3"/>
      <c r="G145" s="3"/>
      <c r="P145" s="8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</row>
    <row r="146" spans="1:51" hidden="1" x14ac:dyDescent="0.2">
      <c r="A146" s="6"/>
      <c r="E146" s="2"/>
      <c r="F146" s="3"/>
      <c r="G146" s="3"/>
      <c r="P146" s="8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</row>
    <row r="147" spans="1:51" hidden="1" x14ac:dyDescent="0.2">
      <c r="A147" s="6"/>
      <c r="E147" s="2"/>
      <c r="F147" s="3"/>
      <c r="G147" s="3"/>
      <c r="P147" s="8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</row>
    <row r="148" spans="1:51" hidden="1" x14ac:dyDescent="0.2">
      <c r="A148" s="6" t="s">
        <v>17</v>
      </c>
      <c r="B148" t="s">
        <v>31</v>
      </c>
      <c r="C148" t="s">
        <v>32</v>
      </c>
      <c r="D148" t="s">
        <v>279</v>
      </c>
      <c r="E148" s="2">
        <v>51.99</v>
      </c>
      <c r="F148" s="3">
        <f t="shared" ref="F148:G151" si="4">DATE(2025,1,23)</f>
        <v>45680</v>
      </c>
      <c r="G148" s="3">
        <f t="shared" si="4"/>
        <v>45680</v>
      </c>
      <c r="H148">
        <v>1701537704</v>
      </c>
      <c r="I148" t="s">
        <v>21</v>
      </c>
      <c r="K148" t="s">
        <v>22</v>
      </c>
      <c r="L148" t="s">
        <v>23</v>
      </c>
      <c r="M148" t="s">
        <v>24</v>
      </c>
      <c r="N148" t="s">
        <v>24</v>
      </c>
      <c r="O148" t="s">
        <v>25</v>
      </c>
      <c r="P148" s="8" t="s">
        <v>280</v>
      </c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</row>
    <row r="149" spans="1:51" hidden="1" x14ac:dyDescent="0.2">
      <c r="A149" s="6" t="s">
        <v>17</v>
      </c>
      <c r="B149" t="s">
        <v>31</v>
      </c>
      <c r="C149" t="s">
        <v>32</v>
      </c>
      <c r="D149" t="s">
        <v>281</v>
      </c>
      <c r="E149" s="2">
        <v>103.08</v>
      </c>
      <c r="F149" s="3">
        <f t="shared" si="4"/>
        <v>45680</v>
      </c>
      <c r="G149" s="3">
        <f t="shared" si="4"/>
        <v>45680</v>
      </c>
      <c r="H149">
        <v>1701537712</v>
      </c>
      <c r="I149" t="s">
        <v>21</v>
      </c>
      <c r="K149" t="s">
        <v>22</v>
      </c>
      <c r="L149" t="s">
        <v>23</v>
      </c>
      <c r="M149" t="s">
        <v>24</v>
      </c>
      <c r="N149" t="s">
        <v>24</v>
      </c>
      <c r="O149" t="s">
        <v>25</v>
      </c>
      <c r="P149" s="8" t="s">
        <v>282</v>
      </c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</row>
    <row r="150" spans="1:51" hidden="1" x14ac:dyDescent="0.2">
      <c r="A150" s="6" t="s">
        <v>17</v>
      </c>
      <c r="B150" t="s">
        <v>31</v>
      </c>
      <c r="C150" t="s">
        <v>32</v>
      </c>
      <c r="D150" t="s">
        <v>283</v>
      </c>
      <c r="E150" s="2">
        <v>80.400000000000006</v>
      </c>
      <c r="F150" s="3">
        <f t="shared" si="4"/>
        <v>45680</v>
      </c>
      <c r="G150" s="3">
        <f t="shared" si="4"/>
        <v>45680</v>
      </c>
      <c r="H150">
        <v>1701537714</v>
      </c>
      <c r="I150" t="s">
        <v>21</v>
      </c>
      <c r="K150" t="s">
        <v>22</v>
      </c>
      <c r="L150" t="s">
        <v>23</v>
      </c>
      <c r="M150" t="s">
        <v>24</v>
      </c>
      <c r="N150" t="s">
        <v>24</v>
      </c>
      <c r="O150" t="s">
        <v>25</v>
      </c>
      <c r="P150" s="8" t="s">
        <v>284</v>
      </c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</row>
    <row r="151" spans="1:51" hidden="1" x14ac:dyDescent="0.2">
      <c r="A151" s="6" t="s">
        <v>17</v>
      </c>
      <c r="B151" t="s">
        <v>46</v>
      </c>
      <c r="C151" t="s">
        <v>47</v>
      </c>
      <c r="D151" t="s">
        <v>285</v>
      </c>
      <c r="E151" s="2">
        <v>150</v>
      </c>
      <c r="F151" s="3">
        <f t="shared" si="4"/>
        <v>45680</v>
      </c>
      <c r="G151" s="3">
        <f t="shared" si="4"/>
        <v>45680</v>
      </c>
      <c r="H151">
        <v>1701537716</v>
      </c>
      <c r="I151" t="s">
        <v>21</v>
      </c>
      <c r="K151" t="s">
        <v>22</v>
      </c>
      <c r="L151" t="s">
        <v>23</v>
      </c>
      <c r="M151" t="s">
        <v>24</v>
      </c>
      <c r="N151" t="s">
        <v>24</v>
      </c>
      <c r="O151" t="s">
        <v>25</v>
      </c>
      <c r="P151" s="8" t="s">
        <v>286</v>
      </c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</row>
    <row r="152" spans="1:51" hidden="1" x14ac:dyDescent="0.2">
      <c r="A152" s="6" t="s">
        <v>17</v>
      </c>
      <c r="B152" t="s">
        <v>287</v>
      </c>
      <c r="C152" t="s">
        <v>288</v>
      </c>
      <c r="D152" t="s">
        <v>289</v>
      </c>
      <c r="E152" s="2">
        <v>625</v>
      </c>
      <c r="F152" s="3">
        <f>DATE(2025,1,22)</f>
        <v>45679</v>
      </c>
      <c r="G152" s="3">
        <f>DATE(2025,1,22)</f>
        <v>45679</v>
      </c>
      <c r="H152">
        <v>1701537718</v>
      </c>
      <c r="I152" t="s">
        <v>21</v>
      </c>
      <c r="K152" t="s">
        <v>22</v>
      </c>
      <c r="L152" t="s">
        <v>23</v>
      </c>
      <c r="M152" t="s">
        <v>24</v>
      </c>
      <c r="N152" t="s">
        <v>24</v>
      </c>
      <c r="O152" t="s">
        <v>25</v>
      </c>
      <c r="P152" s="8" t="s">
        <v>290</v>
      </c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</row>
    <row r="153" spans="1:51" hidden="1" x14ac:dyDescent="0.2">
      <c r="A153" s="6" t="s">
        <v>17</v>
      </c>
      <c r="B153" t="s">
        <v>46</v>
      </c>
      <c r="C153" t="s">
        <v>47</v>
      </c>
      <c r="D153" t="s">
        <v>291</v>
      </c>
      <c r="E153" s="2">
        <v>108</v>
      </c>
      <c r="F153" s="3">
        <f>DATE(2025,1,22)</f>
        <v>45679</v>
      </c>
      <c r="G153" s="3">
        <f>DATE(2025,1,22)</f>
        <v>45679</v>
      </c>
      <c r="H153">
        <v>1701537720</v>
      </c>
      <c r="I153" t="s">
        <v>21</v>
      </c>
      <c r="K153" t="s">
        <v>22</v>
      </c>
      <c r="L153" t="s">
        <v>23</v>
      </c>
      <c r="M153" t="s">
        <v>24</v>
      </c>
      <c r="N153" t="s">
        <v>24</v>
      </c>
      <c r="O153" t="s">
        <v>25</v>
      </c>
      <c r="P153" s="8" t="s">
        <v>292</v>
      </c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</row>
    <row r="154" spans="1:51" hidden="1" x14ac:dyDescent="0.2">
      <c r="A154" s="6" t="s">
        <v>17</v>
      </c>
      <c r="B154" t="s">
        <v>255</v>
      </c>
      <c r="C154" t="s">
        <v>255</v>
      </c>
      <c r="D154" t="s">
        <v>293</v>
      </c>
      <c r="E154" s="2">
        <v>4354.5</v>
      </c>
      <c r="F154" s="3">
        <f>DATE(2025,1,24)</f>
        <v>45681</v>
      </c>
      <c r="G154" s="3">
        <f>DATE(2025,1,24)</f>
        <v>45681</v>
      </c>
      <c r="H154">
        <v>1701537722</v>
      </c>
      <c r="I154" t="s">
        <v>21</v>
      </c>
      <c r="K154" t="s">
        <v>22</v>
      </c>
      <c r="L154" t="s">
        <v>23</v>
      </c>
      <c r="M154" t="s">
        <v>24</v>
      </c>
      <c r="N154" t="s">
        <v>24</v>
      </c>
      <c r="O154" t="s">
        <v>25</v>
      </c>
      <c r="P154" s="8" t="s">
        <v>294</v>
      </c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</row>
    <row r="155" spans="1:51" hidden="1" x14ac:dyDescent="0.2">
      <c r="A155" s="6"/>
      <c r="E155" s="2"/>
      <c r="F155" s="3"/>
      <c r="G155" s="3"/>
      <c r="P155" s="8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</row>
    <row r="156" spans="1:51" hidden="1" x14ac:dyDescent="0.2">
      <c r="A156" s="6" t="s">
        <v>17</v>
      </c>
      <c r="B156" t="s">
        <v>50</v>
      </c>
      <c r="C156" t="s">
        <v>51</v>
      </c>
      <c r="D156" t="s">
        <v>295</v>
      </c>
      <c r="E156" s="2">
        <v>181.37</v>
      </c>
      <c r="F156" s="3">
        <f>DATE(2025,1,22)</f>
        <v>45679</v>
      </c>
      <c r="G156" s="3">
        <f>DATE(2025,1,22)</f>
        <v>45679</v>
      </c>
      <c r="H156">
        <v>1701537734</v>
      </c>
      <c r="I156" t="s">
        <v>21</v>
      </c>
      <c r="K156" t="s">
        <v>22</v>
      </c>
      <c r="L156" t="s">
        <v>23</v>
      </c>
      <c r="M156" t="s">
        <v>24</v>
      </c>
      <c r="N156" t="s">
        <v>24</v>
      </c>
      <c r="O156" t="s">
        <v>25</v>
      </c>
      <c r="P156" s="8" t="s">
        <v>296</v>
      </c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</row>
    <row r="157" spans="1:51" hidden="1" x14ac:dyDescent="0.2">
      <c r="A157" s="6" t="s">
        <v>17</v>
      </c>
      <c r="B157" t="s">
        <v>155</v>
      </c>
      <c r="C157" t="s">
        <v>156</v>
      </c>
      <c r="D157" t="s">
        <v>297</v>
      </c>
      <c r="E157" s="2">
        <v>5.99</v>
      </c>
      <c r="F157" s="3">
        <f>DATE(2025,1,20)</f>
        <v>45677</v>
      </c>
      <c r="G157" s="3">
        <f>DATE(2025,1,20)</f>
        <v>45677</v>
      </c>
      <c r="H157">
        <v>1701538927</v>
      </c>
      <c r="I157" t="s">
        <v>158</v>
      </c>
      <c r="K157" t="s">
        <v>22</v>
      </c>
      <c r="L157" t="s">
        <v>23</v>
      </c>
      <c r="M157" t="s">
        <v>24</v>
      </c>
      <c r="N157" t="s">
        <v>24</v>
      </c>
      <c r="O157" t="s">
        <v>25</v>
      </c>
      <c r="P157" s="8" t="s">
        <v>298</v>
      </c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</row>
    <row r="158" spans="1:51" hidden="1" x14ac:dyDescent="0.2">
      <c r="A158" s="6" t="s">
        <v>17</v>
      </c>
      <c r="B158" t="s">
        <v>118</v>
      </c>
      <c r="C158" t="s">
        <v>119</v>
      </c>
      <c r="D158" t="s">
        <v>299</v>
      </c>
      <c r="E158" s="2">
        <v>135.01</v>
      </c>
      <c r="F158" s="3">
        <f>DATE(2025,1,21)</f>
        <v>45678</v>
      </c>
      <c r="G158" s="3">
        <f>DATE(2025,1,21)</f>
        <v>45678</v>
      </c>
      <c r="H158">
        <v>1701538928</v>
      </c>
      <c r="I158" t="s">
        <v>158</v>
      </c>
      <c r="K158" t="s">
        <v>22</v>
      </c>
      <c r="L158" t="s">
        <v>23</v>
      </c>
      <c r="M158" t="s">
        <v>24</v>
      </c>
      <c r="N158" t="s">
        <v>24</v>
      </c>
      <c r="O158" t="s">
        <v>25</v>
      </c>
      <c r="P158" s="8" t="s">
        <v>300</v>
      </c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</row>
    <row r="159" spans="1:51" hidden="1" x14ac:dyDescent="0.2">
      <c r="A159" s="6"/>
      <c r="E159" s="2"/>
      <c r="F159" s="3"/>
      <c r="G159" s="3"/>
      <c r="P159" s="8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</row>
    <row r="160" spans="1:51" hidden="1" x14ac:dyDescent="0.2">
      <c r="A160" s="6"/>
      <c r="E160" s="2"/>
      <c r="F160" s="3"/>
      <c r="G160" s="3"/>
      <c r="P160" s="8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</row>
    <row r="161" spans="1:51" hidden="1" x14ac:dyDescent="0.2">
      <c r="A161" s="6"/>
      <c r="E161" s="2"/>
      <c r="F161" s="3"/>
      <c r="G161" s="3"/>
      <c r="P161" s="8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</row>
    <row r="162" spans="1:51" hidden="1" x14ac:dyDescent="0.2">
      <c r="A162" s="6" t="s">
        <v>17</v>
      </c>
      <c r="B162" t="s">
        <v>118</v>
      </c>
      <c r="C162" t="s">
        <v>119</v>
      </c>
      <c r="D162" t="s">
        <v>299</v>
      </c>
      <c r="E162" s="2">
        <v>23.08</v>
      </c>
      <c r="F162" s="3">
        <f>DATE(2025,1,23)</f>
        <v>45680</v>
      </c>
      <c r="G162" s="3">
        <f>DATE(2025,1,23)</f>
        <v>45680</v>
      </c>
      <c r="H162">
        <v>1705952252</v>
      </c>
      <c r="I162" t="s">
        <v>158</v>
      </c>
      <c r="K162" t="s">
        <v>22</v>
      </c>
      <c r="L162" t="s">
        <v>23</v>
      </c>
      <c r="M162" t="s">
        <v>24</v>
      </c>
      <c r="N162" t="s">
        <v>24</v>
      </c>
      <c r="O162" t="s">
        <v>25</v>
      </c>
      <c r="P162" s="8" t="s">
        <v>301</v>
      </c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</row>
    <row r="163" spans="1:51" hidden="1" x14ac:dyDescent="0.2">
      <c r="A163" s="6" t="s">
        <v>17</v>
      </c>
      <c r="B163" t="s">
        <v>155</v>
      </c>
      <c r="C163" t="s">
        <v>156</v>
      </c>
      <c r="D163" t="s">
        <v>157</v>
      </c>
      <c r="E163" s="2">
        <v>7.14</v>
      </c>
      <c r="F163" s="3">
        <f t="shared" ref="F163:G166" si="5">DATE(2025,1,24)</f>
        <v>45681</v>
      </c>
      <c r="G163" s="3">
        <f t="shared" si="5"/>
        <v>45681</v>
      </c>
      <c r="H163">
        <v>1709064181</v>
      </c>
      <c r="I163" t="s">
        <v>158</v>
      </c>
      <c r="K163" t="s">
        <v>22</v>
      </c>
      <c r="L163" t="s">
        <v>23</v>
      </c>
      <c r="M163" t="s">
        <v>24</v>
      </c>
      <c r="N163" t="s">
        <v>24</v>
      </c>
      <c r="O163" t="s">
        <v>25</v>
      </c>
      <c r="P163" s="8" t="s">
        <v>302</v>
      </c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</row>
    <row r="164" spans="1:51" hidden="1" x14ac:dyDescent="0.2">
      <c r="A164" s="6" t="s">
        <v>17</v>
      </c>
      <c r="B164" t="s">
        <v>118</v>
      </c>
      <c r="C164" t="s">
        <v>119</v>
      </c>
      <c r="D164" t="s">
        <v>303</v>
      </c>
      <c r="E164" s="2">
        <v>44.44</v>
      </c>
      <c r="F164" s="3">
        <f t="shared" si="5"/>
        <v>45681</v>
      </c>
      <c r="G164" s="3">
        <f t="shared" si="5"/>
        <v>45681</v>
      </c>
      <c r="H164">
        <v>1709064182</v>
      </c>
      <c r="I164" t="s">
        <v>158</v>
      </c>
      <c r="K164" t="s">
        <v>22</v>
      </c>
      <c r="L164" t="s">
        <v>23</v>
      </c>
      <c r="M164" t="s">
        <v>24</v>
      </c>
      <c r="N164" t="s">
        <v>24</v>
      </c>
      <c r="O164" t="s">
        <v>25</v>
      </c>
      <c r="P164" s="8" t="s">
        <v>304</v>
      </c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</row>
    <row r="165" spans="1:51" hidden="1" x14ac:dyDescent="0.2">
      <c r="A165" s="6" t="s">
        <v>17</v>
      </c>
      <c r="B165" t="s">
        <v>118</v>
      </c>
      <c r="C165" t="s">
        <v>119</v>
      </c>
      <c r="D165" t="s">
        <v>305</v>
      </c>
      <c r="E165" s="2">
        <v>52.17</v>
      </c>
      <c r="F165" s="3">
        <f t="shared" si="5"/>
        <v>45681</v>
      </c>
      <c r="G165" s="3">
        <f t="shared" si="5"/>
        <v>45681</v>
      </c>
      <c r="H165">
        <v>1709064183</v>
      </c>
      <c r="I165" t="s">
        <v>158</v>
      </c>
      <c r="K165" t="s">
        <v>22</v>
      </c>
      <c r="L165" t="s">
        <v>23</v>
      </c>
      <c r="M165" t="s">
        <v>24</v>
      </c>
      <c r="N165" t="s">
        <v>24</v>
      </c>
      <c r="O165" t="s">
        <v>25</v>
      </c>
      <c r="P165" s="8" t="s">
        <v>306</v>
      </c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</row>
    <row r="166" spans="1:51" hidden="1" x14ac:dyDescent="0.2">
      <c r="A166" s="6" t="s">
        <v>17</v>
      </c>
      <c r="B166" t="s">
        <v>118</v>
      </c>
      <c r="C166" t="s">
        <v>119</v>
      </c>
      <c r="D166" t="s">
        <v>307</v>
      </c>
      <c r="E166" s="2">
        <v>66.66</v>
      </c>
      <c r="F166" s="3">
        <f t="shared" si="5"/>
        <v>45681</v>
      </c>
      <c r="G166" s="3">
        <f t="shared" si="5"/>
        <v>45681</v>
      </c>
      <c r="H166">
        <v>1709064184</v>
      </c>
      <c r="I166" t="s">
        <v>158</v>
      </c>
      <c r="K166" t="s">
        <v>22</v>
      </c>
      <c r="L166" t="s">
        <v>23</v>
      </c>
      <c r="M166" t="s">
        <v>24</v>
      </c>
      <c r="N166" t="s">
        <v>24</v>
      </c>
      <c r="O166" t="s">
        <v>25</v>
      </c>
      <c r="P166" s="8" t="s">
        <v>308</v>
      </c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</row>
    <row r="167" spans="1:51" hidden="1" x14ac:dyDescent="0.2">
      <c r="A167" s="6" t="s">
        <v>17</v>
      </c>
      <c r="B167" t="s">
        <v>309</v>
      </c>
      <c r="C167" t="s">
        <v>310</v>
      </c>
      <c r="D167" t="s">
        <v>311</v>
      </c>
      <c r="E167" s="2">
        <v>1634.03</v>
      </c>
      <c r="F167" s="3">
        <f t="shared" ref="F167:G169" si="6">DATE(2025,1,27)</f>
        <v>45684</v>
      </c>
      <c r="G167" s="3">
        <f t="shared" si="6"/>
        <v>45684</v>
      </c>
      <c r="H167">
        <v>1714080186</v>
      </c>
      <c r="I167" t="s">
        <v>21</v>
      </c>
      <c r="K167" t="s">
        <v>22</v>
      </c>
      <c r="L167" t="s">
        <v>23</v>
      </c>
      <c r="M167" t="s">
        <v>24</v>
      </c>
      <c r="N167" t="s">
        <v>24</v>
      </c>
      <c r="O167" t="s">
        <v>25</v>
      </c>
      <c r="P167" s="8" t="s">
        <v>312</v>
      </c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</row>
    <row r="168" spans="1:51" hidden="1" x14ac:dyDescent="0.2">
      <c r="A168" s="6" t="s">
        <v>17</v>
      </c>
      <c r="B168" t="s">
        <v>31</v>
      </c>
      <c r="C168" t="s">
        <v>32</v>
      </c>
      <c r="D168" t="s">
        <v>313</v>
      </c>
      <c r="E168" s="2">
        <v>69.98</v>
      </c>
      <c r="F168" s="3">
        <f t="shared" si="6"/>
        <v>45684</v>
      </c>
      <c r="G168" s="3">
        <f t="shared" si="6"/>
        <v>45684</v>
      </c>
      <c r="H168">
        <v>1714080187</v>
      </c>
      <c r="I168" t="s">
        <v>21</v>
      </c>
      <c r="K168" t="s">
        <v>22</v>
      </c>
      <c r="L168" t="s">
        <v>23</v>
      </c>
      <c r="M168" t="s">
        <v>24</v>
      </c>
      <c r="N168" t="s">
        <v>24</v>
      </c>
      <c r="O168" t="s">
        <v>25</v>
      </c>
      <c r="P168" s="8" t="s">
        <v>314</v>
      </c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</row>
    <row r="169" spans="1:51" hidden="1" x14ac:dyDescent="0.2">
      <c r="A169" s="6" t="s">
        <v>17</v>
      </c>
      <c r="B169" t="s">
        <v>46</v>
      </c>
      <c r="C169" t="s">
        <v>47</v>
      </c>
      <c r="D169" t="s">
        <v>315</v>
      </c>
      <c r="E169" s="2">
        <v>504</v>
      </c>
      <c r="F169" s="3">
        <f t="shared" si="6"/>
        <v>45684</v>
      </c>
      <c r="G169" s="3">
        <f t="shared" si="6"/>
        <v>45684</v>
      </c>
      <c r="H169">
        <v>1719769387</v>
      </c>
      <c r="I169" t="s">
        <v>21</v>
      </c>
      <c r="K169" t="s">
        <v>22</v>
      </c>
      <c r="L169" t="s">
        <v>23</v>
      </c>
      <c r="M169" t="s">
        <v>24</v>
      </c>
      <c r="N169" t="s">
        <v>24</v>
      </c>
      <c r="O169" t="s">
        <v>25</v>
      </c>
      <c r="P169" s="8" t="s">
        <v>316</v>
      </c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</row>
    <row r="170" spans="1:51" hidden="1" x14ac:dyDescent="0.2">
      <c r="A170" s="6"/>
      <c r="E170" s="2"/>
      <c r="F170" s="3"/>
      <c r="G170" s="3"/>
      <c r="P170" s="8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</row>
    <row r="171" spans="1:51" hidden="1" x14ac:dyDescent="0.2">
      <c r="A171" s="6"/>
      <c r="E171" s="2"/>
      <c r="F171" s="3"/>
      <c r="G171" s="3"/>
      <c r="P171" s="8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</row>
    <row r="172" spans="1:51" hidden="1" x14ac:dyDescent="0.2">
      <c r="A172" s="6"/>
      <c r="E172" s="2"/>
      <c r="F172" s="3"/>
      <c r="G172" s="3"/>
      <c r="P172" s="8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</row>
    <row r="173" spans="1:51" hidden="1" x14ac:dyDescent="0.2">
      <c r="A173" s="6" t="s">
        <v>17</v>
      </c>
      <c r="B173" t="s">
        <v>244</v>
      </c>
      <c r="C173" t="s">
        <v>245</v>
      </c>
      <c r="D173" t="s">
        <v>317</v>
      </c>
      <c r="E173" s="2">
        <v>546</v>
      </c>
      <c r="F173" s="3">
        <f>DATE(2025,1,28)</f>
        <v>45685</v>
      </c>
      <c r="G173" s="3">
        <f>DATE(2025,1,28)</f>
        <v>45685</v>
      </c>
      <c r="H173">
        <v>1727287619</v>
      </c>
      <c r="I173" t="s">
        <v>21</v>
      </c>
      <c r="K173" t="s">
        <v>22</v>
      </c>
      <c r="L173" t="s">
        <v>23</v>
      </c>
      <c r="M173" t="s">
        <v>24</v>
      </c>
      <c r="N173" t="s">
        <v>24</v>
      </c>
      <c r="O173" t="s">
        <v>25</v>
      </c>
      <c r="P173" s="8" t="s">
        <v>318</v>
      </c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</row>
    <row r="174" spans="1:51" hidden="1" x14ac:dyDescent="0.2">
      <c r="A174" s="6"/>
      <c r="E174" s="2"/>
      <c r="F174" s="3"/>
      <c r="G174" s="3"/>
      <c r="P174" s="8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</row>
    <row r="175" spans="1:51" hidden="1" x14ac:dyDescent="0.2">
      <c r="A175" s="6"/>
      <c r="E175" s="2"/>
      <c r="F175" s="3"/>
      <c r="G175" s="3"/>
      <c r="P175" s="8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</row>
    <row r="176" spans="1:51" hidden="1" x14ac:dyDescent="0.2">
      <c r="A176" s="6" t="s">
        <v>17</v>
      </c>
      <c r="B176" t="s">
        <v>244</v>
      </c>
      <c r="C176" t="s">
        <v>245</v>
      </c>
      <c r="D176" t="s">
        <v>319</v>
      </c>
      <c r="E176" s="2">
        <v>629.04</v>
      </c>
      <c r="F176" s="3">
        <f>DATE(2025,1,30)</f>
        <v>45687</v>
      </c>
      <c r="G176" s="3">
        <f>DATE(2025,1,30)</f>
        <v>45687</v>
      </c>
      <c r="H176">
        <v>1727287622</v>
      </c>
      <c r="I176" t="s">
        <v>21</v>
      </c>
      <c r="K176" t="s">
        <v>22</v>
      </c>
      <c r="L176" t="s">
        <v>23</v>
      </c>
      <c r="M176" t="s">
        <v>24</v>
      </c>
      <c r="N176" t="s">
        <v>24</v>
      </c>
      <c r="O176" t="s">
        <v>25</v>
      </c>
      <c r="P176" s="8" t="s">
        <v>320</v>
      </c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</row>
    <row r="177" spans="1:51" hidden="1" x14ac:dyDescent="0.2">
      <c r="A177" s="6" t="s">
        <v>17</v>
      </c>
      <c r="B177" t="s">
        <v>266</v>
      </c>
      <c r="C177" t="s">
        <v>267</v>
      </c>
      <c r="D177" t="s">
        <v>321</v>
      </c>
      <c r="E177" s="2">
        <v>672</v>
      </c>
      <c r="F177" s="3">
        <f>DATE(2025,1,28)</f>
        <v>45685</v>
      </c>
      <c r="G177" s="3">
        <f>DATE(2025,1,28)</f>
        <v>45685</v>
      </c>
      <c r="H177">
        <v>1727287623</v>
      </c>
      <c r="I177" t="s">
        <v>21</v>
      </c>
      <c r="K177" t="s">
        <v>22</v>
      </c>
      <c r="L177" t="s">
        <v>23</v>
      </c>
      <c r="M177" t="s">
        <v>24</v>
      </c>
      <c r="N177" t="s">
        <v>24</v>
      </c>
      <c r="O177" t="s">
        <v>25</v>
      </c>
      <c r="P177" s="8" t="s">
        <v>322</v>
      </c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</row>
    <row r="178" spans="1:51" hidden="1" x14ac:dyDescent="0.2">
      <c r="A178" s="6" t="s">
        <v>17</v>
      </c>
      <c r="B178" t="s">
        <v>118</v>
      </c>
      <c r="C178" t="s">
        <v>119</v>
      </c>
      <c r="D178" t="s">
        <v>323</v>
      </c>
      <c r="E178" s="2">
        <v>379.73</v>
      </c>
      <c r="F178" s="3">
        <f>DATE(2025,1,29)</f>
        <v>45686</v>
      </c>
      <c r="G178" s="3">
        <f>DATE(2025,1,29)</f>
        <v>45686</v>
      </c>
      <c r="H178">
        <v>1727287624</v>
      </c>
      <c r="I178" t="s">
        <v>21</v>
      </c>
      <c r="K178" t="s">
        <v>22</v>
      </c>
      <c r="L178" t="s">
        <v>23</v>
      </c>
      <c r="M178" t="s">
        <v>24</v>
      </c>
      <c r="N178" t="s">
        <v>24</v>
      </c>
      <c r="O178" t="s">
        <v>25</v>
      </c>
      <c r="P178" s="8" t="s">
        <v>324</v>
      </c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</row>
    <row r="179" spans="1:51" hidden="1" x14ac:dyDescent="0.2">
      <c r="A179" s="6" t="s">
        <v>17</v>
      </c>
      <c r="B179" t="s">
        <v>60</v>
      </c>
      <c r="C179" t="s">
        <v>61</v>
      </c>
      <c r="D179" t="s">
        <v>325</v>
      </c>
      <c r="E179" s="2">
        <v>52.91</v>
      </c>
      <c r="F179" s="3">
        <f>DATE(2025,1,28)</f>
        <v>45685</v>
      </c>
      <c r="G179" s="3">
        <f>DATE(2025,1,28)</f>
        <v>45685</v>
      </c>
      <c r="H179">
        <v>1727287625</v>
      </c>
      <c r="I179" t="s">
        <v>21</v>
      </c>
      <c r="K179" t="s">
        <v>22</v>
      </c>
      <c r="L179" t="s">
        <v>23</v>
      </c>
      <c r="M179" t="s">
        <v>24</v>
      </c>
      <c r="N179" t="s">
        <v>24</v>
      </c>
      <c r="O179" t="s">
        <v>25</v>
      </c>
      <c r="P179" s="8" t="s">
        <v>326</v>
      </c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</row>
    <row r="180" spans="1:51" hidden="1" x14ac:dyDescent="0.2">
      <c r="A180" s="6" t="s">
        <v>17</v>
      </c>
      <c r="B180" t="s">
        <v>90</v>
      </c>
      <c r="C180" t="s">
        <v>91</v>
      </c>
      <c r="D180" t="s">
        <v>327</v>
      </c>
      <c r="E180" s="2">
        <v>1000</v>
      </c>
      <c r="F180" s="3">
        <f>DATE(2025,1,30)</f>
        <v>45687</v>
      </c>
      <c r="G180" s="3">
        <f>DATE(2025,1,30)</f>
        <v>45687</v>
      </c>
      <c r="H180">
        <v>1727287626</v>
      </c>
      <c r="I180" t="s">
        <v>21</v>
      </c>
      <c r="K180" t="s">
        <v>22</v>
      </c>
      <c r="L180" t="s">
        <v>23</v>
      </c>
      <c r="M180" t="s">
        <v>24</v>
      </c>
      <c r="N180" t="s">
        <v>24</v>
      </c>
      <c r="O180" t="s">
        <v>25</v>
      </c>
      <c r="P180" s="8" t="s">
        <v>328</v>
      </c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</row>
    <row r="181" spans="1:51" hidden="1" x14ac:dyDescent="0.2">
      <c r="A181" s="6" t="s">
        <v>17</v>
      </c>
      <c r="B181" t="s">
        <v>329</v>
      </c>
      <c r="C181" t="s">
        <v>330</v>
      </c>
      <c r="D181" t="s">
        <v>331</v>
      </c>
      <c r="E181" s="2">
        <v>200</v>
      </c>
      <c r="F181" s="3">
        <f>DATE(2025,1,29)</f>
        <v>45686</v>
      </c>
      <c r="G181" s="3">
        <f>DATE(2025,1,29)</f>
        <v>45686</v>
      </c>
      <c r="H181">
        <v>1727287627</v>
      </c>
      <c r="I181" t="s">
        <v>21</v>
      </c>
      <c r="K181" t="s">
        <v>22</v>
      </c>
      <c r="L181" t="s">
        <v>23</v>
      </c>
      <c r="M181" t="s">
        <v>24</v>
      </c>
      <c r="N181" t="s">
        <v>24</v>
      </c>
      <c r="O181" t="s">
        <v>25</v>
      </c>
      <c r="P181" s="8" t="s">
        <v>332</v>
      </c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</row>
    <row r="182" spans="1:51" hidden="1" x14ac:dyDescent="0.2">
      <c r="A182" s="6"/>
      <c r="E182" s="2"/>
      <c r="F182" s="3"/>
      <c r="G182" s="3"/>
      <c r="P182" s="8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</row>
    <row r="183" spans="1:51" hidden="1" x14ac:dyDescent="0.2">
      <c r="A183" s="6" t="s">
        <v>17</v>
      </c>
      <c r="B183" t="s">
        <v>70</v>
      </c>
      <c r="C183" t="s">
        <v>71</v>
      </c>
      <c r="D183" t="s">
        <v>333</v>
      </c>
      <c r="E183" s="2">
        <v>2658.48</v>
      </c>
      <c r="F183" s="3">
        <f>DATE(2025,1,29)</f>
        <v>45686</v>
      </c>
      <c r="G183" s="3">
        <f>DATE(2025,1,29)</f>
        <v>45686</v>
      </c>
      <c r="H183">
        <v>1727287629</v>
      </c>
      <c r="I183" t="s">
        <v>21</v>
      </c>
      <c r="K183" t="s">
        <v>22</v>
      </c>
      <c r="L183" t="s">
        <v>23</v>
      </c>
      <c r="M183" t="s">
        <v>24</v>
      </c>
      <c r="N183" t="s">
        <v>24</v>
      </c>
      <c r="O183" t="s">
        <v>25</v>
      </c>
      <c r="P183" s="8" t="s">
        <v>334</v>
      </c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</row>
    <row r="184" spans="1:51" hidden="1" x14ac:dyDescent="0.2">
      <c r="A184" s="6" t="s">
        <v>17</v>
      </c>
      <c r="B184" t="s">
        <v>132</v>
      </c>
      <c r="C184" t="s">
        <v>133</v>
      </c>
      <c r="D184" t="s">
        <v>335</v>
      </c>
      <c r="E184" s="2">
        <v>103.09</v>
      </c>
      <c r="F184" s="3">
        <f>DATE(2025,1,28)</f>
        <v>45685</v>
      </c>
      <c r="G184" s="3">
        <f>DATE(2025,1,28)</f>
        <v>45685</v>
      </c>
      <c r="H184">
        <v>1727287630</v>
      </c>
      <c r="I184" t="s">
        <v>21</v>
      </c>
      <c r="K184" t="s">
        <v>22</v>
      </c>
      <c r="L184" t="s">
        <v>23</v>
      </c>
      <c r="M184" t="s">
        <v>24</v>
      </c>
      <c r="N184" t="s">
        <v>24</v>
      </c>
      <c r="O184" t="s">
        <v>25</v>
      </c>
      <c r="P184" s="8" t="s">
        <v>336</v>
      </c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</row>
    <row r="185" spans="1:51" hidden="1" x14ac:dyDescent="0.2">
      <c r="A185" s="6" t="s">
        <v>17</v>
      </c>
      <c r="B185" t="s">
        <v>118</v>
      </c>
      <c r="C185" t="s">
        <v>119</v>
      </c>
      <c r="D185" t="s">
        <v>337</v>
      </c>
      <c r="E185" s="2">
        <v>198.96</v>
      </c>
      <c r="F185" s="3">
        <f>DATE(2025,1,28)</f>
        <v>45685</v>
      </c>
      <c r="G185" s="3">
        <f>DATE(2025,1,28)</f>
        <v>45685</v>
      </c>
      <c r="H185">
        <v>1727287653</v>
      </c>
      <c r="I185" t="s">
        <v>158</v>
      </c>
      <c r="K185" t="s">
        <v>22</v>
      </c>
      <c r="L185" t="s">
        <v>23</v>
      </c>
      <c r="M185" t="s">
        <v>24</v>
      </c>
      <c r="N185" t="s">
        <v>24</v>
      </c>
      <c r="O185" t="s">
        <v>25</v>
      </c>
      <c r="P185" s="8" t="s">
        <v>338</v>
      </c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</row>
    <row r="186" spans="1:51" hidden="1" x14ac:dyDescent="0.2">
      <c r="A186" s="6" t="s">
        <v>17</v>
      </c>
      <c r="B186" t="s">
        <v>155</v>
      </c>
      <c r="C186" t="s">
        <v>156</v>
      </c>
      <c r="D186" t="s">
        <v>157</v>
      </c>
      <c r="E186" s="2">
        <v>7.96</v>
      </c>
      <c r="F186" s="3">
        <f>DATE(2025,1,27)</f>
        <v>45684</v>
      </c>
      <c r="G186" s="3">
        <f>DATE(2025,1,27)</f>
        <v>45684</v>
      </c>
      <c r="H186">
        <v>1727287654</v>
      </c>
      <c r="I186" t="s">
        <v>158</v>
      </c>
      <c r="K186" t="s">
        <v>22</v>
      </c>
      <c r="L186" t="s">
        <v>23</v>
      </c>
      <c r="M186" t="s">
        <v>24</v>
      </c>
      <c r="N186" t="s">
        <v>24</v>
      </c>
      <c r="O186" t="s">
        <v>25</v>
      </c>
      <c r="P186" s="8" t="s">
        <v>339</v>
      </c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</row>
    <row r="187" spans="1:51" hidden="1" x14ac:dyDescent="0.2">
      <c r="A187" s="6" t="s">
        <v>17</v>
      </c>
      <c r="B187" t="s">
        <v>132</v>
      </c>
      <c r="C187" t="s">
        <v>133</v>
      </c>
      <c r="D187" t="s">
        <v>340</v>
      </c>
      <c r="E187" s="2">
        <v>64.5</v>
      </c>
      <c r="F187" s="3">
        <f>DATE(2025,1,28)</f>
        <v>45685</v>
      </c>
      <c r="G187" s="3">
        <f>DATE(2025,1,28)</f>
        <v>45685</v>
      </c>
      <c r="H187">
        <v>1727287655</v>
      </c>
      <c r="I187" t="s">
        <v>158</v>
      </c>
      <c r="K187" t="s">
        <v>22</v>
      </c>
      <c r="L187" t="s">
        <v>23</v>
      </c>
      <c r="M187" t="s">
        <v>24</v>
      </c>
      <c r="N187" t="s">
        <v>24</v>
      </c>
      <c r="O187" t="s">
        <v>25</v>
      </c>
      <c r="P187" s="8" t="s">
        <v>341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</row>
    <row r="188" spans="1:51" hidden="1" x14ac:dyDescent="0.2">
      <c r="A188" s="6"/>
      <c r="E188" s="2"/>
      <c r="F188" s="3"/>
      <c r="G188" s="3"/>
      <c r="P188" s="8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</row>
    <row r="189" spans="1:51" x14ac:dyDescent="0.2">
      <c r="A189" s="6" t="s">
        <v>17</v>
      </c>
      <c r="B189" t="s">
        <v>342</v>
      </c>
      <c r="C189" t="s">
        <v>342</v>
      </c>
      <c r="D189" t="s">
        <v>343</v>
      </c>
      <c r="E189" s="2">
        <v>500</v>
      </c>
      <c r="F189" s="3">
        <f>DATE(2025,1,30)</f>
        <v>45687</v>
      </c>
      <c r="G189" s="3">
        <f>DATE(2025,1,30)</f>
        <v>45687</v>
      </c>
      <c r="H189">
        <v>1733764044</v>
      </c>
      <c r="I189" t="s">
        <v>21</v>
      </c>
      <c r="K189" t="s">
        <v>22</v>
      </c>
      <c r="L189" t="s">
        <v>23</v>
      </c>
      <c r="M189" t="s">
        <v>24</v>
      </c>
      <c r="N189" t="s">
        <v>24</v>
      </c>
      <c r="O189" t="s">
        <v>25</v>
      </c>
      <c r="P189" s="8" t="s">
        <v>344</v>
      </c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</row>
    <row r="190" spans="1:51" hidden="1" x14ac:dyDescent="0.2">
      <c r="A190" s="6" t="s">
        <v>17</v>
      </c>
      <c r="B190" t="s">
        <v>118</v>
      </c>
      <c r="C190" t="s">
        <v>119</v>
      </c>
      <c r="D190" t="s">
        <v>345</v>
      </c>
      <c r="E190" s="2">
        <v>1180.42</v>
      </c>
      <c r="F190" s="3">
        <f>DATE(2025,1,31)</f>
        <v>45688</v>
      </c>
      <c r="G190" s="3">
        <f>DATE(2025,1,31)</f>
        <v>45688</v>
      </c>
      <c r="H190">
        <v>1733764045</v>
      </c>
      <c r="I190" t="s">
        <v>21</v>
      </c>
      <c r="K190" t="s">
        <v>22</v>
      </c>
      <c r="L190" t="s">
        <v>23</v>
      </c>
      <c r="M190" t="s">
        <v>24</v>
      </c>
      <c r="N190" t="s">
        <v>24</v>
      </c>
      <c r="O190" t="s">
        <v>25</v>
      </c>
      <c r="P190" s="8" t="s">
        <v>346</v>
      </c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</row>
    <row r="191" spans="1:51" hidden="1" x14ac:dyDescent="0.2">
      <c r="A191" s="6" t="s">
        <v>17</v>
      </c>
      <c r="B191" t="s">
        <v>46</v>
      </c>
      <c r="C191" t="s">
        <v>47</v>
      </c>
      <c r="D191" t="s">
        <v>347</v>
      </c>
      <c r="E191" s="2">
        <v>720</v>
      </c>
      <c r="F191" s="3">
        <f>DATE(2025,1,31)</f>
        <v>45688</v>
      </c>
      <c r="G191" s="3">
        <f>DATE(2025,1,31)</f>
        <v>45688</v>
      </c>
      <c r="H191">
        <v>1733764046</v>
      </c>
      <c r="I191" t="s">
        <v>21</v>
      </c>
      <c r="K191" t="s">
        <v>22</v>
      </c>
      <c r="L191" t="s">
        <v>23</v>
      </c>
      <c r="M191" t="s">
        <v>24</v>
      </c>
      <c r="N191" t="s">
        <v>24</v>
      </c>
      <c r="O191" t="s">
        <v>25</v>
      </c>
      <c r="P191" s="8" t="s">
        <v>348</v>
      </c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</row>
    <row r="192" spans="1:51" hidden="1" x14ac:dyDescent="0.2">
      <c r="A192" s="6"/>
      <c r="E192" s="2"/>
      <c r="F192" s="3"/>
      <c r="G192" s="3"/>
      <c r="P192" s="8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</row>
    <row r="193" spans="1:51" hidden="1" x14ac:dyDescent="0.2">
      <c r="A193" s="6" t="s">
        <v>17</v>
      </c>
      <c r="B193" t="s">
        <v>118</v>
      </c>
      <c r="C193" t="s">
        <v>119</v>
      </c>
      <c r="D193" t="s">
        <v>349</v>
      </c>
      <c r="E193" s="2">
        <v>1401.19</v>
      </c>
      <c r="F193" s="3">
        <f>DATE(2025,1,31)</f>
        <v>45688</v>
      </c>
      <c r="G193" s="3">
        <f>DATE(2025,1,31)</f>
        <v>45688</v>
      </c>
      <c r="H193">
        <v>1733764048</v>
      </c>
      <c r="I193" t="s">
        <v>21</v>
      </c>
      <c r="K193" t="s">
        <v>22</v>
      </c>
      <c r="L193" t="s">
        <v>23</v>
      </c>
      <c r="M193" t="s">
        <v>24</v>
      </c>
      <c r="N193" t="s">
        <v>24</v>
      </c>
      <c r="O193" t="s">
        <v>25</v>
      </c>
      <c r="P193" s="8" t="s">
        <v>350</v>
      </c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</row>
    <row r="194" spans="1:51" hidden="1" x14ac:dyDescent="0.2">
      <c r="A194" s="6" t="s">
        <v>17</v>
      </c>
      <c r="B194" t="s">
        <v>46</v>
      </c>
      <c r="C194" t="s">
        <v>47</v>
      </c>
      <c r="D194" t="s">
        <v>351</v>
      </c>
      <c r="E194" s="2">
        <v>89.93</v>
      </c>
      <c r="F194" s="3">
        <f>DATE(2025,1,30)</f>
        <v>45687</v>
      </c>
      <c r="G194" s="3">
        <f>DATE(2025,1,30)</f>
        <v>45687</v>
      </c>
      <c r="H194">
        <v>1733846844</v>
      </c>
      <c r="I194" t="s">
        <v>192</v>
      </c>
      <c r="K194" t="s">
        <v>22</v>
      </c>
      <c r="L194" t="s">
        <v>23</v>
      </c>
      <c r="M194" t="s">
        <v>24</v>
      </c>
      <c r="N194" t="s">
        <v>24</v>
      </c>
      <c r="O194" t="s">
        <v>25</v>
      </c>
      <c r="P194" s="8" t="s">
        <v>352</v>
      </c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</row>
    <row r="195" spans="1:51" hidden="1" x14ac:dyDescent="0.2">
      <c r="A195" s="6" t="s">
        <v>17</v>
      </c>
      <c r="B195" t="s">
        <v>35</v>
      </c>
      <c r="C195" t="s">
        <v>35</v>
      </c>
      <c r="D195" t="s">
        <v>353</v>
      </c>
      <c r="E195" s="2">
        <v>12.92</v>
      </c>
      <c r="F195" s="3">
        <f>DATE(2025,2,1)</f>
        <v>45689</v>
      </c>
      <c r="G195" s="3">
        <f>DATE(2025,2,1)</f>
        <v>45689</v>
      </c>
      <c r="H195">
        <v>1738661224</v>
      </c>
      <c r="I195" t="s">
        <v>21</v>
      </c>
      <c r="K195" t="s">
        <v>22</v>
      </c>
      <c r="L195" t="s">
        <v>23</v>
      </c>
      <c r="M195" t="s">
        <v>24</v>
      </c>
      <c r="N195" t="s">
        <v>24</v>
      </c>
      <c r="O195" t="s">
        <v>25</v>
      </c>
      <c r="P195" s="8" t="s">
        <v>354</v>
      </c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</row>
    <row r="196" spans="1:51" hidden="1" x14ac:dyDescent="0.2">
      <c r="A196" s="6" t="s">
        <v>17</v>
      </c>
      <c r="B196" t="s">
        <v>27</v>
      </c>
      <c r="C196" t="s">
        <v>28</v>
      </c>
      <c r="D196" t="s">
        <v>355</v>
      </c>
      <c r="E196" s="2">
        <v>1313.46</v>
      </c>
      <c r="F196" s="3">
        <f>DATE(2025,2,1)</f>
        <v>45689</v>
      </c>
      <c r="G196" s="3">
        <f>DATE(2025,2,1)</f>
        <v>45689</v>
      </c>
      <c r="H196">
        <v>1738661225</v>
      </c>
      <c r="I196" t="s">
        <v>21</v>
      </c>
      <c r="K196" t="s">
        <v>22</v>
      </c>
      <c r="L196" t="s">
        <v>23</v>
      </c>
      <c r="M196" t="s">
        <v>24</v>
      </c>
      <c r="N196" t="s">
        <v>24</v>
      </c>
      <c r="O196" t="s">
        <v>25</v>
      </c>
      <c r="P196" s="8" t="s">
        <v>356</v>
      </c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</row>
    <row r="197" spans="1:51" hidden="1" x14ac:dyDescent="0.2">
      <c r="A197" s="6" t="s">
        <v>17</v>
      </c>
      <c r="B197" t="s">
        <v>38</v>
      </c>
      <c r="C197" t="s">
        <v>39</v>
      </c>
      <c r="D197" t="s">
        <v>357</v>
      </c>
      <c r="E197" s="2">
        <v>1000</v>
      </c>
      <c r="F197" s="3">
        <f>DATE(2025,1,31)</f>
        <v>45688</v>
      </c>
      <c r="G197" s="3">
        <f>DATE(2025,1,31)</f>
        <v>45688</v>
      </c>
      <c r="H197">
        <v>1738661226</v>
      </c>
      <c r="I197" t="s">
        <v>21</v>
      </c>
      <c r="K197" t="s">
        <v>22</v>
      </c>
      <c r="L197" t="s">
        <v>23</v>
      </c>
      <c r="M197" t="s">
        <v>24</v>
      </c>
      <c r="N197" t="s">
        <v>24</v>
      </c>
      <c r="O197" t="s">
        <v>25</v>
      </c>
      <c r="P197" s="8" t="s">
        <v>358</v>
      </c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</row>
    <row r="198" spans="1:51" x14ac:dyDescent="0.2">
      <c r="A198" s="6" t="s">
        <v>17</v>
      </c>
      <c r="B198" t="s">
        <v>342</v>
      </c>
      <c r="C198" t="s">
        <v>342</v>
      </c>
      <c r="D198" t="s">
        <v>359</v>
      </c>
      <c r="E198" s="2">
        <v>3459.1</v>
      </c>
      <c r="F198" s="3">
        <f>DATE(2025,1,31)</f>
        <v>45688</v>
      </c>
      <c r="G198" s="3">
        <f>DATE(2025,1,31)</f>
        <v>45688</v>
      </c>
      <c r="H198">
        <v>1738661227</v>
      </c>
      <c r="I198" t="s">
        <v>21</v>
      </c>
      <c r="K198" t="s">
        <v>22</v>
      </c>
      <c r="L198" t="s">
        <v>23</v>
      </c>
      <c r="M198" t="s">
        <v>24</v>
      </c>
      <c r="N198" t="s">
        <v>25</v>
      </c>
      <c r="O198" t="s">
        <v>25</v>
      </c>
      <c r="P198" s="8" t="s">
        <v>360</v>
      </c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</row>
    <row r="199" spans="1:51" hidden="1" x14ac:dyDescent="0.2">
      <c r="A199" s="6" t="s">
        <v>17</v>
      </c>
      <c r="B199" t="s">
        <v>118</v>
      </c>
      <c r="C199" t="s">
        <v>119</v>
      </c>
      <c r="D199" t="s">
        <v>178</v>
      </c>
      <c r="E199" s="2">
        <v>267.04000000000002</v>
      </c>
      <c r="F199" s="3">
        <f>DATE(2025,1,30)</f>
        <v>45687</v>
      </c>
      <c r="G199" s="3">
        <f>DATE(2025,1,30)</f>
        <v>45687</v>
      </c>
      <c r="H199">
        <v>1738661228</v>
      </c>
      <c r="I199" t="s">
        <v>158</v>
      </c>
      <c r="K199" t="s">
        <v>22</v>
      </c>
      <c r="L199" t="s">
        <v>23</v>
      </c>
      <c r="M199" t="s">
        <v>24</v>
      </c>
      <c r="N199" t="s">
        <v>24</v>
      </c>
      <c r="O199" t="s">
        <v>25</v>
      </c>
      <c r="P199" s="8" t="s">
        <v>361</v>
      </c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</row>
    <row r="200" spans="1:51" hidden="1" x14ac:dyDescent="0.2">
      <c r="A200" s="6" t="s">
        <v>17</v>
      </c>
      <c r="B200" t="s">
        <v>118</v>
      </c>
      <c r="C200" t="s">
        <v>119</v>
      </c>
      <c r="D200" t="s">
        <v>362</v>
      </c>
      <c r="E200" s="2">
        <v>16.3</v>
      </c>
      <c r="F200" s="3">
        <f>DATE(2025,1,31)</f>
        <v>45688</v>
      </c>
      <c r="G200" s="3">
        <f>DATE(2025,1,31)</f>
        <v>45688</v>
      </c>
      <c r="H200">
        <v>1742296989</v>
      </c>
      <c r="I200" t="s">
        <v>158</v>
      </c>
      <c r="K200" t="s">
        <v>22</v>
      </c>
      <c r="L200" t="s">
        <v>23</v>
      </c>
      <c r="M200" t="s">
        <v>24</v>
      </c>
      <c r="N200" t="s">
        <v>24</v>
      </c>
      <c r="O200" t="s">
        <v>25</v>
      </c>
      <c r="P200" s="8" t="s">
        <v>363</v>
      </c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</row>
    <row r="201" spans="1:51" hidden="1" x14ac:dyDescent="0.2">
      <c r="A201" s="6" t="s">
        <v>17</v>
      </c>
      <c r="B201" t="s">
        <v>90</v>
      </c>
      <c r="C201" t="s">
        <v>91</v>
      </c>
      <c r="D201" t="s">
        <v>364</v>
      </c>
      <c r="E201" s="2">
        <v>10870.59</v>
      </c>
      <c r="F201" s="3">
        <f t="shared" ref="F201:G201" si="7">DATE(2025,2,3)</f>
        <v>45691</v>
      </c>
      <c r="G201" s="3">
        <f t="shared" si="7"/>
        <v>45691</v>
      </c>
      <c r="H201">
        <v>1747617813</v>
      </c>
      <c r="I201" t="s">
        <v>21</v>
      </c>
      <c r="K201" t="s">
        <v>22</v>
      </c>
      <c r="L201" t="s">
        <v>23</v>
      </c>
      <c r="M201" t="s">
        <v>24</v>
      </c>
      <c r="N201" t="s">
        <v>24</v>
      </c>
      <c r="O201" t="s">
        <v>25</v>
      </c>
      <c r="P201" s="8" t="s">
        <v>365</v>
      </c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</row>
    <row r="202" spans="1:51" hidden="1" x14ac:dyDescent="0.2">
      <c r="A202" s="6"/>
      <c r="E202" s="2"/>
      <c r="F202" s="3"/>
      <c r="G202" s="3"/>
      <c r="P202" s="8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</row>
    <row r="203" spans="1:51" hidden="1" x14ac:dyDescent="0.2">
      <c r="A203" s="6"/>
      <c r="E203" s="2"/>
      <c r="F203" s="3"/>
      <c r="G203" s="3"/>
      <c r="P203" s="8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</row>
    <row r="204" spans="1:51" hidden="1" x14ac:dyDescent="0.2">
      <c r="A204" s="6"/>
      <c r="E204" s="2"/>
      <c r="F204" s="3"/>
      <c r="G204" s="3"/>
      <c r="P204" s="8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</row>
    <row r="205" spans="1:51" hidden="1" x14ac:dyDescent="0.2">
      <c r="A205" s="6" t="s">
        <v>17</v>
      </c>
      <c r="B205" t="s">
        <v>27</v>
      </c>
      <c r="C205" t="s">
        <v>28</v>
      </c>
      <c r="D205" t="s">
        <v>366</v>
      </c>
      <c r="E205" s="2">
        <v>3829.92</v>
      </c>
      <c r="F205" s="3">
        <f>DATE(2025,2,4)</f>
        <v>45692</v>
      </c>
      <c r="G205" s="3">
        <f>DATE(2025,2,4)</f>
        <v>45692</v>
      </c>
      <c r="H205">
        <v>1754277474</v>
      </c>
      <c r="I205" t="s">
        <v>21</v>
      </c>
      <c r="K205" t="s">
        <v>22</v>
      </c>
      <c r="L205" t="s">
        <v>23</v>
      </c>
      <c r="M205" t="s">
        <v>24</v>
      </c>
      <c r="N205" t="s">
        <v>24</v>
      </c>
      <c r="O205" t="s">
        <v>25</v>
      </c>
      <c r="P205" s="8" t="s">
        <v>367</v>
      </c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</row>
    <row r="206" spans="1:51" hidden="1" x14ac:dyDescent="0.2">
      <c r="A206" s="6"/>
      <c r="E206" s="2"/>
      <c r="F206" s="3"/>
      <c r="G206" s="3"/>
      <c r="P206" s="8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</row>
    <row r="207" spans="1:51" hidden="1" x14ac:dyDescent="0.2">
      <c r="A207" s="6" t="s">
        <v>17</v>
      </c>
      <c r="B207" t="s">
        <v>42</v>
      </c>
      <c r="C207" t="s">
        <v>43</v>
      </c>
      <c r="D207" t="s">
        <v>368</v>
      </c>
      <c r="E207" s="2">
        <v>102.16</v>
      </c>
      <c r="F207" s="3">
        <f t="shared" ref="F207:G209" si="8">DATE(2025,2,3)</f>
        <v>45691</v>
      </c>
      <c r="G207" s="3">
        <f t="shared" si="8"/>
        <v>45691</v>
      </c>
      <c r="H207">
        <v>1754277476</v>
      </c>
      <c r="I207" t="s">
        <v>21</v>
      </c>
      <c r="K207" t="s">
        <v>22</v>
      </c>
      <c r="L207" t="s">
        <v>23</v>
      </c>
      <c r="M207" t="s">
        <v>24</v>
      </c>
      <c r="N207" t="s">
        <v>24</v>
      </c>
      <c r="O207" t="s">
        <v>25</v>
      </c>
      <c r="P207" s="8" t="s">
        <v>369</v>
      </c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</row>
    <row r="208" spans="1:51" hidden="1" x14ac:dyDescent="0.2">
      <c r="A208" s="6" t="s">
        <v>17</v>
      </c>
      <c r="B208" t="s">
        <v>31</v>
      </c>
      <c r="C208" t="s">
        <v>32</v>
      </c>
      <c r="D208" t="s">
        <v>370</v>
      </c>
      <c r="E208" s="2">
        <v>209.57</v>
      </c>
      <c r="F208" s="3">
        <f t="shared" si="8"/>
        <v>45691</v>
      </c>
      <c r="G208" s="3">
        <f t="shared" si="8"/>
        <v>45691</v>
      </c>
      <c r="H208">
        <v>1754277477</v>
      </c>
      <c r="I208" t="s">
        <v>21</v>
      </c>
      <c r="K208" t="s">
        <v>22</v>
      </c>
      <c r="L208" t="s">
        <v>23</v>
      </c>
      <c r="M208" t="s">
        <v>24</v>
      </c>
      <c r="N208" t="s">
        <v>24</v>
      </c>
      <c r="O208" t="s">
        <v>25</v>
      </c>
      <c r="P208" s="8" t="s">
        <v>371</v>
      </c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</row>
    <row r="209" spans="1:51" hidden="1" x14ac:dyDescent="0.2">
      <c r="A209" s="6" t="s">
        <v>17</v>
      </c>
      <c r="B209" t="s">
        <v>18</v>
      </c>
      <c r="C209" t="s">
        <v>19</v>
      </c>
      <c r="D209" t="s">
        <v>372</v>
      </c>
      <c r="E209" s="2">
        <v>43.74</v>
      </c>
      <c r="F209" s="3">
        <f t="shared" si="8"/>
        <v>45691</v>
      </c>
      <c r="G209" s="3">
        <f t="shared" si="8"/>
        <v>45691</v>
      </c>
      <c r="H209">
        <v>1754277478</v>
      </c>
      <c r="I209" t="s">
        <v>21</v>
      </c>
      <c r="K209" t="s">
        <v>22</v>
      </c>
      <c r="L209" t="s">
        <v>23</v>
      </c>
      <c r="M209" t="s">
        <v>24</v>
      </c>
      <c r="N209" t="s">
        <v>24</v>
      </c>
      <c r="O209" t="s">
        <v>25</v>
      </c>
      <c r="P209" s="8" t="s">
        <v>373</v>
      </c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</row>
    <row r="210" spans="1:51" hidden="1" x14ac:dyDescent="0.2">
      <c r="A210" s="6"/>
      <c r="E210" s="2"/>
      <c r="F210" s="3"/>
      <c r="G210" s="3"/>
      <c r="P210" s="8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</row>
    <row r="211" spans="1:51" hidden="1" x14ac:dyDescent="0.2">
      <c r="A211" s="6"/>
      <c r="E211" s="2"/>
      <c r="F211" s="3"/>
      <c r="G211" s="3"/>
      <c r="P211" s="8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</row>
    <row r="212" spans="1:51" hidden="1" x14ac:dyDescent="0.2">
      <c r="A212" s="6" t="s">
        <v>17</v>
      </c>
      <c r="B212" t="s">
        <v>42</v>
      </c>
      <c r="C212" t="s">
        <v>43</v>
      </c>
      <c r="D212" t="s">
        <v>374</v>
      </c>
      <c r="E212" s="2">
        <v>89</v>
      </c>
      <c r="F212" s="3">
        <f>DATE(2025,2,4)</f>
        <v>45692</v>
      </c>
      <c r="G212" s="3">
        <f>DATE(2025,2,4)</f>
        <v>45692</v>
      </c>
      <c r="H212">
        <v>1754277481</v>
      </c>
      <c r="I212" t="s">
        <v>21</v>
      </c>
      <c r="K212" t="s">
        <v>22</v>
      </c>
      <c r="L212" t="s">
        <v>23</v>
      </c>
      <c r="M212" t="s">
        <v>24</v>
      </c>
      <c r="N212" t="s">
        <v>24</v>
      </c>
      <c r="O212" t="s">
        <v>25</v>
      </c>
      <c r="P212" s="8" t="s">
        <v>375</v>
      </c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</row>
    <row r="213" spans="1:51" hidden="1" x14ac:dyDescent="0.2">
      <c r="A213" s="6"/>
      <c r="E213" s="2"/>
      <c r="F213" s="3"/>
      <c r="G213" s="3"/>
      <c r="P213" s="8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</row>
    <row r="214" spans="1:51" hidden="1" x14ac:dyDescent="0.2">
      <c r="A214" s="6" t="s">
        <v>17</v>
      </c>
      <c r="B214" t="s">
        <v>118</v>
      </c>
      <c r="C214" t="s">
        <v>119</v>
      </c>
      <c r="D214" t="s">
        <v>376</v>
      </c>
      <c r="E214" s="2">
        <v>739.98</v>
      </c>
      <c r="F214" s="3">
        <f>DATE(2025,2,2)</f>
        <v>45690</v>
      </c>
      <c r="G214" s="3">
        <f>DATE(2025,2,2)</f>
        <v>45690</v>
      </c>
      <c r="H214">
        <v>1754289824</v>
      </c>
      <c r="I214" t="s">
        <v>158</v>
      </c>
      <c r="K214" t="s">
        <v>22</v>
      </c>
      <c r="L214" t="s">
        <v>23</v>
      </c>
      <c r="M214" t="s">
        <v>24</v>
      </c>
      <c r="N214" t="s">
        <v>24</v>
      </c>
      <c r="O214" t="s">
        <v>25</v>
      </c>
      <c r="P214" s="8" t="s">
        <v>377</v>
      </c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</row>
    <row r="215" spans="1:51" hidden="1" x14ac:dyDescent="0.2">
      <c r="A215" s="6" t="s">
        <v>17</v>
      </c>
      <c r="B215" t="s">
        <v>155</v>
      </c>
      <c r="C215" t="s">
        <v>156</v>
      </c>
      <c r="D215" s="12" t="s">
        <v>378</v>
      </c>
      <c r="E215" s="2">
        <v>9.5500000000000007</v>
      </c>
      <c r="F215" s="3">
        <f>DATE(2025,2,1)</f>
        <v>45689</v>
      </c>
      <c r="G215" s="3">
        <f>DATE(2025,2,1)</f>
        <v>45689</v>
      </c>
      <c r="H215">
        <v>1754289825</v>
      </c>
      <c r="I215" t="s">
        <v>158</v>
      </c>
      <c r="K215" t="s">
        <v>22</v>
      </c>
      <c r="L215" t="s">
        <v>23</v>
      </c>
      <c r="M215" t="s">
        <v>24</v>
      </c>
      <c r="N215" t="s">
        <v>24</v>
      </c>
      <c r="O215" t="s">
        <v>25</v>
      </c>
      <c r="P215" s="8" t="s">
        <v>379</v>
      </c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</row>
    <row r="216" spans="1:51" hidden="1" x14ac:dyDescent="0.2">
      <c r="A216" s="6"/>
      <c r="E216" s="2"/>
      <c r="F216" s="3"/>
      <c r="G216" s="3"/>
      <c r="P216" s="8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</row>
    <row r="217" spans="1:51" hidden="1" x14ac:dyDescent="0.2">
      <c r="A217" s="6" t="s">
        <v>17</v>
      </c>
      <c r="B217" t="s">
        <v>35</v>
      </c>
      <c r="C217" t="s">
        <v>35</v>
      </c>
      <c r="D217" t="s">
        <v>204</v>
      </c>
      <c r="E217" s="2">
        <v>12</v>
      </c>
      <c r="F217" s="3">
        <f t="shared" ref="F217:G221" si="9">DATE(2025,2,3)</f>
        <v>45691</v>
      </c>
      <c r="G217" s="3">
        <f t="shared" si="9"/>
        <v>45691</v>
      </c>
      <c r="H217">
        <v>1754304897</v>
      </c>
      <c r="I217" t="s">
        <v>192</v>
      </c>
      <c r="K217" t="s">
        <v>22</v>
      </c>
      <c r="L217" t="s">
        <v>23</v>
      </c>
      <c r="M217" t="s">
        <v>24</v>
      </c>
      <c r="N217" t="s">
        <v>24</v>
      </c>
      <c r="O217" t="s">
        <v>25</v>
      </c>
      <c r="P217" s="8" t="s">
        <v>380</v>
      </c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</row>
    <row r="218" spans="1:51" hidden="1" x14ac:dyDescent="0.2">
      <c r="A218" s="6"/>
      <c r="E218" s="2"/>
      <c r="F218" s="3"/>
      <c r="G218" s="3"/>
      <c r="P218" s="8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</row>
    <row r="219" spans="1:51" hidden="1" x14ac:dyDescent="0.2">
      <c r="A219" s="6"/>
      <c r="E219" s="2"/>
      <c r="F219" s="3"/>
      <c r="G219" s="3"/>
      <c r="P219" s="8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</row>
    <row r="220" spans="1:51" hidden="1" x14ac:dyDescent="0.2">
      <c r="A220" s="6"/>
      <c r="E220" s="2"/>
      <c r="F220" s="3"/>
      <c r="G220" s="3"/>
      <c r="P220" s="8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</row>
    <row r="221" spans="1:51" hidden="1" x14ac:dyDescent="0.2">
      <c r="A221" s="6" t="s">
        <v>17</v>
      </c>
      <c r="B221" t="s">
        <v>38</v>
      </c>
      <c r="C221" t="s">
        <v>39</v>
      </c>
      <c r="D221" t="s">
        <v>381</v>
      </c>
      <c r="E221" s="2">
        <v>5048</v>
      </c>
      <c r="F221" s="3">
        <f t="shared" si="9"/>
        <v>45691</v>
      </c>
      <c r="G221" s="3">
        <f t="shared" si="9"/>
        <v>45691</v>
      </c>
      <c r="H221">
        <v>1754304901</v>
      </c>
      <c r="I221" t="s">
        <v>192</v>
      </c>
      <c r="K221" t="s">
        <v>22</v>
      </c>
      <c r="L221" t="s">
        <v>23</v>
      </c>
      <c r="M221" t="s">
        <v>24</v>
      </c>
      <c r="N221" t="s">
        <v>24</v>
      </c>
      <c r="O221" t="s">
        <v>25</v>
      </c>
      <c r="P221" s="8" t="s">
        <v>382</v>
      </c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</row>
    <row r="222" spans="1:51" hidden="1" x14ac:dyDescent="0.2">
      <c r="A222" s="6"/>
      <c r="E222" s="2"/>
      <c r="F222" s="3"/>
      <c r="G222" s="3"/>
      <c r="P222" s="8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</row>
    <row r="223" spans="1:51" hidden="1" x14ac:dyDescent="0.2">
      <c r="A223" s="6"/>
      <c r="E223" s="2"/>
      <c r="F223" s="3"/>
      <c r="G223" s="3"/>
      <c r="P223" s="8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</row>
    <row r="224" spans="1:51" hidden="1" x14ac:dyDescent="0.2">
      <c r="A224" s="6" t="s">
        <v>17</v>
      </c>
      <c r="B224" t="s">
        <v>309</v>
      </c>
      <c r="C224" t="s">
        <v>310</v>
      </c>
      <c r="D224" t="s">
        <v>383</v>
      </c>
      <c r="E224" s="2">
        <v>2141.41</v>
      </c>
      <c r="F224" s="3">
        <f>DATE(2025,2,5)</f>
        <v>45693</v>
      </c>
      <c r="G224" s="3">
        <f>DATE(2025,2,5)</f>
        <v>45693</v>
      </c>
      <c r="H224">
        <v>1761336431</v>
      </c>
      <c r="I224" t="s">
        <v>21</v>
      </c>
      <c r="K224" t="s">
        <v>22</v>
      </c>
      <c r="L224" t="s">
        <v>23</v>
      </c>
      <c r="M224" t="s">
        <v>24</v>
      </c>
      <c r="N224" t="s">
        <v>24</v>
      </c>
      <c r="O224" t="s">
        <v>25</v>
      </c>
      <c r="P224" s="8" t="s">
        <v>384</v>
      </c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</row>
    <row r="225" spans="1:51" hidden="1" x14ac:dyDescent="0.2">
      <c r="A225" s="6"/>
      <c r="E225" s="2"/>
      <c r="F225" s="3"/>
      <c r="G225" s="3"/>
      <c r="P225" s="8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</row>
    <row r="226" spans="1:51" hidden="1" x14ac:dyDescent="0.2">
      <c r="A226" s="6"/>
      <c r="E226" s="2"/>
      <c r="F226" s="3"/>
      <c r="G226" s="3"/>
      <c r="P226" s="8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</row>
    <row r="227" spans="1:51" hidden="1" x14ac:dyDescent="0.2">
      <c r="A227" s="6" t="s">
        <v>17</v>
      </c>
      <c r="B227" t="s">
        <v>84</v>
      </c>
      <c r="C227" t="s">
        <v>85</v>
      </c>
      <c r="D227" t="s">
        <v>385</v>
      </c>
      <c r="E227" s="2">
        <v>307.08999999999997</v>
      </c>
      <c r="F227" s="3">
        <f t="shared" ref="F227:G230" si="10">DATE(2025,2,5)</f>
        <v>45693</v>
      </c>
      <c r="G227" s="3">
        <f t="shared" si="10"/>
        <v>45693</v>
      </c>
      <c r="H227">
        <v>1761336434</v>
      </c>
      <c r="I227" t="s">
        <v>21</v>
      </c>
      <c r="K227" t="s">
        <v>22</v>
      </c>
      <c r="L227" t="s">
        <v>23</v>
      </c>
      <c r="M227" t="s">
        <v>24</v>
      </c>
      <c r="N227" t="s">
        <v>24</v>
      </c>
      <c r="O227" t="s">
        <v>25</v>
      </c>
      <c r="P227" s="8" t="s">
        <v>386</v>
      </c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</row>
    <row r="228" spans="1:51" hidden="1" x14ac:dyDescent="0.2">
      <c r="A228" s="6" t="s">
        <v>17</v>
      </c>
      <c r="B228" t="s">
        <v>309</v>
      </c>
      <c r="C228" t="s">
        <v>310</v>
      </c>
      <c r="D228" t="s">
        <v>387</v>
      </c>
      <c r="E228" s="2">
        <v>1175.17</v>
      </c>
      <c r="F228" s="3">
        <f t="shared" si="10"/>
        <v>45693</v>
      </c>
      <c r="G228" s="3">
        <f t="shared" si="10"/>
        <v>45693</v>
      </c>
      <c r="H228">
        <v>1761336435</v>
      </c>
      <c r="I228" t="s">
        <v>21</v>
      </c>
      <c r="K228" t="s">
        <v>22</v>
      </c>
      <c r="L228" t="s">
        <v>23</v>
      </c>
      <c r="M228" t="s">
        <v>24</v>
      </c>
      <c r="N228" t="s">
        <v>24</v>
      </c>
      <c r="O228" t="s">
        <v>25</v>
      </c>
      <c r="P228" s="8" t="s">
        <v>388</v>
      </c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</row>
    <row r="229" spans="1:51" hidden="1" x14ac:dyDescent="0.2">
      <c r="A229" s="6" t="s">
        <v>17</v>
      </c>
      <c r="B229" t="s">
        <v>266</v>
      </c>
      <c r="C229" t="s">
        <v>267</v>
      </c>
      <c r="D229" t="s">
        <v>389</v>
      </c>
      <c r="E229" s="2">
        <v>2640</v>
      </c>
      <c r="F229" s="3">
        <f t="shared" si="10"/>
        <v>45693</v>
      </c>
      <c r="G229" s="3">
        <f t="shared" si="10"/>
        <v>45693</v>
      </c>
      <c r="H229">
        <v>1761336436</v>
      </c>
      <c r="I229" t="s">
        <v>21</v>
      </c>
      <c r="K229" t="s">
        <v>22</v>
      </c>
      <c r="L229" t="s">
        <v>23</v>
      </c>
      <c r="M229" t="s">
        <v>24</v>
      </c>
      <c r="N229" t="s">
        <v>24</v>
      </c>
      <c r="O229" t="s">
        <v>25</v>
      </c>
      <c r="P229" s="8" t="s">
        <v>390</v>
      </c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</row>
    <row r="230" spans="1:51" hidden="1" x14ac:dyDescent="0.2">
      <c r="A230" s="6" t="s">
        <v>17</v>
      </c>
      <c r="B230" t="s">
        <v>38</v>
      </c>
      <c r="C230" t="s">
        <v>39</v>
      </c>
      <c r="D230" t="s">
        <v>391</v>
      </c>
      <c r="E230" s="2">
        <v>2300</v>
      </c>
      <c r="F230" s="3">
        <f t="shared" si="10"/>
        <v>45693</v>
      </c>
      <c r="G230" s="3">
        <f t="shared" si="10"/>
        <v>45693</v>
      </c>
      <c r="H230">
        <v>1761336437</v>
      </c>
      <c r="I230" t="s">
        <v>21</v>
      </c>
      <c r="K230" t="s">
        <v>22</v>
      </c>
      <c r="L230" t="s">
        <v>23</v>
      </c>
      <c r="M230" t="s">
        <v>24</v>
      </c>
      <c r="N230" t="s">
        <v>24</v>
      </c>
      <c r="O230" t="s">
        <v>25</v>
      </c>
      <c r="P230" s="8" t="s">
        <v>392</v>
      </c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</row>
    <row r="231" spans="1:51" hidden="1" x14ac:dyDescent="0.2">
      <c r="A231" s="6" t="s">
        <v>17</v>
      </c>
      <c r="B231" t="s">
        <v>31</v>
      </c>
      <c r="C231" t="s">
        <v>32</v>
      </c>
      <c r="D231" t="s">
        <v>393</v>
      </c>
      <c r="E231" s="2">
        <v>52.5</v>
      </c>
      <c r="F231" s="3">
        <f>DATE(2025,2,6)</f>
        <v>45694</v>
      </c>
      <c r="G231" s="3">
        <f>DATE(2025,2,6)</f>
        <v>45694</v>
      </c>
      <c r="H231">
        <v>1761336438</v>
      </c>
      <c r="I231" t="s">
        <v>21</v>
      </c>
      <c r="K231" t="s">
        <v>22</v>
      </c>
      <c r="L231" t="s">
        <v>23</v>
      </c>
      <c r="M231" t="s">
        <v>24</v>
      </c>
      <c r="N231" t="s">
        <v>24</v>
      </c>
      <c r="O231" t="s">
        <v>25</v>
      </c>
      <c r="P231" s="8" t="s">
        <v>394</v>
      </c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</row>
    <row r="232" spans="1:51" hidden="1" x14ac:dyDescent="0.2">
      <c r="A232" s="6" t="s">
        <v>17</v>
      </c>
      <c r="B232" t="s">
        <v>84</v>
      </c>
      <c r="C232" t="s">
        <v>85</v>
      </c>
      <c r="D232" t="s">
        <v>395</v>
      </c>
      <c r="E232" s="2">
        <v>298.67</v>
      </c>
      <c r="F232" s="3">
        <f>DATE(2025,2,5)</f>
        <v>45693</v>
      </c>
      <c r="G232" s="3">
        <f>DATE(2025,2,5)</f>
        <v>45693</v>
      </c>
      <c r="H232">
        <v>1761336439</v>
      </c>
      <c r="I232" t="s">
        <v>21</v>
      </c>
      <c r="K232" t="s">
        <v>22</v>
      </c>
      <c r="L232" t="s">
        <v>23</v>
      </c>
      <c r="M232" t="s">
        <v>24</v>
      </c>
      <c r="N232" t="s">
        <v>24</v>
      </c>
      <c r="O232" t="s">
        <v>25</v>
      </c>
      <c r="P232" s="8" t="s">
        <v>396</v>
      </c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</row>
    <row r="233" spans="1:51" hidden="1" x14ac:dyDescent="0.2">
      <c r="A233" s="6" t="s">
        <v>17</v>
      </c>
      <c r="B233" t="s">
        <v>132</v>
      </c>
      <c r="C233" t="s">
        <v>133</v>
      </c>
      <c r="D233" t="s">
        <v>397</v>
      </c>
      <c r="E233" s="2">
        <v>68.3</v>
      </c>
      <c r="F233" s="3">
        <f>DATE(2025,2,4)</f>
        <v>45692</v>
      </c>
      <c r="G233" s="3">
        <f>DATE(2025,2,4)</f>
        <v>45692</v>
      </c>
      <c r="H233">
        <v>1761336792</v>
      </c>
      <c r="I233" t="s">
        <v>158</v>
      </c>
      <c r="K233" t="s">
        <v>22</v>
      </c>
      <c r="L233" t="s">
        <v>23</v>
      </c>
      <c r="M233" t="s">
        <v>24</v>
      </c>
      <c r="N233" t="s">
        <v>24</v>
      </c>
      <c r="O233" t="s">
        <v>25</v>
      </c>
      <c r="P233" s="8" t="s">
        <v>398</v>
      </c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</row>
    <row r="234" spans="1:51" hidden="1" x14ac:dyDescent="0.2">
      <c r="A234" s="6" t="s">
        <v>17</v>
      </c>
      <c r="B234" t="s">
        <v>399</v>
      </c>
      <c r="C234" t="s">
        <v>400</v>
      </c>
      <c r="D234" t="s">
        <v>401</v>
      </c>
      <c r="E234" s="2">
        <v>32.4</v>
      </c>
      <c r="F234" s="3">
        <f t="shared" ref="F234:G237" si="11">DATE(2025,2,5)</f>
        <v>45693</v>
      </c>
      <c r="G234" s="3">
        <f t="shared" si="11"/>
        <v>45693</v>
      </c>
      <c r="H234">
        <v>1761453096</v>
      </c>
      <c r="I234" t="s">
        <v>192</v>
      </c>
      <c r="K234" t="s">
        <v>22</v>
      </c>
      <c r="L234" t="s">
        <v>23</v>
      </c>
      <c r="M234" t="s">
        <v>24</v>
      </c>
      <c r="N234" t="s">
        <v>24</v>
      </c>
      <c r="O234" t="s">
        <v>25</v>
      </c>
      <c r="P234" s="8" t="s">
        <v>402</v>
      </c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</row>
    <row r="235" spans="1:51" hidden="1" x14ac:dyDescent="0.2">
      <c r="A235" s="6"/>
      <c r="E235" s="2"/>
      <c r="F235" s="3"/>
      <c r="G235" s="3"/>
      <c r="P235" s="8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</row>
    <row r="236" spans="1:51" hidden="1" x14ac:dyDescent="0.2">
      <c r="A236" s="6" t="s">
        <v>17</v>
      </c>
      <c r="B236" t="s">
        <v>198</v>
      </c>
      <c r="C236" t="s">
        <v>199</v>
      </c>
      <c r="D236" t="s">
        <v>403</v>
      </c>
      <c r="E236" s="2">
        <v>3610.85</v>
      </c>
      <c r="F236" s="3">
        <f t="shared" si="11"/>
        <v>45693</v>
      </c>
      <c r="G236" s="3">
        <f t="shared" si="11"/>
        <v>45693</v>
      </c>
      <c r="H236">
        <v>1761453098</v>
      </c>
      <c r="I236" t="s">
        <v>192</v>
      </c>
      <c r="K236" t="s">
        <v>22</v>
      </c>
      <c r="L236" t="s">
        <v>23</v>
      </c>
      <c r="M236" t="s">
        <v>24</v>
      </c>
      <c r="N236" t="s">
        <v>24</v>
      </c>
      <c r="O236" t="s">
        <v>25</v>
      </c>
      <c r="P236" s="8" t="s">
        <v>404</v>
      </c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</row>
    <row r="237" spans="1:51" hidden="1" x14ac:dyDescent="0.2">
      <c r="A237" s="6" t="s">
        <v>17</v>
      </c>
      <c r="B237" t="s">
        <v>198</v>
      </c>
      <c r="C237" t="s">
        <v>199</v>
      </c>
      <c r="D237" t="s">
        <v>405</v>
      </c>
      <c r="E237" s="2">
        <v>242.01</v>
      </c>
      <c r="F237" s="3">
        <f t="shared" si="11"/>
        <v>45693</v>
      </c>
      <c r="G237" s="3">
        <f t="shared" si="11"/>
        <v>45693</v>
      </c>
      <c r="H237">
        <v>1761453099</v>
      </c>
      <c r="I237" t="s">
        <v>192</v>
      </c>
      <c r="K237" t="s">
        <v>22</v>
      </c>
      <c r="L237" t="s">
        <v>23</v>
      </c>
      <c r="M237" t="s">
        <v>24</v>
      </c>
      <c r="N237" t="s">
        <v>24</v>
      </c>
      <c r="O237" t="s">
        <v>25</v>
      </c>
      <c r="P237" s="8" t="s">
        <v>406</v>
      </c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</row>
    <row r="238" spans="1:51" hidden="1" x14ac:dyDescent="0.2">
      <c r="A238" s="6" t="s">
        <v>17</v>
      </c>
      <c r="B238" t="s">
        <v>42</v>
      </c>
      <c r="C238" t="s">
        <v>43</v>
      </c>
      <c r="D238" t="s">
        <v>44</v>
      </c>
      <c r="E238" s="2">
        <v>500</v>
      </c>
      <c r="F238" s="3">
        <f>DATE(2025,2,7)</f>
        <v>45695</v>
      </c>
      <c r="G238" s="3">
        <f>DATE(2025,2,7)</f>
        <v>45695</v>
      </c>
      <c r="H238">
        <v>1767405728</v>
      </c>
      <c r="I238" t="s">
        <v>21</v>
      </c>
      <c r="K238" t="s">
        <v>22</v>
      </c>
      <c r="L238" t="s">
        <v>23</v>
      </c>
      <c r="M238" t="s">
        <v>24</v>
      </c>
      <c r="N238" t="s">
        <v>24</v>
      </c>
      <c r="O238" t="s">
        <v>25</v>
      </c>
      <c r="P238" s="8" t="s">
        <v>407</v>
      </c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</row>
    <row r="239" spans="1:51" hidden="1" x14ac:dyDescent="0.2">
      <c r="A239" s="6" t="s">
        <v>17</v>
      </c>
      <c r="B239" t="s">
        <v>132</v>
      </c>
      <c r="C239" t="s">
        <v>133</v>
      </c>
      <c r="D239" t="s">
        <v>408</v>
      </c>
      <c r="E239" s="2">
        <v>1</v>
      </c>
      <c r="F239" s="3">
        <f t="shared" ref="F239:G244" si="12">DATE(2025,2,5)</f>
        <v>45693</v>
      </c>
      <c r="G239" s="3">
        <f t="shared" si="12"/>
        <v>45693</v>
      </c>
      <c r="H239">
        <v>1767405740</v>
      </c>
      <c r="I239" t="s">
        <v>158</v>
      </c>
      <c r="K239" t="s">
        <v>22</v>
      </c>
      <c r="L239" t="s">
        <v>23</v>
      </c>
      <c r="M239" t="s">
        <v>24</v>
      </c>
      <c r="N239" t="s">
        <v>24</v>
      </c>
      <c r="O239" t="s">
        <v>25</v>
      </c>
      <c r="P239" s="8" t="s">
        <v>409</v>
      </c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</row>
    <row r="240" spans="1:51" hidden="1" x14ac:dyDescent="0.2">
      <c r="A240" s="6" t="s">
        <v>17</v>
      </c>
      <c r="B240" t="s">
        <v>132</v>
      </c>
      <c r="C240" t="s">
        <v>133</v>
      </c>
      <c r="D240" t="s">
        <v>410</v>
      </c>
      <c r="E240" s="2">
        <v>16.93</v>
      </c>
      <c r="F240" s="3">
        <f t="shared" si="12"/>
        <v>45693</v>
      </c>
      <c r="G240" s="3">
        <f t="shared" si="12"/>
        <v>45693</v>
      </c>
      <c r="H240">
        <v>1767405741</v>
      </c>
      <c r="I240" t="s">
        <v>158</v>
      </c>
      <c r="K240" t="s">
        <v>22</v>
      </c>
      <c r="L240" t="s">
        <v>23</v>
      </c>
      <c r="M240" t="s">
        <v>24</v>
      </c>
      <c r="N240" t="s">
        <v>24</v>
      </c>
      <c r="O240" t="s">
        <v>25</v>
      </c>
      <c r="P240" s="8" t="s">
        <v>411</v>
      </c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</row>
    <row r="241" spans="1:51" hidden="1" x14ac:dyDescent="0.2">
      <c r="A241" s="6" t="s">
        <v>17</v>
      </c>
      <c r="B241" t="s">
        <v>132</v>
      </c>
      <c r="C241" t="s">
        <v>133</v>
      </c>
      <c r="D241" t="s">
        <v>412</v>
      </c>
      <c r="E241" s="2">
        <v>54.1</v>
      </c>
      <c r="F241" s="3">
        <f t="shared" si="12"/>
        <v>45693</v>
      </c>
      <c r="G241" s="3">
        <f t="shared" si="12"/>
        <v>45693</v>
      </c>
      <c r="H241">
        <v>1767405742</v>
      </c>
      <c r="I241" t="s">
        <v>158</v>
      </c>
      <c r="K241" t="s">
        <v>22</v>
      </c>
      <c r="L241" t="s">
        <v>23</v>
      </c>
      <c r="M241" t="s">
        <v>24</v>
      </c>
      <c r="N241" t="s">
        <v>24</v>
      </c>
      <c r="O241" t="s">
        <v>25</v>
      </c>
      <c r="P241" s="8" t="s">
        <v>413</v>
      </c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</row>
    <row r="242" spans="1:51" hidden="1" x14ac:dyDescent="0.2">
      <c r="A242" s="6" t="s">
        <v>17</v>
      </c>
      <c r="B242" t="s">
        <v>132</v>
      </c>
      <c r="C242" t="s">
        <v>133</v>
      </c>
      <c r="D242" t="s">
        <v>414</v>
      </c>
      <c r="E242" s="2">
        <v>1094.7</v>
      </c>
      <c r="F242" s="3">
        <f t="shared" si="12"/>
        <v>45693</v>
      </c>
      <c r="G242" s="3">
        <f t="shared" si="12"/>
        <v>45693</v>
      </c>
      <c r="H242">
        <v>1767405743</v>
      </c>
      <c r="I242" t="s">
        <v>158</v>
      </c>
      <c r="K242" t="s">
        <v>22</v>
      </c>
      <c r="L242" t="s">
        <v>23</v>
      </c>
      <c r="M242" t="s">
        <v>24</v>
      </c>
      <c r="N242" t="s">
        <v>24</v>
      </c>
      <c r="O242" t="s">
        <v>25</v>
      </c>
      <c r="P242" s="8" t="s">
        <v>415</v>
      </c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</row>
    <row r="243" spans="1:51" hidden="1" x14ac:dyDescent="0.2">
      <c r="A243" s="6" t="s">
        <v>17</v>
      </c>
      <c r="B243" t="s">
        <v>132</v>
      </c>
      <c r="C243" t="s">
        <v>133</v>
      </c>
      <c r="D243" t="s">
        <v>410</v>
      </c>
      <c r="E243" s="2">
        <v>20.61</v>
      </c>
      <c r="F243" s="3">
        <f t="shared" si="12"/>
        <v>45693</v>
      </c>
      <c r="G243" s="3">
        <f t="shared" si="12"/>
        <v>45693</v>
      </c>
      <c r="H243">
        <v>1767405744</v>
      </c>
      <c r="I243" t="s">
        <v>158</v>
      </c>
      <c r="K243" t="s">
        <v>22</v>
      </c>
      <c r="L243" t="s">
        <v>23</v>
      </c>
      <c r="M243" t="s">
        <v>24</v>
      </c>
      <c r="N243" t="s">
        <v>24</v>
      </c>
      <c r="O243" t="s">
        <v>25</v>
      </c>
      <c r="P243" s="8" t="s">
        <v>416</v>
      </c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</row>
    <row r="244" spans="1:51" hidden="1" x14ac:dyDescent="0.2">
      <c r="A244" s="6" t="s">
        <v>17</v>
      </c>
      <c r="B244" t="s">
        <v>132</v>
      </c>
      <c r="C244" t="s">
        <v>133</v>
      </c>
      <c r="D244" t="s">
        <v>417</v>
      </c>
      <c r="E244" s="2">
        <v>100.94</v>
      </c>
      <c r="F244" s="3">
        <f t="shared" si="12"/>
        <v>45693</v>
      </c>
      <c r="G244" s="3">
        <f t="shared" si="12"/>
        <v>45693</v>
      </c>
      <c r="H244">
        <v>1767405745</v>
      </c>
      <c r="I244" t="s">
        <v>158</v>
      </c>
      <c r="K244" t="s">
        <v>22</v>
      </c>
      <c r="L244" t="s">
        <v>23</v>
      </c>
      <c r="M244" t="s">
        <v>24</v>
      </c>
      <c r="N244" t="s">
        <v>24</v>
      </c>
      <c r="O244" t="s">
        <v>25</v>
      </c>
      <c r="P244" s="8" t="s">
        <v>418</v>
      </c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</row>
    <row r="245" spans="1:51" hidden="1" x14ac:dyDescent="0.2">
      <c r="A245" s="6" t="s">
        <v>17</v>
      </c>
      <c r="B245" t="s">
        <v>244</v>
      </c>
      <c r="C245" t="s">
        <v>245</v>
      </c>
      <c r="D245" t="s">
        <v>419</v>
      </c>
      <c r="E245" s="2">
        <v>18.600000000000001</v>
      </c>
      <c r="F245" s="3">
        <f>DATE(2025,2,6)</f>
        <v>45694</v>
      </c>
      <c r="G245" s="3">
        <f>DATE(2025,2,6)</f>
        <v>45694</v>
      </c>
      <c r="H245">
        <v>1767568983</v>
      </c>
      <c r="I245" t="s">
        <v>192</v>
      </c>
      <c r="K245" t="s">
        <v>22</v>
      </c>
      <c r="L245" t="s">
        <v>23</v>
      </c>
      <c r="M245" t="s">
        <v>24</v>
      </c>
      <c r="N245" t="s">
        <v>24</v>
      </c>
      <c r="O245" t="s">
        <v>25</v>
      </c>
      <c r="P245" s="8" t="s">
        <v>420</v>
      </c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</row>
    <row r="246" spans="1:51" hidden="1" x14ac:dyDescent="0.2">
      <c r="A246" s="6"/>
      <c r="E246" s="2"/>
      <c r="F246" s="3"/>
      <c r="G246" s="3"/>
      <c r="P246" s="8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</row>
    <row r="247" spans="1:51" hidden="1" x14ac:dyDescent="0.2">
      <c r="A247" s="6" t="s">
        <v>17</v>
      </c>
      <c r="B247" t="s">
        <v>132</v>
      </c>
      <c r="C247" t="s">
        <v>133</v>
      </c>
      <c r="D247" t="s">
        <v>421</v>
      </c>
      <c r="E247" s="2">
        <v>226.8</v>
      </c>
      <c r="F247" s="3">
        <f>DATE(2025,2,6)</f>
        <v>45694</v>
      </c>
      <c r="G247" s="3">
        <f>DATE(2025,2,6)</f>
        <v>45694</v>
      </c>
      <c r="H247">
        <v>1771408550</v>
      </c>
      <c r="I247" t="s">
        <v>158</v>
      </c>
      <c r="K247" t="s">
        <v>22</v>
      </c>
      <c r="L247" t="s">
        <v>23</v>
      </c>
      <c r="M247" t="s">
        <v>24</v>
      </c>
      <c r="N247" t="s">
        <v>24</v>
      </c>
      <c r="O247" t="s">
        <v>25</v>
      </c>
      <c r="P247" s="8" t="s">
        <v>422</v>
      </c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</row>
    <row r="248" spans="1:51" hidden="1" x14ac:dyDescent="0.2">
      <c r="A248" s="6" t="s">
        <v>17</v>
      </c>
      <c r="B248" t="s">
        <v>132</v>
      </c>
      <c r="C248" t="s">
        <v>133</v>
      </c>
      <c r="D248" t="s">
        <v>423</v>
      </c>
      <c r="E248" s="2">
        <v>16.600000000000001</v>
      </c>
      <c r="F248" s="3">
        <f>DATE(2025,2,5)</f>
        <v>45693</v>
      </c>
      <c r="G248" s="3">
        <f>DATE(2025,2,5)</f>
        <v>45693</v>
      </c>
      <c r="H248">
        <v>1771408551</v>
      </c>
      <c r="I248" t="s">
        <v>158</v>
      </c>
      <c r="K248" t="s">
        <v>22</v>
      </c>
      <c r="L248" t="s">
        <v>23</v>
      </c>
      <c r="M248" t="s">
        <v>24</v>
      </c>
      <c r="N248" t="s">
        <v>24</v>
      </c>
      <c r="O248" t="s">
        <v>25</v>
      </c>
      <c r="P248" s="8" t="s">
        <v>424</v>
      </c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</row>
    <row r="249" spans="1:51" hidden="1" x14ac:dyDescent="0.2">
      <c r="A249" s="6" t="s">
        <v>17</v>
      </c>
      <c r="B249" t="s">
        <v>132</v>
      </c>
      <c r="C249" t="s">
        <v>133</v>
      </c>
      <c r="D249" t="s">
        <v>425</v>
      </c>
      <c r="E249" s="2">
        <v>213</v>
      </c>
      <c r="F249" s="3">
        <f>DATE(2025,2,6)</f>
        <v>45694</v>
      </c>
      <c r="G249" s="3">
        <f>DATE(2025,2,6)</f>
        <v>45694</v>
      </c>
      <c r="H249">
        <v>1771408552</v>
      </c>
      <c r="I249" t="s">
        <v>158</v>
      </c>
      <c r="K249" t="s">
        <v>22</v>
      </c>
      <c r="L249" t="s">
        <v>23</v>
      </c>
      <c r="M249" t="s">
        <v>24</v>
      </c>
      <c r="N249" t="s">
        <v>24</v>
      </c>
      <c r="O249" t="s">
        <v>25</v>
      </c>
      <c r="P249" s="8" t="s">
        <v>426</v>
      </c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</row>
    <row r="250" spans="1:51" hidden="1" x14ac:dyDescent="0.2">
      <c r="A250" s="6" t="s">
        <v>17</v>
      </c>
      <c r="B250" t="s">
        <v>132</v>
      </c>
      <c r="C250" t="s">
        <v>133</v>
      </c>
      <c r="D250" t="s">
        <v>410</v>
      </c>
      <c r="E250" s="2">
        <v>26.95</v>
      </c>
      <c r="F250" s="3">
        <f>DATE(2025,2,6)</f>
        <v>45694</v>
      </c>
      <c r="G250" s="3">
        <f>DATE(2025,2,6)</f>
        <v>45694</v>
      </c>
      <c r="H250">
        <v>1771408553</v>
      </c>
      <c r="I250" t="s">
        <v>158</v>
      </c>
      <c r="K250" t="s">
        <v>22</v>
      </c>
      <c r="L250" t="s">
        <v>23</v>
      </c>
      <c r="M250" t="s">
        <v>24</v>
      </c>
      <c r="N250" t="s">
        <v>24</v>
      </c>
      <c r="O250" t="s">
        <v>25</v>
      </c>
      <c r="P250" s="8" t="s">
        <v>427</v>
      </c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</row>
    <row r="251" spans="1:51" hidden="1" x14ac:dyDescent="0.2">
      <c r="A251" s="6" t="s">
        <v>17</v>
      </c>
      <c r="B251" t="s">
        <v>132</v>
      </c>
      <c r="C251" t="s">
        <v>133</v>
      </c>
      <c r="D251" t="s">
        <v>410</v>
      </c>
      <c r="E251" s="2">
        <v>21.37</v>
      </c>
      <c r="F251" s="3">
        <f>DATE(2025,2,5)</f>
        <v>45693</v>
      </c>
      <c r="G251" s="3">
        <f>DATE(2025,2,5)</f>
        <v>45693</v>
      </c>
      <c r="H251">
        <v>1771408554</v>
      </c>
      <c r="I251" t="s">
        <v>158</v>
      </c>
      <c r="K251" t="s">
        <v>22</v>
      </c>
      <c r="L251" t="s">
        <v>23</v>
      </c>
      <c r="M251" t="s">
        <v>24</v>
      </c>
      <c r="N251" t="s">
        <v>24</v>
      </c>
      <c r="O251" t="s">
        <v>25</v>
      </c>
      <c r="P251" s="8" t="s">
        <v>428</v>
      </c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</row>
    <row r="252" spans="1:51" hidden="1" x14ac:dyDescent="0.2">
      <c r="A252" s="6"/>
      <c r="E252" s="2"/>
      <c r="F252" s="3"/>
      <c r="G252" s="3"/>
      <c r="P252" s="8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</row>
    <row r="253" spans="1:51" hidden="1" x14ac:dyDescent="0.2">
      <c r="A253" s="6"/>
      <c r="E253" s="2"/>
      <c r="F253" s="3"/>
      <c r="G253" s="3"/>
      <c r="P253" s="8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</row>
    <row r="254" spans="1:51" hidden="1" x14ac:dyDescent="0.2">
      <c r="A254" s="6" t="s">
        <v>17</v>
      </c>
      <c r="B254" t="s">
        <v>132</v>
      </c>
      <c r="C254" t="s">
        <v>133</v>
      </c>
      <c r="D254" t="s">
        <v>410</v>
      </c>
      <c r="E254" s="2">
        <v>26.74</v>
      </c>
      <c r="F254" s="3">
        <f t="shared" ref="F254:G254" si="13">DATE(2025,2,7)</f>
        <v>45695</v>
      </c>
      <c r="G254" s="3">
        <f t="shared" si="13"/>
        <v>45695</v>
      </c>
      <c r="H254">
        <v>1775653468</v>
      </c>
      <c r="I254" t="s">
        <v>158</v>
      </c>
      <c r="K254" t="s">
        <v>22</v>
      </c>
      <c r="L254" t="s">
        <v>23</v>
      </c>
      <c r="M254" t="s">
        <v>24</v>
      </c>
      <c r="N254" t="s">
        <v>24</v>
      </c>
      <c r="O254" t="s">
        <v>25</v>
      </c>
      <c r="P254" s="8" t="s">
        <v>429</v>
      </c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</row>
    <row r="255" spans="1:51" hidden="1" x14ac:dyDescent="0.2">
      <c r="A255" s="6" t="s">
        <v>17</v>
      </c>
      <c r="B255" t="s">
        <v>132</v>
      </c>
      <c r="C255" t="s">
        <v>133</v>
      </c>
      <c r="D255" t="s">
        <v>410</v>
      </c>
      <c r="E255" s="2">
        <v>21.04</v>
      </c>
      <c r="F255" s="3">
        <f>DATE(2025,2,6)</f>
        <v>45694</v>
      </c>
      <c r="G255" s="3">
        <f>DATE(2025,2,6)</f>
        <v>45694</v>
      </c>
      <c r="H255">
        <v>1775653469</v>
      </c>
      <c r="I255" t="s">
        <v>158</v>
      </c>
      <c r="K255" t="s">
        <v>22</v>
      </c>
      <c r="L255" t="s">
        <v>23</v>
      </c>
      <c r="M255" t="s">
        <v>24</v>
      </c>
      <c r="N255" t="s">
        <v>24</v>
      </c>
      <c r="O255" t="s">
        <v>25</v>
      </c>
      <c r="P255" s="8" t="s">
        <v>430</v>
      </c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</row>
    <row r="256" spans="1:51" hidden="1" x14ac:dyDescent="0.2">
      <c r="A256" s="6" t="s">
        <v>17</v>
      </c>
      <c r="B256" t="s">
        <v>132</v>
      </c>
      <c r="C256" t="s">
        <v>133</v>
      </c>
      <c r="D256" t="s">
        <v>423</v>
      </c>
      <c r="E256" s="2">
        <v>12.4</v>
      </c>
      <c r="F256" s="3">
        <f>DATE(2025,2,6)</f>
        <v>45694</v>
      </c>
      <c r="G256" s="3">
        <f>DATE(2025,2,6)</f>
        <v>45694</v>
      </c>
      <c r="H256">
        <v>1775653470</v>
      </c>
      <c r="I256" t="s">
        <v>158</v>
      </c>
      <c r="K256" t="s">
        <v>22</v>
      </c>
      <c r="L256" t="s">
        <v>23</v>
      </c>
      <c r="M256" t="s">
        <v>24</v>
      </c>
      <c r="N256" t="s">
        <v>24</v>
      </c>
      <c r="O256" t="s">
        <v>25</v>
      </c>
      <c r="P256" s="8" t="s">
        <v>431</v>
      </c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</row>
    <row r="257" spans="1:51" hidden="1" x14ac:dyDescent="0.2">
      <c r="A257" s="6" t="s">
        <v>17</v>
      </c>
      <c r="B257" t="s">
        <v>132</v>
      </c>
      <c r="C257" t="s">
        <v>133</v>
      </c>
      <c r="D257" t="s">
        <v>432</v>
      </c>
      <c r="E257" s="2">
        <v>105</v>
      </c>
      <c r="F257" s="3">
        <f>DATE(2025,2,7)</f>
        <v>45695</v>
      </c>
      <c r="G257" s="3">
        <f>DATE(2025,2,7)</f>
        <v>45695</v>
      </c>
      <c r="H257">
        <v>1775653471</v>
      </c>
      <c r="I257" t="s">
        <v>158</v>
      </c>
      <c r="K257" t="s">
        <v>22</v>
      </c>
      <c r="L257" t="s">
        <v>23</v>
      </c>
      <c r="M257" t="s">
        <v>24</v>
      </c>
      <c r="N257" t="s">
        <v>24</v>
      </c>
      <c r="O257" t="s">
        <v>25</v>
      </c>
      <c r="P257" s="8" t="s">
        <v>433</v>
      </c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</row>
    <row r="258" spans="1:51" hidden="1" x14ac:dyDescent="0.2">
      <c r="A258" s="6" t="s">
        <v>17</v>
      </c>
      <c r="B258" t="s">
        <v>60</v>
      </c>
      <c r="C258" t="s">
        <v>61</v>
      </c>
      <c r="D258" t="s">
        <v>434</v>
      </c>
      <c r="E258" s="2">
        <v>118.8</v>
      </c>
      <c r="F258" s="3">
        <f t="shared" ref="F258:G259" si="14">DATE(2025,2,10)</f>
        <v>45698</v>
      </c>
      <c r="G258" s="3">
        <f t="shared" si="14"/>
        <v>45698</v>
      </c>
      <c r="H258">
        <v>1780846759</v>
      </c>
      <c r="I258" t="s">
        <v>21</v>
      </c>
      <c r="K258" t="s">
        <v>22</v>
      </c>
      <c r="L258" t="s">
        <v>23</v>
      </c>
      <c r="M258" t="s">
        <v>24</v>
      </c>
      <c r="N258" t="s">
        <v>24</v>
      </c>
      <c r="O258" t="s">
        <v>25</v>
      </c>
      <c r="P258" s="8" t="s">
        <v>435</v>
      </c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</row>
    <row r="259" spans="1:51" hidden="1" x14ac:dyDescent="0.2">
      <c r="A259" s="6" t="s">
        <v>17</v>
      </c>
      <c r="B259" t="s">
        <v>42</v>
      </c>
      <c r="C259" t="s">
        <v>43</v>
      </c>
      <c r="D259" t="s">
        <v>436</v>
      </c>
      <c r="E259" s="2">
        <v>143.30000000000001</v>
      </c>
      <c r="F259" s="3">
        <f t="shared" si="14"/>
        <v>45698</v>
      </c>
      <c r="G259" s="3">
        <f t="shared" si="14"/>
        <v>45698</v>
      </c>
      <c r="H259">
        <v>1780846760</v>
      </c>
      <c r="I259" t="s">
        <v>21</v>
      </c>
      <c r="K259" t="s">
        <v>22</v>
      </c>
      <c r="L259" t="s">
        <v>23</v>
      </c>
      <c r="M259" t="s">
        <v>24</v>
      </c>
      <c r="N259" t="s">
        <v>24</v>
      </c>
      <c r="O259" t="s">
        <v>25</v>
      </c>
      <c r="P259" s="8" t="s">
        <v>437</v>
      </c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</row>
    <row r="260" spans="1:51" hidden="1" x14ac:dyDescent="0.2">
      <c r="A260" s="6"/>
      <c r="E260" s="2"/>
      <c r="F260" s="3"/>
      <c r="G260" s="3"/>
      <c r="P260" s="8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</row>
    <row r="261" spans="1:51" hidden="1" x14ac:dyDescent="0.2">
      <c r="A261" s="6"/>
      <c r="E261" s="2"/>
      <c r="F261" s="3"/>
      <c r="G261" s="3"/>
      <c r="P261" s="8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</row>
    <row r="262" spans="1:51" hidden="1" x14ac:dyDescent="0.2">
      <c r="A262" s="6" t="s">
        <v>17</v>
      </c>
      <c r="B262" t="s">
        <v>27</v>
      </c>
      <c r="C262" t="s">
        <v>28</v>
      </c>
      <c r="D262" t="s">
        <v>438</v>
      </c>
      <c r="E262" s="2">
        <v>871.08</v>
      </c>
      <c r="F262" s="3">
        <f t="shared" ref="F262:G263" si="15">DATE(2025,2,11)</f>
        <v>45699</v>
      </c>
      <c r="G262" s="3">
        <f t="shared" si="15"/>
        <v>45699</v>
      </c>
      <c r="H262">
        <v>1786724874</v>
      </c>
      <c r="I262" t="s">
        <v>21</v>
      </c>
      <c r="K262" t="s">
        <v>22</v>
      </c>
      <c r="L262" t="s">
        <v>23</v>
      </c>
      <c r="M262" t="s">
        <v>24</v>
      </c>
      <c r="N262" t="s">
        <v>24</v>
      </c>
      <c r="O262" t="s">
        <v>25</v>
      </c>
      <c r="P262" s="8" t="s">
        <v>439</v>
      </c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</row>
    <row r="263" spans="1:51" hidden="1" x14ac:dyDescent="0.2">
      <c r="A263" s="6" t="s">
        <v>17</v>
      </c>
      <c r="B263" t="s">
        <v>118</v>
      </c>
      <c r="C263" t="s">
        <v>119</v>
      </c>
      <c r="D263" t="s">
        <v>440</v>
      </c>
      <c r="E263" s="2">
        <v>30</v>
      </c>
      <c r="F263" s="3">
        <f t="shared" si="15"/>
        <v>45699</v>
      </c>
      <c r="G263" s="3">
        <f t="shared" si="15"/>
        <v>45699</v>
      </c>
      <c r="H263">
        <v>1786724875</v>
      </c>
      <c r="I263" t="s">
        <v>21</v>
      </c>
      <c r="K263" t="s">
        <v>22</v>
      </c>
      <c r="L263" t="s">
        <v>23</v>
      </c>
      <c r="M263" t="s">
        <v>24</v>
      </c>
      <c r="N263" t="s">
        <v>24</v>
      </c>
      <c r="O263" t="s">
        <v>25</v>
      </c>
      <c r="P263" s="8" t="s">
        <v>441</v>
      </c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</row>
    <row r="264" spans="1:51" hidden="1" x14ac:dyDescent="0.2">
      <c r="A264" s="6"/>
      <c r="E264" s="2"/>
      <c r="F264" s="3"/>
      <c r="G264" s="3"/>
      <c r="P264" s="8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</row>
    <row r="265" spans="1:51" hidden="1" x14ac:dyDescent="0.2">
      <c r="A265" s="6" t="s">
        <v>17</v>
      </c>
      <c r="B265" t="s">
        <v>90</v>
      </c>
      <c r="C265" t="s">
        <v>91</v>
      </c>
      <c r="D265" t="s">
        <v>442</v>
      </c>
      <c r="E265" s="2">
        <v>840</v>
      </c>
      <c r="F265" s="3">
        <f>DATE(2025,2,11)</f>
        <v>45699</v>
      </c>
      <c r="G265" s="3">
        <f>DATE(2025,2,11)</f>
        <v>45699</v>
      </c>
      <c r="H265">
        <v>1786724877</v>
      </c>
      <c r="I265" t="s">
        <v>21</v>
      </c>
      <c r="K265" t="s">
        <v>22</v>
      </c>
      <c r="L265" t="s">
        <v>23</v>
      </c>
      <c r="M265" t="s">
        <v>24</v>
      </c>
      <c r="N265" t="s">
        <v>24</v>
      </c>
      <c r="O265" t="s">
        <v>25</v>
      </c>
      <c r="P265" s="8" t="s">
        <v>443</v>
      </c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</row>
    <row r="266" spans="1:51" hidden="1" x14ac:dyDescent="0.2">
      <c r="A266" s="6" t="s">
        <v>17</v>
      </c>
      <c r="B266" t="s">
        <v>27</v>
      </c>
      <c r="C266" t="s">
        <v>28</v>
      </c>
      <c r="D266" t="s">
        <v>444</v>
      </c>
      <c r="E266" s="2">
        <v>1156.0999999999999</v>
      </c>
      <c r="F266" s="3">
        <f>DATE(2025,2,11)</f>
        <v>45699</v>
      </c>
      <c r="G266" s="3">
        <f>DATE(2025,2,11)</f>
        <v>45699</v>
      </c>
      <c r="H266">
        <v>1786724878</v>
      </c>
      <c r="I266" t="s">
        <v>21</v>
      </c>
      <c r="K266" t="s">
        <v>22</v>
      </c>
      <c r="L266" t="s">
        <v>23</v>
      </c>
      <c r="M266" t="s">
        <v>24</v>
      </c>
      <c r="N266" t="s">
        <v>24</v>
      </c>
      <c r="O266" t="s">
        <v>25</v>
      </c>
      <c r="P266" s="8" t="s">
        <v>445</v>
      </c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</row>
    <row r="267" spans="1:51" hidden="1" x14ac:dyDescent="0.2">
      <c r="A267" s="6" t="s">
        <v>17</v>
      </c>
      <c r="B267" t="s">
        <v>132</v>
      </c>
      <c r="C267" t="s">
        <v>133</v>
      </c>
      <c r="D267" t="s">
        <v>446</v>
      </c>
      <c r="E267" s="2">
        <v>311</v>
      </c>
      <c r="F267" s="3">
        <f>DATE(2025,2,9)</f>
        <v>45697</v>
      </c>
      <c r="G267" s="3">
        <f>DATE(2025,2,9)</f>
        <v>45697</v>
      </c>
      <c r="H267">
        <v>1786724879</v>
      </c>
      <c r="I267" t="s">
        <v>158</v>
      </c>
      <c r="K267" t="s">
        <v>22</v>
      </c>
      <c r="L267" t="s">
        <v>23</v>
      </c>
      <c r="M267" t="s">
        <v>24</v>
      </c>
      <c r="N267" t="s">
        <v>24</v>
      </c>
      <c r="O267" t="s">
        <v>25</v>
      </c>
      <c r="P267" s="8" t="s">
        <v>447</v>
      </c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</row>
    <row r="268" spans="1:51" hidden="1" x14ac:dyDescent="0.2">
      <c r="A268" s="6" t="s">
        <v>17</v>
      </c>
      <c r="B268" t="s">
        <v>132</v>
      </c>
      <c r="C268" t="s">
        <v>133</v>
      </c>
      <c r="D268" t="s">
        <v>181</v>
      </c>
      <c r="E268" s="2">
        <v>49.99</v>
      </c>
      <c r="F268" s="3">
        <f>DATE(2025,2,9)</f>
        <v>45697</v>
      </c>
      <c r="G268" s="3">
        <f>DATE(2025,2,9)</f>
        <v>45697</v>
      </c>
      <c r="H268">
        <v>1786724880</v>
      </c>
      <c r="I268" t="s">
        <v>158</v>
      </c>
      <c r="K268" t="s">
        <v>22</v>
      </c>
      <c r="L268" t="s">
        <v>23</v>
      </c>
      <c r="M268" t="s">
        <v>24</v>
      </c>
      <c r="N268" t="s">
        <v>24</v>
      </c>
      <c r="O268" t="s">
        <v>25</v>
      </c>
      <c r="P268" s="8" t="s">
        <v>448</v>
      </c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</row>
    <row r="269" spans="1:51" hidden="1" x14ac:dyDescent="0.2">
      <c r="A269" s="6" t="s">
        <v>17</v>
      </c>
      <c r="B269" t="s">
        <v>132</v>
      </c>
      <c r="C269" t="s">
        <v>133</v>
      </c>
      <c r="D269" t="s">
        <v>449</v>
      </c>
      <c r="E269" s="2">
        <v>340</v>
      </c>
      <c r="F269" s="3">
        <f>DATE(2025,2,8)</f>
        <v>45696</v>
      </c>
      <c r="G269" s="3">
        <f>DATE(2025,2,8)</f>
        <v>45696</v>
      </c>
      <c r="H269">
        <v>1786724881</v>
      </c>
      <c r="I269" t="s">
        <v>158</v>
      </c>
      <c r="K269" t="s">
        <v>22</v>
      </c>
      <c r="L269" t="s">
        <v>23</v>
      </c>
      <c r="M269" t="s">
        <v>24</v>
      </c>
      <c r="N269" t="s">
        <v>24</v>
      </c>
      <c r="O269" t="s">
        <v>25</v>
      </c>
      <c r="P269" s="8" t="s">
        <v>450</v>
      </c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</row>
    <row r="270" spans="1:51" hidden="1" x14ac:dyDescent="0.2">
      <c r="A270" s="6" t="s">
        <v>17</v>
      </c>
      <c r="B270" t="s">
        <v>132</v>
      </c>
      <c r="C270" t="s">
        <v>133</v>
      </c>
      <c r="D270" t="s">
        <v>410</v>
      </c>
      <c r="E270" s="2">
        <v>24.7</v>
      </c>
      <c r="F270" s="3">
        <f>DATE(2025,2,8)</f>
        <v>45696</v>
      </c>
      <c r="G270" s="3">
        <f>DATE(2025,2,8)</f>
        <v>45696</v>
      </c>
      <c r="H270">
        <v>1786724882</v>
      </c>
      <c r="I270" t="s">
        <v>158</v>
      </c>
      <c r="K270" t="s">
        <v>22</v>
      </c>
      <c r="L270" t="s">
        <v>23</v>
      </c>
      <c r="M270" t="s">
        <v>24</v>
      </c>
      <c r="N270" t="s">
        <v>24</v>
      </c>
      <c r="O270" t="s">
        <v>25</v>
      </c>
      <c r="P270" s="8" t="s">
        <v>451</v>
      </c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</row>
    <row r="271" spans="1:51" hidden="1" x14ac:dyDescent="0.2">
      <c r="A271" s="6" t="s">
        <v>17</v>
      </c>
      <c r="B271" t="s">
        <v>132</v>
      </c>
      <c r="C271" t="s">
        <v>133</v>
      </c>
      <c r="D271" t="s">
        <v>410</v>
      </c>
      <c r="E271" s="2">
        <v>24.01</v>
      </c>
      <c r="F271" s="3">
        <f>DATE(2025,2,7)</f>
        <v>45695</v>
      </c>
      <c r="G271" s="3">
        <f>DATE(2025,2,7)</f>
        <v>45695</v>
      </c>
      <c r="H271">
        <v>1786724883</v>
      </c>
      <c r="I271" t="s">
        <v>158</v>
      </c>
      <c r="K271" t="s">
        <v>22</v>
      </c>
      <c r="L271" t="s">
        <v>23</v>
      </c>
      <c r="M271" t="s">
        <v>24</v>
      </c>
      <c r="N271" t="s">
        <v>24</v>
      </c>
      <c r="O271" t="s">
        <v>25</v>
      </c>
      <c r="P271" s="8" t="s">
        <v>452</v>
      </c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</row>
    <row r="272" spans="1:51" hidden="1" x14ac:dyDescent="0.2">
      <c r="A272" s="6" t="s">
        <v>17</v>
      </c>
      <c r="B272" t="s">
        <v>132</v>
      </c>
      <c r="C272" t="s">
        <v>133</v>
      </c>
      <c r="D272" t="s">
        <v>410</v>
      </c>
      <c r="E272" s="2">
        <v>24.27</v>
      </c>
      <c r="F272" s="3">
        <f>DATE(2025,2,8)</f>
        <v>45696</v>
      </c>
      <c r="G272" s="3">
        <f>DATE(2025,2,8)</f>
        <v>45696</v>
      </c>
      <c r="H272">
        <v>1786724884</v>
      </c>
      <c r="I272" t="s">
        <v>158</v>
      </c>
      <c r="K272" t="s">
        <v>22</v>
      </c>
      <c r="L272" t="s">
        <v>23</v>
      </c>
      <c r="M272" t="s">
        <v>24</v>
      </c>
      <c r="N272" t="s">
        <v>24</v>
      </c>
      <c r="O272" t="s">
        <v>25</v>
      </c>
      <c r="P272" s="8" t="s">
        <v>453</v>
      </c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</row>
    <row r="273" spans="1:51" hidden="1" x14ac:dyDescent="0.2">
      <c r="A273" s="6" t="s">
        <v>17</v>
      </c>
      <c r="B273" t="s">
        <v>132</v>
      </c>
      <c r="C273" t="s">
        <v>133</v>
      </c>
      <c r="D273" t="s">
        <v>454</v>
      </c>
      <c r="E273" s="2">
        <v>94.4</v>
      </c>
      <c r="F273" s="3">
        <f>DATE(2025,2,9)</f>
        <v>45697</v>
      </c>
      <c r="G273" s="3">
        <f>DATE(2025,2,9)</f>
        <v>45697</v>
      </c>
      <c r="H273">
        <v>1786724885</v>
      </c>
      <c r="I273" t="s">
        <v>158</v>
      </c>
      <c r="K273" t="s">
        <v>22</v>
      </c>
      <c r="L273" t="s">
        <v>23</v>
      </c>
      <c r="M273" t="s">
        <v>24</v>
      </c>
      <c r="N273" t="s">
        <v>24</v>
      </c>
      <c r="O273" t="s">
        <v>25</v>
      </c>
      <c r="P273" s="8" t="s">
        <v>455</v>
      </c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</row>
    <row r="274" spans="1:51" hidden="1" x14ac:dyDescent="0.2">
      <c r="A274" s="6" t="s">
        <v>17</v>
      </c>
      <c r="B274" t="s">
        <v>456</v>
      </c>
      <c r="C274" t="s">
        <v>457</v>
      </c>
      <c r="D274" t="s">
        <v>458</v>
      </c>
      <c r="E274" s="2">
        <v>27.5</v>
      </c>
      <c r="F274" s="3">
        <f>DATE(2025,2,9)</f>
        <v>45697</v>
      </c>
      <c r="G274" s="3">
        <f>DATE(2025,2,9)</f>
        <v>45697</v>
      </c>
      <c r="H274">
        <v>1786724886</v>
      </c>
      <c r="I274" t="s">
        <v>158</v>
      </c>
      <c r="K274" t="s">
        <v>22</v>
      </c>
      <c r="L274" t="s">
        <v>23</v>
      </c>
      <c r="M274" t="s">
        <v>24</v>
      </c>
      <c r="N274" t="s">
        <v>24</v>
      </c>
      <c r="O274" t="s">
        <v>25</v>
      </c>
      <c r="P274" s="8" t="s">
        <v>459</v>
      </c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</row>
    <row r="275" spans="1:51" hidden="1" x14ac:dyDescent="0.2">
      <c r="A275" s="6"/>
      <c r="E275" s="2"/>
      <c r="F275" s="3"/>
      <c r="G275" s="3"/>
      <c r="P275" s="8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</row>
    <row r="276" spans="1:51" hidden="1" x14ac:dyDescent="0.2">
      <c r="A276" s="6" t="s">
        <v>17</v>
      </c>
      <c r="B276" t="s">
        <v>90</v>
      </c>
      <c r="C276" t="s">
        <v>91</v>
      </c>
      <c r="D276" t="s">
        <v>460</v>
      </c>
      <c r="E276" s="2">
        <v>500</v>
      </c>
      <c r="F276" s="3">
        <f>DATE(2025,2,11)</f>
        <v>45699</v>
      </c>
      <c r="G276" s="3">
        <f>DATE(2025,2,11)</f>
        <v>45699</v>
      </c>
      <c r="H276">
        <v>1793824967</v>
      </c>
      <c r="I276" t="s">
        <v>21</v>
      </c>
      <c r="K276" t="s">
        <v>22</v>
      </c>
      <c r="L276" t="s">
        <v>23</v>
      </c>
      <c r="M276" t="s">
        <v>24</v>
      </c>
      <c r="N276" t="s">
        <v>24</v>
      </c>
      <c r="O276" t="s">
        <v>25</v>
      </c>
      <c r="P276" s="8" t="s">
        <v>461</v>
      </c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</row>
    <row r="277" spans="1:51" hidden="1" x14ac:dyDescent="0.2">
      <c r="A277" s="6"/>
      <c r="E277" s="2"/>
      <c r="F277" s="3"/>
      <c r="G277" s="3"/>
      <c r="P277" s="8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</row>
    <row r="278" spans="1:51" hidden="1" x14ac:dyDescent="0.2">
      <c r="A278" s="6"/>
      <c r="E278" s="2"/>
      <c r="F278" s="3"/>
      <c r="G278" s="3"/>
      <c r="P278" s="8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</row>
    <row r="279" spans="1:51" hidden="1" x14ac:dyDescent="0.2">
      <c r="A279" s="6"/>
      <c r="E279" s="2"/>
      <c r="F279" s="3"/>
      <c r="G279" s="3"/>
      <c r="P279" s="8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</row>
    <row r="280" spans="1:51" hidden="1" x14ac:dyDescent="0.2">
      <c r="A280" s="6" t="s">
        <v>17</v>
      </c>
      <c r="B280" t="s">
        <v>132</v>
      </c>
      <c r="C280" t="s">
        <v>133</v>
      </c>
      <c r="D280" t="s">
        <v>410</v>
      </c>
      <c r="E280" s="2">
        <v>26.7</v>
      </c>
      <c r="F280" s="3">
        <f>DATE(2025,2,9)</f>
        <v>45697</v>
      </c>
      <c r="G280" s="3">
        <f>DATE(2025,2,9)</f>
        <v>45697</v>
      </c>
      <c r="H280">
        <v>1793824995</v>
      </c>
      <c r="I280" t="s">
        <v>158</v>
      </c>
      <c r="K280" t="s">
        <v>22</v>
      </c>
      <c r="L280" t="s">
        <v>23</v>
      </c>
      <c r="M280" t="s">
        <v>24</v>
      </c>
      <c r="N280" t="s">
        <v>24</v>
      </c>
      <c r="O280" t="s">
        <v>25</v>
      </c>
      <c r="P280" s="8" t="s">
        <v>462</v>
      </c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</row>
    <row r="281" spans="1:51" hidden="1" x14ac:dyDescent="0.2">
      <c r="A281" s="6" t="s">
        <v>17</v>
      </c>
      <c r="B281" t="s">
        <v>60</v>
      </c>
      <c r="C281" t="s">
        <v>61</v>
      </c>
      <c r="D281" t="s">
        <v>463</v>
      </c>
      <c r="E281" s="2">
        <v>13.63</v>
      </c>
      <c r="F281" s="3">
        <f>DATE(2025,2,11)</f>
        <v>45699</v>
      </c>
      <c r="G281" s="3">
        <f>DATE(2025,2,11)</f>
        <v>45699</v>
      </c>
      <c r="H281">
        <v>1793824996</v>
      </c>
      <c r="I281" t="s">
        <v>158</v>
      </c>
      <c r="K281" t="s">
        <v>22</v>
      </c>
      <c r="L281" t="s">
        <v>23</v>
      </c>
      <c r="M281" t="s">
        <v>24</v>
      </c>
      <c r="N281" t="s">
        <v>24</v>
      </c>
      <c r="O281" t="s">
        <v>25</v>
      </c>
      <c r="P281" s="8" t="s">
        <v>464</v>
      </c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</row>
    <row r="282" spans="1:51" hidden="1" x14ac:dyDescent="0.2">
      <c r="A282" s="6" t="s">
        <v>17</v>
      </c>
      <c r="B282" t="s">
        <v>118</v>
      </c>
      <c r="C282" t="s">
        <v>119</v>
      </c>
      <c r="D282" t="s">
        <v>465</v>
      </c>
      <c r="E282" s="2">
        <v>377.87</v>
      </c>
      <c r="F282" s="3">
        <f>DATE(2025,2,11)</f>
        <v>45699</v>
      </c>
      <c r="G282" s="3">
        <f>DATE(2025,2,11)</f>
        <v>45699</v>
      </c>
      <c r="H282">
        <v>1793824997</v>
      </c>
      <c r="I282" t="s">
        <v>158</v>
      </c>
      <c r="K282" t="s">
        <v>22</v>
      </c>
      <c r="L282" t="s">
        <v>23</v>
      </c>
      <c r="M282" t="s">
        <v>24</v>
      </c>
      <c r="N282" t="s">
        <v>24</v>
      </c>
      <c r="O282" t="s">
        <v>25</v>
      </c>
      <c r="P282" s="8" t="s">
        <v>466</v>
      </c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</row>
    <row r="283" spans="1:51" hidden="1" x14ac:dyDescent="0.2">
      <c r="A283" s="6" t="s">
        <v>17</v>
      </c>
      <c r="B283" t="s">
        <v>118</v>
      </c>
      <c r="C283" t="s">
        <v>119</v>
      </c>
      <c r="D283" t="s">
        <v>467</v>
      </c>
      <c r="E283" s="2">
        <v>11.99</v>
      </c>
      <c r="F283" s="3">
        <f>DATE(2025,2,10)</f>
        <v>45698</v>
      </c>
      <c r="G283" s="3">
        <f>DATE(2025,2,10)</f>
        <v>45698</v>
      </c>
      <c r="H283">
        <v>1793824998</v>
      </c>
      <c r="I283" t="s">
        <v>158</v>
      </c>
      <c r="K283" t="s">
        <v>22</v>
      </c>
      <c r="L283" t="s">
        <v>23</v>
      </c>
      <c r="M283" t="s">
        <v>24</v>
      </c>
      <c r="N283" t="s">
        <v>24</v>
      </c>
      <c r="O283" t="s">
        <v>25</v>
      </c>
      <c r="P283" s="8" t="s">
        <v>468</v>
      </c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</row>
    <row r="284" spans="1:51" hidden="1" x14ac:dyDescent="0.2">
      <c r="A284" s="6" t="s">
        <v>17</v>
      </c>
      <c r="B284" t="s">
        <v>35</v>
      </c>
      <c r="C284" t="s">
        <v>35</v>
      </c>
      <c r="D284" t="s">
        <v>469</v>
      </c>
      <c r="E284" s="2">
        <v>30.98</v>
      </c>
      <c r="F284" s="3">
        <f>DATE(2025,2,12)</f>
        <v>45700</v>
      </c>
      <c r="G284" s="3">
        <f>DATE(2025,2,12)</f>
        <v>45700</v>
      </c>
      <c r="H284">
        <v>1794098985</v>
      </c>
      <c r="I284" t="s">
        <v>192</v>
      </c>
      <c r="K284" t="s">
        <v>22</v>
      </c>
      <c r="L284" t="s">
        <v>23</v>
      </c>
      <c r="M284" t="s">
        <v>24</v>
      </c>
      <c r="N284" t="s">
        <v>24</v>
      </c>
      <c r="O284" t="s">
        <v>25</v>
      </c>
      <c r="P284" s="8" t="s">
        <v>470</v>
      </c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</row>
    <row r="285" spans="1:51" hidden="1" x14ac:dyDescent="0.2">
      <c r="A285" s="6" t="s">
        <v>17</v>
      </c>
      <c r="B285" t="s">
        <v>46</v>
      </c>
      <c r="C285" t="s">
        <v>47</v>
      </c>
      <c r="D285" t="s">
        <v>471</v>
      </c>
      <c r="E285" s="2">
        <v>398.4</v>
      </c>
      <c r="F285" s="3">
        <f>DATE(2025,2,14)</f>
        <v>45702</v>
      </c>
      <c r="G285" s="3">
        <f>DATE(2025,2,14)</f>
        <v>45702</v>
      </c>
      <c r="H285">
        <v>1801094283</v>
      </c>
      <c r="I285" t="s">
        <v>21</v>
      </c>
      <c r="K285" t="s">
        <v>22</v>
      </c>
      <c r="L285" t="s">
        <v>23</v>
      </c>
      <c r="M285" t="s">
        <v>24</v>
      </c>
      <c r="N285" t="s">
        <v>24</v>
      </c>
      <c r="O285" t="s">
        <v>25</v>
      </c>
      <c r="P285" s="8" t="s">
        <v>472</v>
      </c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</row>
    <row r="286" spans="1:51" hidden="1" x14ac:dyDescent="0.2">
      <c r="A286" s="6" t="s">
        <v>17</v>
      </c>
      <c r="B286" t="s">
        <v>31</v>
      </c>
      <c r="C286" t="s">
        <v>32</v>
      </c>
      <c r="D286" t="s">
        <v>473</v>
      </c>
      <c r="E286" s="2">
        <v>129.79</v>
      </c>
      <c r="F286" s="3">
        <f>DATE(2025,2,14)</f>
        <v>45702</v>
      </c>
      <c r="G286" s="3">
        <f>DATE(2025,2,14)</f>
        <v>45702</v>
      </c>
      <c r="H286">
        <v>1801094284</v>
      </c>
      <c r="I286" t="s">
        <v>21</v>
      </c>
      <c r="K286" t="s">
        <v>22</v>
      </c>
      <c r="L286" t="s">
        <v>23</v>
      </c>
      <c r="M286" t="s">
        <v>24</v>
      </c>
      <c r="N286" t="s">
        <v>24</v>
      </c>
      <c r="O286" t="s">
        <v>25</v>
      </c>
      <c r="P286" s="8" t="s">
        <v>474</v>
      </c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</row>
    <row r="287" spans="1:51" hidden="1" x14ac:dyDescent="0.2">
      <c r="A287" s="6"/>
      <c r="E287" s="2"/>
      <c r="F287" s="3"/>
      <c r="G287" s="3"/>
      <c r="P287" s="8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</row>
    <row r="288" spans="1:51" hidden="1" x14ac:dyDescent="0.2">
      <c r="A288" s="6"/>
      <c r="E288" s="2"/>
      <c r="F288" s="3"/>
      <c r="G288" s="3"/>
      <c r="P288" s="8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</row>
    <row r="289" spans="1:51" hidden="1" x14ac:dyDescent="0.2">
      <c r="A289" s="6"/>
      <c r="E289" s="2"/>
      <c r="F289" s="3"/>
      <c r="G289" s="3"/>
      <c r="P289" s="8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</row>
    <row r="290" spans="1:51" hidden="1" x14ac:dyDescent="0.2">
      <c r="A290" s="6"/>
      <c r="E290" s="2"/>
      <c r="F290" s="3"/>
      <c r="G290" s="3"/>
      <c r="P290" s="8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</row>
    <row r="291" spans="1:51" hidden="1" x14ac:dyDescent="0.2">
      <c r="A291" s="6"/>
      <c r="E291" s="2"/>
      <c r="F291" s="3"/>
      <c r="G291" s="3"/>
      <c r="P291" s="8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</row>
    <row r="292" spans="1:51" hidden="1" x14ac:dyDescent="0.2">
      <c r="A292" s="6"/>
      <c r="E292" s="2"/>
      <c r="F292" s="3"/>
      <c r="G292" s="3"/>
      <c r="P292" s="8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</row>
    <row r="293" spans="1:51" hidden="1" x14ac:dyDescent="0.2">
      <c r="A293" s="6"/>
      <c r="E293" s="2"/>
      <c r="F293" s="3"/>
      <c r="G293" s="3"/>
      <c r="P293" s="8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</row>
    <row r="294" spans="1:51" hidden="1" x14ac:dyDescent="0.2">
      <c r="A294" s="6" t="s">
        <v>17</v>
      </c>
      <c r="B294" t="s">
        <v>42</v>
      </c>
      <c r="C294" t="s">
        <v>43</v>
      </c>
      <c r="D294" t="s">
        <v>475</v>
      </c>
      <c r="E294" s="2">
        <v>99</v>
      </c>
      <c r="F294" s="3">
        <f t="shared" ref="F294:G296" si="16">DATE(2025,2,13)</f>
        <v>45701</v>
      </c>
      <c r="G294" s="3">
        <f t="shared" si="16"/>
        <v>45701</v>
      </c>
      <c r="H294">
        <v>1806010986</v>
      </c>
      <c r="I294" t="s">
        <v>158</v>
      </c>
      <c r="K294" t="s">
        <v>22</v>
      </c>
      <c r="L294" t="s">
        <v>23</v>
      </c>
      <c r="M294" t="s">
        <v>24</v>
      </c>
      <c r="N294" t="s">
        <v>24</v>
      </c>
      <c r="O294" t="s">
        <v>25</v>
      </c>
      <c r="P294" s="8" t="s">
        <v>476</v>
      </c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</row>
    <row r="295" spans="1:51" hidden="1" x14ac:dyDescent="0.2">
      <c r="A295" s="6" t="s">
        <v>17</v>
      </c>
      <c r="B295" t="s">
        <v>132</v>
      </c>
      <c r="C295" t="s">
        <v>133</v>
      </c>
      <c r="D295" t="s">
        <v>477</v>
      </c>
      <c r="E295" s="2">
        <v>6.3</v>
      </c>
      <c r="F295" s="3">
        <f t="shared" si="16"/>
        <v>45701</v>
      </c>
      <c r="G295" s="3">
        <f t="shared" si="16"/>
        <v>45701</v>
      </c>
      <c r="H295">
        <v>1806010987</v>
      </c>
      <c r="I295" t="s">
        <v>158</v>
      </c>
      <c r="K295" t="s">
        <v>22</v>
      </c>
      <c r="L295" t="s">
        <v>23</v>
      </c>
      <c r="M295" t="s">
        <v>24</v>
      </c>
      <c r="N295" t="s">
        <v>24</v>
      </c>
      <c r="O295" t="s">
        <v>25</v>
      </c>
      <c r="P295" s="8" t="s">
        <v>478</v>
      </c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</row>
    <row r="296" spans="1:51" hidden="1" x14ac:dyDescent="0.2">
      <c r="A296" s="6" t="s">
        <v>17</v>
      </c>
      <c r="B296" t="s">
        <v>132</v>
      </c>
      <c r="C296" t="s">
        <v>133</v>
      </c>
      <c r="D296" t="s">
        <v>479</v>
      </c>
      <c r="E296" s="2">
        <v>150</v>
      </c>
      <c r="F296" s="3">
        <f t="shared" si="16"/>
        <v>45701</v>
      </c>
      <c r="G296" s="3">
        <f t="shared" si="16"/>
        <v>45701</v>
      </c>
      <c r="H296">
        <v>1806010988</v>
      </c>
      <c r="I296" t="s">
        <v>158</v>
      </c>
      <c r="K296" t="s">
        <v>22</v>
      </c>
      <c r="L296" t="s">
        <v>23</v>
      </c>
      <c r="M296" t="s">
        <v>24</v>
      </c>
      <c r="N296" t="s">
        <v>24</v>
      </c>
      <c r="O296" t="s">
        <v>25</v>
      </c>
      <c r="P296" s="8" t="s">
        <v>480</v>
      </c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</row>
    <row r="297" spans="1:51" hidden="1" x14ac:dyDescent="0.2">
      <c r="A297" s="6" t="s">
        <v>17</v>
      </c>
      <c r="B297" t="s">
        <v>132</v>
      </c>
      <c r="C297" t="s">
        <v>133</v>
      </c>
      <c r="D297" t="s">
        <v>481</v>
      </c>
      <c r="E297" s="2">
        <v>418.8</v>
      </c>
      <c r="F297" s="3">
        <f>DATE(2025,2,11)</f>
        <v>45699</v>
      </c>
      <c r="G297" s="3">
        <f>DATE(2025,2,11)</f>
        <v>45699</v>
      </c>
      <c r="H297">
        <v>1806010989</v>
      </c>
      <c r="I297" t="s">
        <v>158</v>
      </c>
      <c r="K297" t="s">
        <v>22</v>
      </c>
      <c r="L297" t="s">
        <v>23</v>
      </c>
      <c r="M297" t="s">
        <v>24</v>
      </c>
      <c r="N297" t="s">
        <v>24</v>
      </c>
      <c r="O297" t="s">
        <v>25</v>
      </c>
      <c r="P297" s="8" t="s">
        <v>482</v>
      </c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</row>
    <row r="298" spans="1:51" hidden="1" x14ac:dyDescent="0.2">
      <c r="A298" s="6" t="s">
        <v>17</v>
      </c>
      <c r="B298" t="s">
        <v>132</v>
      </c>
      <c r="C298" t="s">
        <v>133</v>
      </c>
      <c r="D298" t="s">
        <v>410</v>
      </c>
      <c r="E298" s="2">
        <v>32.94</v>
      </c>
      <c r="F298" s="3">
        <f t="shared" ref="F298:G300" si="17">DATE(2025,2,13)</f>
        <v>45701</v>
      </c>
      <c r="G298" s="3">
        <f t="shared" si="17"/>
        <v>45701</v>
      </c>
      <c r="H298">
        <v>1806010990</v>
      </c>
      <c r="I298" t="s">
        <v>158</v>
      </c>
      <c r="K298" t="s">
        <v>22</v>
      </c>
      <c r="L298" t="s">
        <v>23</v>
      </c>
      <c r="M298" t="s">
        <v>24</v>
      </c>
      <c r="N298" t="s">
        <v>24</v>
      </c>
      <c r="O298" t="s">
        <v>25</v>
      </c>
      <c r="P298" s="8" t="s">
        <v>483</v>
      </c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</row>
    <row r="299" spans="1:51" hidden="1" x14ac:dyDescent="0.2">
      <c r="A299" s="6" t="s">
        <v>17</v>
      </c>
      <c r="B299" t="s">
        <v>42</v>
      </c>
      <c r="C299" t="s">
        <v>43</v>
      </c>
      <c r="D299" t="s">
        <v>170</v>
      </c>
      <c r="E299" s="2">
        <v>40</v>
      </c>
      <c r="F299" s="3">
        <f t="shared" si="17"/>
        <v>45701</v>
      </c>
      <c r="G299" s="3">
        <f t="shared" si="17"/>
        <v>45701</v>
      </c>
      <c r="H299">
        <v>1806010991</v>
      </c>
      <c r="I299" t="s">
        <v>158</v>
      </c>
      <c r="K299" t="s">
        <v>22</v>
      </c>
      <c r="L299" t="s">
        <v>23</v>
      </c>
      <c r="M299" t="s">
        <v>24</v>
      </c>
      <c r="N299" t="s">
        <v>24</v>
      </c>
      <c r="O299" t="s">
        <v>25</v>
      </c>
      <c r="P299" s="8" t="s">
        <v>484</v>
      </c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</row>
    <row r="300" spans="1:51" hidden="1" x14ac:dyDescent="0.2">
      <c r="A300" s="6" t="s">
        <v>17</v>
      </c>
      <c r="B300" t="s">
        <v>132</v>
      </c>
      <c r="C300" t="s">
        <v>133</v>
      </c>
      <c r="D300" t="s">
        <v>410</v>
      </c>
      <c r="E300" s="2">
        <v>24.95</v>
      </c>
      <c r="F300" s="3">
        <f t="shared" si="17"/>
        <v>45701</v>
      </c>
      <c r="G300" s="3">
        <f t="shared" si="17"/>
        <v>45701</v>
      </c>
      <c r="H300">
        <v>1806010992</v>
      </c>
      <c r="I300" t="s">
        <v>158</v>
      </c>
      <c r="K300" t="s">
        <v>22</v>
      </c>
      <c r="L300" t="s">
        <v>23</v>
      </c>
      <c r="M300" t="s">
        <v>24</v>
      </c>
      <c r="N300" t="s">
        <v>24</v>
      </c>
      <c r="O300" t="s">
        <v>25</v>
      </c>
      <c r="P300" s="8" t="s">
        <v>485</v>
      </c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</row>
    <row r="301" spans="1:51" hidden="1" x14ac:dyDescent="0.2">
      <c r="A301" s="6" t="s">
        <v>17</v>
      </c>
      <c r="B301" t="s">
        <v>132</v>
      </c>
      <c r="C301" t="s">
        <v>133</v>
      </c>
      <c r="D301" t="s">
        <v>410</v>
      </c>
      <c r="E301" s="2">
        <v>12.07</v>
      </c>
      <c r="F301" s="3">
        <f>DATE(2025,2,14)</f>
        <v>45702</v>
      </c>
      <c r="G301" s="3">
        <f>DATE(2025,2,14)</f>
        <v>45702</v>
      </c>
      <c r="H301">
        <v>1809446084</v>
      </c>
      <c r="I301" t="s">
        <v>158</v>
      </c>
      <c r="K301" t="s">
        <v>22</v>
      </c>
      <c r="L301" t="s">
        <v>23</v>
      </c>
      <c r="M301" t="s">
        <v>24</v>
      </c>
      <c r="N301" t="s">
        <v>24</v>
      </c>
      <c r="O301" t="s">
        <v>25</v>
      </c>
      <c r="P301" s="8" t="s">
        <v>486</v>
      </c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</row>
    <row r="302" spans="1:51" hidden="1" x14ac:dyDescent="0.2">
      <c r="A302" s="6" t="s">
        <v>17</v>
      </c>
      <c r="B302" t="s">
        <v>132</v>
      </c>
      <c r="C302" t="s">
        <v>133</v>
      </c>
      <c r="D302" t="s">
        <v>487</v>
      </c>
      <c r="E302" s="2">
        <v>210.5</v>
      </c>
      <c r="F302" s="3">
        <f>DATE(2025,2,15)</f>
        <v>45703</v>
      </c>
      <c r="G302" s="3">
        <f>DATE(2025,2,15)</f>
        <v>45703</v>
      </c>
      <c r="H302">
        <v>1809446085</v>
      </c>
      <c r="I302" t="s">
        <v>158</v>
      </c>
      <c r="K302" t="s">
        <v>22</v>
      </c>
      <c r="L302" t="s">
        <v>23</v>
      </c>
      <c r="M302" t="s">
        <v>24</v>
      </c>
      <c r="N302" t="s">
        <v>24</v>
      </c>
      <c r="O302" t="s">
        <v>25</v>
      </c>
      <c r="P302" s="8" t="s">
        <v>488</v>
      </c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</row>
    <row r="303" spans="1:51" hidden="1" x14ac:dyDescent="0.2">
      <c r="A303" s="6" t="s">
        <v>17</v>
      </c>
      <c r="B303" t="s">
        <v>132</v>
      </c>
      <c r="C303" t="s">
        <v>133</v>
      </c>
      <c r="D303" t="s">
        <v>410</v>
      </c>
      <c r="E303" s="2">
        <v>12</v>
      </c>
      <c r="F303" s="3">
        <f>DATE(2025,2,14)</f>
        <v>45702</v>
      </c>
      <c r="G303" s="3">
        <f>DATE(2025,2,14)</f>
        <v>45702</v>
      </c>
      <c r="H303">
        <v>1809446086</v>
      </c>
      <c r="I303" t="s">
        <v>158</v>
      </c>
      <c r="K303" t="s">
        <v>22</v>
      </c>
      <c r="L303" t="s">
        <v>23</v>
      </c>
      <c r="M303" t="s">
        <v>24</v>
      </c>
      <c r="N303" t="s">
        <v>24</v>
      </c>
      <c r="O303" t="s">
        <v>25</v>
      </c>
      <c r="P303" s="8" t="s">
        <v>489</v>
      </c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</row>
    <row r="304" spans="1:51" hidden="1" x14ac:dyDescent="0.2">
      <c r="A304" s="6" t="s">
        <v>17</v>
      </c>
      <c r="B304" t="s">
        <v>255</v>
      </c>
      <c r="C304" t="s">
        <v>255</v>
      </c>
      <c r="D304" t="s">
        <v>490</v>
      </c>
      <c r="E304" s="2">
        <v>240</v>
      </c>
      <c r="F304" s="3">
        <f t="shared" ref="F304:G304" si="18">DATE(2025,2,17)</f>
        <v>45705</v>
      </c>
      <c r="G304" s="3">
        <f t="shared" si="18"/>
        <v>45705</v>
      </c>
      <c r="H304">
        <v>1814383219</v>
      </c>
      <c r="I304" t="s">
        <v>21</v>
      </c>
      <c r="K304" t="s">
        <v>22</v>
      </c>
      <c r="L304" t="s">
        <v>23</v>
      </c>
      <c r="M304" t="s">
        <v>24</v>
      </c>
      <c r="N304" t="s">
        <v>24</v>
      </c>
      <c r="O304" t="s">
        <v>25</v>
      </c>
      <c r="P304" s="8" t="s">
        <v>491</v>
      </c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</row>
    <row r="305" spans="1:51" hidden="1" x14ac:dyDescent="0.2">
      <c r="A305" s="6"/>
      <c r="E305" s="2"/>
      <c r="F305" s="3"/>
      <c r="G305" s="3"/>
      <c r="P305" s="8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</row>
    <row r="306" spans="1:51" hidden="1" x14ac:dyDescent="0.2">
      <c r="A306" s="6"/>
      <c r="E306" s="2"/>
      <c r="F306" s="3"/>
      <c r="G306" s="3"/>
      <c r="P306" s="8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</row>
    <row r="307" spans="1:51" hidden="1" x14ac:dyDescent="0.2">
      <c r="A307" s="6"/>
      <c r="E307" s="2"/>
      <c r="F307" s="3"/>
      <c r="G307" s="3"/>
      <c r="P307" s="8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</row>
    <row r="308" spans="1:51" hidden="1" x14ac:dyDescent="0.2">
      <c r="A308" s="6" t="s">
        <v>17</v>
      </c>
      <c r="B308" t="s">
        <v>70</v>
      </c>
      <c r="C308" t="s">
        <v>71</v>
      </c>
      <c r="D308" t="s">
        <v>492</v>
      </c>
      <c r="E308" s="2">
        <v>1387.01</v>
      </c>
      <c r="F308" s="3">
        <f t="shared" ref="F308:G311" si="19">DATE(2025,2,18)</f>
        <v>45706</v>
      </c>
      <c r="G308" s="3">
        <f t="shared" si="19"/>
        <v>45706</v>
      </c>
      <c r="H308">
        <v>1819217081</v>
      </c>
      <c r="I308" t="s">
        <v>21</v>
      </c>
      <c r="K308" t="s">
        <v>22</v>
      </c>
      <c r="L308" t="s">
        <v>23</v>
      </c>
      <c r="M308" t="s">
        <v>24</v>
      </c>
      <c r="N308" t="s">
        <v>24</v>
      </c>
      <c r="O308" t="s">
        <v>25</v>
      </c>
      <c r="P308" s="8" t="s">
        <v>493</v>
      </c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</row>
    <row r="309" spans="1:51" hidden="1" x14ac:dyDescent="0.2">
      <c r="A309" s="6" t="s">
        <v>17</v>
      </c>
      <c r="B309" t="s">
        <v>38</v>
      </c>
      <c r="C309" t="s">
        <v>39</v>
      </c>
      <c r="D309" t="s">
        <v>494</v>
      </c>
      <c r="E309" s="2">
        <v>1100</v>
      </c>
      <c r="F309" s="3">
        <f t="shared" si="19"/>
        <v>45706</v>
      </c>
      <c r="G309" s="3">
        <f t="shared" si="19"/>
        <v>45706</v>
      </c>
      <c r="H309">
        <v>1819217082</v>
      </c>
      <c r="I309" t="s">
        <v>21</v>
      </c>
      <c r="K309" t="s">
        <v>22</v>
      </c>
      <c r="L309" t="s">
        <v>23</v>
      </c>
      <c r="M309" t="s">
        <v>24</v>
      </c>
      <c r="N309" t="s">
        <v>24</v>
      </c>
      <c r="O309" t="s">
        <v>25</v>
      </c>
      <c r="P309" s="8" t="s">
        <v>495</v>
      </c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</row>
    <row r="310" spans="1:51" hidden="1" x14ac:dyDescent="0.2">
      <c r="A310" s="6" t="s">
        <v>17</v>
      </c>
      <c r="B310" t="s">
        <v>90</v>
      </c>
      <c r="C310" t="s">
        <v>91</v>
      </c>
      <c r="D310" t="s">
        <v>496</v>
      </c>
      <c r="E310" s="2">
        <v>600</v>
      </c>
      <c r="F310" s="3">
        <f t="shared" si="19"/>
        <v>45706</v>
      </c>
      <c r="G310" s="3">
        <f t="shared" si="19"/>
        <v>45706</v>
      </c>
      <c r="H310">
        <v>1819217083</v>
      </c>
      <c r="I310" t="s">
        <v>21</v>
      </c>
      <c r="K310" t="s">
        <v>22</v>
      </c>
      <c r="L310" t="s">
        <v>23</v>
      </c>
      <c r="M310" t="s">
        <v>24</v>
      </c>
      <c r="N310" t="s">
        <v>24</v>
      </c>
      <c r="O310" t="s">
        <v>25</v>
      </c>
      <c r="P310" s="8" t="s">
        <v>497</v>
      </c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</row>
    <row r="311" spans="1:51" hidden="1" x14ac:dyDescent="0.2">
      <c r="A311" s="6" t="s">
        <v>17</v>
      </c>
      <c r="B311" t="s">
        <v>140</v>
      </c>
      <c r="C311" t="s">
        <v>141</v>
      </c>
      <c r="D311" t="s">
        <v>498</v>
      </c>
      <c r="E311" s="2">
        <v>8651</v>
      </c>
      <c r="F311" s="3">
        <f t="shared" si="19"/>
        <v>45706</v>
      </c>
      <c r="G311" s="3">
        <f t="shared" si="19"/>
        <v>45706</v>
      </c>
      <c r="H311">
        <v>1819217084</v>
      </c>
      <c r="I311" t="s">
        <v>21</v>
      </c>
      <c r="K311" t="s">
        <v>22</v>
      </c>
      <c r="L311" t="s">
        <v>23</v>
      </c>
      <c r="M311" t="s">
        <v>24</v>
      </c>
      <c r="N311" t="s">
        <v>24</v>
      </c>
      <c r="O311" t="s">
        <v>25</v>
      </c>
      <c r="P311" s="8" t="s">
        <v>499</v>
      </c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</row>
    <row r="312" spans="1:51" hidden="1" x14ac:dyDescent="0.2">
      <c r="A312" s="6" t="s">
        <v>17</v>
      </c>
      <c r="B312" t="s">
        <v>132</v>
      </c>
      <c r="C312" t="s">
        <v>133</v>
      </c>
      <c r="D312" t="s">
        <v>500</v>
      </c>
      <c r="E312" s="2">
        <v>1263.5999999999999</v>
      </c>
      <c r="F312" s="3">
        <f>DATE(2025,2,16)</f>
        <v>45704</v>
      </c>
      <c r="G312" s="3">
        <f>DATE(2025,2,16)</f>
        <v>45704</v>
      </c>
      <c r="H312">
        <v>1819217119</v>
      </c>
      <c r="I312" t="s">
        <v>158</v>
      </c>
      <c r="K312" t="s">
        <v>22</v>
      </c>
      <c r="L312" t="s">
        <v>23</v>
      </c>
      <c r="M312" t="s">
        <v>24</v>
      </c>
      <c r="N312" t="s">
        <v>24</v>
      </c>
      <c r="O312" t="s">
        <v>25</v>
      </c>
      <c r="P312" s="8" t="s">
        <v>501</v>
      </c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</row>
    <row r="313" spans="1:51" hidden="1" x14ac:dyDescent="0.2">
      <c r="A313" s="6" t="s">
        <v>17</v>
      </c>
      <c r="B313" t="s">
        <v>118</v>
      </c>
      <c r="C313" t="s">
        <v>119</v>
      </c>
      <c r="D313" t="s">
        <v>502</v>
      </c>
      <c r="E313" s="2">
        <v>6.99</v>
      </c>
      <c r="F313" s="3">
        <f t="shared" ref="F313:G315" si="20">DATE(2025,2,15)</f>
        <v>45703</v>
      </c>
      <c r="G313" s="3">
        <f t="shared" si="20"/>
        <v>45703</v>
      </c>
      <c r="H313">
        <v>1819217120</v>
      </c>
      <c r="I313" t="s">
        <v>158</v>
      </c>
      <c r="K313" t="s">
        <v>22</v>
      </c>
      <c r="L313" t="s">
        <v>23</v>
      </c>
      <c r="M313" t="s">
        <v>24</v>
      </c>
      <c r="N313" t="s">
        <v>24</v>
      </c>
      <c r="O313" t="s">
        <v>25</v>
      </c>
      <c r="P313" s="8" t="s">
        <v>503</v>
      </c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</row>
    <row r="314" spans="1:51" hidden="1" x14ac:dyDescent="0.2">
      <c r="A314" s="6" t="s">
        <v>17</v>
      </c>
      <c r="B314" t="s">
        <v>132</v>
      </c>
      <c r="C314" t="s">
        <v>133</v>
      </c>
      <c r="D314" t="s">
        <v>504</v>
      </c>
      <c r="E314" s="2">
        <v>7.2</v>
      </c>
      <c r="F314" s="3">
        <f t="shared" si="20"/>
        <v>45703</v>
      </c>
      <c r="G314" s="3">
        <f t="shared" si="20"/>
        <v>45703</v>
      </c>
      <c r="H314">
        <v>1819217121</v>
      </c>
      <c r="I314" t="s">
        <v>158</v>
      </c>
      <c r="K314" t="s">
        <v>22</v>
      </c>
      <c r="L314" t="s">
        <v>23</v>
      </c>
      <c r="M314" t="s">
        <v>24</v>
      </c>
      <c r="N314" t="s">
        <v>24</v>
      </c>
      <c r="O314" t="s">
        <v>25</v>
      </c>
      <c r="P314" s="8" t="s">
        <v>505</v>
      </c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</row>
    <row r="315" spans="1:51" hidden="1" x14ac:dyDescent="0.2">
      <c r="A315" s="6" t="s">
        <v>17</v>
      </c>
      <c r="B315" t="s">
        <v>132</v>
      </c>
      <c r="C315" t="s">
        <v>133</v>
      </c>
      <c r="D315" t="s">
        <v>506</v>
      </c>
      <c r="E315" s="2">
        <v>12</v>
      </c>
      <c r="F315" s="3">
        <f t="shared" si="20"/>
        <v>45703</v>
      </c>
      <c r="G315" s="3">
        <f t="shared" si="20"/>
        <v>45703</v>
      </c>
      <c r="H315">
        <v>1819217122</v>
      </c>
      <c r="I315" t="s">
        <v>158</v>
      </c>
      <c r="K315" t="s">
        <v>22</v>
      </c>
      <c r="L315" t="s">
        <v>23</v>
      </c>
      <c r="M315" t="s">
        <v>24</v>
      </c>
      <c r="N315" t="s">
        <v>24</v>
      </c>
      <c r="O315" t="s">
        <v>25</v>
      </c>
      <c r="P315" s="8" t="s">
        <v>507</v>
      </c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</row>
    <row r="316" spans="1:51" hidden="1" x14ac:dyDescent="0.2">
      <c r="A316" s="6" t="s">
        <v>17</v>
      </c>
      <c r="B316" t="s">
        <v>132</v>
      </c>
      <c r="C316" t="s">
        <v>133</v>
      </c>
      <c r="D316" t="s">
        <v>417</v>
      </c>
      <c r="E316" s="2">
        <v>88.75</v>
      </c>
      <c r="F316" s="3">
        <f>DATE(2025,2,16)</f>
        <v>45704</v>
      </c>
      <c r="G316" s="3">
        <f>DATE(2025,2,16)</f>
        <v>45704</v>
      </c>
      <c r="H316">
        <v>1819217123</v>
      </c>
      <c r="I316" t="s">
        <v>158</v>
      </c>
      <c r="K316" t="s">
        <v>22</v>
      </c>
      <c r="L316" t="s">
        <v>23</v>
      </c>
      <c r="M316" t="s">
        <v>24</v>
      </c>
      <c r="N316" t="s">
        <v>24</v>
      </c>
      <c r="O316" t="s">
        <v>25</v>
      </c>
      <c r="P316" s="8" t="s">
        <v>508</v>
      </c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</row>
    <row r="317" spans="1:51" hidden="1" x14ac:dyDescent="0.2">
      <c r="A317" s="6" t="s">
        <v>17</v>
      </c>
      <c r="B317" t="s">
        <v>46</v>
      </c>
      <c r="C317" t="s">
        <v>47</v>
      </c>
      <c r="D317" t="s">
        <v>509</v>
      </c>
      <c r="E317" s="2">
        <v>19.98</v>
      </c>
      <c r="F317" s="3">
        <f>DATE(2025,2,16)</f>
        <v>45704</v>
      </c>
      <c r="G317" s="3">
        <f>DATE(2025,2,16)</f>
        <v>45704</v>
      </c>
      <c r="H317">
        <v>1819217124</v>
      </c>
      <c r="I317" t="s">
        <v>158</v>
      </c>
      <c r="K317" t="s">
        <v>22</v>
      </c>
      <c r="L317" t="s">
        <v>23</v>
      </c>
      <c r="M317" t="s">
        <v>24</v>
      </c>
      <c r="N317" t="s">
        <v>24</v>
      </c>
      <c r="O317" t="s">
        <v>25</v>
      </c>
      <c r="P317" s="8" t="s">
        <v>510</v>
      </c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</row>
    <row r="318" spans="1:51" hidden="1" x14ac:dyDescent="0.2">
      <c r="A318" s="6" t="s">
        <v>17</v>
      </c>
      <c r="B318" t="s">
        <v>35</v>
      </c>
      <c r="C318" t="s">
        <v>35</v>
      </c>
      <c r="D318" t="s">
        <v>242</v>
      </c>
      <c r="E318" s="2">
        <v>57</v>
      </c>
      <c r="F318" s="3">
        <f>DATE(2025,2,17)</f>
        <v>45705</v>
      </c>
      <c r="G318" s="3">
        <f>DATE(2025,2,17)</f>
        <v>45705</v>
      </c>
      <c r="H318">
        <v>1819256915</v>
      </c>
      <c r="I318" t="s">
        <v>192</v>
      </c>
      <c r="K318" t="s">
        <v>22</v>
      </c>
      <c r="L318" t="s">
        <v>23</v>
      </c>
      <c r="M318" t="s">
        <v>24</v>
      </c>
      <c r="N318" t="s">
        <v>24</v>
      </c>
      <c r="O318" t="s">
        <v>25</v>
      </c>
      <c r="P318" s="8" t="s">
        <v>511</v>
      </c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</row>
    <row r="319" spans="1:51" hidden="1" x14ac:dyDescent="0.2">
      <c r="A319" s="6"/>
      <c r="E319" s="2"/>
      <c r="F319" s="3"/>
      <c r="G319" s="3"/>
      <c r="P319" s="8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</row>
    <row r="320" spans="1:51" hidden="1" x14ac:dyDescent="0.2">
      <c r="A320" s="6"/>
      <c r="E320" s="2"/>
      <c r="F320" s="3"/>
      <c r="G320" s="3"/>
      <c r="P320" s="8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</row>
    <row r="321" spans="1:51" hidden="1" x14ac:dyDescent="0.2">
      <c r="A321" s="6" t="s">
        <v>17</v>
      </c>
      <c r="B321" t="s">
        <v>155</v>
      </c>
      <c r="C321" t="s">
        <v>156</v>
      </c>
      <c r="D321" t="s">
        <v>512</v>
      </c>
      <c r="E321" s="2">
        <v>25.44</v>
      </c>
      <c r="F321" s="3">
        <f>DATE(2025,2,20)</f>
        <v>45708</v>
      </c>
      <c r="G321" s="3">
        <f>DATE(2025,2,20)</f>
        <v>45708</v>
      </c>
      <c r="H321">
        <v>1825373596</v>
      </c>
      <c r="I321" t="s">
        <v>21</v>
      </c>
      <c r="K321" t="s">
        <v>22</v>
      </c>
      <c r="L321" t="s">
        <v>23</v>
      </c>
      <c r="M321" t="s">
        <v>24</v>
      </c>
      <c r="N321" t="s">
        <v>24</v>
      </c>
      <c r="O321" t="s">
        <v>25</v>
      </c>
      <c r="P321" s="8" t="s">
        <v>513</v>
      </c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</row>
    <row r="322" spans="1:51" hidden="1" x14ac:dyDescent="0.2">
      <c r="A322" s="6"/>
      <c r="E322" s="2"/>
      <c r="F322" s="3"/>
      <c r="G322" s="3"/>
      <c r="P322" s="8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</row>
    <row r="323" spans="1:51" hidden="1" x14ac:dyDescent="0.2">
      <c r="A323" s="6" t="s">
        <v>17</v>
      </c>
      <c r="B323" t="s">
        <v>84</v>
      </c>
      <c r="C323" t="s">
        <v>85</v>
      </c>
      <c r="D323" t="s">
        <v>514</v>
      </c>
      <c r="E323" s="2">
        <v>160.5</v>
      </c>
      <c r="F323" s="3">
        <f>DATE(2025,2,20)</f>
        <v>45708</v>
      </c>
      <c r="G323" s="3">
        <f>DATE(2025,2,20)</f>
        <v>45708</v>
      </c>
      <c r="H323">
        <v>1825373598</v>
      </c>
      <c r="I323" t="s">
        <v>21</v>
      </c>
      <c r="K323" t="s">
        <v>22</v>
      </c>
      <c r="L323" t="s">
        <v>23</v>
      </c>
      <c r="M323" t="s">
        <v>24</v>
      </c>
      <c r="N323" t="s">
        <v>24</v>
      </c>
      <c r="O323" t="s">
        <v>25</v>
      </c>
      <c r="P323" s="8" t="s">
        <v>515</v>
      </c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</row>
    <row r="324" spans="1:51" hidden="1" x14ac:dyDescent="0.2">
      <c r="A324" s="6"/>
      <c r="E324" s="2"/>
      <c r="F324" s="3"/>
      <c r="G324" s="3"/>
      <c r="P324" s="8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</row>
    <row r="325" spans="1:51" hidden="1" x14ac:dyDescent="0.2">
      <c r="A325" s="6" t="s">
        <v>17</v>
      </c>
      <c r="B325" t="s">
        <v>42</v>
      </c>
      <c r="C325" t="s">
        <v>43</v>
      </c>
      <c r="D325" t="s">
        <v>516</v>
      </c>
      <c r="E325" s="2">
        <v>19.989999999999998</v>
      </c>
      <c r="F325" s="3">
        <f>DATE(2025,2,18)</f>
        <v>45706</v>
      </c>
      <c r="G325" s="3">
        <f>DATE(2025,2,18)</f>
        <v>45706</v>
      </c>
      <c r="H325">
        <v>1825373600</v>
      </c>
      <c r="I325" t="s">
        <v>158</v>
      </c>
      <c r="K325" t="s">
        <v>22</v>
      </c>
      <c r="L325" t="s">
        <v>23</v>
      </c>
      <c r="M325" t="s">
        <v>24</v>
      </c>
      <c r="N325" t="s">
        <v>24</v>
      </c>
      <c r="O325" t="s">
        <v>25</v>
      </c>
      <c r="P325" s="8" t="s">
        <v>517</v>
      </c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</row>
    <row r="326" spans="1:51" hidden="1" x14ac:dyDescent="0.2">
      <c r="A326" s="6"/>
      <c r="E326" s="2"/>
      <c r="F326" s="3"/>
      <c r="G326" s="3"/>
      <c r="P326" s="8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</row>
    <row r="327" spans="1:51" hidden="1" x14ac:dyDescent="0.2">
      <c r="A327" s="6"/>
      <c r="E327" s="2"/>
      <c r="F327" s="3"/>
      <c r="G327" s="3"/>
      <c r="P327" s="8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</row>
    <row r="328" spans="1:51" hidden="1" x14ac:dyDescent="0.2">
      <c r="A328" s="6" t="s">
        <v>17</v>
      </c>
      <c r="B328" t="s">
        <v>31</v>
      </c>
      <c r="C328" t="s">
        <v>32</v>
      </c>
      <c r="D328" t="s">
        <v>518</v>
      </c>
      <c r="E328" s="2">
        <v>74.94</v>
      </c>
      <c r="F328" s="3">
        <f>DATE(2025,2,21)</f>
        <v>45709</v>
      </c>
      <c r="G328" s="3">
        <f>DATE(2025,2,21)</f>
        <v>45709</v>
      </c>
      <c r="H328">
        <v>1831107431</v>
      </c>
      <c r="I328" t="s">
        <v>21</v>
      </c>
      <c r="K328" t="s">
        <v>22</v>
      </c>
      <c r="L328" t="s">
        <v>23</v>
      </c>
      <c r="M328" t="s">
        <v>24</v>
      </c>
      <c r="N328" t="s">
        <v>24</v>
      </c>
      <c r="O328" t="s">
        <v>25</v>
      </c>
      <c r="P328" s="8" t="s">
        <v>519</v>
      </c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</row>
    <row r="329" spans="1:51" hidden="1" x14ac:dyDescent="0.2">
      <c r="A329" s="6" t="s">
        <v>17</v>
      </c>
      <c r="B329" t="s">
        <v>266</v>
      </c>
      <c r="C329" t="s">
        <v>267</v>
      </c>
      <c r="D329" t="s">
        <v>520</v>
      </c>
      <c r="E329" s="2">
        <v>146.71</v>
      </c>
      <c r="F329" s="3">
        <f t="shared" ref="F329:G340" si="21">DATE(2025,2,20)</f>
        <v>45708</v>
      </c>
      <c r="G329" s="3">
        <f t="shared" si="21"/>
        <v>45708</v>
      </c>
      <c r="H329">
        <v>1831107466</v>
      </c>
      <c r="I329" t="s">
        <v>21</v>
      </c>
      <c r="K329" t="s">
        <v>22</v>
      </c>
      <c r="L329" t="s">
        <v>23</v>
      </c>
      <c r="M329" t="s">
        <v>24</v>
      </c>
      <c r="N329" t="s">
        <v>24</v>
      </c>
      <c r="O329" t="s">
        <v>25</v>
      </c>
      <c r="P329" s="8" t="s">
        <v>521</v>
      </c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</row>
    <row r="330" spans="1:51" hidden="1" x14ac:dyDescent="0.2">
      <c r="A330" s="6"/>
      <c r="E330" s="2"/>
      <c r="F330" s="3"/>
      <c r="G330" s="3"/>
      <c r="P330" s="8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</row>
    <row r="331" spans="1:51" hidden="1" x14ac:dyDescent="0.2">
      <c r="A331" s="6" t="s">
        <v>17</v>
      </c>
      <c r="B331" t="s">
        <v>70</v>
      </c>
      <c r="C331" t="s">
        <v>71</v>
      </c>
      <c r="D331" t="s">
        <v>522</v>
      </c>
      <c r="E331" s="2">
        <v>766.5</v>
      </c>
      <c r="F331" s="3">
        <f t="shared" si="21"/>
        <v>45708</v>
      </c>
      <c r="G331" s="3">
        <f t="shared" si="21"/>
        <v>45708</v>
      </c>
      <c r="H331">
        <v>1831107468</v>
      </c>
      <c r="I331" t="s">
        <v>21</v>
      </c>
      <c r="K331" t="s">
        <v>22</v>
      </c>
      <c r="L331" t="s">
        <v>23</v>
      </c>
      <c r="M331" t="s">
        <v>24</v>
      </c>
      <c r="N331" t="s">
        <v>24</v>
      </c>
      <c r="O331" t="s">
        <v>25</v>
      </c>
      <c r="P331" s="8" t="s">
        <v>523</v>
      </c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</row>
    <row r="332" spans="1:51" hidden="1" x14ac:dyDescent="0.2">
      <c r="A332" s="6" t="s">
        <v>17</v>
      </c>
      <c r="B332" t="s">
        <v>266</v>
      </c>
      <c r="C332" t="s">
        <v>267</v>
      </c>
      <c r="D332" t="s">
        <v>524</v>
      </c>
      <c r="E332" s="2">
        <v>215.1</v>
      </c>
      <c r="F332" s="3">
        <f t="shared" si="21"/>
        <v>45708</v>
      </c>
      <c r="G332" s="3">
        <f t="shared" si="21"/>
        <v>45708</v>
      </c>
      <c r="H332">
        <v>1831107469</v>
      </c>
      <c r="I332" t="s">
        <v>21</v>
      </c>
      <c r="K332" t="s">
        <v>22</v>
      </c>
      <c r="L332" t="s">
        <v>23</v>
      </c>
      <c r="M332" t="s">
        <v>24</v>
      </c>
      <c r="N332" t="s">
        <v>24</v>
      </c>
      <c r="O332" t="s">
        <v>25</v>
      </c>
      <c r="P332" s="8" t="s">
        <v>525</v>
      </c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</row>
    <row r="333" spans="1:51" hidden="1" x14ac:dyDescent="0.2">
      <c r="A333" s="6" t="s">
        <v>17</v>
      </c>
      <c r="B333" t="s">
        <v>42</v>
      </c>
      <c r="C333" t="s">
        <v>43</v>
      </c>
      <c r="D333" t="s">
        <v>526</v>
      </c>
      <c r="E333" s="2">
        <v>28.6</v>
      </c>
      <c r="F333" s="3">
        <f t="shared" si="21"/>
        <v>45708</v>
      </c>
      <c r="G333" s="3">
        <f t="shared" si="21"/>
        <v>45708</v>
      </c>
      <c r="H333">
        <v>1831107470</v>
      </c>
      <c r="I333" t="s">
        <v>21</v>
      </c>
      <c r="K333" t="s">
        <v>22</v>
      </c>
      <c r="L333" t="s">
        <v>23</v>
      </c>
      <c r="M333" t="s">
        <v>24</v>
      </c>
      <c r="N333" t="s">
        <v>24</v>
      </c>
      <c r="O333" t="s">
        <v>25</v>
      </c>
      <c r="P333" s="8" t="s">
        <v>527</v>
      </c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</row>
    <row r="334" spans="1:51" hidden="1" x14ac:dyDescent="0.2">
      <c r="A334" s="6" t="s">
        <v>17</v>
      </c>
      <c r="B334" t="s">
        <v>60</v>
      </c>
      <c r="C334" t="s">
        <v>61</v>
      </c>
      <c r="D334" t="s">
        <v>528</v>
      </c>
      <c r="E334" s="2">
        <v>1067</v>
      </c>
      <c r="F334" s="3">
        <f t="shared" si="21"/>
        <v>45708</v>
      </c>
      <c r="G334" s="3">
        <f t="shared" si="21"/>
        <v>45708</v>
      </c>
      <c r="H334">
        <v>1831107471</v>
      </c>
      <c r="I334" t="s">
        <v>21</v>
      </c>
      <c r="K334" t="s">
        <v>22</v>
      </c>
      <c r="L334" t="s">
        <v>23</v>
      </c>
      <c r="M334" t="s">
        <v>24</v>
      </c>
      <c r="N334" t="s">
        <v>24</v>
      </c>
      <c r="O334" t="s">
        <v>25</v>
      </c>
      <c r="P334" s="8" t="s">
        <v>529</v>
      </c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</row>
    <row r="335" spans="1:51" hidden="1" x14ac:dyDescent="0.2">
      <c r="A335" s="6" t="s">
        <v>17</v>
      </c>
      <c r="B335" t="s">
        <v>266</v>
      </c>
      <c r="C335" t="s">
        <v>267</v>
      </c>
      <c r="D335" t="s">
        <v>530</v>
      </c>
      <c r="E335" s="2">
        <v>132</v>
      </c>
      <c r="F335" s="3">
        <f t="shared" si="21"/>
        <v>45708</v>
      </c>
      <c r="G335" s="3">
        <f t="shared" si="21"/>
        <v>45708</v>
      </c>
      <c r="H335">
        <v>1831107472</v>
      </c>
      <c r="I335" t="s">
        <v>21</v>
      </c>
      <c r="K335" t="s">
        <v>22</v>
      </c>
      <c r="L335" t="s">
        <v>23</v>
      </c>
      <c r="M335" t="s">
        <v>24</v>
      </c>
      <c r="N335" t="s">
        <v>24</v>
      </c>
      <c r="O335" t="s">
        <v>25</v>
      </c>
      <c r="P335" s="8" t="s">
        <v>531</v>
      </c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</row>
    <row r="336" spans="1:51" hidden="1" x14ac:dyDescent="0.2">
      <c r="A336" s="6"/>
      <c r="E336" s="2"/>
      <c r="F336" s="3"/>
      <c r="G336" s="3"/>
      <c r="P336" s="8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</row>
    <row r="337" spans="1:51" hidden="1" x14ac:dyDescent="0.2">
      <c r="A337" s="6" t="s">
        <v>17</v>
      </c>
      <c r="B337" t="s">
        <v>46</v>
      </c>
      <c r="C337" t="s">
        <v>47</v>
      </c>
      <c r="D337" t="s">
        <v>532</v>
      </c>
      <c r="E337" s="2">
        <v>150</v>
      </c>
      <c r="F337" s="3">
        <f t="shared" si="21"/>
        <v>45708</v>
      </c>
      <c r="G337" s="3">
        <f t="shared" si="21"/>
        <v>45708</v>
      </c>
      <c r="H337">
        <v>1831107474</v>
      </c>
      <c r="I337" t="s">
        <v>21</v>
      </c>
      <c r="K337" t="s">
        <v>22</v>
      </c>
      <c r="L337" t="s">
        <v>23</v>
      </c>
      <c r="M337" t="s">
        <v>24</v>
      </c>
      <c r="N337" t="s">
        <v>24</v>
      </c>
      <c r="O337" t="s">
        <v>25</v>
      </c>
      <c r="P337" s="8" t="s">
        <v>533</v>
      </c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</row>
    <row r="338" spans="1:51" hidden="1" x14ac:dyDescent="0.2">
      <c r="A338" s="6" t="s">
        <v>17</v>
      </c>
      <c r="B338" t="s">
        <v>266</v>
      </c>
      <c r="C338" t="s">
        <v>267</v>
      </c>
      <c r="D338" t="s">
        <v>534</v>
      </c>
      <c r="E338" s="2">
        <v>1089</v>
      </c>
      <c r="F338" s="3">
        <f t="shared" si="21"/>
        <v>45708</v>
      </c>
      <c r="G338" s="3">
        <f t="shared" si="21"/>
        <v>45708</v>
      </c>
      <c r="H338">
        <v>1831107475</v>
      </c>
      <c r="I338" t="s">
        <v>21</v>
      </c>
      <c r="K338" t="s">
        <v>22</v>
      </c>
      <c r="L338" t="s">
        <v>23</v>
      </c>
      <c r="M338" t="s">
        <v>24</v>
      </c>
      <c r="N338" t="s">
        <v>24</v>
      </c>
      <c r="O338" t="s">
        <v>25</v>
      </c>
      <c r="P338" s="8" t="s">
        <v>535</v>
      </c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</row>
    <row r="339" spans="1:51" hidden="1" x14ac:dyDescent="0.2">
      <c r="A339" s="6" t="s">
        <v>17</v>
      </c>
      <c r="B339" t="s">
        <v>266</v>
      </c>
      <c r="C339" t="s">
        <v>267</v>
      </c>
      <c r="D339" t="s">
        <v>536</v>
      </c>
      <c r="E339" s="2">
        <v>1461.84</v>
      </c>
      <c r="F339" s="3">
        <f t="shared" si="21"/>
        <v>45708</v>
      </c>
      <c r="G339" s="3">
        <f t="shared" si="21"/>
        <v>45708</v>
      </c>
      <c r="H339">
        <v>1831107476</v>
      </c>
      <c r="I339" t="s">
        <v>21</v>
      </c>
      <c r="K339" t="s">
        <v>22</v>
      </c>
      <c r="L339" t="s">
        <v>23</v>
      </c>
      <c r="M339" t="s">
        <v>24</v>
      </c>
      <c r="N339" t="s">
        <v>24</v>
      </c>
      <c r="O339" t="s">
        <v>25</v>
      </c>
      <c r="P339" s="8" t="s">
        <v>537</v>
      </c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</row>
    <row r="340" spans="1:51" hidden="1" x14ac:dyDescent="0.2">
      <c r="A340" s="6" t="s">
        <v>17</v>
      </c>
      <c r="B340" t="s">
        <v>60</v>
      </c>
      <c r="C340" t="s">
        <v>61</v>
      </c>
      <c r="D340" t="s">
        <v>538</v>
      </c>
      <c r="E340" s="2">
        <v>207</v>
      </c>
      <c r="F340" s="3">
        <f t="shared" si="21"/>
        <v>45708</v>
      </c>
      <c r="G340" s="3">
        <f t="shared" si="21"/>
        <v>45708</v>
      </c>
      <c r="H340">
        <v>1831107477</v>
      </c>
      <c r="I340" t="s">
        <v>21</v>
      </c>
      <c r="K340" t="s">
        <v>22</v>
      </c>
      <c r="L340" t="s">
        <v>23</v>
      </c>
      <c r="M340" t="s">
        <v>24</v>
      </c>
      <c r="N340" t="s">
        <v>24</v>
      </c>
      <c r="O340" t="s">
        <v>25</v>
      </c>
      <c r="P340" s="8" t="s">
        <v>539</v>
      </c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</row>
    <row r="341" spans="1:51" hidden="1" x14ac:dyDescent="0.2">
      <c r="A341" s="6"/>
      <c r="E341" s="2"/>
      <c r="F341" s="3"/>
      <c r="G341" s="3"/>
      <c r="P341" s="8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</row>
    <row r="342" spans="1:51" hidden="1" x14ac:dyDescent="0.2">
      <c r="A342" s="6"/>
      <c r="E342" s="2"/>
      <c r="F342" s="3"/>
      <c r="G342" s="3"/>
      <c r="P342" s="8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</row>
    <row r="343" spans="1:51" hidden="1" x14ac:dyDescent="0.2">
      <c r="A343" s="6" t="s">
        <v>17</v>
      </c>
      <c r="B343" t="s">
        <v>118</v>
      </c>
      <c r="C343" t="s">
        <v>119</v>
      </c>
      <c r="D343" t="s">
        <v>540</v>
      </c>
      <c r="E343" s="2">
        <v>124.1</v>
      </c>
      <c r="F343" s="3">
        <f>DATE(2025,2,21)</f>
        <v>45709</v>
      </c>
      <c r="G343" s="3">
        <f>DATE(2025,2,21)</f>
        <v>45709</v>
      </c>
      <c r="H343">
        <v>1835258962</v>
      </c>
      <c r="I343" t="s">
        <v>21</v>
      </c>
      <c r="K343" t="s">
        <v>22</v>
      </c>
      <c r="L343" t="s">
        <v>23</v>
      </c>
      <c r="M343" t="s">
        <v>24</v>
      </c>
      <c r="N343" t="s">
        <v>24</v>
      </c>
      <c r="O343" t="s">
        <v>25</v>
      </c>
      <c r="P343" s="8" t="s">
        <v>541</v>
      </c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</row>
    <row r="344" spans="1:51" hidden="1" x14ac:dyDescent="0.2">
      <c r="A344" s="6"/>
      <c r="E344" s="2"/>
      <c r="F344" s="3"/>
      <c r="G344" s="3"/>
      <c r="P344" s="8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</row>
    <row r="345" spans="1:51" hidden="1" x14ac:dyDescent="0.2">
      <c r="A345" s="6"/>
      <c r="E345" s="2"/>
      <c r="F345" s="3"/>
      <c r="G345" s="3"/>
      <c r="P345" s="8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</row>
    <row r="346" spans="1:51" hidden="1" x14ac:dyDescent="0.2">
      <c r="A346" s="6" t="s">
        <v>17</v>
      </c>
      <c r="B346" t="s">
        <v>155</v>
      </c>
      <c r="C346" t="s">
        <v>156</v>
      </c>
      <c r="D346" t="s">
        <v>297</v>
      </c>
      <c r="E346" s="2">
        <v>5.99</v>
      </c>
      <c r="F346" s="3">
        <f>DATE(2025,2,20)</f>
        <v>45708</v>
      </c>
      <c r="G346" s="3">
        <f>DATE(2025,2,20)</f>
        <v>45708</v>
      </c>
      <c r="H346">
        <v>1838237099</v>
      </c>
      <c r="I346" t="s">
        <v>158</v>
      </c>
      <c r="K346" t="s">
        <v>22</v>
      </c>
      <c r="L346" t="s">
        <v>23</v>
      </c>
      <c r="M346" t="s">
        <v>24</v>
      </c>
      <c r="N346" t="s">
        <v>24</v>
      </c>
      <c r="O346" t="s">
        <v>25</v>
      </c>
      <c r="P346" s="8" t="s">
        <v>542</v>
      </c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</row>
    <row r="347" spans="1:51" hidden="1" x14ac:dyDescent="0.2">
      <c r="A347" s="6" t="s">
        <v>17</v>
      </c>
      <c r="B347" t="s">
        <v>118</v>
      </c>
      <c r="C347" t="s">
        <v>119</v>
      </c>
      <c r="D347" t="s">
        <v>543</v>
      </c>
      <c r="E347" s="2">
        <v>107.98</v>
      </c>
      <c r="F347" s="3">
        <f>DATE(2025,2,21)</f>
        <v>45709</v>
      </c>
      <c r="G347" s="3">
        <f>DATE(2025,2,21)</f>
        <v>45709</v>
      </c>
      <c r="H347">
        <v>1838237100</v>
      </c>
      <c r="I347" t="s">
        <v>158</v>
      </c>
      <c r="K347" t="s">
        <v>22</v>
      </c>
      <c r="L347" t="s">
        <v>23</v>
      </c>
      <c r="M347" t="s">
        <v>24</v>
      </c>
      <c r="N347" t="s">
        <v>24</v>
      </c>
      <c r="O347" t="s">
        <v>25</v>
      </c>
      <c r="P347" s="8" t="s">
        <v>544</v>
      </c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</row>
    <row r="348" spans="1:51" hidden="1" x14ac:dyDescent="0.2">
      <c r="A348" s="6" t="s">
        <v>17</v>
      </c>
      <c r="B348" t="s">
        <v>118</v>
      </c>
      <c r="C348" t="s">
        <v>119</v>
      </c>
      <c r="D348" t="s">
        <v>545</v>
      </c>
      <c r="E348" s="2">
        <v>864.33</v>
      </c>
      <c r="F348" s="3">
        <f>DATE(2025,2,21)</f>
        <v>45709</v>
      </c>
      <c r="G348" s="3">
        <f>DATE(2025,2,21)</f>
        <v>45709</v>
      </c>
      <c r="H348">
        <v>1838237101</v>
      </c>
      <c r="I348" t="s">
        <v>158</v>
      </c>
      <c r="K348" t="s">
        <v>22</v>
      </c>
      <c r="L348" t="s">
        <v>23</v>
      </c>
      <c r="M348" t="s">
        <v>24</v>
      </c>
      <c r="N348" t="s">
        <v>24</v>
      </c>
      <c r="O348" t="s">
        <v>25</v>
      </c>
      <c r="P348" s="8" t="s">
        <v>546</v>
      </c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</row>
    <row r="349" spans="1:51" hidden="1" x14ac:dyDescent="0.2">
      <c r="A349" s="6" t="s">
        <v>17</v>
      </c>
      <c r="B349" t="s">
        <v>31</v>
      </c>
      <c r="C349" t="s">
        <v>32</v>
      </c>
      <c r="D349" t="s">
        <v>547</v>
      </c>
      <c r="E349" s="2">
        <v>80.400000000000006</v>
      </c>
      <c r="F349" s="3">
        <f t="shared" ref="F349:G355" si="22">DATE(2025,2,24)</f>
        <v>45712</v>
      </c>
      <c r="G349" s="3">
        <f t="shared" si="22"/>
        <v>45712</v>
      </c>
      <c r="H349">
        <v>1842752364</v>
      </c>
      <c r="I349" t="s">
        <v>21</v>
      </c>
      <c r="K349" t="s">
        <v>22</v>
      </c>
      <c r="L349" t="s">
        <v>23</v>
      </c>
      <c r="M349" t="s">
        <v>24</v>
      </c>
      <c r="N349" t="s">
        <v>24</v>
      </c>
      <c r="O349" t="s">
        <v>25</v>
      </c>
      <c r="P349" s="8" t="s">
        <v>548</v>
      </c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</row>
    <row r="350" spans="1:51" hidden="1" x14ac:dyDescent="0.2">
      <c r="A350" s="6"/>
      <c r="E350" s="2"/>
      <c r="F350" s="3"/>
      <c r="G350" s="3"/>
      <c r="P350" s="8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</row>
    <row r="351" spans="1:51" hidden="1" x14ac:dyDescent="0.2">
      <c r="A351" s="6" t="s">
        <v>17</v>
      </c>
      <c r="B351" t="s">
        <v>244</v>
      </c>
      <c r="C351" t="s">
        <v>245</v>
      </c>
      <c r="D351" t="s">
        <v>549</v>
      </c>
      <c r="E351" s="2">
        <v>778.2</v>
      </c>
      <c r="F351" s="3">
        <f t="shared" si="22"/>
        <v>45712</v>
      </c>
      <c r="G351" s="3">
        <f t="shared" si="22"/>
        <v>45712</v>
      </c>
      <c r="H351">
        <v>1842752366</v>
      </c>
      <c r="I351" t="s">
        <v>21</v>
      </c>
      <c r="K351" t="s">
        <v>22</v>
      </c>
      <c r="L351" t="s">
        <v>23</v>
      </c>
      <c r="M351" t="s">
        <v>24</v>
      </c>
      <c r="N351" t="s">
        <v>24</v>
      </c>
      <c r="O351" t="s">
        <v>25</v>
      </c>
      <c r="P351" s="8" t="s">
        <v>550</v>
      </c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</row>
    <row r="352" spans="1:51" hidden="1" x14ac:dyDescent="0.2">
      <c r="A352" s="6" t="s">
        <v>17</v>
      </c>
      <c r="B352" t="s">
        <v>54</v>
      </c>
      <c r="C352" t="s">
        <v>55</v>
      </c>
      <c r="D352" t="s">
        <v>551</v>
      </c>
      <c r="E352" s="2">
        <v>1958</v>
      </c>
      <c r="F352" s="3">
        <f t="shared" si="22"/>
        <v>45712</v>
      </c>
      <c r="G352" s="3">
        <f t="shared" si="22"/>
        <v>45712</v>
      </c>
      <c r="H352">
        <v>1842752367</v>
      </c>
      <c r="I352" t="s">
        <v>21</v>
      </c>
      <c r="K352" t="s">
        <v>22</v>
      </c>
      <c r="L352" t="s">
        <v>23</v>
      </c>
      <c r="M352" t="s">
        <v>24</v>
      </c>
      <c r="N352" t="s">
        <v>24</v>
      </c>
      <c r="O352" t="s">
        <v>25</v>
      </c>
      <c r="P352" s="8" t="s">
        <v>552</v>
      </c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</row>
    <row r="353" spans="1:51" hidden="1" x14ac:dyDescent="0.2">
      <c r="A353" s="6" t="s">
        <v>17</v>
      </c>
      <c r="B353" t="s">
        <v>31</v>
      </c>
      <c r="C353" t="s">
        <v>32</v>
      </c>
      <c r="D353" t="s">
        <v>553</v>
      </c>
      <c r="E353" s="2">
        <v>51.99</v>
      </c>
      <c r="F353" s="3">
        <f t="shared" si="22"/>
        <v>45712</v>
      </c>
      <c r="G353" s="3">
        <f t="shared" si="22"/>
        <v>45712</v>
      </c>
      <c r="H353">
        <v>1842752368</v>
      </c>
      <c r="I353" t="s">
        <v>21</v>
      </c>
      <c r="K353" t="s">
        <v>22</v>
      </c>
      <c r="L353" t="s">
        <v>23</v>
      </c>
      <c r="M353" t="s">
        <v>24</v>
      </c>
      <c r="N353" t="s">
        <v>24</v>
      </c>
      <c r="O353" t="s">
        <v>25</v>
      </c>
      <c r="P353" s="8" t="s">
        <v>554</v>
      </c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</row>
    <row r="354" spans="1:51" hidden="1" x14ac:dyDescent="0.2">
      <c r="A354" s="6" t="s">
        <v>17</v>
      </c>
      <c r="B354" t="s">
        <v>118</v>
      </c>
      <c r="C354" t="s">
        <v>119</v>
      </c>
      <c r="D354" t="s">
        <v>555</v>
      </c>
      <c r="E354" s="2">
        <v>1111.8599999999999</v>
      </c>
      <c r="F354" s="3">
        <f t="shared" si="22"/>
        <v>45712</v>
      </c>
      <c r="G354" s="3">
        <f t="shared" si="22"/>
        <v>45712</v>
      </c>
      <c r="H354">
        <v>1842752369</v>
      </c>
      <c r="I354" t="s">
        <v>21</v>
      </c>
      <c r="K354" t="s">
        <v>22</v>
      </c>
      <c r="L354" t="s">
        <v>23</v>
      </c>
      <c r="M354" t="s">
        <v>24</v>
      </c>
      <c r="N354" t="s">
        <v>24</v>
      </c>
      <c r="O354" t="s">
        <v>25</v>
      </c>
      <c r="P354" s="8" t="s">
        <v>556</v>
      </c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</row>
    <row r="355" spans="1:51" hidden="1" x14ac:dyDescent="0.2">
      <c r="A355" s="6" t="s">
        <v>17</v>
      </c>
      <c r="B355" t="s">
        <v>266</v>
      </c>
      <c r="C355" t="s">
        <v>267</v>
      </c>
      <c r="D355" t="s">
        <v>557</v>
      </c>
      <c r="E355" s="2">
        <v>99</v>
      </c>
      <c r="F355" s="3">
        <f t="shared" si="22"/>
        <v>45712</v>
      </c>
      <c r="G355" s="3">
        <f t="shared" si="22"/>
        <v>45712</v>
      </c>
      <c r="H355">
        <v>1842752370</v>
      </c>
      <c r="I355" t="s">
        <v>21</v>
      </c>
      <c r="K355" t="s">
        <v>22</v>
      </c>
      <c r="L355" t="s">
        <v>23</v>
      </c>
      <c r="M355" t="s">
        <v>24</v>
      </c>
      <c r="N355" t="s">
        <v>24</v>
      </c>
      <c r="O355" t="s">
        <v>25</v>
      </c>
      <c r="P355" s="8" t="s">
        <v>558</v>
      </c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</row>
    <row r="356" spans="1:51" hidden="1" x14ac:dyDescent="0.2">
      <c r="A356" s="6"/>
      <c r="E356" s="2"/>
      <c r="F356" s="3"/>
      <c r="G356" s="3"/>
      <c r="P356" s="8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</row>
    <row r="357" spans="1:51" hidden="1" x14ac:dyDescent="0.2">
      <c r="A357" s="6" t="s">
        <v>17</v>
      </c>
      <c r="B357" t="s">
        <v>31</v>
      </c>
      <c r="C357" t="s">
        <v>32</v>
      </c>
      <c r="D357" t="s">
        <v>559</v>
      </c>
      <c r="E357" s="2">
        <v>103.48</v>
      </c>
      <c r="F357" s="3">
        <f t="shared" ref="F357:G358" si="23">DATE(2025,2,24)</f>
        <v>45712</v>
      </c>
      <c r="G357" s="3">
        <f t="shared" si="23"/>
        <v>45712</v>
      </c>
      <c r="H357">
        <v>1842752372</v>
      </c>
      <c r="I357" t="s">
        <v>21</v>
      </c>
      <c r="K357" t="s">
        <v>22</v>
      </c>
      <c r="L357" t="s">
        <v>23</v>
      </c>
      <c r="M357" t="s">
        <v>24</v>
      </c>
      <c r="N357" t="s">
        <v>24</v>
      </c>
      <c r="O357" t="s">
        <v>25</v>
      </c>
      <c r="P357" s="8" t="s">
        <v>560</v>
      </c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</row>
    <row r="358" spans="1:51" hidden="1" x14ac:dyDescent="0.2">
      <c r="A358" s="6" t="s">
        <v>17</v>
      </c>
      <c r="B358" t="s">
        <v>46</v>
      </c>
      <c r="C358" t="s">
        <v>47</v>
      </c>
      <c r="D358" t="s">
        <v>561</v>
      </c>
      <c r="E358" s="2">
        <v>720</v>
      </c>
      <c r="F358" s="3">
        <f t="shared" si="23"/>
        <v>45712</v>
      </c>
      <c r="G358" s="3">
        <f t="shared" si="23"/>
        <v>45712</v>
      </c>
      <c r="H358">
        <v>1842752373</v>
      </c>
      <c r="I358" t="s">
        <v>21</v>
      </c>
      <c r="K358" t="s">
        <v>22</v>
      </c>
      <c r="L358" t="s">
        <v>23</v>
      </c>
      <c r="M358" t="s">
        <v>24</v>
      </c>
      <c r="N358" t="s">
        <v>24</v>
      </c>
      <c r="O358" t="s">
        <v>25</v>
      </c>
      <c r="P358" s="8" t="s">
        <v>562</v>
      </c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</row>
    <row r="359" spans="1:51" hidden="1" x14ac:dyDescent="0.2">
      <c r="A359" s="6"/>
      <c r="E359" s="2"/>
      <c r="F359" s="3"/>
      <c r="G359" s="3"/>
      <c r="P359" s="8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</row>
    <row r="360" spans="1:51" hidden="1" x14ac:dyDescent="0.2">
      <c r="A360" s="6"/>
      <c r="E360" s="2"/>
      <c r="F360" s="3"/>
      <c r="G360" s="3"/>
      <c r="P360" s="8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</row>
    <row r="361" spans="1:51" hidden="1" x14ac:dyDescent="0.2">
      <c r="A361" s="6" t="s">
        <v>17</v>
      </c>
      <c r="B361" t="s">
        <v>31</v>
      </c>
      <c r="C361" t="s">
        <v>32</v>
      </c>
      <c r="D361" t="s">
        <v>563</v>
      </c>
      <c r="E361" s="2">
        <v>69.98</v>
      </c>
      <c r="F361" s="3">
        <f>DATE(2025,2,25)</f>
        <v>45713</v>
      </c>
      <c r="G361" s="3">
        <f>DATE(2025,2,25)</f>
        <v>45713</v>
      </c>
      <c r="H361">
        <v>1847699515</v>
      </c>
      <c r="I361" t="s">
        <v>21</v>
      </c>
      <c r="K361" t="s">
        <v>22</v>
      </c>
      <c r="L361" t="s">
        <v>23</v>
      </c>
      <c r="M361" t="s">
        <v>24</v>
      </c>
      <c r="N361" t="s">
        <v>24</v>
      </c>
      <c r="O361" t="s">
        <v>25</v>
      </c>
      <c r="P361" s="8" t="s">
        <v>564</v>
      </c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</row>
    <row r="362" spans="1:51" hidden="1" x14ac:dyDescent="0.2">
      <c r="A362" s="6" t="s">
        <v>17</v>
      </c>
      <c r="B362" t="s">
        <v>565</v>
      </c>
      <c r="C362" t="s">
        <v>566</v>
      </c>
      <c r="D362" t="s">
        <v>567</v>
      </c>
      <c r="E362" s="2">
        <v>8.99</v>
      </c>
      <c r="F362" s="3">
        <f>DATE(2025,2,24)</f>
        <v>45712</v>
      </c>
      <c r="G362" s="3">
        <f>DATE(2025,2,24)</f>
        <v>45712</v>
      </c>
      <c r="H362">
        <v>1847699516</v>
      </c>
      <c r="I362" t="s">
        <v>158</v>
      </c>
      <c r="K362" t="s">
        <v>22</v>
      </c>
      <c r="L362" t="s">
        <v>23</v>
      </c>
      <c r="M362" t="s">
        <v>24</v>
      </c>
      <c r="N362" t="s">
        <v>24</v>
      </c>
      <c r="O362" t="s">
        <v>25</v>
      </c>
      <c r="P362" s="8" t="s">
        <v>568</v>
      </c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</row>
    <row r="363" spans="1:51" hidden="1" x14ac:dyDescent="0.2">
      <c r="A363" s="6" t="s">
        <v>17</v>
      </c>
      <c r="B363" t="s">
        <v>118</v>
      </c>
      <c r="C363" t="s">
        <v>119</v>
      </c>
      <c r="D363" t="s">
        <v>569</v>
      </c>
      <c r="E363" s="2">
        <v>30.31</v>
      </c>
      <c r="F363" s="3">
        <f>DATE(2025,2,24)</f>
        <v>45712</v>
      </c>
      <c r="G363" s="3">
        <f>DATE(2025,2,24)</f>
        <v>45712</v>
      </c>
      <c r="H363">
        <v>1847699517</v>
      </c>
      <c r="I363" t="s">
        <v>158</v>
      </c>
      <c r="K363" t="s">
        <v>22</v>
      </c>
      <c r="L363" t="s">
        <v>23</v>
      </c>
      <c r="M363" t="s">
        <v>24</v>
      </c>
      <c r="N363" t="s">
        <v>24</v>
      </c>
      <c r="O363" t="s">
        <v>25</v>
      </c>
      <c r="P363" s="8" t="s">
        <v>570</v>
      </c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</row>
    <row r="364" spans="1:51" hidden="1" x14ac:dyDescent="0.2">
      <c r="A364" s="6" t="s">
        <v>17</v>
      </c>
      <c r="B364" t="s">
        <v>287</v>
      </c>
      <c r="C364" t="s">
        <v>288</v>
      </c>
      <c r="D364" t="s">
        <v>571</v>
      </c>
      <c r="E364" s="2">
        <v>810</v>
      </c>
      <c r="F364" s="3">
        <f>DATE(2025,2,25)</f>
        <v>45713</v>
      </c>
      <c r="G364" s="3">
        <f>DATE(2025,2,25)</f>
        <v>45713</v>
      </c>
      <c r="H364">
        <v>1853918455</v>
      </c>
      <c r="I364" t="s">
        <v>21</v>
      </c>
      <c r="K364" t="s">
        <v>22</v>
      </c>
      <c r="L364" t="s">
        <v>23</v>
      </c>
      <c r="M364" t="s">
        <v>24</v>
      </c>
      <c r="N364" t="s">
        <v>24</v>
      </c>
      <c r="O364" t="s">
        <v>25</v>
      </c>
      <c r="P364" s="8" t="s">
        <v>572</v>
      </c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</row>
    <row r="365" spans="1:51" hidden="1" x14ac:dyDescent="0.2">
      <c r="A365" s="6" t="s">
        <v>17</v>
      </c>
      <c r="B365" t="s">
        <v>309</v>
      </c>
      <c r="C365" t="s">
        <v>310</v>
      </c>
      <c r="D365" t="s">
        <v>573</v>
      </c>
      <c r="E365" s="2">
        <v>2011.34</v>
      </c>
      <c r="F365" s="3">
        <f t="shared" ref="F365:G367" si="24">DATE(2025,2,26)</f>
        <v>45714</v>
      </c>
      <c r="G365" s="3">
        <f t="shared" si="24"/>
        <v>45714</v>
      </c>
      <c r="H365">
        <v>1853918587</v>
      </c>
      <c r="I365" t="s">
        <v>21</v>
      </c>
      <c r="K365" t="s">
        <v>22</v>
      </c>
      <c r="L365" t="s">
        <v>23</v>
      </c>
      <c r="M365" t="s">
        <v>24</v>
      </c>
      <c r="N365" t="s">
        <v>24</v>
      </c>
      <c r="O365" t="s">
        <v>25</v>
      </c>
      <c r="P365" s="8" t="s">
        <v>574</v>
      </c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</row>
    <row r="366" spans="1:51" hidden="1" x14ac:dyDescent="0.2">
      <c r="A366" s="6" t="s">
        <v>17</v>
      </c>
      <c r="B366" t="s">
        <v>255</v>
      </c>
      <c r="C366" t="s">
        <v>255</v>
      </c>
      <c r="D366" t="s">
        <v>575</v>
      </c>
      <c r="E366" s="2">
        <v>3908.68</v>
      </c>
      <c r="F366" s="3">
        <f t="shared" si="24"/>
        <v>45714</v>
      </c>
      <c r="G366" s="3">
        <f t="shared" si="24"/>
        <v>45714</v>
      </c>
      <c r="H366">
        <v>1853918590</v>
      </c>
      <c r="I366" t="s">
        <v>21</v>
      </c>
      <c r="K366" t="s">
        <v>22</v>
      </c>
      <c r="L366" t="s">
        <v>23</v>
      </c>
      <c r="M366" t="s">
        <v>24</v>
      </c>
      <c r="N366" t="s">
        <v>24</v>
      </c>
      <c r="O366" t="s">
        <v>25</v>
      </c>
      <c r="P366" s="8" t="s">
        <v>576</v>
      </c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</row>
    <row r="367" spans="1:51" hidden="1" x14ac:dyDescent="0.2">
      <c r="A367" s="6" t="s">
        <v>17</v>
      </c>
      <c r="B367" t="s">
        <v>118</v>
      </c>
      <c r="C367" t="s">
        <v>119</v>
      </c>
      <c r="D367" t="s">
        <v>577</v>
      </c>
      <c r="E367" s="2">
        <v>107.06</v>
      </c>
      <c r="F367" s="3">
        <f t="shared" si="24"/>
        <v>45714</v>
      </c>
      <c r="G367" s="3">
        <f t="shared" si="24"/>
        <v>45714</v>
      </c>
      <c r="H367">
        <v>1853918593</v>
      </c>
      <c r="I367" t="s">
        <v>21</v>
      </c>
      <c r="K367" t="s">
        <v>22</v>
      </c>
      <c r="L367" t="s">
        <v>23</v>
      </c>
      <c r="M367" t="s">
        <v>24</v>
      </c>
      <c r="N367" t="s">
        <v>24</v>
      </c>
      <c r="O367" t="s">
        <v>25</v>
      </c>
      <c r="P367" s="8" t="s">
        <v>578</v>
      </c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</row>
    <row r="368" spans="1:51" hidden="1" x14ac:dyDescent="0.2">
      <c r="A368" s="6"/>
      <c r="E368" s="2"/>
      <c r="F368" s="3"/>
      <c r="G368" s="3"/>
      <c r="P368" s="8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</row>
    <row r="369" spans="1:51" hidden="1" x14ac:dyDescent="0.2">
      <c r="A369" s="6" t="s">
        <v>17</v>
      </c>
      <c r="B369" t="s">
        <v>70</v>
      </c>
      <c r="C369" t="s">
        <v>71</v>
      </c>
      <c r="D369" t="s">
        <v>579</v>
      </c>
      <c r="E369" s="2">
        <v>165.44</v>
      </c>
      <c r="F369" s="3">
        <f>DATE(2025,2,26)</f>
        <v>45714</v>
      </c>
      <c r="G369" s="3">
        <f>DATE(2025,2,26)</f>
        <v>45714</v>
      </c>
      <c r="H369">
        <v>1853918602</v>
      </c>
      <c r="I369" t="s">
        <v>21</v>
      </c>
      <c r="K369" t="s">
        <v>22</v>
      </c>
      <c r="L369" t="s">
        <v>23</v>
      </c>
      <c r="M369" t="s">
        <v>24</v>
      </c>
      <c r="N369" t="s">
        <v>24</v>
      </c>
      <c r="O369" t="s">
        <v>25</v>
      </c>
      <c r="P369" s="8" t="s">
        <v>580</v>
      </c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</row>
    <row r="370" spans="1:51" hidden="1" x14ac:dyDescent="0.2">
      <c r="A370" s="6" t="s">
        <v>17</v>
      </c>
      <c r="B370" t="s">
        <v>565</v>
      </c>
      <c r="C370" t="s">
        <v>566</v>
      </c>
      <c r="D370" t="s">
        <v>581</v>
      </c>
      <c r="E370" s="2">
        <v>13.68</v>
      </c>
      <c r="F370" s="3">
        <f>DATE(2025,2,24)</f>
        <v>45712</v>
      </c>
      <c r="G370" s="3">
        <f>DATE(2025,2,24)</f>
        <v>45712</v>
      </c>
      <c r="H370">
        <v>1853919700</v>
      </c>
      <c r="I370" t="s">
        <v>158</v>
      </c>
      <c r="K370" t="s">
        <v>22</v>
      </c>
      <c r="L370" t="s">
        <v>23</v>
      </c>
      <c r="M370" t="s">
        <v>24</v>
      </c>
      <c r="N370" t="s">
        <v>24</v>
      </c>
      <c r="O370" t="s">
        <v>25</v>
      </c>
      <c r="P370" s="8" t="s">
        <v>582</v>
      </c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</row>
    <row r="371" spans="1:51" hidden="1" x14ac:dyDescent="0.2">
      <c r="A371" s="6" t="s">
        <v>17</v>
      </c>
      <c r="B371" t="s">
        <v>118</v>
      </c>
      <c r="C371" t="s">
        <v>119</v>
      </c>
      <c r="D371" t="s">
        <v>583</v>
      </c>
      <c r="E371" s="2">
        <v>3.25</v>
      </c>
      <c r="F371" s="3">
        <f>DATE(2025,2,24)</f>
        <v>45712</v>
      </c>
      <c r="G371" s="3">
        <f>DATE(2025,2,24)</f>
        <v>45712</v>
      </c>
      <c r="H371">
        <v>1853919714</v>
      </c>
      <c r="I371" t="s">
        <v>158</v>
      </c>
      <c r="K371" t="s">
        <v>22</v>
      </c>
      <c r="L371" t="s">
        <v>23</v>
      </c>
      <c r="M371" t="s">
        <v>24</v>
      </c>
      <c r="N371" t="s">
        <v>24</v>
      </c>
      <c r="O371" t="s">
        <v>25</v>
      </c>
      <c r="P371" s="8" t="s">
        <v>584</v>
      </c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</row>
    <row r="372" spans="1:51" hidden="1" x14ac:dyDescent="0.2">
      <c r="A372" s="6" t="s">
        <v>17</v>
      </c>
      <c r="B372" t="s">
        <v>118</v>
      </c>
      <c r="C372" t="s">
        <v>119</v>
      </c>
      <c r="D372" t="s">
        <v>585</v>
      </c>
      <c r="E372" s="2">
        <v>7.59</v>
      </c>
      <c r="F372" s="3">
        <f>DATE(2025,2,25)</f>
        <v>45713</v>
      </c>
      <c r="G372" s="3">
        <f>DATE(2025,2,25)</f>
        <v>45713</v>
      </c>
      <c r="H372">
        <v>1853919716</v>
      </c>
      <c r="I372" t="s">
        <v>158</v>
      </c>
      <c r="K372" t="s">
        <v>22</v>
      </c>
      <c r="L372" t="s">
        <v>23</v>
      </c>
      <c r="M372" t="s">
        <v>24</v>
      </c>
      <c r="N372" t="s">
        <v>24</v>
      </c>
      <c r="O372" t="s">
        <v>25</v>
      </c>
      <c r="P372" s="8" t="s">
        <v>586</v>
      </c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</row>
    <row r="373" spans="1:51" hidden="1" x14ac:dyDescent="0.2">
      <c r="A373" s="6" t="s">
        <v>17</v>
      </c>
      <c r="B373" t="s">
        <v>118</v>
      </c>
      <c r="C373" t="s">
        <v>119</v>
      </c>
      <c r="D373" t="s">
        <v>585</v>
      </c>
      <c r="E373" s="2">
        <v>51.85</v>
      </c>
      <c r="F373" s="3">
        <f t="shared" ref="F373:G375" si="25">DATE(2025,2,24)</f>
        <v>45712</v>
      </c>
      <c r="G373" s="3">
        <f t="shared" si="25"/>
        <v>45712</v>
      </c>
      <c r="H373">
        <v>1853919718</v>
      </c>
      <c r="I373" t="s">
        <v>158</v>
      </c>
      <c r="K373" t="s">
        <v>22</v>
      </c>
      <c r="L373" t="s">
        <v>23</v>
      </c>
      <c r="M373" t="s">
        <v>24</v>
      </c>
      <c r="N373" t="s">
        <v>24</v>
      </c>
      <c r="O373" t="s">
        <v>25</v>
      </c>
      <c r="P373" s="8" t="s">
        <v>587</v>
      </c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</row>
    <row r="374" spans="1:51" hidden="1" x14ac:dyDescent="0.2">
      <c r="A374" s="6" t="s">
        <v>17</v>
      </c>
      <c r="B374" t="s">
        <v>118</v>
      </c>
      <c r="C374" t="s">
        <v>119</v>
      </c>
      <c r="D374" t="s">
        <v>585</v>
      </c>
      <c r="E374" s="2">
        <v>20.82</v>
      </c>
      <c r="F374" s="3">
        <f t="shared" si="25"/>
        <v>45712</v>
      </c>
      <c r="G374" s="3">
        <f t="shared" si="25"/>
        <v>45712</v>
      </c>
      <c r="H374">
        <v>1853919720</v>
      </c>
      <c r="I374" t="s">
        <v>158</v>
      </c>
      <c r="K374" t="s">
        <v>22</v>
      </c>
      <c r="L374" t="s">
        <v>23</v>
      </c>
      <c r="M374" t="s">
        <v>24</v>
      </c>
      <c r="N374" t="s">
        <v>24</v>
      </c>
      <c r="O374" t="s">
        <v>25</v>
      </c>
      <c r="P374" s="8" t="s">
        <v>588</v>
      </c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</row>
    <row r="375" spans="1:51" hidden="1" x14ac:dyDescent="0.2">
      <c r="A375" s="6" t="s">
        <v>17</v>
      </c>
      <c r="B375" t="s">
        <v>589</v>
      </c>
      <c r="C375" t="s">
        <v>590</v>
      </c>
      <c r="D375" t="s">
        <v>591</v>
      </c>
      <c r="E375" s="2">
        <v>149.1</v>
      </c>
      <c r="F375" s="3">
        <f t="shared" si="25"/>
        <v>45712</v>
      </c>
      <c r="G375" s="3">
        <f t="shared" si="25"/>
        <v>45712</v>
      </c>
      <c r="H375">
        <v>1853919722</v>
      </c>
      <c r="I375" t="s">
        <v>158</v>
      </c>
      <c r="K375" t="s">
        <v>22</v>
      </c>
      <c r="L375" t="s">
        <v>23</v>
      </c>
      <c r="M375" t="s">
        <v>24</v>
      </c>
      <c r="N375" t="s">
        <v>24</v>
      </c>
      <c r="O375" t="s">
        <v>25</v>
      </c>
      <c r="P375" s="8" t="s">
        <v>592</v>
      </c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</row>
    <row r="376" spans="1:51" hidden="1" x14ac:dyDescent="0.2">
      <c r="A376" s="6" t="s">
        <v>17</v>
      </c>
      <c r="B376" t="s">
        <v>118</v>
      </c>
      <c r="C376" t="s">
        <v>119</v>
      </c>
      <c r="D376" t="s">
        <v>593</v>
      </c>
      <c r="E376" s="2">
        <v>1085.0999999999999</v>
      </c>
      <c r="F376" s="3">
        <f t="shared" ref="F376:G379" si="26">DATE(2025,2,28)</f>
        <v>45716</v>
      </c>
      <c r="G376" s="3">
        <f t="shared" si="26"/>
        <v>45716</v>
      </c>
      <c r="H376">
        <v>1858631176</v>
      </c>
      <c r="I376" t="s">
        <v>21</v>
      </c>
      <c r="K376" t="s">
        <v>22</v>
      </c>
      <c r="L376" t="s">
        <v>23</v>
      </c>
      <c r="M376" t="s">
        <v>24</v>
      </c>
      <c r="N376" t="s">
        <v>24</v>
      </c>
      <c r="O376" t="s">
        <v>25</v>
      </c>
      <c r="P376" s="8" t="s">
        <v>594</v>
      </c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</row>
    <row r="377" spans="1:51" hidden="1" x14ac:dyDescent="0.2">
      <c r="A377" s="6" t="s">
        <v>17</v>
      </c>
      <c r="B377" t="s">
        <v>118</v>
      </c>
      <c r="C377" t="s">
        <v>119</v>
      </c>
      <c r="D377" t="s">
        <v>595</v>
      </c>
      <c r="E377" s="2">
        <v>772.34</v>
      </c>
      <c r="F377" s="3">
        <f t="shared" si="26"/>
        <v>45716</v>
      </c>
      <c r="G377" s="3">
        <f t="shared" si="26"/>
        <v>45716</v>
      </c>
      <c r="H377">
        <v>1858631177</v>
      </c>
      <c r="I377" t="s">
        <v>21</v>
      </c>
      <c r="K377" t="s">
        <v>22</v>
      </c>
      <c r="L377" t="s">
        <v>23</v>
      </c>
      <c r="M377" t="s">
        <v>24</v>
      </c>
      <c r="N377" t="s">
        <v>24</v>
      </c>
      <c r="O377" t="s">
        <v>25</v>
      </c>
      <c r="P377" s="8" t="s">
        <v>596</v>
      </c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</row>
    <row r="378" spans="1:51" hidden="1" x14ac:dyDescent="0.2">
      <c r="A378" s="6" t="s">
        <v>17</v>
      </c>
      <c r="B378" t="s">
        <v>244</v>
      </c>
      <c r="C378" t="s">
        <v>245</v>
      </c>
      <c r="D378" t="s">
        <v>597</v>
      </c>
      <c r="E378" s="2">
        <v>629.04</v>
      </c>
      <c r="F378" s="3">
        <f t="shared" si="26"/>
        <v>45716</v>
      </c>
      <c r="G378" s="3">
        <f t="shared" si="26"/>
        <v>45716</v>
      </c>
      <c r="H378">
        <v>1858631178</v>
      </c>
      <c r="I378" t="s">
        <v>21</v>
      </c>
      <c r="K378" t="s">
        <v>22</v>
      </c>
      <c r="L378" t="s">
        <v>23</v>
      </c>
      <c r="M378" t="s">
        <v>24</v>
      </c>
      <c r="N378" t="s">
        <v>24</v>
      </c>
      <c r="O378" t="s">
        <v>25</v>
      </c>
      <c r="P378" s="8" t="s">
        <v>598</v>
      </c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</row>
    <row r="379" spans="1:51" hidden="1" x14ac:dyDescent="0.2">
      <c r="A379" s="6" t="s">
        <v>17</v>
      </c>
      <c r="B379" t="s">
        <v>70</v>
      </c>
      <c r="C379" t="s">
        <v>71</v>
      </c>
      <c r="D379" t="s">
        <v>599</v>
      </c>
      <c r="E379" s="2">
        <v>175.66</v>
      </c>
      <c r="F379" s="3">
        <f t="shared" si="26"/>
        <v>45716</v>
      </c>
      <c r="G379" s="3">
        <f t="shared" si="26"/>
        <v>45716</v>
      </c>
      <c r="H379">
        <v>1858631179</v>
      </c>
      <c r="I379" t="s">
        <v>21</v>
      </c>
      <c r="K379" t="s">
        <v>22</v>
      </c>
      <c r="L379" t="s">
        <v>23</v>
      </c>
      <c r="M379" t="s">
        <v>24</v>
      </c>
      <c r="N379" t="s">
        <v>24</v>
      </c>
      <c r="O379" t="s">
        <v>25</v>
      </c>
      <c r="P379" s="8" t="s">
        <v>600</v>
      </c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</row>
    <row r="380" spans="1:51" hidden="1" x14ac:dyDescent="0.2">
      <c r="A380" s="6" t="s">
        <v>17</v>
      </c>
      <c r="B380" t="s">
        <v>90</v>
      </c>
      <c r="C380" t="s">
        <v>91</v>
      </c>
      <c r="D380" t="s">
        <v>601</v>
      </c>
      <c r="E380" s="2">
        <v>1000</v>
      </c>
      <c r="F380" s="3">
        <f>DATE(2025,2,27)</f>
        <v>45715</v>
      </c>
      <c r="G380" s="3">
        <f>DATE(2025,2,27)</f>
        <v>45715</v>
      </c>
      <c r="H380">
        <v>1858631180</v>
      </c>
      <c r="I380" t="s">
        <v>21</v>
      </c>
      <c r="K380" t="s">
        <v>22</v>
      </c>
      <c r="L380" t="s">
        <v>23</v>
      </c>
      <c r="M380" t="s">
        <v>24</v>
      </c>
      <c r="N380" t="s">
        <v>24</v>
      </c>
      <c r="O380" t="s">
        <v>25</v>
      </c>
      <c r="P380" s="8" t="s">
        <v>602</v>
      </c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</row>
    <row r="381" spans="1:51" hidden="1" x14ac:dyDescent="0.2">
      <c r="A381" s="6" t="s">
        <v>17</v>
      </c>
      <c r="B381" t="s">
        <v>118</v>
      </c>
      <c r="C381" t="s">
        <v>119</v>
      </c>
      <c r="D381" t="s">
        <v>603</v>
      </c>
      <c r="E381" s="2">
        <v>1980.96</v>
      </c>
      <c r="F381" s="3">
        <f>DATE(2025,2,28)</f>
        <v>45716</v>
      </c>
      <c r="G381" s="3">
        <f>DATE(2025,2,28)</f>
        <v>45716</v>
      </c>
      <c r="H381">
        <v>1858631181</v>
      </c>
      <c r="I381" t="s">
        <v>21</v>
      </c>
      <c r="K381" t="s">
        <v>22</v>
      </c>
      <c r="L381" t="s">
        <v>23</v>
      </c>
      <c r="M381" t="s">
        <v>24</v>
      </c>
      <c r="N381" t="s">
        <v>24</v>
      </c>
      <c r="O381" t="s">
        <v>25</v>
      </c>
      <c r="P381" s="8" t="s">
        <v>604</v>
      </c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</row>
    <row r="382" spans="1:51" hidden="1" x14ac:dyDescent="0.2">
      <c r="A382" s="6" t="s">
        <v>17</v>
      </c>
      <c r="B382" t="s">
        <v>144</v>
      </c>
      <c r="C382" t="s">
        <v>145</v>
      </c>
      <c r="D382" t="s">
        <v>605</v>
      </c>
      <c r="E382" s="2">
        <v>12113.28</v>
      </c>
      <c r="F382" s="3">
        <f>DATE(2025,2,28)</f>
        <v>45716</v>
      </c>
      <c r="G382" s="3">
        <f>DATE(2025,2,28)</f>
        <v>45716</v>
      </c>
      <c r="H382">
        <v>1858631182</v>
      </c>
      <c r="I382" t="s">
        <v>21</v>
      </c>
      <c r="K382" t="s">
        <v>22</v>
      </c>
      <c r="L382" t="s">
        <v>23</v>
      </c>
      <c r="M382" t="s">
        <v>24</v>
      </c>
      <c r="N382" t="s">
        <v>24</v>
      </c>
      <c r="O382" t="s">
        <v>25</v>
      </c>
      <c r="P382" s="8" t="s">
        <v>606</v>
      </c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</row>
    <row r="383" spans="1:51" hidden="1" x14ac:dyDescent="0.2">
      <c r="A383" s="6" t="s">
        <v>17</v>
      </c>
      <c r="B383" t="s">
        <v>90</v>
      </c>
      <c r="C383" t="s">
        <v>91</v>
      </c>
      <c r="D383" t="s">
        <v>607</v>
      </c>
      <c r="E383" s="2">
        <v>840</v>
      </c>
      <c r="F383" s="3">
        <f>DATE(2025,2,27)</f>
        <v>45715</v>
      </c>
      <c r="G383" s="3">
        <f>DATE(2025,2,27)</f>
        <v>45715</v>
      </c>
      <c r="H383">
        <v>1858631183</v>
      </c>
      <c r="I383" t="s">
        <v>21</v>
      </c>
      <c r="K383" t="s">
        <v>22</v>
      </c>
      <c r="L383" t="s">
        <v>23</v>
      </c>
      <c r="M383" t="s">
        <v>24</v>
      </c>
      <c r="N383" t="s">
        <v>24</v>
      </c>
      <c r="O383" t="s">
        <v>25</v>
      </c>
      <c r="P383" s="8" t="s">
        <v>608</v>
      </c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</row>
    <row r="384" spans="1:51" hidden="1" x14ac:dyDescent="0.2">
      <c r="A384" s="6"/>
      <c r="E384" s="2"/>
      <c r="F384" s="3"/>
      <c r="G384" s="3"/>
      <c r="P384" s="8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</row>
    <row r="385" spans="1:51" hidden="1" x14ac:dyDescent="0.2">
      <c r="A385" s="6" t="s">
        <v>17</v>
      </c>
      <c r="B385" t="s">
        <v>35</v>
      </c>
      <c r="C385" t="s">
        <v>35</v>
      </c>
      <c r="D385" t="s">
        <v>609</v>
      </c>
      <c r="E385" s="2">
        <v>12.92</v>
      </c>
      <c r="F385" s="3">
        <f>DATE(2025,3,1)</f>
        <v>45717</v>
      </c>
      <c r="G385" s="3">
        <f>DATE(2025,3,1)</f>
        <v>45717</v>
      </c>
      <c r="H385">
        <v>1861986891</v>
      </c>
      <c r="I385" t="s">
        <v>21</v>
      </c>
      <c r="K385" t="s">
        <v>22</v>
      </c>
      <c r="L385" t="s">
        <v>23</v>
      </c>
      <c r="M385" t="s">
        <v>24</v>
      </c>
      <c r="N385" t="s">
        <v>24</v>
      </c>
      <c r="O385" t="s">
        <v>25</v>
      </c>
      <c r="P385" s="8" t="s">
        <v>610</v>
      </c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</row>
    <row r="386" spans="1:51" x14ac:dyDescent="0.2">
      <c r="A386" s="6" t="s">
        <v>17</v>
      </c>
      <c r="B386" t="s">
        <v>342</v>
      </c>
      <c r="C386" t="s">
        <v>342</v>
      </c>
      <c r="D386" t="s">
        <v>359</v>
      </c>
      <c r="E386" s="2">
        <v>7966.33</v>
      </c>
      <c r="F386" s="3">
        <f>DATE(2025,2,28)</f>
        <v>45716</v>
      </c>
      <c r="G386" s="3">
        <f>DATE(2025,2,28)</f>
        <v>45716</v>
      </c>
      <c r="H386">
        <v>1861986892</v>
      </c>
      <c r="I386" t="s">
        <v>21</v>
      </c>
      <c r="K386" t="s">
        <v>22</v>
      </c>
      <c r="L386" t="s">
        <v>23</v>
      </c>
      <c r="M386" t="s">
        <v>24</v>
      </c>
      <c r="N386" t="s">
        <v>25</v>
      </c>
      <c r="O386" t="s">
        <v>25</v>
      </c>
      <c r="P386" s="8" t="s">
        <v>611</v>
      </c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</row>
    <row r="387" spans="1:51" hidden="1" x14ac:dyDescent="0.2">
      <c r="A387" s="6" t="s">
        <v>17</v>
      </c>
      <c r="B387" t="s">
        <v>46</v>
      </c>
      <c r="C387" t="s">
        <v>47</v>
      </c>
      <c r="D387" t="s">
        <v>612</v>
      </c>
      <c r="E387" s="2">
        <v>234</v>
      </c>
      <c r="F387" s="3">
        <f>DATE(2025,2,28)</f>
        <v>45716</v>
      </c>
      <c r="G387" s="3">
        <f>DATE(2025,2,28)</f>
        <v>45716</v>
      </c>
      <c r="H387">
        <v>1861986893</v>
      </c>
      <c r="I387" t="s">
        <v>21</v>
      </c>
      <c r="K387" t="s">
        <v>22</v>
      </c>
      <c r="L387" t="s">
        <v>23</v>
      </c>
      <c r="M387" t="s">
        <v>24</v>
      </c>
      <c r="N387" t="s">
        <v>24</v>
      </c>
      <c r="O387" t="s">
        <v>25</v>
      </c>
      <c r="P387" s="8" t="s">
        <v>613</v>
      </c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</row>
    <row r="388" spans="1:51" hidden="1" x14ac:dyDescent="0.2">
      <c r="A388" s="6" t="s">
        <v>17</v>
      </c>
      <c r="B388" t="s">
        <v>27</v>
      </c>
      <c r="C388" t="s">
        <v>28</v>
      </c>
      <c r="D388" t="s">
        <v>614</v>
      </c>
      <c r="E388" s="2">
        <v>1313.46</v>
      </c>
      <c r="F388" s="3">
        <f>DATE(2025,3,1)</f>
        <v>45717</v>
      </c>
      <c r="G388" s="3">
        <f>DATE(2025,3,1)</f>
        <v>45717</v>
      </c>
      <c r="H388">
        <v>1861986894</v>
      </c>
      <c r="I388" t="s">
        <v>21</v>
      </c>
      <c r="K388" t="s">
        <v>22</v>
      </c>
      <c r="L388" t="s">
        <v>23</v>
      </c>
      <c r="M388" t="s">
        <v>24</v>
      </c>
      <c r="N388" t="s">
        <v>24</v>
      </c>
      <c r="O388" t="s">
        <v>25</v>
      </c>
      <c r="P388" s="8" t="s">
        <v>615</v>
      </c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</row>
    <row r="389" spans="1:51" hidden="1" x14ac:dyDescent="0.2">
      <c r="A389" s="6"/>
      <c r="E389" s="2"/>
      <c r="F389" s="3"/>
      <c r="G389" s="3"/>
      <c r="P389" s="8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</row>
    <row r="390" spans="1:51" hidden="1" x14ac:dyDescent="0.2">
      <c r="A390" s="6"/>
      <c r="E390" s="2"/>
      <c r="F390" s="3"/>
      <c r="G390" s="3"/>
      <c r="P390" s="8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</row>
    <row r="391" spans="1:51" hidden="1" x14ac:dyDescent="0.2">
      <c r="A391" s="6" t="s">
        <v>17</v>
      </c>
      <c r="B391" t="s">
        <v>132</v>
      </c>
      <c r="C391" t="s">
        <v>133</v>
      </c>
      <c r="D391" t="s">
        <v>616</v>
      </c>
      <c r="E391" s="2">
        <v>159</v>
      </c>
      <c r="F391" s="3">
        <f>DATE(2025,2,27)</f>
        <v>45715</v>
      </c>
      <c r="G391" s="3">
        <f>DATE(2025,2,27)</f>
        <v>45715</v>
      </c>
      <c r="H391">
        <v>1861986897</v>
      </c>
      <c r="I391" t="s">
        <v>158</v>
      </c>
      <c r="K391" t="s">
        <v>22</v>
      </c>
      <c r="L391" t="s">
        <v>23</v>
      </c>
      <c r="M391" t="s">
        <v>24</v>
      </c>
      <c r="N391" t="s">
        <v>24</v>
      </c>
      <c r="O391" t="s">
        <v>25</v>
      </c>
      <c r="P391" s="8" t="s">
        <v>617</v>
      </c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</row>
    <row r="392" spans="1:51" hidden="1" x14ac:dyDescent="0.2">
      <c r="A392" s="6"/>
      <c r="E392" s="2"/>
      <c r="F392" s="3"/>
      <c r="G392" s="3"/>
      <c r="P392" s="8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</row>
    <row r="393" spans="1:51" hidden="1" x14ac:dyDescent="0.2">
      <c r="A393" s="6"/>
      <c r="E393" s="2"/>
      <c r="F393" s="3"/>
      <c r="G393" s="3"/>
      <c r="P393" s="8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</row>
    <row r="394" spans="1:51" hidden="1" x14ac:dyDescent="0.2">
      <c r="A394" s="6" t="s">
        <v>17</v>
      </c>
      <c r="B394" t="s">
        <v>118</v>
      </c>
      <c r="C394" t="s">
        <v>119</v>
      </c>
      <c r="D394" t="s">
        <v>585</v>
      </c>
      <c r="E394" s="2">
        <v>27.49</v>
      </c>
      <c r="F394" s="3">
        <f>DATE(2025,2,28)</f>
        <v>45716</v>
      </c>
      <c r="G394" s="3">
        <f>DATE(2025,2,28)</f>
        <v>45716</v>
      </c>
      <c r="H394">
        <v>1864261753</v>
      </c>
      <c r="I394" t="s">
        <v>158</v>
      </c>
      <c r="K394" t="s">
        <v>22</v>
      </c>
      <c r="L394" t="s">
        <v>23</v>
      </c>
      <c r="M394" t="s">
        <v>24</v>
      </c>
      <c r="N394" t="s">
        <v>24</v>
      </c>
      <c r="O394" t="s">
        <v>25</v>
      </c>
      <c r="P394" s="8" t="s">
        <v>618</v>
      </c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</row>
    <row r="395" spans="1:51" hidden="1" x14ac:dyDescent="0.2">
      <c r="A395" s="6" t="s">
        <v>17</v>
      </c>
      <c r="B395" t="s">
        <v>118</v>
      </c>
      <c r="C395" t="s">
        <v>119</v>
      </c>
      <c r="D395" t="s">
        <v>299</v>
      </c>
      <c r="E395" s="2">
        <v>12.34</v>
      </c>
      <c r="F395" s="3">
        <f>DATE(2025,2,28)</f>
        <v>45716</v>
      </c>
      <c r="G395" s="3">
        <f>DATE(2025,2,28)</f>
        <v>45716</v>
      </c>
      <c r="H395">
        <v>1864261754</v>
      </c>
      <c r="I395" t="s">
        <v>158</v>
      </c>
      <c r="K395" t="s">
        <v>22</v>
      </c>
      <c r="L395" t="s">
        <v>23</v>
      </c>
      <c r="M395" t="s">
        <v>24</v>
      </c>
      <c r="N395" t="s">
        <v>24</v>
      </c>
      <c r="O395" t="s">
        <v>25</v>
      </c>
      <c r="P395" s="8" t="s">
        <v>619</v>
      </c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</row>
    <row r="396" spans="1:51" hidden="1" x14ac:dyDescent="0.2">
      <c r="A396" s="6" t="s">
        <v>17</v>
      </c>
      <c r="B396" t="s">
        <v>132</v>
      </c>
      <c r="C396" t="s">
        <v>133</v>
      </c>
      <c r="D396" t="s">
        <v>620</v>
      </c>
      <c r="E396" s="2">
        <v>50</v>
      </c>
      <c r="F396" s="3">
        <f>DATE(2025,3,1)</f>
        <v>45717</v>
      </c>
      <c r="G396" s="3">
        <f>DATE(2025,3,1)</f>
        <v>45717</v>
      </c>
      <c r="H396">
        <v>1864264162</v>
      </c>
      <c r="I396" t="s">
        <v>192</v>
      </c>
      <c r="K396" t="s">
        <v>22</v>
      </c>
      <c r="L396" t="s">
        <v>23</v>
      </c>
      <c r="M396" t="s">
        <v>24</v>
      </c>
      <c r="N396" t="s">
        <v>24</v>
      </c>
      <c r="O396" t="s">
        <v>25</v>
      </c>
      <c r="P396" s="8" t="s">
        <v>621</v>
      </c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</row>
    <row r="397" spans="1:51" hidden="1" x14ac:dyDescent="0.2">
      <c r="A397" s="6" t="s">
        <v>17</v>
      </c>
      <c r="B397" t="s">
        <v>42</v>
      </c>
      <c r="C397" t="s">
        <v>43</v>
      </c>
      <c r="D397" t="s">
        <v>622</v>
      </c>
      <c r="E397" s="2">
        <v>89</v>
      </c>
      <c r="F397" s="3">
        <f t="shared" ref="F397:G400" si="27">DATE(2025,3,3)</f>
        <v>45719</v>
      </c>
      <c r="G397" s="3">
        <f t="shared" si="27"/>
        <v>45719</v>
      </c>
      <c r="H397">
        <v>1867754574</v>
      </c>
      <c r="I397" t="s">
        <v>21</v>
      </c>
      <c r="K397" t="s">
        <v>22</v>
      </c>
      <c r="L397" t="s">
        <v>23</v>
      </c>
      <c r="M397" t="s">
        <v>24</v>
      </c>
      <c r="N397" t="s">
        <v>24</v>
      </c>
      <c r="O397" t="s">
        <v>25</v>
      </c>
      <c r="P397" s="8" t="s">
        <v>623</v>
      </c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</row>
    <row r="398" spans="1:51" hidden="1" x14ac:dyDescent="0.2">
      <c r="A398" s="6" t="s">
        <v>17</v>
      </c>
      <c r="B398" t="s">
        <v>255</v>
      </c>
      <c r="C398" t="s">
        <v>255</v>
      </c>
      <c r="D398" t="s">
        <v>624</v>
      </c>
      <c r="E398" s="2">
        <v>999.8</v>
      </c>
      <c r="F398" s="3">
        <f t="shared" si="27"/>
        <v>45719</v>
      </c>
      <c r="G398" s="3">
        <f t="shared" si="27"/>
        <v>45719</v>
      </c>
      <c r="H398">
        <v>1867754575</v>
      </c>
      <c r="I398" t="s">
        <v>21</v>
      </c>
      <c r="K398" t="s">
        <v>22</v>
      </c>
      <c r="L398" t="s">
        <v>23</v>
      </c>
      <c r="M398" t="s">
        <v>24</v>
      </c>
      <c r="N398" t="s">
        <v>24</v>
      </c>
      <c r="O398" t="s">
        <v>25</v>
      </c>
      <c r="P398" s="8" t="s">
        <v>625</v>
      </c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</row>
    <row r="399" spans="1:51" hidden="1" x14ac:dyDescent="0.2">
      <c r="A399" s="6"/>
      <c r="E399" s="2"/>
      <c r="F399" s="3"/>
      <c r="G399" s="3"/>
      <c r="P399" s="8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</row>
    <row r="400" spans="1:51" hidden="1" x14ac:dyDescent="0.2">
      <c r="A400" s="6" t="s">
        <v>17</v>
      </c>
      <c r="B400" t="s">
        <v>42</v>
      </c>
      <c r="C400" t="s">
        <v>43</v>
      </c>
      <c r="D400" t="s">
        <v>626</v>
      </c>
      <c r="E400" s="2">
        <v>102.16</v>
      </c>
      <c r="F400" s="3">
        <f t="shared" si="27"/>
        <v>45719</v>
      </c>
      <c r="G400" s="3">
        <f t="shared" si="27"/>
        <v>45719</v>
      </c>
      <c r="H400">
        <v>1867754577</v>
      </c>
      <c r="I400" t="s">
        <v>21</v>
      </c>
      <c r="K400" t="s">
        <v>22</v>
      </c>
      <c r="L400" t="s">
        <v>23</v>
      </c>
      <c r="M400" t="s">
        <v>24</v>
      </c>
      <c r="N400" t="s">
        <v>24</v>
      </c>
      <c r="O400" t="s">
        <v>25</v>
      </c>
      <c r="P400" s="8" t="s">
        <v>627</v>
      </c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</row>
    <row r="401" spans="1:51" hidden="1" x14ac:dyDescent="0.2">
      <c r="A401" s="6"/>
      <c r="E401" s="2"/>
      <c r="F401" s="3"/>
      <c r="G401" s="3"/>
      <c r="P401" s="8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</row>
    <row r="402" spans="1:51" hidden="1" x14ac:dyDescent="0.2">
      <c r="A402" s="6"/>
      <c r="E402" s="2"/>
      <c r="F402" s="3"/>
      <c r="G402" s="3"/>
      <c r="P402" s="8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</row>
    <row r="403" spans="1:51" hidden="1" x14ac:dyDescent="0.2">
      <c r="A403" s="6"/>
      <c r="E403" s="2"/>
      <c r="F403" s="3"/>
      <c r="G403" s="3"/>
      <c r="P403" s="8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</row>
    <row r="404" spans="1:51" hidden="1" x14ac:dyDescent="0.2">
      <c r="A404" s="6"/>
      <c r="E404" s="2"/>
      <c r="F404" s="3"/>
      <c r="G404" s="3"/>
      <c r="P404" s="8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</row>
    <row r="405" spans="1:51" hidden="1" x14ac:dyDescent="0.2">
      <c r="A405" s="6" t="s">
        <v>17</v>
      </c>
      <c r="B405" t="s">
        <v>90</v>
      </c>
      <c r="C405" t="s">
        <v>91</v>
      </c>
      <c r="D405" t="s">
        <v>628</v>
      </c>
      <c r="E405" s="2">
        <v>9621.94</v>
      </c>
      <c r="F405" s="3">
        <f>DATE(2025,3,3)</f>
        <v>45719</v>
      </c>
      <c r="G405" s="3">
        <f>DATE(2025,3,3)</f>
        <v>45719</v>
      </c>
      <c r="H405">
        <v>1872245910</v>
      </c>
      <c r="I405" t="s">
        <v>21</v>
      </c>
      <c r="K405" t="s">
        <v>22</v>
      </c>
      <c r="L405" t="s">
        <v>23</v>
      </c>
      <c r="M405" t="s">
        <v>24</v>
      </c>
      <c r="N405" t="s">
        <v>24</v>
      </c>
      <c r="O405" t="s">
        <v>25</v>
      </c>
      <c r="P405" s="8" t="s">
        <v>629</v>
      </c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</row>
    <row r="406" spans="1:51" hidden="1" x14ac:dyDescent="0.2">
      <c r="A406" s="6" t="s">
        <v>17</v>
      </c>
      <c r="B406" t="s">
        <v>27</v>
      </c>
      <c r="C406" t="s">
        <v>28</v>
      </c>
      <c r="D406" t="s">
        <v>630</v>
      </c>
      <c r="E406" s="2">
        <v>3829.92</v>
      </c>
      <c r="F406" s="3">
        <f>DATE(2025,3,4)</f>
        <v>45720</v>
      </c>
      <c r="G406" s="3">
        <f>DATE(2025,3,4)</f>
        <v>45720</v>
      </c>
      <c r="H406">
        <v>1872245911</v>
      </c>
      <c r="I406" t="s">
        <v>21</v>
      </c>
      <c r="K406" t="s">
        <v>22</v>
      </c>
      <c r="L406" t="s">
        <v>23</v>
      </c>
      <c r="M406" t="s">
        <v>24</v>
      </c>
      <c r="N406" t="s">
        <v>24</v>
      </c>
      <c r="O406" t="s">
        <v>25</v>
      </c>
      <c r="P406" s="8" t="s">
        <v>631</v>
      </c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</row>
    <row r="407" spans="1:51" hidden="1" x14ac:dyDescent="0.2">
      <c r="A407" s="6" t="s">
        <v>17</v>
      </c>
      <c r="B407" t="s">
        <v>38</v>
      </c>
      <c r="C407" t="s">
        <v>39</v>
      </c>
      <c r="D407" t="s">
        <v>632</v>
      </c>
      <c r="E407" s="2">
        <v>3200</v>
      </c>
      <c r="F407" s="3">
        <f>DATE(2025,3,3)</f>
        <v>45719</v>
      </c>
      <c r="G407" s="3">
        <f>DATE(2025,3,3)</f>
        <v>45719</v>
      </c>
      <c r="H407">
        <v>1872245912</v>
      </c>
      <c r="I407" t="s">
        <v>21</v>
      </c>
      <c r="K407" t="s">
        <v>22</v>
      </c>
      <c r="L407" t="s">
        <v>23</v>
      </c>
      <c r="M407" t="s">
        <v>24</v>
      </c>
      <c r="N407" t="s">
        <v>24</v>
      </c>
      <c r="O407" t="s">
        <v>25</v>
      </c>
      <c r="P407" s="8" t="s">
        <v>633</v>
      </c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</row>
    <row r="408" spans="1:51" hidden="1" x14ac:dyDescent="0.2">
      <c r="A408" s="6" t="s">
        <v>17</v>
      </c>
      <c r="B408" t="s">
        <v>155</v>
      </c>
      <c r="C408" t="s">
        <v>156</v>
      </c>
      <c r="D408" t="s">
        <v>378</v>
      </c>
      <c r="E408" s="2">
        <v>6.64</v>
      </c>
      <c r="F408" s="3">
        <f>DATE(2025,3,1)</f>
        <v>45717</v>
      </c>
      <c r="G408" s="3">
        <f>DATE(2025,3,1)</f>
        <v>45717</v>
      </c>
      <c r="H408">
        <v>1872245914</v>
      </c>
      <c r="I408" t="s">
        <v>158</v>
      </c>
      <c r="K408" t="s">
        <v>22</v>
      </c>
      <c r="L408" t="s">
        <v>23</v>
      </c>
      <c r="M408" t="s">
        <v>24</v>
      </c>
      <c r="N408" t="s">
        <v>24</v>
      </c>
      <c r="O408" t="s">
        <v>25</v>
      </c>
      <c r="P408" s="8" t="s">
        <v>634</v>
      </c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</row>
    <row r="409" spans="1:51" hidden="1" x14ac:dyDescent="0.2">
      <c r="A409" s="6"/>
      <c r="E409" s="2"/>
      <c r="F409" s="3"/>
      <c r="G409" s="3"/>
      <c r="P409" s="8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</row>
    <row r="410" spans="1:51" hidden="1" x14ac:dyDescent="0.2">
      <c r="A410" s="6"/>
      <c r="E410" s="2"/>
      <c r="F410" s="3"/>
      <c r="G410" s="3"/>
      <c r="P410" s="8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</row>
    <row r="411" spans="1:51" hidden="1" x14ac:dyDescent="0.2">
      <c r="A411" s="6" t="s">
        <v>17</v>
      </c>
      <c r="B411" t="s">
        <v>35</v>
      </c>
      <c r="C411" t="s">
        <v>35</v>
      </c>
      <c r="D411" t="s">
        <v>204</v>
      </c>
      <c r="E411" s="2">
        <v>12</v>
      </c>
      <c r="F411" s="3">
        <f t="shared" ref="F411:G411" si="28">DATE(2025,3,3)</f>
        <v>45719</v>
      </c>
      <c r="G411" s="3">
        <f t="shared" si="28"/>
        <v>45719</v>
      </c>
      <c r="H411">
        <v>1872297864</v>
      </c>
      <c r="I411" t="s">
        <v>192</v>
      </c>
      <c r="K411" t="s">
        <v>22</v>
      </c>
      <c r="L411" t="s">
        <v>23</v>
      </c>
      <c r="M411" t="s">
        <v>24</v>
      </c>
      <c r="N411" t="s">
        <v>24</v>
      </c>
      <c r="O411" t="s">
        <v>25</v>
      </c>
      <c r="P411" s="8" t="s">
        <v>635</v>
      </c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</row>
    <row r="412" spans="1:51" hidden="1" x14ac:dyDescent="0.2">
      <c r="A412" s="6"/>
      <c r="E412" s="2"/>
      <c r="F412" s="3"/>
      <c r="G412" s="3"/>
      <c r="P412" s="8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</row>
    <row r="413" spans="1:51" hidden="1" x14ac:dyDescent="0.2">
      <c r="A413" s="6"/>
      <c r="E413" s="2"/>
      <c r="F413" s="3"/>
      <c r="G413" s="3"/>
      <c r="P413" s="8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</row>
    <row r="414" spans="1:51" hidden="1" x14ac:dyDescent="0.2">
      <c r="A414" s="6" t="s">
        <v>17</v>
      </c>
      <c r="B414" t="s">
        <v>84</v>
      </c>
      <c r="C414" t="s">
        <v>85</v>
      </c>
      <c r="D414" t="s">
        <v>636</v>
      </c>
      <c r="E414" s="2">
        <v>298.31</v>
      </c>
      <c r="F414" s="3">
        <f>DATE(2025,3,5)</f>
        <v>45721</v>
      </c>
      <c r="G414" s="3">
        <f>DATE(2025,3,5)</f>
        <v>45721</v>
      </c>
      <c r="H414">
        <v>1878005744</v>
      </c>
      <c r="I414" t="s">
        <v>21</v>
      </c>
      <c r="K414" t="s">
        <v>22</v>
      </c>
      <c r="L414" t="s">
        <v>23</v>
      </c>
      <c r="M414" t="s">
        <v>24</v>
      </c>
      <c r="N414" t="s">
        <v>24</v>
      </c>
      <c r="O414" t="s">
        <v>25</v>
      </c>
      <c r="P414" s="8" t="s">
        <v>637</v>
      </c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</row>
    <row r="415" spans="1:51" hidden="1" x14ac:dyDescent="0.2">
      <c r="A415" s="6" t="s">
        <v>17</v>
      </c>
      <c r="B415" t="s">
        <v>46</v>
      </c>
      <c r="C415" t="s">
        <v>47</v>
      </c>
      <c r="D415" t="s">
        <v>638</v>
      </c>
      <c r="E415" s="2">
        <v>4.5</v>
      </c>
      <c r="F415" s="3">
        <f>DATE(2025,3,5)</f>
        <v>45721</v>
      </c>
      <c r="G415" s="3">
        <f>DATE(2025,3,5)</f>
        <v>45721</v>
      </c>
      <c r="H415">
        <v>1878005745</v>
      </c>
      <c r="I415" t="s">
        <v>21</v>
      </c>
      <c r="K415" t="s">
        <v>22</v>
      </c>
      <c r="L415" t="s">
        <v>23</v>
      </c>
      <c r="M415" t="s">
        <v>24</v>
      </c>
      <c r="N415" t="s">
        <v>24</v>
      </c>
      <c r="O415" t="s">
        <v>25</v>
      </c>
      <c r="P415" s="8" t="s">
        <v>639</v>
      </c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</row>
    <row r="416" spans="1:51" hidden="1" x14ac:dyDescent="0.2">
      <c r="A416" s="6" t="s">
        <v>17</v>
      </c>
      <c r="B416" t="s">
        <v>60</v>
      </c>
      <c r="C416" t="s">
        <v>61</v>
      </c>
      <c r="D416" t="s">
        <v>640</v>
      </c>
      <c r="E416" s="2">
        <v>410.21</v>
      </c>
      <c r="F416" s="3">
        <f>DATE(2025,3,6)</f>
        <v>45722</v>
      </c>
      <c r="G416" s="3">
        <f>DATE(2025,3,6)</f>
        <v>45722</v>
      </c>
      <c r="H416">
        <v>1878005746</v>
      </c>
      <c r="I416" t="s">
        <v>21</v>
      </c>
      <c r="K416" t="s">
        <v>22</v>
      </c>
      <c r="L416" t="s">
        <v>23</v>
      </c>
      <c r="M416" t="s">
        <v>24</v>
      </c>
      <c r="N416" t="s">
        <v>24</v>
      </c>
      <c r="O416" t="s">
        <v>25</v>
      </c>
      <c r="P416" s="8" t="s">
        <v>641</v>
      </c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</row>
    <row r="417" spans="1:51" hidden="1" x14ac:dyDescent="0.2">
      <c r="A417" s="6"/>
      <c r="E417" s="2"/>
      <c r="F417" s="3"/>
      <c r="G417" s="3"/>
      <c r="P417" s="8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</row>
    <row r="418" spans="1:51" hidden="1" x14ac:dyDescent="0.2">
      <c r="A418" s="6"/>
      <c r="E418" s="2"/>
      <c r="F418" s="3"/>
      <c r="G418" s="3"/>
      <c r="P418" s="8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</row>
    <row r="419" spans="1:51" hidden="1" x14ac:dyDescent="0.2">
      <c r="A419" s="6" t="s">
        <v>17</v>
      </c>
      <c r="B419" t="s">
        <v>84</v>
      </c>
      <c r="C419" t="s">
        <v>85</v>
      </c>
      <c r="D419" t="s">
        <v>642</v>
      </c>
      <c r="E419" s="2">
        <v>341.6</v>
      </c>
      <c r="F419" s="3">
        <f>DATE(2025,3,5)</f>
        <v>45721</v>
      </c>
      <c r="G419" s="3">
        <f>DATE(2025,3,5)</f>
        <v>45721</v>
      </c>
      <c r="H419">
        <v>1878005749</v>
      </c>
      <c r="I419" t="s">
        <v>21</v>
      </c>
      <c r="K419" t="s">
        <v>22</v>
      </c>
      <c r="L419" t="s">
        <v>23</v>
      </c>
      <c r="M419" t="s">
        <v>24</v>
      </c>
      <c r="N419" t="s">
        <v>24</v>
      </c>
      <c r="O419" t="s">
        <v>25</v>
      </c>
      <c r="P419" s="8" t="s">
        <v>643</v>
      </c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</row>
    <row r="420" spans="1:51" hidden="1" x14ac:dyDescent="0.2">
      <c r="A420" s="6"/>
      <c r="E420" s="2"/>
      <c r="F420" s="3"/>
      <c r="G420" s="3"/>
      <c r="P420" s="8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</row>
    <row r="421" spans="1:51" hidden="1" x14ac:dyDescent="0.2">
      <c r="A421" s="6" t="s">
        <v>17</v>
      </c>
      <c r="B421" t="s">
        <v>31</v>
      </c>
      <c r="C421" t="s">
        <v>32</v>
      </c>
      <c r="D421" t="s">
        <v>644</v>
      </c>
      <c r="E421" s="2">
        <v>323.95999999999998</v>
      </c>
      <c r="F421" s="3">
        <f>DATE(2025,3,6)</f>
        <v>45722</v>
      </c>
      <c r="G421" s="3">
        <f>DATE(2025,3,6)</f>
        <v>45722</v>
      </c>
      <c r="H421">
        <v>1878005751</v>
      </c>
      <c r="I421" t="s">
        <v>21</v>
      </c>
      <c r="K421" t="s">
        <v>22</v>
      </c>
      <c r="L421" t="s">
        <v>23</v>
      </c>
      <c r="M421" t="s">
        <v>24</v>
      </c>
      <c r="N421" t="s">
        <v>24</v>
      </c>
      <c r="O421" t="s">
        <v>25</v>
      </c>
      <c r="P421" s="8" t="s">
        <v>645</v>
      </c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</row>
    <row r="422" spans="1:51" hidden="1" x14ac:dyDescent="0.2">
      <c r="A422" s="6"/>
      <c r="E422" s="2"/>
      <c r="F422" s="3"/>
      <c r="G422" s="3"/>
      <c r="P422" s="8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</row>
    <row r="423" spans="1:51" hidden="1" x14ac:dyDescent="0.2">
      <c r="A423" s="6" t="s">
        <v>17</v>
      </c>
      <c r="B423" t="s">
        <v>118</v>
      </c>
      <c r="C423" t="s">
        <v>119</v>
      </c>
      <c r="D423" t="s">
        <v>646</v>
      </c>
      <c r="E423" s="2">
        <v>15.52</v>
      </c>
      <c r="F423" s="3">
        <f t="shared" ref="F423:G427" si="29">DATE(2025,3,3)</f>
        <v>45719</v>
      </c>
      <c r="G423" s="3">
        <f t="shared" si="29"/>
        <v>45719</v>
      </c>
      <c r="H423">
        <v>1878005769</v>
      </c>
      <c r="I423" t="s">
        <v>158</v>
      </c>
      <c r="K423" t="s">
        <v>22</v>
      </c>
      <c r="L423" t="s">
        <v>23</v>
      </c>
      <c r="M423" t="s">
        <v>24</v>
      </c>
      <c r="N423" t="s">
        <v>24</v>
      </c>
      <c r="O423" t="s">
        <v>25</v>
      </c>
      <c r="P423" s="8" t="s">
        <v>647</v>
      </c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</row>
    <row r="424" spans="1:51" hidden="1" x14ac:dyDescent="0.2">
      <c r="A424" s="6" t="s">
        <v>17</v>
      </c>
      <c r="B424" t="s">
        <v>118</v>
      </c>
      <c r="C424" t="s">
        <v>119</v>
      </c>
      <c r="D424" t="s">
        <v>646</v>
      </c>
      <c r="E424" s="2">
        <v>23.17</v>
      </c>
      <c r="F424" s="3">
        <f t="shared" si="29"/>
        <v>45719</v>
      </c>
      <c r="G424" s="3">
        <f t="shared" si="29"/>
        <v>45719</v>
      </c>
      <c r="H424">
        <v>1878005770</v>
      </c>
      <c r="I424" t="s">
        <v>158</v>
      </c>
      <c r="K424" t="s">
        <v>22</v>
      </c>
      <c r="L424" t="s">
        <v>23</v>
      </c>
      <c r="M424" t="s">
        <v>24</v>
      </c>
      <c r="N424" t="s">
        <v>24</v>
      </c>
      <c r="O424" t="s">
        <v>25</v>
      </c>
      <c r="P424" s="8" t="s">
        <v>648</v>
      </c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</row>
    <row r="425" spans="1:51" hidden="1" x14ac:dyDescent="0.2">
      <c r="A425" s="6" t="s">
        <v>17</v>
      </c>
      <c r="B425" t="s">
        <v>118</v>
      </c>
      <c r="C425" t="s">
        <v>119</v>
      </c>
      <c r="D425" t="s">
        <v>646</v>
      </c>
      <c r="E425" s="2">
        <v>10.4</v>
      </c>
      <c r="F425" s="3">
        <f t="shared" si="29"/>
        <v>45719</v>
      </c>
      <c r="G425" s="3">
        <f t="shared" si="29"/>
        <v>45719</v>
      </c>
      <c r="H425">
        <v>1878005771</v>
      </c>
      <c r="I425" t="s">
        <v>158</v>
      </c>
      <c r="K425" t="s">
        <v>22</v>
      </c>
      <c r="L425" t="s">
        <v>23</v>
      </c>
      <c r="M425" t="s">
        <v>24</v>
      </c>
      <c r="N425" t="s">
        <v>24</v>
      </c>
      <c r="O425" t="s">
        <v>25</v>
      </c>
      <c r="P425" s="8" t="s">
        <v>649</v>
      </c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</row>
    <row r="426" spans="1:51" hidden="1" x14ac:dyDescent="0.2">
      <c r="A426" s="6" t="s">
        <v>17</v>
      </c>
      <c r="B426" t="s">
        <v>118</v>
      </c>
      <c r="C426" t="s">
        <v>119</v>
      </c>
      <c r="D426" t="s">
        <v>646</v>
      </c>
      <c r="E426" s="2">
        <v>9.16</v>
      </c>
      <c r="F426" s="3">
        <f t="shared" si="29"/>
        <v>45719</v>
      </c>
      <c r="G426" s="3">
        <f t="shared" si="29"/>
        <v>45719</v>
      </c>
      <c r="H426">
        <v>1878005772</v>
      </c>
      <c r="I426" t="s">
        <v>158</v>
      </c>
      <c r="K426" t="s">
        <v>22</v>
      </c>
      <c r="L426" t="s">
        <v>23</v>
      </c>
      <c r="M426" t="s">
        <v>24</v>
      </c>
      <c r="N426" t="s">
        <v>24</v>
      </c>
      <c r="O426" t="s">
        <v>25</v>
      </c>
      <c r="P426" s="8" t="s">
        <v>650</v>
      </c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</row>
    <row r="427" spans="1:51" hidden="1" x14ac:dyDescent="0.2">
      <c r="A427" s="6" t="s">
        <v>17</v>
      </c>
      <c r="B427" t="s">
        <v>118</v>
      </c>
      <c r="C427" t="s">
        <v>119</v>
      </c>
      <c r="D427" t="s">
        <v>646</v>
      </c>
      <c r="E427" s="2">
        <v>6.4</v>
      </c>
      <c r="F427" s="3">
        <f t="shared" si="29"/>
        <v>45719</v>
      </c>
      <c r="G427" s="3">
        <f t="shared" si="29"/>
        <v>45719</v>
      </c>
      <c r="H427">
        <v>1878005773</v>
      </c>
      <c r="I427" t="s">
        <v>158</v>
      </c>
      <c r="K427" t="s">
        <v>22</v>
      </c>
      <c r="L427" t="s">
        <v>23</v>
      </c>
      <c r="M427" t="s">
        <v>24</v>
      </c>
      <c r="N427" t="s">
        <v>24</v>
      </c>
      <c r="O427" t="s">
        <v>25</v>
      </c>
      <c r="P427" s="8" t="s">
        <v>651</v>
      </c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</row>
    <row r="428" spans="1:51" hidden="1" x14ac:dyDescent="0.2">
      <c r="A428" s="6" t="s">
        <v>17</v>
      </c>
      <c r="B428" t="s">
        <v>244</v>
      </c>
      <c r="C428" t="s">
        <v>245</v>
      </c>
      <c r="D428" t="s">
        <v>652</v>
      </c>
      <c r="E428" s="2">
        <v>18.600000000000001</v>
      </c>
      <c r="F428" s="3">
        <f t="shared" ref="F428:G431" si="30">DATE(2025,3,5)</f>
        <v>45721</v>
      </c>
      <c r="G428" s="3">
        <f t="shared" si="30"/>
        <v>45721</v>
      </c>
      <c r="H428">
        <v>1878113708</v>
      </c>
      <c r="I428" t="s">
        <v>192</v>
      </c>
      <c r="K428" t="s">
        <v>22</v>
      </c>
      <c r="L428" t="s">
        <v>23</v>
      </c>
      <c r="M428" t="s">
        <v>24</v>
      </c>
      <c r="N428" t="s">
        <v>24</v>
      </c>
      <c r="O428" t="s">
        <v>25</v>
      </c>
      <c r="P428" s="8" t="s">
        <v>653</v>
      </c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</row>
    <row r="429" spans="1:51" hidden="1" x14ac:dyDescent="0.2">
      <c r="A429" s="6" t="s">
        <v>17</v>
      </c>
      <c r="B429" t="s">
        <v>198</v>
      </c>
      <c r="C429" t="s">
        <v>199</v>
      </c>
      <c r="D429" t="s">
        <v>654</v>
      </c>
      <c r="E429" s="2">
        <v>3614.31</v>
      </c>
      <c r="F429" s="3">
        <f t="shared" si="30"/>
        <v>45721</v>
      </c>
      <c r="G429" s="3">
        <f t="shared" si="30"/>
        <v>45721</v>
      </c>
      <c r="H429">
        <v>1878113709</v>
      </c>
      <c r="I429" t="s">
        <v>192</v>
      </c>
      <c r="K429" t="s">
        <v>22</v>
      </c>
      <c r="L429" t="s">
        <v>23</v>
      </c>
      <c r="M429" t="s">
        <v>24</v>
      </c>
      <c r="N429" t="s">
        <v>24</v>
      </c>
      <c r="O429" t="s">
        <v>25</v>
      </c>
      <c r="P429" s="8" t="s">
        <v>655</v>
      </c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</row>
    <row r="430" spans="1:51" hidden="1" x14ac:dyDescent="0.2">
      <c r="A430" s="6"/>
      <c r="E430" s="2"/>
      <c r="F430" s="3"/>
      <c r="G430" s="3"/>
      <c r="P430" s="8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</row>
    <row r="431" spans="1:51" hidden="1" x14ac:dyDescent="0.2">
      <c r="A431" s="6" t="s">
        <v>17</v>
      </c>
      <c r="B431" t="s">
        <v>198</v>
      </c>
      <c r="C431" t="s">
        <v>199</v>
      </c>
      <c r="D431" t="s">
        <v>656</v>
      </c>
      <c r="E431" s="2">
        <v>238.55</v>
      </c>
      <c r="F431" s="3">
        <f t="shared" si="30"/>
        <v>45721</v>
      </c>
      <c r="G431" s="3">
        <f t="shared" si="30"/>
        <v>45721</v>
      </c>
      <c r="H431">
        <v>1878113711</v>
      </c>
      <c r="I431" t="s">
        <v>192</v>
      </c>
      <c r="K431" t="s">
        <v>22</v>
      </c>
      <c r="L431" t="s">
        <v>23</v>
      </c>
      <c r="M431" t="s">
        <v>24</v>
      </c>
      <c r="N431" t="s">
        <v>24</v>
      </c>
      <c r="O431" t="s">
        <v>25</v>
      </c>
      <c r="P431" s="8" t="s">
        <v>657</v>
      </c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</row>
    <row r="432" spans="1:51" hidden="1" x14ac:dyDescent="0.2">
      <c r="A432" s="6"/>
      <c r="E432" s="2"/>
      <c r="F432" s="3"/>
      <c r="G432" s="3"/>
      <c r="P432" s="8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</row>
    <row r="433" spans="1:51" hidden="1" x14ac:dyDescent="0.2">
      <c r="A433" s="6" t="s">
        <v>17</v>
      </c>
      <c r="B433" t="s">
        <v>42</v>
      </c>
      <c r="C433" t="s">
        <v>43</v>
      </c>
      <c r="D433" t="s">
        <v>658</v>
      </c>
      <c r="E433" s="2">
        <v>39.4</v>
      </c>
      <c r="F433" s="3">
        <f t="shared" ref="F433:G437" si="31">DATE(2025,3,6)</f>
        <v>45722</v>
      </c>
      <c r="G433" s="3">
        <f t="shared" si="31"/>
        <v>45722</v>
      </c>
      <c r="H433">
        <v>1883072949</v>
      </c>
      <c r="I433" t="s">
        <v>21</v>
      </c>
      <c r="K433" t="s">
        <v>22</v>
      </c>
      <c r="L433" t="s">
        <v>23</v>
      </c>
      <c r="M433" t="s">
        <v>24</v>
      </c>
      <c r="N433" t="s">
        <v>24</v>
      </c>
      <c r="O433" t="s">
        <v>25</v>
      </c>
      <c r="P433" s="8" t="s">
        <v>659</v>
      </c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</row>
    <row r="434" spans="1:51" hidden="1" x14ac:dyDescent="0.2">
      <c r="A434" s="6"/>
      <c r="E434" s="2"/>
      <c r="F434" s="3"/>
      <c r="G434" s="3"/>
      <c r="P434" s="8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</row>
    <row r="435" spans="1:51" hidden="1" x14ac:dyDescent="0.2">
      <c r="A435" s="6"/>
      <c r="E435" s="2"/>
      <c r="F435" s="3"/>
      <c r="G435" s="3"/>
      <c r="P435" s="8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</row>
    <row r="436" spans="1:51" hidden="1" x14ac:dyDescent="0.2">
      <c r="A436" s="6" t="s">
        <v>17</v>
      </c>
      <c r="B436" t="s">
        <v>18</v>
      </c>
      <c r="C436" t="s">
        <v>19</v>
      </c>
      <c r="D436" t="s">
        <v>660</v>
      </c>
      <c r="E436" s="2">
        <v>78.8</v>
      </c>
      <c r="F436" s="3">
        <f t="shared" si="31"/>
        <v>45722</v>
      </c>
      <c r="G436" s="3">
        <f t="shared" si="31"/>
        <v>45722</v>
      </c>
      <c r="H436">
        <v>1883072952</v>
      </c>
      <c r="I436" t="s">
        <v>21</v>
      </c>
      <c r="K436" t="s">
        <v>22</v>
      </c>
      <c r="L436" t="s">
        <v>23</v>
      </c>
      <c r="M436" t="s">
        <v>24</v>
      </c>
      <c r="N436" t="s">
        <v>24</v>
      </c>
      <c r="O436" t="s">
        <v>25</v>
      </c>
      <c r="P436" s="8" t="s">
        <v>661</v>
      </c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</row>
    <row r="437" spans="1:51" hidden="1" x14ac:dyDescent="0.2">
      <c r="A437" s="6" t="s">
        <v>17</v>
      </c>
      <c r="B437" t="s">
        <v>90</v>
      </c>
      <c r="C437" t="s">
        <v>91</v>
      </c>
      <c r="D437" t="s">
        <v>662</v>
      </c>
      <c r="E437" s="2">
        <v>500</v>
      </c>
      <c r="F437" s="3">
        <f t="shared" si="31"/>
        <v>45722</v>
      </c>
      <c r="G437" s="3">
        <f t="shared" si="31"/>
        <v>45722</v>
      </c>
      <c r="H437">
        <v>1883072953</v>
      </c>
      <c r="I437" t="s">
        <v>21</v>
      </c>
      <c r="K437" t="s">
        <v>22</v>
      </c>
      <c r="L437" t="s">
        <v>23</v>
      </c>
      <c r="M437" t="s">
        <v>24</v>
      </c>
      <c r="N437" t="s">
        <v>24</v>
      </c>
      <c r="O437" t="s">
        <v>25</v>
      </c>
      <c r="P437" s="8" t="s">
        <v>663</v>
      </c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</row>
    <row r="438" spans="1:51" hidden="1" x14ac:dyDescent="0.2">
      <c r="A438" s="6" t="s">
        <v>17</v>
      </c>
      <c r="B438" t="s">
        <v>42</v>
      </c>
      <c r="C438" t="s">
        <v>43</v>
      </c>
      <c r="D438" t="s">
        <v>44</v>
      </c>
      <c r="E438" s="2">
        <v>500</v>
      </c>
      <c r="F438" s="3">
        <f>DATE(2025,3,7)</f>
        <v>45723</v>
      </c>
      <c r="G438" s="3">
        <f>DATE(2025,3,7)</f>
        <v>45723</v>
      </c>
      <c r="H438">
        <v>1883072954</v>
      </c>
      <c r="I438" t="s">
        <v>21</v>
      </c>
      <c r="K438" t="s">
        <v>22</v>
      </c>
      <c r="L438" t="s">
        <v>23</v>
      </c>
      <c r="M438" t="s">
        <v>24</v>
      </c>
      <c r="N438" t="s">
        <v>24</v>
      </c>
      <c r="O438" t="s">
        <v>25</v>
      </c>
      <c r="P438" s="8" t="s">
        <v>664</v>
      </c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</row>
    <row r="439" spans="1:51" hidden="1" x14ac:dyDescent="0.2">
      <c r="A439" s="6" t="s">
        <v>17</v>
      </c>
      <c r="B439" t="s">
        <v>70</v>
      </c>
      <c r="C439" t="s">
        <v>71</v>
      </c>
      <c r="D439" t="s">
        <v>665</v>
      </c>
      <c r="E439" s="2">
        <v>2456.84</v>
      </c>
      <c r="F439" s="3">
        <f>DATE(2025,3,6)</f>
        <v>45722</v>
      </c>
      <c r="G439" s="3">
        <f>DATE(2025,3,6)</f>
        <v>45722</v>
      </c>
      <c r="H439">
        <v>1883072955</v>
      </c>
      <c r="I439" t="s">
        <v>21</v>
      </c>
      <c r="K439" t="s">
        <v>22</v>
      </c>
      <c r="L439" t="s">
        <v>23</v>
      </c>
      <c r="M439" t="s">
        <v>24</v>
      </c>
      <c r="N439" t="s">
        <v>24</v>
      </c>
      <c r="O439" t="s">
        <v>25</v>
      </c>
      <c r="P439" s="8" t="s">
        <v>666</v>
      </c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</row>
    <row r="440" spans="1:51" hidden="1" x14ac:dyDescent="0.2">
      <c r="A440" s="6"/>
      <c r="E440" s="2"/>
      <c r="F440" s="3"/>
      <c r="G440" s="3"/>
      <c r="P440" s="8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</row>
    <row r="441" spans="1:51" hidden="1" x14ac:dyDescent="0.2">
      <c r="A441" s="6"/>
      <c r="E441" s="2"/>
      <c r="F441" s="3"/>
      <c r="G441" s="3"/>
      <c r="P441" s="8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</row>
    <row r="442" spans="1:51" hidden="1" x14ac:dyDescent="0.2">
      <c r="A442" s="6"/>
      <c r="E442" s="2"/>
      <c r="F442" s="3"/>
      <c r="G442" s="3"/>
      <c r="P442" s="8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</row>
    <row r="443" spans="1:51" hidden="1" x14ac:dyDescent="0.2">
      <c r="A443" s="6"/>
      <c r="E443" s="2"/>
      <c r="F443" s="3"/>
      <c r="G443" s="3"/>
      <c r="P443" s="8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</row>
    <row r="444" spans="1:51" hidden="1" x14ac:dyDescent="0.2">
      <c r="A444" s="6"/>
      <c r="E444" s="2"/>
      <c r="F444" s="3"/>
      <c r="G444" s="3"/>
      <c r="P444" s="8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</row>
    <row r="445" spans="1:51" hidden="1" x14ac:dyDescent="0.2">
      <c r="A445" s="6" t="s">
        <v>17</v>
      </c>
      <c r="B445" t="s">
        <v>31</v>
      </c>
      <c r="C445" t="s">
        <v>32</v>
      </c>
      <c r="D445" t="s">
        <v>667</v>
      </c>
      <c r="E445" s="2">
        <v>52.5</v>
      </c>
      <c r="F445" s="3">
        <f t="shared" ref="F445:G447" si="32">DATE(2025,3,10)</f>
        <v>45726</v>
      </c>
      <c r="G445" s="3">
        <f t="shared" si="32"/>
        <v>45726</v>
      </c>
      <c r="H445">
        <v>1894744978</v>
      </c>
      <c r="I445" t="s">
        <v>21</v>
      </c>
      <c r="K445" t="s">
        <v>22</v>
      </c>
      <c r="L445" t="s">
        <v>23</v>
      </c>
      <c r="M445" t="s">
        <v>24</v>
      </c>
      <c r="N445" t="s">
        <v>24</v>
      </c>
      <c r="O445" t="s">
        <v>25</v>
      </c>
      <c r="P445" s="8" t="s">
        <v>668</v>
      </c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</row>
    <row r="446" spans="1:51" hidden="1" x14ac:dyDescent="0.2">
      <c r="A446" s="6" t="s">
        <v>17</v>
      </c>
      <c r="B446" t="s">
        <v>60</v>
      </c>
      <c r="C446" t="s">
        <v>61</v>
      </c>
      <c r="D446" t="s">
        <v>669</v>
      </c>
      <c r="E446" s="2">
        <v>118.8</v>
      </c>
      <c r="F446" s="3">
        <f t="shared" si="32"/>
        <v>45726</v>
      </c>
      <c r="G446" s="3">
        <f t="shared" si="32"/>
        <v>45726</v>
      </c>
      <c r="H446">
        <v>1894744979</v>
      </c>
      <c r="I446" t="s">
        <v>21</v>
      </c>
      <c r="K446" t="s">
        <v>22</v>
      </c>
      <c r="L446" t="s">
        <v>23</v>
      </c>
      <c r="M446" t="s">
        <v>24</v>
      </c>
      <c r="N446" t="s">
        <v>24</v>
      </c>
      <c r="O446" t="s">
        <v>25</v>
      </c>
      <c r="P446" s="8" t="s">
        <v>670</v>
      </c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</row>
    <row r="447" spans="1:51" hidden="1" x14ac:dyDescent="0.2">
      <c r="A447" s="6" t="s">
        <v>17</v>
      </c>
      <c r="B447" t="s">
        <v>42</v>
      </c>
      <c r="C447" t="s">
        <v>43</v>
      </c>
      <c r="D447" t="s">
        <v>671</v>
      </c>
      <c r="E447" s="2">
        <v>143.30000000000001</v>
      </c>
      <c r="F447" s="3">
        <f t="shared" si="32"/>
        <v>45726</v>
      </c>
      <c r="G447" s="3">
        <f t="shared" si="32"/>
        <v>45726</v>
      </c>
      <c r="H447">
        <v>1894744980</v>
      </c>
      <c r="I447" t="s">
        <v>21</v>
      </c>
      <c r="K447" t="s">
        <v>22</v>
      </c>
      <c r="L447" t="s">
        <v>23</v>
      </c>
      <c r="M447" t="s">
        <v>24</v>
      </c>
      <c r="N447" t="s">
        <v>24</v>
      </c>
      <c r="O447" t="s">
        <v>25</v>
      </c>
      <c r="P447" s="8" t="s">
        <v>672</v>
      </c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</row>
    <row r="448" spans="1:51" hidden="1" x14ac:dyDescent="0.2">
      <c r="A448" s="6" t="s">
        <v>17</v>
      </c>
      <c r="B448" t="s">
        <v>118</v>
      </c>
      <c r="C448" t="s">
        <v>119</v>
      </c>
      <c r="D448" t="s">
        <v>673</v>
      </c>
      <c r="E448" s="2">
        <v>30</v>
      </c>
      <c r="F448" s="3">
        <f t="shared" ref="F448:G450" si="33">DATE(2025,3,11)</f>
        <v>45727</v>
      </c>
      <c r="G448" s="3">
        <f t="shared" si="33"/>
        <v>45727</v>
      </c>
      <c r="H448">
        <v>1899655540</v>
      </c>
      <c r="I448" t="s">
        <v>21</v>
      </c>
      <c r="K448" t="s">
        <v>22</v>
      </c>
      <c r="L448" t="s">
        <v>23</v>
      </c>
      <c r="M448" t="s">
        <v>24</v>
      </c>
      <c r="N448" t="s">
        <v>24</v>
      </c>
      <c r="O448" t="s">
        <v>25</v>
      </c>
      <c r="P448" s="8" t="s">
        <v>674</v>
      </c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</row>
    <row r="449" spans="1:51" hidden="1" x14ac:dyDescent="0.2">
      <c r="A449" s="6" t="s">
        <v>17</v>
      </c>
      <c r="B449" t="s">
        <v>27</v>
      </c>
      <c r="C449" t="s">
        <v>28</v>
      </c>
      <c r="D449" t="s">
        <v>675</v>
      </c>
      <c r="E449" s="2">
        <v>871.08</v>
      </c>
      <c r="F449" s="3">
        <f t="shared" si="33"/>
        <v>45727</v>
      </c>
      <c r="G449" s="3">
        <f t="shared" si="33"/>
        <v>45727</v>
      </c>
      <c r="H449">
        <v>1899655541</v>
      </c>
      <c r="I449" t="s">
        <v>21</v>
      </c>
      <c r="K449" t="s">
        <v>22</v>
      </c>
      <c r="L449" t="s">
        <v>23</v>
      </c>
      <c r="M449" t="s">
        <v>24</v>
      </c>
      <c r="N449" t="s">
        <v>24</v>
      </c>
      <c r="O449" t="s">
        <v>25</v>
      </c>
      <c r="P449" s="8" t="s">
        <v>676</v>
      </c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</row>
    <row r="450" spans="1:51" hidden="1" x14ac:dyDescent="0.2">
      <c r="A450" s="6" t="s">
        <v>17</v>
      </c>
      <c r="B450" t="s">
        <v>27</v>
      </c>
      <c r="C450" t="s">
        <v>28</v>
      </c>
      <c r="D450" t="s">
        <v>677</v>
      </c>
      <c r="E450" s="2">
        <v>1156.0999999999999</v>
      </c>
      <c r="F450" s="3">
        <f t="shared" si="33"/>
        <v>45727</v>
      </c>
      <c r="G450" s="3">
        <f t="shared" si="33"/>
        <v>45727</v>
      </c>
      <c r="H450">
        <v>1899655542</v>
      </c>
      <c r="I450" t="s">
        <v>21</v>
      </c>
      <c r="K450" t="s">
        <v>22</v>
      </c>
      <c r="L450" t="s">
        <v>23</v>
      </c>
      <c r="M450" t="s">
        <v>24</v>
      </c>
      <c r="N450" t="s">
        <v>24</v>
      </c>
      <c r="O450" t="s">
        <v>25</v>
      </c>
      <c r="P450" s="8" t="s">
        <v>678</v>
      </c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</row>
    <row r="451" spans="1:51" hidden="1" x14ac:dyDescent="0.2">
      <c r="A451" s="6"/>
      <c r="E451" s="2"/>
      <c r="F451" s="3"/>
      <c r="G451" s="3"/>
      <c r="P451" s="8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</row>
    <row r="452" spans="1:51" hidden="1" x14ac:dyDescent="0.2">
      <c r="A452" s="6"/>
      <c r="E452" s="2"/>
      <c r="F452" s="3"/>
      <c r="G452" s="3"/>
      <c r="P452" s="8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</row>
    <row r="453" spans="1:51" hidden="1" x14ac:dyDescent="0.2">
      <c r="A453" s="6" t="s">
        <v>17</v>
      </c>
      <c r="B453" t="s">
        <v>132</v>
      </c>
      <c r="C453" t="s">
        <v>133</v>
      </c>
      <c r="D453" t="s">
        <v>181</v>
      </c>
      <c r="E453" s="2">
        <v>49.99</v>
      </c>
      <c r="F453" s="3">
        <f>DATE(2025,3,9)</f>
        <v>45725</v>
      </c>
      <c r="G453" s="3">
        <f>DATE(2025,3,9)</f>
        <v>45725</v>
      </c>
      <c r="H453">
        <v>1899655545</v>
      </c>
      <c r="I453" t="s">
        <v>158</v>
      </c>
      <c r="K453" t="s">
        <v>22</v>
      </c>
      <c r="L453" t="s">
        <v>23</v>
      </c>
      <c r="M453" t="s">
        <v>24</v>
      </c>
      <c r="N453" t="s">
        <v>24</v>
      </c>
      <c r="O453" t="s">
        <v>25</v>
      </c>
      <c r="P453" s="8" t="s">
        <v>679</v>
      </c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</row>
    <row r="454" spans="1:51" hidden="1" x14ac:dyDescent="0.2">
      <c r="A454" s="6"/>
      <c r="E454" s="2"/>
      <c r="F454" s="3"/>
      <c r="G454" s="3"/>
      <c r="P454" s="8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</row>
    <row r="455" spans="1:51" hidden="1" x14ac:dyDescent="0.2">
      <c r="A455" s="6"/>
      <c r="E455" s="2"/>
      <c r="F455" s="3"/>
      <c r="G455" s="3"/>
      <c r="P455" s="8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</row>
    <row r="456" spans="1:51" hidden="1" x14ac:dyDescent="0.2">
      <c r="A456" s="6"/>
      <c r="E456" s="2"/>
      <c r="F456" s="3"/>
      <c r="G456" s="3"/>
      <c r="P456" s="8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</row>
    <row r="457" spans="1:51" hidden="1" x14ac:dyDescent="0.2">
      <c r="A457" s="6" t="s">
        <v>17</v>
      </c>
      <c r="B457" t="s">
        <v>118</v>
      </c>
      <c r="C457" t="s">
        <v>119</v>
      </c>
      <c r="D457" t="s">
        <v>680</v>
      </c>
      <c r="E457" s="2">
        <v>107.06</v>
      </c>
      <c r="F457" s="3">
        <f>DATE(2025,3,13)</f>
        <v>45729</v>
      </c>
      <c r="G457" s="3">
        <f>DATE(2025,3,13)</f>
        <v>45729</v>
      </c>
      <c r="H457">
        <v>1905628607</v>
      </c>
      <c r="I457" t="s">
        <v>21</v>
      </c>
      <c r="K457" t="s">
        <v>22</v>
      </c>
      <c r="L457" t="s">
        <v>23</v>
      </c>
      <c r="M457" t="s">
        <v>24</v>
      </c>
      <c r="N457" t="s">
        <v>24</v>
      </c>
      <c r="O457" t="s">
        <v>25</v>
      </c>
      <c r="P457" s="8" t="s">
        <v>681</v>
      </c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</row>
    <row r="458" spans="1:51" hidden="1" x14ac:dyDescent="0.2">
      <c r="A458" s="6" t="s">
        <v>17</v>
      </c>
      <c r="B458" t="s">
        <v>35</v>
      </c>
      <c r="C458" t="s">
        <v>35</v>
      </c>
      <c r="D458" t="s">
        <v>682</v>
      </c>
      <c r="E458" s="2">
        <v>3.62</v>
      </c>
      <c r="F458" s="3">
        <f t="shared" ref="F458:G460" si="34">DATE(2025,3,12)</f>
        <v>45728</v>
      </c>
      <c r="G458" s="3">
        <f t="shared" si="34"/>
        <v>45728</v>
      </c>
      <c r="H458">
        <v>1905628608</v>
      </c>
      <c r="I458" t="s">
        <v>21</v>
      </c>
      <c r="K458" t="s">
        <v>22</v>
      </c>
      <c r="L458" t="s">
        <v>23</v>
      </c>
      <c r="M458" t="s">
        <v>24</v>
      </c>
      <c r="N458" t="s">
        <v>24</v>
      </c>
      <c r="O458" t="s">
        <v>25</v>
      </c>
      <c r="P458" s="8" t="s">
        <v>683</v>
      </c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</row>
    <row r="459" spans="1:51" hidden="1" x14ac:dyDescent="0.2">
      <c r="A459" s="6"/>
      <c r="E459" s="2"/>
      <c r="F459" s="3"/>
      <c r="G459" s="3"/>
      <c r="P459" s="8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</row>
    <row r="460" spans="1:51" hidden="1" x14ac:dyDescent="0.2">
      <c r="A460" s="6" t="s">
        <v>17</v>
      </c>
      <c r="B460" t="s">
        <v>84</v>
      </c>
      <c r="C460" t="s">
        <v>85</v>
      </c>
      <c r="D460" t="s">
        <v>684</v>
      </c>
      <c r="E460" s="2">
        <v>58</v>
      </c>
      <c r="F460" s="3">
        <f t="shared" si="34"/>
        <v>45728</v>
      </c>
      <c r="G460" s="3">
        <f t="shared" si="34"/>
        <v>45728</v>
      </c>
      <c r="H460">
        <v>1905628610</v>
      </c>
      <c r="I460" t="s">
        <v>21</v>
      </c>
      <c r="K460" t="s">
        <v>22</v>
      </c>
      <c r="L460" t="s">
        <v>23</v>
      </c>
      <c r="M460" t="s">
        <v>24</v>
      </c>
      <c r="N460" t="s">
        <v>24</v>
      </c>
      <c r="O460" t="s">
        <v>25</v>
      </c>
      <c r="P460" s="8" t="s">
        <v>685</v>
      </c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</row>
    <row r="461" spans="1:51" hidden="1" x14ac:dyDescent="0.2">
      <c r="A461" s="6"/>
      <c r="E461" s="2"/>
      <c r="F461" s="3"/>
      <c r="G461" s="3"/>
      <c r="P461" s="8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</row>
    <row r="462" spans="1:51" hidden="1" x14ac:dyDescent="0.2">
      <c r="A462" s="6" t="s">
        <v>17</v>
      </c>
      <c r="B462" t="s">
        <v>118</v>
      </c>
      <c r="C462" t="s">
        <v>119</v>
      </c>
      <c r="D462" t="s">
        <v>686</v>
      </c>
      <c r="E462" s="2">
        <v>53.32</v>
      </c>
      <c r="F462" s="3">
        <f>DATE(2025,3,10)</f>
        <v>45726</v>
      </c>
      <c r="G462" s="3">
        <f>DATE(2025,3,10)</f>
        <v>45726</v>
      </c>
      <c r="H462">
        <v>1905628612</v>
      </c>
      <c r="I462" t="s">
        <v>158</v>
      </c>
      <c r="K462" t="s">
        <v>22</v>
      </c>
      <c r="L462" t="s">
        <v>23</v>
      </c>
      <c r="M462" t="s">
        <v>24</v>
      </c>
      <c r="N462" t="s">
        <v>24</v>
      </c>
      <c r="O462" t="s">
        <v>25</v>
      </c>
      <c r="P462" s="8" t="s">
        <v>687</v>
      </c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</row>
    <row r="463" spans="1:51" hidden="1" x14ac:dyDescent="0.2">
      <c r="A463" s="6" t="s">
        <v>17</v>
      </c>
      <c r="B463" t="s">
        <v>118</v>
      </c>
      <c r="C463" t="s">
        <v>119</v>
      </c>
      <c r="D463" t="s">
        <v>160</v>
      </c>
      <c r="E463" s="2">
        <v>112.45</v>
      </c>
      <c r="F463" s="3">
        <f>DATE(2025,3,10)</f>
        <v>45726</v>
      </c>
      <c r="G463" s="3">
        <f>DATE(2025,3,10)</f>
        <v>45726</v>
      </c>
      <c r="H463">
        <v>1905628613</v>
      </c>
      <c r="I463" t="s">
        <v>158</v>
      </c>
      <c r="K463" t="s">
        <v>22</v>
      </c>
      <c r="L463" t="s">
        <v>23</v>
      </c>
      <c r="M463" t="s">
        <v>24</v>
      </c>
      <c r="N463" t="s">
        <v>24</v>
      </c>
      <c r="O463" t="s">
        <v>25</v>
      </c>
      <c r="P463" s="8" t="s">
        <v>688</v>
      </c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</row>
    <row r="464" spans="1:51" hidden="1" x14ac:dyDescent="0.2">
      <c r="A464" s="6" t="s">
        <v>17</v>
      </c>
      <c r="B464" t="s">
        <v>118</v>
      </c>
      <c r="C464" t="s">
        <v>119</v>
      </c>
      <c r="D464" t="s">
        <v>686</v>
      </c>
      <c r="E464" s="2">
        <v>27.49</v>
      </c>
      <c r="F464" s="3">
        <f>DATE(2025,3,11)</f>
        <v>45727</v>
      </c>
      <c r="G464" s="3">
        <f>DATE(2025,3,11)</f>
        <v>45727</v>
      </c>
      <c r="H464">
        <v>1905628614</v>
      </c>
      <c r="I464" t="s">
        <v>158</v>
      </c>
      <c r="K464" t="s">
        <v>22</v>
      </c>
      <c r="L464" t="s">
        <v>23</v>
      </c>
      <c r="M464" t="s">
        <v>24</v>
      </c>
      <c r="N464" t="s">
        <v>24</v>
      </c>
      <c r="O464" t="s">
        <v>25</v>
      </c>
      <c r="P464" s="8" t="s">
        <v>689</v>
      </c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</row>
    <row r="465" spans="1:51" hidden="1" x14ac:dyDescent="0.2">
      <c r="A465" s="6" t="s">
        <v>17</v>
      </c>
      <c r="B465" t="s">
        <v>118</v>
      </c>
      <c r="C465" t="s">
        <v>119</v>
      </c>
      <c r="D465" t="s">
        <v>160</v>
      </c>
      <c r="E465" s="2">
        <v>5.79</v>
      </c>
      <c r="F465" s="3">
        <f t="shared" ref="F465:G471" si="35">DATE(2025,3,10)</f>
        <v>45726</v>
      </c>
      <c r="G465" s="3">
        <f t="shared" si="35"/>
        <v>45726</v>
      </c>
      <c r="H465">
        <v>1905628615</v>
      </c>
      <c r="I465" t="s">
        <v>158</v>
      </c>
      <c r="K465" t="s">
        <v>22</v>
      </c>
      <c r="L465" t="s">
        <v>23</v>
      </c>
      <c r="M465" t="s">
        <v>24</v>
      </c>
      <c r="N465" t="s">
        <v>24</v>
      </c>
      <c r="O465" t="s">
        <v>25</v>
      </c>
      <c r="P465" s="8" t="s">
        <v>690</v>
      </c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</row>
    <row r="466" spans="1:51" hidden="1" x14ac:dyDescent="0.2">
      <c r="A466" s="6" t="s">
        <v>17</v>
      </c>
      <c r="B466" t="s">
        <v>118</v>
      </c>
      <c r="C466" t="s">
        <v>119</v>
      </c>
      <c r="D466" t="s">
        <v>299</v>
      </c>
      <c r="E466" s="2">
        <v>50.86</v>
      </c>
      <c r="F466" s="3">
        <f t="shared" si="35"/>
        <v>45726</v>
      </c>
      <c r="G466" s="3">
        <f t="shared" si="35"/>
        <v>45726</v>
      </c>
      <c r="H466">
        <v>1905628616</v>
      </c>
      <c r="I466" t="s">
        <v>158</v>
      </c>
      <c r="K466" t="s">
        <v>22</v>
      </c>
      <c r="L466" t="s">
        <v>23</v>
      </c>
      <c r="M466" t="s">
        <v>24</v>
      </c>
      <c r="N466" t="s">
        <v>24</v>
      </c>
      <c r="O466" t="s">
        <v>25</v>
      </c>
      <c r="P466" s="8" t="s">
        <v>691</v>
      </c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</row>
    <row r="467" spans="1:51" hidden="1" x14ac:dyDescent="0.2">
      <c r="A467" s="6" t="s">
        <v>17</v>
      </c>
      <c r="B467" t="s">
        <v>118</v>
      </c>
      <c r="C467" t="s">
        <v>119</v>
      </c>
      <c r="D467" t="s">
        <v>299</v>
      </c>
      <c r="E467" s="2">
        <v>18.23</v>
      </c>
      <c r="F467" s="3">
        <f t="shared" si="35"/>
        <v>45726</v>
      </c>
      <c r="G467" s="3">
        <f t="shared" si="35"/>
        <v>45726</v>
      </c>
      <c r="H467">
        <v>1905628617</v>
      </c>
      <c r="I467" t="s">
        <v>158</v>
      </c>
      <c r="K467" t="s">
        <v>22</v>
      </c>
      <c r="L467" t="s">
        <v>23</v>
      </c>
      <c r="M467" t="s">
        <v>24</v>
      </c>
      <c r="N467" t="s">
        <v>24</v>
      </c>
      <c r="O467" t="s">
        <v>25</v>
      </c>
      <c r="P467" s="8" t="s">
        <v>692</v>
      </c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</row>
    <row r="468" spans="1:51" hidden="1" x14ac:dyDescent="0.2">
      <c r="A468" s="6" t="s">
        <v>17</v>
      </c>
      <c r="B468" t="s">
        <v>118</v>
      </c>
      <c r="C468" t="s">
        <v>119</v>
      </c>
      <c r="D468" t="s">
        <v>160</v>
      </c>
      <c r="E468" s="2">
        <v>58.25</v>
      </c>
      <c r="F468" s="3">
        <f t="shared" si="35"/>
        <v>45726</v>
      </c>
      <c r="G468" s="3">
        <f t="shared" si="35"/>
        <v>45726</v>
      </c>
      <c r="H468">
        <v>1905628618</v>
      </c>
      <c r="I468" t="s">
        <v>158</v>
      </c>
      <c r="K468" t="s">
        <v>22</v>
      </c>
      <c r="L468" t="s">
        <v>23</v>
      </c>
      <c r="M468" t="s">
        <v>24</v>
      </c>
      <c r="N468" t="s">
        <v>24</v>
      </c>
      <c r="O468" t="s">
        <v>25</v>
      </c>
      <c r="P468" s="8" t="s">
        <v>693</v>
      </c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</row>
    <row r="469" spans="1:51" hidden="1" x14ac:dyDescent="0.2">
      <c r="A469" s="6" t="s">
        <v>17</v>
      </c>
      <c r="B469" t="s">
        <v>60</v>
      </c>
      <c r="C469" t="s">
        <v>61</v>
      </c>
      <c r="D469" t="s">
        <v>694</v>
      </c>
      <c r="E469" s="2">
        <v>1189</v>
      </c>
      <c r="F469" s="3">
        <f t="shared" si="35"/>
        <v>45726</v>
      </c>
      <c r="G469" s="3">
        <f t="shared" si="35"/>
        <v>45726</v>
      </c>
      <c r="H469">
        <v>1905628619</v>
      </c>
      <c r="I469" t="s">
        <v>158</v>
      </c>
      <c r="K469" t="s">
        <v>22</v>
      </c>
      <c r="L469" t="s">
        <v>23</v>
      </c>
      <c r="M469" t="s">
        <v>24</v>
      </c>
      <c r="N469" t="s">
        <v>24</v>
      </c>
      <c r="O469" t="s">
        <v>25</v>
      </c>
      <c r="P469" s="8" t="s">
        <v>695</v>
      </c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</row>
    <row r="470" spans="1:51" hidden="1" x14ac:dyDescent="0.2">
      <c r="A470" s="6" t="s">
        <v>17</v>
      </c>
      <c r="B470" t="s">
        <v>118</v>
      </c>
      <c r="C470" t="s">
        <v>119</v>
      </c>
      <c r="D470" t="s">
        <v>176</v>
      </c>
      <c r="E470" s="2">
        <v>179.9</v>
      </c>
      <c r="F470" s="3">
        <f t="shared" si="35"/>
        <v>45726</v>
      </c>
      <c r="G470" s="3">
        <f t="shared" si="35"/>
        <v>45726</v>
      </c>
      <c r="H470">
        <v>1905628620</v>
      </c>
      <c r="I470" t="s">
        <v>158</v>
      </c>
      <c r="K470" t="s">
        <v>22</v>
      </c>
      <c r="L470" t="s">
        <v>23</v>
      </c>
      <c r="M470" t="s">
        <v>24</v>
      </c>
      <c r="N470" t="s">
        <v>24</v>
      </c>
      <c r="O470" t="s">
        <v>25</v>
      </c>
      <c r="P470" s="8" t="s">
        <v>696</v>
      </c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</row>
    <row r="471" spans="1:51" hidden="1" x14ac:dyDescent="0.2">
      <c r="A471" s="6" t="s">
        <v>17</v>
      </c>
      <c r="B471" t="s">
        <v>118</v>
      </c>
      <c r="C471" t="s">
        <v>119</v>
      </c>
      <c r="D471" t="s">
        <v>686</v>
      </c>
      <c r="E471" s="2">
        <v>27.49</v>
      </c>
      <c r="F471" s="3">
        <f t="shared" si="35"/>
        <v>45726</v>
      </c>
      <c r="G471" s="3">
        <f t="shared" si="35"/>
        <v>45726</v>
      </c>
      <c r="H471">
        <v>1905628621</v>
      </c>
      <c r="I471" t="s">
        <v>158</v>
      </c>
      <c r="K471" t="s">
        <v>22</v>
      </c>
      <c r="L471" t="s">
        <v>23</v>
      </c>
      <c r="M471" t="s">
        <v>24</v>
      </c>
      <c r="N471" t="s">
        <v>24</v>
      </c>
      <c r="O471" t="s">
        <v>25</v>
      </c>
      <c r="P471" s="8" t="s">
        <v>697</v>
      </c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</row>
    <row r="472" spans="1:51" hidden="1" x14ac:dyDescent="0.2">
      <c r="A472" s="6" t="s">
        <v>17</v>
      </c>
      <c r="B472" t="s">
        <v>118</v>
      </c>
      <c r="C472" t="s">
        <v>119</v>
      </c>
      <c r="D472" t="s">
        <v>698</v>
      </c>
      <c r="E472" s="2">
        <v>16.96</v>
      </c>
      <c r="F472" s="3">
        <f>DATE(2025,3,13)</f>
        <v>45729</v>
      </c>
      <c r="G472" s="3">
        <f>DATE(2025,3,13)</f>
        <v>45729</v>
      </c>
      <c r="H472">
        <v>1905773136</v>
      </c>
      <c r="I472" t="s">
        <v>192</v>
      </c>
      <c r="K472" t="s">
        <v>22</v>
      </c>
      <c r="L472" t="s">
        <v>23</v>
      </c>
      <c r="M472" t="s">
        <v>24</v>
      </c>
      <c r="N472" t="s">
        <v>24</v>
      </c>
      <c r="O472" t="s">
        <v>25</v>
      </c>
      <c r="P472" s="8" t="s">
        <v>699</v>
      </c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</row>
    <row r="473" spans="1:51" hidden="1" x14ac:dyDescent="0.2">
      <c r="A473" s="6" t="s">
        <v>17</v>
      </c>
      <c r="B473" t="s">
        <v>35</v>
      </c>
      <c r="C473" t="s">
        <v>35</v>
      </c>
      <c r="D473" t="s">
        <v>700</v>
      </c>
      <c r="E473" s="2">
        <v>30.98</v>
      </c>
      <c r="F473" s="3">
        <f>DATE(2025,3,12)</f>
        <v>45728</v>
      </c>
      <c r="G473" s="3">
        <f>DATE(2025,3,12)</f>
        <v>45728</v>
      </c>
      <c r="H473">
        <v>1905773137</v>
      </c>
      <c r="I473" t="s">
        <v>192</v>
      </c>
      <c r="K473" t="s">
        <v>22</v>
      </c>
      <c r="L473" t="s">
        <v>23</v>
      </c>
      <c r="M473" t="s">
        <v>24</v>
      </c>
      <c r="N473" t="s">
        <v>24</v>
      </c>
      <c r="O473" t="s">
        <v>25</v>
      </c>
      <c r="P473" s="8" t="s">
        <v>701</v>
      </c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</row>
    <row r="474" spans="1:51" hidden="1" x14ac:dyDescent="0.2">
      <c r="A474" s="6"/>
      <c r="E474" s="2"/>
      <c r="F474" s="3"/>
      <c r="G474" s="3"/>
      <c r="P474" s="8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</row>
    <row r="475" spans="1:51" hidden="1" x14ac:dyDescent="0.2">
      <c r="A475" s="6" t="s">
        <v>17</v>
      </c>
      <c r="B475" t="s">
        <v>46</v>
      </c>
      <c r="C475" t="s">
        <v>47</v>
      </c>
      <c r="D475" t="s">
        <v>702</v>
      </c>
      <c r="E475" s="2">
        <v>398.4</v>
      </c>
      <c r="F475" s="3">
        <f>DATE(2025,3,14)</f>
        <v>45730</v>
      </c>
      <c r="G475" s="3">
        <f>DATE(2025,3,14)</f>
        <v>45730</v>
      </c>
      <c r="H475">
        <v>1911203431</v>
      </c>
      <c r="I475" t="s">
        <v>21</v>
      </c>
      <c r="K475" t="s">
        <v>22</v>
      </c>
      <c r="L475" t="s">
        <v>23</v>
      </c>
      <c r="M475" t="s">
        <v>24</v>
      </c>
      <c r="N475" t="s">
        <v>24</v>
      </c>
      <c r="O475" t="s">
        <v>25</v>
      </c>
      <c r="P475" s="8" t="s">
        <v>703</v>
      </c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</row>
    <row r="476" spans="1:51" hidden="1" x14ac:dyDescent="0.2">
      <c r="A476" s="6" t="s">
        <v>17</v>
      </c>
      <c r="B476" t="s">
        <v>31</v>
      </c>
      <c r="C476" t="s">
        <v>32</v>
      </c>
      <c r="D476" t="s">
        <v>704</v>
      </c>
      <c r="E476" s="2">
        <v>119.94</v>
      </c>
      <c r="F476" s="3">
        <f>DATE(2025,3,14)</f>
        <v>45730</v>
      </c>
      <c r="G476" s="3">
        <f>DATE(2025,3,14)</f>
        <v>45730</v>
      </c>
      <c r="H476">
        <v>1911203432</v>
      </c>
      <c r="I476" t="s">
        <v>21</v>
      </c>
      <c r="K476" t="s">
        <v>22</v>
      </c>
      <c r="L476" t="s">
        <v>23</v>
      </c>
      <c r="M476" t="s">
        <v>24</v>
      </c>
      <c r="N476" t="s">
        <v>24</v>
      </c>
      <c r="O476" t="s">
        <v>25</v>
      </c>
      <c r="P476" s="8" t="s">
        <v>705</v>
      </c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</row>
    <row r="477" spans="1:51" hidden="1" x14ac:dyDescent="0.2">
      <c r="A477" s="6" t="s">
        <v>17</v>
      </c>
      <c r="B477" t="s">
        <v>155</v>
      </c>
      <c r="C477" t="s">
        <v>156</v>
      </c>
      <c r="D477" t="s">
        <v>706</v>
      </c>
      <c r="E477" s="2">
        <v>84.76</v>
      </c>
      <c r="F477" s="3">
        <f>DATE(2025,3,11)</f>
        <v>45727</v>
      </c>
      <c r="G477" s="3">
        <f>DATE(2025,3,11)</f>
        <v>45727</v>
      </c>
      <c r="H477">
        <v>1911203435</v>
      </c>
      <c r="I477" t="s">
        <v>158</v>
      </c>
      <c r="K477" t="s">
        <v>22</v>
      </c>
      <c r="L477" t="s">
        <v>23</v>
      </c>
      <c r="M477" t="s">
        <v>24</v>
      </c>
      <c r="N477" t="s">
        <v>24</v>
      </c>
      <c r="O477" t="s">
        <v>25</v>
      </c>
      <c r="P477" s="8" t="s">
        <v>707</v>
      </c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</row>
    <row r="478" spans="1:51" hidden="1" x14ac:dyDescent="0.2">
      <c r="A478" s="6" t="s">
        <v>17</v>
      </c>
      <c r="B478" t="s">
        <v>118</v>
      </c>
      <c r="C478" t="s">
        <v>119</v>
      </c>
      <c r="D478" t="s">
        <v>708</v>
      </c>
      <c r="E478" s="2">
        <v>30</v>
      </c>
      <c r="F478" s="3">
        <f>DATE(2025,3,13)</f>
        <v>45729</v>
      </c>
      <c r="G478" s="3">
        <f>DATE(2025,3,13)</f>
        <v>45729</v>
      </c>
      <c r="H478">
        <v>1911203436</v>
      </c>
      <c r="I478" t="s">
        <v>158</v>
      </c>
      <c r="K478" t="s">
        <v>22</v>
      </c>
      <c r="L478" t="s">
        <v>23</v>
      </c>
      <c r="M478" t="s">
        <v>24</v>
      </c>
      <c r="N478" t="s">
        <v>24</v>
      </c>
      <c r="O478" t="s">
        <v>25</v>
      </c>
      <c r="P478" s="8" t="s">
        <v>709</v>
      </c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</row>
    <row r="479" spans="1:51" hidden="1" x14ac:dyDescent="0.2">
      <c r="A479" s="6" t="s">
        <v>17</v>
      </c>
      <c r="B479" t="s">
        <v>118</v>
      </c>
      <c r="C479" t="s">
        <v>119</v>
      </c>
      <c r="D479" t="s">
        <v>710</v>
      </c>
      <c r="E479" s="2">
        <v>488.19</v>
      </c>
      <c r="F479" s="3">
        <f>DATE(2025,3,12)</f>
        <v>45728</v>
      </c>
      <c r="G479" s="3">
        <f>DATE(2025,3,12)</f>
        <v>45728</v>
      </c>
      <c r="H479">
        <v>1911203437</v>
      </c>
      <c r="I479" t="s">
        <v>158</v>
      </c>
      <c r="K479" t="s">
        <v>22</v>
      </c>
      <c r="L479" t="s">
        <v>23</v>
      </c>
      <c r="M479" t="s">
        <v>24</v>
      </c>
      <c r="N479" t="s">
        <v>24</v>
      </c>
      <c r="O479" t="s">
        <v>25</v>
      </c>
      <c r="P479" s="8" t="s">
        <v>711</v>
      </c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</row>
    <row r="480" spans="1:51" hidden="1" x14ac:dyDescent="0.2">
      <c r="A480" s="6" t="s">
        <v>17</v>
      </c>
      <c r="B480" t="s">
        <v>118</v>
      </c>
      <c r="C480" t="s">
        <v>119</v>
      </c>
      <c r="D480" t="s">
        <v>686</v>
      </c>
      <c r="E480" s="2">
        <v>30.8</v>
      </c>
      <c r="F480" s="3">
        <f>DATE(2025,3,12)</f>
        <v>45728</v>
      </c>
      <c r="G480" s="3">
        <f>DATE(2025,3,12)</f>
        <v>45728</v>
      </c>
      <c r="H480">
        <v>1911203438</v>
      </c>
      <c r="I480" t="s">
        <v>158</v>
      </c>
      <c r="K480" t="s">
        <v>22</v>
      </c>
      <c r="L480" t="s">
        <v>23</v>
      </c>
      <c r="M480" t="s">
        <v>24</v>
      </c>
      <c r="N480" t="s">
        <v>24</v>
      </c>
      <c r="O480" t="s">
        <v>25</v>
      </c>
      <c r="P480" s="8" t="s">
        <v>712</v>
      </c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</row>
    <row r="481" spans="1:51" hidden="1" x14ac:dyDescent="0.2">
      <c r="A481" s="6"/>
      <c r="E481" s="2"/>
      <c r="F481" s="3"/>
      <c r="G481" s="3"/>
      <c r="P481" s="8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</row>
    <row r="482" spans="1:51" hidden="1" x14ac:dyDescent="0.2">
      <c r="A482" s="6"/>
      <c r="E482" s="2"/>
      <c r="F482" s="3"/>
      <c r="G482" s="3"/>
      <c r="P482" s="8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</row>
    <row r="483" spans="1:51" hidden="1" x14ac:dyDescent="0.2">
      <c r="A483" s="6" t="s">
        <v>17</v>
      </c>
      <c r="B483" t="s">
        <v>42</v>
      </c>
      <c r="C483" t="s">
        <v>43</v>
      </c>
      <c r="D483" t="s">
        <v>170</v>
      </c>
      <c r="E483" s="2">
        <v>40</v>
      </c>
      <c r="F483" s="3">
        <f>DATE(2025,3,13)</f>
        <v>45729</v>
      </c>
      <c r="G483" s="3">
        <f>DATE(2025,3,13)</f>
        <v>45729</v>
      </c>
      <c r="H483">
        <v>1915554003</v>
      </c>
      <c r="I483" t="s">
        <v>158</v>
      </c>
      <c r="K483" t="s">
        <v>22</v>
      </c>
      <c r="L483" t="s">
        <v>23</v>
      </c>
      <c r="M483" t="s">
        <v>24</v>
      </c>
      <c r="N483" t="s">
        <v>24</v>
      </c>
      <c r="O483" t="s">
        <v>25</v>
      </c>
      <c r="P483" s="8" t="s">
        <v>713</v>
      </c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</row>
    <row r="484" spans="1:51" hidden="1" x14ac:dyDescent="0.2">
      <c r="A484" s="6"/>
      <c r="E484" s="2"/>
      <c r="F484" s="3"/>
      <c r="G484" s="3"/>
      <c r="P484" s="8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</row>
    <row r="485" spans="1:51" hidden="1" x14ac:dyDescent="0.2">
      <c r="A485" s="6"/>
      <c r="E485" s="2"/>
      <c r="F485" s="3"/>
      <c r="G485" s="3"/>
      <c r="P485" s="8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</row>
    <row r="486" spans="1:51" hidden="1" x14ac:dyDescent="0.2">
      <c r="A486" s="6" t="s">
        <v>17</v>
      </c>
      <c r="B486" t="s">
        <v>255</v>
      </c>
      <c r="C486" t="s">
        <v>255</v>
      </c>
      <c r="D486" t="s">
        <v>714</v>
      </c>
      <c r="E486" s="2">
        <v>240</v>
      </c>
      <c r="F486" s="3">
        <f>DATE(2025,3,17)</f>
        <v>45733</v>
      </c>
      <c r="G486" s="3">
        <f>DATE(2025,3,17)</f>
        <v>45733</v>
      </c>
      <c r="H486">
        <v>1922869537</v>
      </c>
      <c r="I486" t="s">
        <v>21</v>
      </c>
      <c r="K486" t="s">
        <v>22</v>
      </c>
      <c r="L486" t="s">
        <v>23</v>
      </c>
      <c r="M486" t="s">
        <v>24</v>
      </c>
      <c r="N486" t="s">
        <v>24</v>
      </c>
      <c r="O486" t="s">
        <v>25</v>
      </c>
      <c r="P486" s="8" t="s">
        <v>715</v>
      </c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</row>
    <row r="487" spans="1:51" hidden="1" x14ac:dyDescent="0.2">
      <c r="A487" s="6" t="s">
        <v>17</v>
      </c>
      <c r="B487" t="s">
        <v>31</v>
      </c>
      <c r="C487" t="s">
        <v>32</v>
      </c>
      <c r="D487" t="s">
        <v>716</v>
      </c>
      <c r="E487" s="2">
        <v>140.33000000000001</v>
      </c>
      <c r="F487" s="3">
        <f>DATE(2025,3,17)</f>
        <v>45733</v>
      </c>
      <c r="G487" s="3">
        <f>DATE(2025,3,17)</f>
        <v>45733</v>
      </c>
      <c r="H487">
        <v>1922869538</v>
      </c>
      <c r="I487" t="s">
        <v>21</v>
      </c>
      <c r="K487" t="s">
        <v>22</v>
      </c>
      <c r="L487" t="s">
        <v>23</v>
      </c>
      <c r="M487" t="s">
        <v>24</v>
      </c>
      <c r="N487" t="s">
        <v>24</v>
      </c>
      <c r="O487" t="s">
        <v>25</v>
      </c>
      <c r="P487" s="8" t="s">
        <v>717</v>
      </c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</row>
    <row r="488" spans="1:51" hidden="1" x14ac:dyDescent="0.2">
      <c r="A488" s="6" t="s">
        <v>17</v>
      </c>
      <c r="B488" t="s">
        <v>140</v>
      </c>
      <c r="C488" t="s">
        <v>141</v>
      </c>
      <c r="D488" t="s">
        <v>718</v>
      </c>
      <c r="E488" s="2">
        <v>6918</v>
      </c>
      <c r="F488" s="3">
        <f>DATE(2025,3,18)</f>
        <v>45734</v>
      </c>
      <c r="G488" s="3">
        <f>DATE(2025,3,18)</f>
        <v>45734</v>
      </c>
      <c r="H488">
        <v>1928791110</v>
      </c>
      <c r="I488" t="s">
        <v>21</v>
      </c>
      <c r="K488" t="s">
        <v>22</v>
      </c>
      <c r="L488" t="s">
        <v>23</v>
      </c>
      <c r="M488" t="s">
        <v>24</v>
      </c>
      <c r="N488" t="s">
        <v>24</v>
      </c>
      <c r="O488" t="s">
        <v>25</v>
      </c>
      <c r="P488" s="8" t="s">
        <v>719</v>
      </c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</row>
    <row r="489" spans="1:51" hidden="1" x14ac:dyDescent="0.2">
      <c r="A489" s="6"/>
      <c r="E489" s="2"/>
      <c r="F489" s="3"/>
      <c r="G489" s="3"/>
      <c r="P489" s="8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</row>
    <row r="490" spans="1:51" hidden="1" x14ac:dyDescent="0.2">
      <c r="A490" s="6"/>
      <c r="E490" s="2"/>
      <c r="F490" s="3"/>
      <c r="G490" s="3"/>
      <c r="P490" s="8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</row>
    <row r="491" spans="1:51" hidden="1" x14ac:dyDescent="0.2">
      <c r="A491" s="6"/>
      <c r="E491" s="2"/>
      <c r="F491" s="3"/>
      <c r="G491" s="3"/>
      <c r="P491" s="8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</row>
    <row r="492" spans="1:51" hidden="1" x14ac:dyDescent="0.2">
      <c r="A492" s="6" t="s">
        <v>17</v>
      </c>
      <c r="B492" t="s">
        <v>132</v>
      </c>
      <c r="C492" t="s">
        <v>133</v>
      </c>
      <c r="D492" t="s">
        <v>720</v>
      </c>
      <c r="E492" s="2">
        <v>6.99</v>
      </c>
      <c r="F492" s="3">
        <f>DATE(2025,3,15)</f>
        <v>45731</v>
      </c>
      <c r="G492" s="3">
        <f>DATE(2025,3,15)</f>
        <v>45731</v>
      </c>
      <c r="H492">
        <v>1928791123</v>
      </c>
      <c r="I492" t="s">
        <v>158</v>
      </c>
      <c r="K492" t="s">
        <v>22</v>
      </c>
      <c r="L492" t="s">
        <v>23</v>
      </c>
      <c r="M492" t="s">
        <v>24</v>
      </c>
      <c r="N492" t="s">
        <v>24</v>
      </c>
      <c r="O492" t="s">
        <v>25</v>
      </c>
      <c r="P492" s="8" t="s">
        <v>721</v>
      </c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</row>
    <row r="493" spans="1:51" hidden="1" x14ac:dyDescent="0.2">
      <c r="A493" s="6" t="s">
        <v>17</v>
      </c>
      <c r="B493" t="s">
        <v>35</v>
      </c>
      <c r="C493" t="s">
        <v>35</v>
      </c>
      <c r="D493" t="s">
        <v>242</v>
      </c>
      <c r="E493" s="2">
        <v>57</v>
      </c>
      <c r="F493" s="3">
        <f>DATE(2025,3,17)</f>
        <v>45733</v>
      </c>
      <c r="G493" s="3">
        <f>DATE(2025,3,17)</f>
        <v>45733</v>
      </c>
      <c r="H493">
        <v>1928836082</v>
      </c>
      <c r="I493" t="s">
        <v>192</v>
      </c>
      <c r="K493" t="s">
        <v>22</v>
      </c>
      <c r="L493" t="s">
        <v>23</v>
      </c>
      <c r="M493" t="s">
        <v>24</v>
      </c>
      <c r="N493" t="s">
        <v>24</v>
      </c>
      <c r="O493" t="s">
        <v>25</v>
      </c>
      <c r="P493" s="8" t="s">
        <v>722</v>
      </c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</row>
    <row r="494" spans="1:51" hidden="1" x14ac:dyDescent="0.2">
      <c r="A494" s="6" t="s">
        <v>17</v>
      </c>
      <c r="B494" t="s">
        <v>70</v>
      </c>
      <c r="C494" t="s">
        <v>71</v>
      </c>
      <c r="D494" t="s">
        <v>723</v>
      </c>
      <c r="E494" s="2">
        <v>410.4</v>
      </c>
      <c r="F494" s="3">
        <f>DATE(2025,3,19)</f>
        <v>45735</v>
      </c>
      <c r="G494" s="3">
        <f>DATE(2025,3,19)</f>
        <v>45735</v>
      </c>
      <c r="H494">
        <v>1935503406</v>
      </c>
      <c r="I494" t="s">
        <v>21</v>
      </c>
      <c r="K494" t="s">
        <v>22</v>
      </c>
      <c r="L494" t="s">
        <v>23</v>
      </c>
      <c r="M494" t="s">
        <v>24</v>
      </c>
      <c r="N494" t="s">
        <v>24</v>
      </c>
      <c r="O494" t="s">
        <v>25</v>
      </c>
      <c r="P494" s="8" t="s">
        <v>724</v>
      </c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</row>
    <row r="495" spans="1:51" hidden="1" x14ac:dyDescent="0.2">
      <c r="A495" s="6" t="s">
        <v>17</v>
      </c>
      <c r="B495" t="s">
        <v>54</v>
      </c>
      <c r="C495" t="s">
        <v>55</v>
      </c>
      <c r="D495" t="s">
        <v>725</v>
      </c>
      <c r="E495" s="2">
        <v>1104</v>
      </c>
      <c r="F495" s="3">
        <f>DATE(2025,3,19)</f>
        <v>45735</v>
      </c>
      <c r="G495" s="3">
        <f>DATE(2025,3,19)</f>
        <v>45735</v>
      </c>
      <c r="H495">
        <v>1935503407</v>
      </c>
      <c r="I495" t="s">
        <v>21</v>
      </c>
      <c r="K495" t="s">
        <v>22</v>
      </c>
      <c r="L495" t="s">
        <v>23</v>
      </c>
      <c r="M495" t="s">
        <v>24</v>
      </c>
      <c r="N495" t="s">
        <v>24</v>
      </c>
      <c r="O495" t="s">
        <v>25</v>
      </c>
      <c r="P495" s="8" t="s">
        <v>726</v>
      </c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</row>
    <row r="496" spans="1:51" hidden="1" x14ac:dyDescent="0.2">
      <c r="A496" s="6"/>
      <c r="E496" s="2"/>
      <c r="F496" s="3"/>
      <c r="G496" s="3"/>
      <c r="P496" s="8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</row>
    <row r="497" spans="1:51" hidden="1" x14ac:dyDescent="0.2">
      <c r="A497" s="6" t="s">
        <v>17</v>
      </c>
      <c r="B497" t="s">
        <v>38</v>
      </c>
      <c r="C497" t="s">
        <v>39</v>
      </c>
      <c r="D497" t="s">
        <v>727</v>
      </c>
      <c r="E497" s="2">
        <v>55</v>
      </c>
      <c r="F497" s="3">
        <f>DATE(2025,3,18)</f>
        <v>45734</v>
      </c>
      <c r="G497" s="3">
        <f>DATE(2025,3,18)</f>
        <v>45734</v>
      </c>
      <c r="H497">
        <v>1935503409</v>
      </c>
      <c r="I497" t="s">
        <v>21</v>
      </c>
      <c r="K497" t="s">
        <v>22</v>
      </c>
      <c r="L497" t="s">
        <v>23</v>
      </c>
      <c r="M497" t="s">
        <v>24</v>
      </c>
      <c r="N497" t="s">
        <v>24</v>
      </c>
      <c r="O497" t="s">
        <v>25</v>
      </c>
      <c r="P497" s="8" t="s">
        <v>728</v>
      </c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</row>
    <row r="498" spans="1:51" hidden="1" x14ac:dyDescent="0.2">
      <c r="A498" s="6" t="s">
        <v>17</v>
      </c>
      <c r="B498" t="s">
        <v>266</v>
      </c>
      <c r="C498" t="s">
        <v>267</v>
      </c>
      <c r="D498" t="s">
        <v>729</v>
      </c>
      <c r="E498" s="2">
        <v>271.37</v>
      </c>
      <c r="F498" s="3">
        <f>DATE(2025,3,19)</f>
        <v>45735</v>
      </c>
      <c r="G498" s="3">
        <f>DATE(2025,3,19)</f>
        <v>45735</v>
      </c>
      <c r="H498">
        <v>1935503410</v>
      </c>
      <c r="I498" t="s">
        <v>21</v>
      </c>
      <c r="K498" t="s">
        <v>22</v>
      </c>
      <c r="L498" t="s">
        <v>23</v>
      </c>
      <c r="M498" t="s">
        <v>24</v>
      </c>
      <c r="N498" t="s">
        <v>24</v>
      </c>
      <c r="O498" t="s">
        <v>25</v>
      </c>
      <c r="P498" s="8" t="s">
        <v>730</v>
      </c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</row>
    <row r="499" spans="1:51" hidden="1" x14ac:dyDescent="0.2">
      <c r="A499" s="6"/>
      <c r="E499" s="2"/>
      <c r="F499" s="3"/>
      <c r="G499" s="3"/>
      <c r="P499" s="8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</row>
    <row r="500" spans="1:51" hidden="1" x14ac:dyDescent="0.2">
      <c r="A500" s="6" t="s">
        <v>17</v>
      </c>
      <c r="B500" t="s">
        <v>70</v>
      </c>
      <c r="C500" t="s">
        <v>71</v>
      </c>
      <c r="D500" t="s">
        <v>731</v>
      </c>
      <c r="E500" s="2">
        <v>310.2</v>
      </c>
      <c r="F500" s="3">
        <f>DATE(2025,3,19)</f>
        <v>45735</v>
      </c>
      <c r="G500" s="3">
        <f>DATE(2025,3,19)</f>
        <v>45735</v>
      </c>
      <c r="H500">
        <v>1935503412</v>
      </c>
      <c r="I500" t="s">
        <v>21</v>
      </c>
      <c r="K500" t="s">
        <v>22</v>
      </c>
      <c r="L500" t="s">
        <v>23</v>
      </c>
      <c r="M500" t="s">
        <v>24</v>
      </c>
      <c r="N500" t="s">
        <v>24</v>
      </c>
      <c r="O500" t="s">
        <v>25</v>
      </c>
      <c r="P500" s="8" t="s">
        <v>732</v>
      </c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</row>
    <row r="501" spans="1:51" hidden="1" x14ac:dyDescent="0.2">
      <c r="A501" s="6" t="s">
        <v>17</v>
      </c>
      <c r="B501" t="s">
        <v>31</v>
      </c>
      <c r="C501" t="s">
        <v>32</v>
      </c>
      <c r="D501" t="s">
        <v>733</v>
      </c>
      <c r="E501" s="2">
        <v>73.400000000000006</v>
      </c>
      <c r="F501" s="3">
        <f>DATE(2025,3,20)</f>
        <v>45736</v>
      </c>
      <c r="G501" s="3">
        <f>DATE(2025,3,20)</f>
        <v>45736</v>
      </c>
      <c r="H501">
        <v>1935503413</v>
      </c>
      <c r="I501" t="s">
        <v>21</v>
      </c>
      <c r="K501" t="s">
        <v>22</v>
      </c>
      <c r="L501" t="s">
        <v>23</v>
      </c>
      <c r="M501" t="s">
        <v>24</v>
      </c>
      <c r="N501" t="s">
        <v>24</v>
      </c>
      <c r="O501" t="s">
        <v>25</v>
      </c>
      <c r="P501" s="8" t="s">
        <v>734</v>
      </c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</row>
    <row r="502" spans="1:51" hidden="1" x14ac:dyDescent="0.2">
      <c r="A502" s="6" t="s">
        <v>17</v>
      </c>
      <c r="B502" t="s">
        <v>155</v>
      </c>
      <c r="C502" t="s">
        <v>156</v>
      </c>
      <c r="D502" t="s">
        <v>735</v>
      </c>
      <c r="E502" s="2">
        <v>31.64</v>
      </c>
      <c r="F502" s="3">
        <f>DATE(2025,3,20)</f>
        <v>45736</v>
      </c>
      <c r="G502" s="3">
        <f>DATE(2025,3,20)</f>
        <v>45736</v>
      </c>
      <c r="H502">
        <v>1935503414</v>
      </c>
      <c r="I502" t="s">
        <v>21</v>
      </c>
      <c r="K502" t="s">
        <v>22</v>
      </c>
      <c r="L502" t="s">
        <v>23</v>
      </c>
      <c r="M502" t="s">
        <v>24</v>
      </c>
      <c r="N502" t="s">
        <v>24</v>
      </c>
      <c r="O502" t="s">
        <v>25</v>
      </c>
      <c r="P502" s="8" t="s">
        <v>736</v>
      </c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</row>
    <row r="503" spans="1:51" hidden="1" x14ac:dyDescent="0.2">
      <c r="A503" s="6" t="s">
        <v>17</v>
      </c>
      <c r="B503" t="s">
        <v>54</v>
      </c>
      <c r="C503" t="s">
        <v>55</v>
      </c>
      <c r="D503" t="s">
        <v>737</v>
      </c>
      <c r="E503" s="2">
        <v>468</v>
      </c>
      <c r="F503" s="3">
        <f>DATE(2025,3,19)</f>
        <v>45735</v>
      </c>
      <c r="G503" s="3">
        <f>DATE(2025,3,19)</f>
        <v>45735</v>
      </c>
      <c r="H503">
        <v>1935503415</v>
      </c>
      <c r="I503" t="s">
        <v>21</v>
      </c>
      <c r="K503" t="s">
        <v>22</v>
      </c>
      <c r="L503" t="s">
        <v>23</v>
      </c>
      <c r="M503" t="s">
        <v>24</v>
      </c>
      <c r="N503" t="s">
        <v>24</v>
      </c>
      <c r="O503" t="s">
        <v>25</v>
      </c>
      <c r="P503" s="8" t="s">
        <v>738</v>
      </c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</row>
    <row r="504" spans="1:51" hidden="1" x14ac:dyDescent="0.2">
      <c r="A504" s="6" t="s">
        <v>17</v>
      </c>
      <c r="B504" t="s">
        <v>42</v>
      </c>
      <c r="C504" t="s">
        <v>43</v>
      </c>
      <c r="D504" t="s">
        <v>516</v>
      </c>
      <c r="E504" s="2">
        <v>19.989999999999998</v>
      </c>
      <c r="F504" s="3">
        <f>DATE(2025,3,18)</f>
        <v>45734</v>
      </c>
      <c r="G504" s="3">
        <f>DATE(2025,3,18)</f>
        <v>45734</v>
      </c>
      <c r="H504">
        <v>1935503428</v>
      </c>
      <c r="I504" t="s">
        <v>158</v>
      </c>
      <c r="K504" t="s">
        <v>22</v>
      </c>
      <c r="L504" t="s">
        <v>23</v>
      </c>
      <c r="M504" t="s">
        <v>24</v>
      </c>
      <c r="N504" t="s">
        <v>24</v>
      </c>
      <c r="O504" t="s">
        <v>25</v>
      </c>
      <c r="P504" s="8" t="s">
        <v>739</v>
      </c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</row>
    <row r="505" spans="1:51" hidden="1" x14ac:dyDescent="0.2">
      <c r="A505" s="6"/>
      <c r="E505" s="2"/>
      <c r="F505" s="3"/>
      <c r="G505" s="3"/>
      <c r="P505" s="8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</row>
    <row r="506" spans="1:51" hidden="1" x14ac:dyDescent="0.2">
      <c r="A506" s="6"/>
      <c r="E506" s="2"/>
      <c r="F506" s="3"/>
      <c r="G506" s="3"/>
      <c r="P506" s="8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</row>
    <row r="507" spans="1:51" hidden="1" x14ac:dyDescent="0.2">
      <c r="A507" s="6"/>
      <c r="E507" s="2"/>
      <c r="F507" s="3"/>
      <c r="G507" s="3"/>
      <c r="P507" s="8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</row>
    <row r="508" spans="1:51" hidden="1" x14ac:dyDescent="0.2">
      <c r="A508" s="6" t="s">
        <v>17</v>
      </c>
      <c r="B508" t="s">
        <v>309</v>
      </c>
      <c r="C508" t="s">
        <v>310</v>
      </c>
      <c r="D508" t="s">
        <v>740</v>
      </c>
      <c r="E508" s="2">
        <v>100.05</v>
      </c>
      <c r="F508" s="3">
        <f t="shared" ref="F508:G509" si="36">DATE(2025,3,20)</f>
        <v>45736</v>
      </c>
      <c r="G508" s="3">
        <f t="shared" si="36"/>
        <v>45736</v>
      </c>
      <c r="H508">
        <v>1941591335</v>
      </c>
      <c r="I508" t="s">
        <v>21</v>
      </c>
      <c r="K508" t="s">
        <v>22</v>
      </c>
      <c r="L508" t="s">
        <v>23</v>
      </c>
      <c r="M508" t="s">
        <v>24</v>
      </c>
      <c r="N508" t="s">
        <v>24</v>
      </c>
      <c r="O508" t="s">
        <v>25</v>
      </c>
      <c r="P508" s="8" t="s">
        <v>741</v>
      </c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</row>
    <row r="509" spans="1:51" hidden="1" x14ac:dyDescent="0.2">
      <c r="A509" s="6" t="s">
        <v>17</v>
      </c>
      <c r="B509" t="s">
        <v>309</v>
      </c>
      <c r="C509" t="s">
        <v>310</v>
      </c>
      <c r="D509" t="s">
        <v>742</v>
      </c>
      <c r="E509" s="2">
        <v>148.38</v>
      </c>
      <c r="F509" s="3">
        <f t="shared" si="36"/>
        <v>45736</v>
      </c>
      <c r="G509" s="3">
        <f t="shared" si="36"/>
        <v>45736</v>
      </c>
      <c r="H509">
        <v>1941591336</v>
      </c>
      <c r="I509" t="s">
        <v>21</v>
      </c>
      <c r="K509" t="s">
        <v>22</v>
      </c>
      <c r="L509" t="s">
        <v>23</v>
      </c>
      <c r="M509" t="s">
        <v>24</v>
      </c>
      <c r="N509" t="s">
        <v>24</v>
      </c>
      <c r="O509" t="s">
        <v>25</v>
      </c>
      <c r="P509" s="8" t="s">
        <v>743</v>
      </c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</row>
    <row r="510" spans="1:51" hidden="1" x14ac:dyDescent="0.2">
      <c r="A510" s="6" t="s">
        <v>17</v>
      </c>
      <c r="B510" t="s">
        <v>132</v>
      </c>
      <c r="C510" t="s">
        <v>133</v>
      </c>
      <c r="D510" t="s">
        <v>744</v>
      </c>
      <c r="E510" s="2">
        <v>87.68</v>
      </c>
      <c r="F510" s="3">
        <f>DATE(2025,3,18)</f>
        <v>45734</v>
      </c>
      <c r="G510" s="3">
        <f>DATE(2025,3,18)</f>
        <v>45734</v>
      </c>
      <c r="H510">
        <v>1941591337</v>
      </c>
      <c r="I510" t="s">
        <v>158</v>
      </c>
      <c r="K510" t="s">
        <v>22</v>
      </c>
      <c r="L510" t="s">
        <v>23</v>
      </c>
      <c r="M510" t="s">
        <v>24</v>
      </c>
      <c r="N510" t="s">
        <v>24</v>
      </c>
      <c r="O510" t="s">
        <v>25</v>
      </c>
      <c r="P510" s="8" t="s">
        <v>745</v>
      </c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</row>
    <row r="511" spans="1:51" hidden="1" x14ac:dyDescent="0.2">
      <c r="A511" s="6" t="s">
        <v>17</v>
      </c>
      <c r="B511" t="s">
        <v>118</v>
      </c>
      <c r="C511" t="s">
        <v>119</v>
      </c>
      <c r="D511" t="s">
        <v>746</v>
      </c>
      <c r="E511" s="2">
        <v>329.7</v>
      </c>
      <c r="F511" s="3">
        <f>DATE(2025,3,18)</f>
        <v>45734</v>
      </c>
      <c r="G511" s="3">
        <f>DATE(2025,3,18)</f>
        <v>45734</v>
      </c>
      <c r="H511">
        <v>1941591338</v>
      </c>
      <c r="I511" t="s">
        <v>158</v>
      </c>
      <c r="K511" t="s">
        <v>22</v>
      </c>
      <c r="L511" t="s">
        <v>23</v>
      </c>
      <c r="M511" t="s">
        <v>24</v>
      </c>
      <c r="N511" t="s">
        <v>24</v>
      </c>
      <c r="O511" t="s">
        <v>25</v>
      </c>
      <c r="P511" s="8" t="s">
        <v>747</v>
      </c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</row>
    <row r="512" spans="1:51" hidden="1" x14ac:dyDescent="0.2">
      <c r="A512" s="6" t="s">
        <v>17</v>
      </c>
      <c r="B512" t="s">
        <v>118</v>
      </c>
      <c r="C512" t="s">
        <v>119</v>
      </c>
      <c r="D512" t="s">
        <v>748</v>
      </c>
      <c r="E512" s="2">
        <v>512.4</v>
      </c>
      <c r="F512" s="3">
        <f t="shared" ref="F512:G514" si="37">DATE(2025,3,20)</f>
        <v>45736</v>
      </c>
      <c r="G512" s="3">
        <f t="shared" si="37"/>
        <v>45736</v>
      </c>
      <c r="H512">
        <v>1946037082</v>
      </c>
      <c r="I512" t="s">
        <v>158</v>
      </c>
      <c r="K512" t="s">
        <v>22</v>
      </c>
      <c r="L512" t="s">
        <v>23</v>
      </c>
      <c r="M512" t="s">
        <v>24</v>
      </c>
      <c r="N512" t="s">
        <v>24</v>
      </c>
      <c r="O512" t="s">
        <v>25</v>
      </c>
      <c r="P512" s="8" t="s">
        <v>749</v>
      </c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</row>
    <row r="513" spans="1:51" hidden="1" x14ac:dyDescent="0.2">
      <c r="A513" s="6" t="s">
        <v>17</v>
      </c>
      <c r="B513" t="s">
        <v>132</v>
      </c>
      <c r="C513" t="s">
        <v>133</v>
      </c>
      <c r="D513" t="s">
        <v>616</v>
      </c>
      <c r="E513" s="2">
        <v>234</v>
      </c>
      <c r="F513" s="3">
        <f t="shared" si="37"/>
        <v>45736</v>
      </c>
      <c r="G513" s="3">
        <f t="shared" si="37"/>
        <v>45736</v>
      </c>
      <c r="H513">
        <v>1946037083</v>
      </c>
      <c r="I513" t="s">
        <v>158</v>
      </c>
      <c r="K513" t="s">
        <v>22</v>
      </c>
      <c r="L513" t="s">
        <v>23</v>
      </c>
      <c r="M513" t="s">
        <v>24</v>
      </c>
      <c r="N513" t="s">
        <v>24</v>
      </c>
      <c r="O513" t="s">
        <v>25</v>
      </c>
      <c r="P513" s="8" t="s">
        <v>750</v>
      </c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</row>
    <row r="514" spans="1:51" hidden="1" x14ac:dyDescent="0.2">
      <c r="A514" s="6" t="s">
        <v>17</v>
      </c>
      <c r="B514" t="s">
        <v>132</v>
      </c>
      <c r="C514" t="s">
        <v>133</v>
      </c>
      <c r="D514" t="s">
        <v>751</v>
      </c>
      <c r="E514" s="2">
        <v>118.5</v>
      </c>
      <c r="F514" s="3">
        <f t="shared" si="37"/>
        <v>45736</v>
      </c>
      <c r="G514" s="3">
        <f t="shared" si="37"/>
        <v>45736</v>
      </c>
      <c r="H514">
        <v>1946037084</v>
      </c>
      <c r="I514" t="s">
        <v>158</v>
      </c>
      <c r="K514" t="s">
        <v>22</v>
      </c>
      <c r="L514" t="s">
        <v>23</v>
      </c>
      <c r="M514" t="s">
        <v>24</v>
      </c>
      <c r="N514" t="s">
        <v>24</v>
      </c>
      <c r="O514" t="s">
        <v>25</v>
      </c>
      <c r="P514" s="8" t="s">
        <v>752</v>
      </c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</row>
    <row r="515" spans="1:51" hidden="1" x14ac:dyDescent="0.2">
      <c r="A515" s="6"/>
      <c r="E515" s="2"/>
      <c r="F515" s="3"/>
      <c r="G515" s="3"/>
      <c r="P515" s="8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</row>
    <row r="516" spans="1:51" hidden="1" x14ac:dyDescent="0.2">
      <c r="A516" s="6" t="s">
        <v>17</v>
      </c>
      <c r="B516" t="s">
        <v>155</v>
      </c>
      <c r="C516" t="s">
        <v>156</v>
      </c>
      <c r="D516" t="s">
        <v>297</v>
      </c>
      <c r="E516" s="2">
        <v>7.99</v>
      </c>
      <c r="F516" s="3">
        <f t="shared" ref="F516:G517" si="38">DATE(2025,3,21)</f>
        <v>45737</v>
      </c>
      <c r="G516" s="3">
        <f t="shared" si="38"/>
        <v>45737</v>
      </c>
      <c r="H516">
        <v>1948827982</v>
      </c>
      <c r="I516" t="s">
        <v>158</v>
      </c>
      <c r="K516" t="s">
        <v>22</v>
      </c>
      <c r="L516" t="s">
        <v>23</v>
      </c>
      <c r="M516" t="s">
        <v>24</v>
      </c>
      <c r="N516" t="s">
        <v>24</v>
      </c>
      <c r="O516" t="s">
        <v>25</v>
      </c>
      <c r="P516" s="8" t="s">
        <v>753</v>
      </c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</row>
    <row r="517" spans="1:51" hidden="1" x14ac:dyDescent="0.2">
      <c r="A517" s="6" t="s">
        <v>17</v>
      </c>
      <c r="B517" t="s">
        <v>118</v>
      </c>
      <c r="C517" t="s">
        <v>119</v>
      </c>
      <c r="D517" t="s">
        <v>754</v>
      </c>
      <c r="E517" s="2">
        <v>49.91</v>
      </c>
      <c r="F517" s="3">
        <f t="shared" si="38"/>
        <v>45737</v>
      </c>
      <c r="G517" s="3">
        <f t="shared" si="38"/>
        <v>45737</v>
      </c>
      <c r="H517">
        <v>1948827983</v>
      </c>
      <c r="I517" t="s">
        <v>158</v>
      </c>
      <c r="K517" t="s">
        <v>22</v>
      </c>
      <c r="L517" t="s">
        <v>23</v>
      </c>
      <c r="M517" t="s">
        <v>24</v>
      </c>
      <c r="N517" t="s">
        <v>24</v>
      </c>
      <c r="O517" t="s">
        <v>25</v>
      </c>
      <c r="P517" s="8" t="s">
        <v>755</v>
      </c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</row>
    <row r="518" spans="1:51" hidden="1" x14ac:dyDescent="0.2">
      <c r="A518" s="6" t="s">
        <v>17</v>
      </c>
      <c r="B518" t="s">
        <v>31</v>
      </c>
      <c r="C518" t="s">
        <v>32</v>
      </c>
      <c r="D518" t="s">
        <v>756</v>
      </c>
      <c r="E518" s="2">
        <v>70.209999999999994</v>
      </c>
      <c r="F518" s="3">
        <f t="shared" ref="F518:G525" si="39">DATE(2025,3,24)</f>
        <v>45740</v>
      </c>
      <c r="G518" s="3">
        <f t="shared" si="39"/>
        <v>45740</v>
      </c>
      <c r="H518">
        <v>1953274089</v>
      </c>
      <c r="I518" t="s">
        <v>21</v>
      </c>
      <c r="K518" t="s">
        <v>22</v>
      </c>
      <c r="L518" t="s">
        <v>23</v>
      </c>
      <c r="M518" t="s">
        <v>24</v>
      </c>
      <c r="N518" t="s">
        <v>24</v>
      </c>
      <c r="O518" t="s">
        <v>25</v>
      </c>
      <c r="P518" s="8" t="s">
        <v>757</v>
      </c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</row>
    <row r="519" spans="1:51" hidden="1" x14ac:dyDescent="0.2">
      <c r="A519" s="6" t="s">
        <v>17</v>
      </c>
      <c r="B519" t="s">
        <v>90</v>
      </c>
      <c r="C519" t="s">
        <v>91</v>
      </c>
      <c r="D519" t="s">
        <v>758</v>
      </c>
      <c r="E519" s="2">
        <v>860</v>
      </c>
      <c r="F519" s="3">
        <f t="shared" si="39"/>
        <v>45740</v>
      </c>
      <c r="G519" s="3">
        <f t="shared" si="39"/>
        <v>45740</v>
      </c>
      <c r="H519">
        <v>1953274090</v>
      </c>
      <c r="I519" t="s">
        <v>21</v>
      </c>
      <c r="K519" t="s">
        <v>22</v>
      </c>
      <c r="L519" t="s">
        <v>23</v>
      </c>
      <c r="M519" t="s">
        <v>24</v>
      </c>
      <c r="N519" t="s">
        <v>24</v>
      </c>
      <c r="O519" t="s">
        <v>25</v>
      </c>
      <c r="P519" s="8" t="s">
        <v>759</v>
      </c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</row>
    <row r="520" spans="1:51" hidden="1" x14ac:dyDescent="0.2">
      <c r="A520" s="6" t="s">
        <v>17</v>
      </c>
      <c r="B520" t="s">
        <v>46</v>
      </c>
      <c r="C520" t="s">
        <v>47</v>
      </c>
      <c r="D520" t="s">
        <v>760</v>
      </c>
      <c r="E520" s="2">
        <v>150</v>
      </c>
      <c r="F520" s="3">
        <f t="shared" si="39"/>
        <v>45740</v>
      </c>
      <c r="G520" s="3">
        <f t="shared" si="39"/>
        <v>45740</v>
      </c>
      <c r="H520">
        <v>1953274091</v>
      </c>
      <c r="I520" t="s">
        <v>21</v>
      </c>
      <c r="K520" t="s">
        <v>22</v>
      </c>
      <c r="L520" t="s">
        <v>23</v>
      </c>
      <c r="M520" t="s">
        <v>24</v>
      </c>
      <c r="N520" t="s">
        <v>24</v>
      </c>
      <c r="O520" t="s">
        <v>25</v>
      </c>
      <c r="P520" s="8" t="s">
        <v>761</v>
      </c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</row>
    <row r="521" spans="1:51" hidden="1" x14ac:dyDescent="0.2">
      <c r="A521" s="6" t="s">
        <v>17</v>
      </c>
      <c r="B521" t="s">
        <v>255</v>
      </c>
      <c r="C521" t="s">
        <v>255</v>
      </c>
      <c r="D521" t="s">
        <v>762</v>
      </c>
      <c r="E521" s="2">
        <v>2670.28</v>
      </c>
      <c r="F521" s="3">
        <f t="shared" si="39"/>
        <v>45740</v>
      </c>
      <c r="G521" s="3">
        <f t="shared" si="39"/>
        <v>45740</v>
      </c>
      <c r="H521">
        <v>1953274092</v>
      </c>
      <c r="I521" t="s">
        <v>21</v>
      </c>
      <c r="K521" t="s">
        <v>22</v>
      </c>
      <c r="L521" t="s">
        <v>23</v>
      </c>
      <c r="M521" t="s">
        <v>24</v>
      </c>
      <c r="N521" t="s">
        <v>24</v>
      </c>
      <c r="O521" t="s">
        <v>25</v>
      </c>
      <c r="P521" s="8" t="s">
        <v>763</v>
      </c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</row>
    <row r="522" spans="1:51" hidden="1" x14ac:dyDescent="0.2">
      <c r="A522" s="6" t="s">
        <v>17</v>
      </c>
      <c r="B522" t="s">
        <v>90</v>
      </c>
      <c r="C522" t="s">
        <v>91</v>
      </c>
      <c r="D522" t="s">
        <v>764</v>
      </c>
      <c r="E522" s="2">
        <v>1040</v>
      </c>
      <c r="F522" s="3">
        <f t="shared" si="39"/>
        <v>45740</v>
      </c>
      <c r="G522" s="3">
        <f t="shared" si="39"/>
        <v>45740</v>
      </c>
      <c r="H522">
        <v>1953274093</v>
      </c>
      <c r="I522" t="s">
        <v>21</v>
      </c>
      <c r="K522" t="s">
        <v>22</v>
      </c>
      <c r="L522" t="s">
        <v>23</v>
      </c>
      <c r="M522" t="s">
        <v>24</v>
      </c>
      <c r="N522" t="s">
        <v>24</v>
      </c>
      <c r="O522" t="s">
        <v>25</v>
      </c>
      <c r="P522" s="8" t="s">
        <v>765</v>
      </c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</row>
    <row r="523" spans="1:51" hidden="1" x14ac:dyDescent="0.2">
      <c r="A523" s="6" t="s">
        <v>17</v>
      </c>
      <c r="B523" t="s">
        <v>54</v>
      </c>
      <c r="C523" t="s">
        <v>55</v>
      </c>
      <c r="D523" t="s">
        <v>766</v>
      </c>
      <c r="E523" s="2">
        <v>7585.46</v>
      </c>
      <c r="F523" s="3">
        <f t="shared" si="39"/>
        <v>45740</v>
      </c>
      <c r="G523" s="3">
        <f t="shared" si="39"/>
        <v>45740</v>
      </c>
      <c r="H523">
        <v>1953274094</v>
      </c>
      <c r="I523" t="s">
        <v>21</v>
      </c>
      <c r="K523" t="s">
        <v>22</v>
      </c>
      <c r="L523" t="s">
        <v>23</v>
      </c>
      <c r="M523" t="s">
        <v>24</v>
      </c>
      <c r="N523" t="s">
        <v>24</v>
      </c>
      <c r="O523" t="s">
        <v>25</v>
      </c>
      <c r="P523" s="8" t="s">
        <v>767</v>
      </c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</row>
    <row r="524" spans="1:51" hidden="1" x14ac:dyDescent="0.2">
      <c r="A524" s="6" t="s">
        <v>17</v>
      </c>
      <c r="B524" t="s">
        <v>31</v>
      </c>
      <c r="C524" t="s">
        <v>32</v>
      </c>
      <c r="D524" t="s">
        <v>768</v>
      </c>
      <c r="E524" s="2">
        <v>80.400000000000006</v>
      </c>
      <c r="F524" s="3">
        <f t="shared" si="39"/>
        <v>45740</v>
      </c>
      <c r="G524" s="3">
        <f t="shared" si="39"/>
        <v>45740</v>
      </c>
      <c r="H524">
        <v>1953274095</v>
      </c>
      <c r="I524" t="s">
        <v>21</v>
      </c>
      <c r="K524" t="s">
        <v>22</v>
      </c>
      <c r="L524" t="s">
        <v>23</v>
      </c>
      <c r="M524" t="s">
        <v>24</v>
      </c>
      <c r="N524" t="s">
        <v>24</v>
      </c>
      <c r="O524" t="s">
        <v>25</v>
      </c>
      <c r="P524" s="8" t="s">
        <v>769</v>
      </c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</row>
    <row r="525" spans="1:51" hidden="1" x14ac:dyDescent="0.2">
      <c r="A525" s="6" t="s">
        <v>17</v>
      </c>
      <c r="B525" t="s">
        <v>31</v>
      </c>
      <c r="C525" t="s">
        <v>32</v>
      </c>
      <c r="D525" t="s">
        <v>770</v>
      </c>
      <c r="E525" s="2">
        <v>51.99</v>
      </c>
      <c r="F525" s="3">
        <f t="shared" si="39"/>
        <v>45740</v>
      </c>
      <c r="G525" s="3">
        <f t="shared" si="39"/>
        <v>45740</v>
      </c>
      <c r="H525">
        <v>1953274096</v>
      </c>
      <c r="I525" t="s">
        <v>21</v>
      </c>
      <c r="K525" t="s">
        <v>22</v>
      </c>
      <c r="L525" t="s">
        <v>23</v>
      </c>
      <c r="M525" t="s">
        <v>24</v>
      </c>
      <c r="N525" t="s">
        <v>24</v>
      </c>
      <c r="O525" t="s">
        <v>25</v>
      </c>
      <c r="P525" s="8" t="s">
        <v>771</v>
      </c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</row>
    <row r="526" spans="1:51" hidden="1" x14ac:dyDescent="0.2">
      <c r="A526" s="6" t="s">
        <v>17</v>
      </c>
      <c r="B526" t="s">
        <v>46</v>
      </c>
      <c r="C526" t="s">
        <v>47</v>
      </c>
      <c r="D526" t="s">
        <v>772</v>
      </c>
      <c r="E526" s="2">
        <v>1440</v>
      </c>
      <c r="F526" s="3">
        <f>DATE(2025,3,25)</f>
        <v>45741</v>
      </c>
      <c r="G526" s="3">
        <f>DATE(2025,3,25)</f>
        <v>45741</v>
      </c>
      <c r="H526">
        <v>1958261301</v>
      </c>
      <c r="I526" t="s">
        <v>21</v>
      </c>
      <c r="K526" t="s">
        <v>22</v>
      </c>
      <c r="L526" t="s">
        <v>23</v>
      </c>
      <c r="M526" t="s">
        <v>24</v>
      </c>
      <c r="N526" t="s">
        <v>24</v>
      </c>
      <c r="O526" t="s">
        <v>25</v>
      </c>
      <c r="P526" s="8" t="s">
        <v>773</v>
      </c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</row>
    <row r="527" spans="1:51" hidden="1" x14ac:dyDescent="0.2">
      <c r="A527" s="6" t="s">
        <v>17</v>
      </c>
      <c r="B527" t="s">
        <v>309</v>
      </c>
      <c r="C527" t="s">
        <v>310</v>
      </c>
      <c r="D527" t="s">
        <v>774</v>
      </c>
      <c r="E527" s="2">
        <v>1471.25</v>
      </c>
      <c r="F527" s="3">
        <f>DATE(2025,3,25)</f>
        <v>45741</v>
      </c>
      <c r="G527" s="3">
        <f>DATE(2025,3,25)</f>
        <v>45741</v>
      </c>
      <c r="H527">
        <v>1958261302</v>
      </c>
      <c r="I527" t="s">
        <v>21</v>
      </c>
      <c r="K527" t="s">
        <v>22</v>
      </c>
      <c r="L527" t="s">
        <v>23</v>
      </c>
      <c r="M527" t="s">
        <v>24</v>
      </c>
      <c r="N527" t="s">
        <v>24</v>
      </c>
      <c r="O527" t="s">
        <v>25</v>
      </c>
      <c r="P527" s="8" t="s">
        <v>775</v>
      </c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</row>
    <row r="528" spans="1:51" hidden="1" x14ac:dyDescent="0.2">
      <c r="A528" s="6"/>
      <c r="E528" s="2"/>
      <c r="F528" s="3"/>
      <c r="G528" s="3"/>
      <c r="P528" s="8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</row>
    <row r="529" spans="1:51" hidden="1" x14ac:dyDescent="0.2">
      <c r="A529" s="6"/>
      <c r="E529" s="2"/>
      <c r="F529" s="3"/>
      <c r="G529" s="3"/>
      <c r="P529" s="8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</row>
    <row r="530" spans="1:51" hidden="1" x14ac:dyDescent="0.2">
      <c r="A530" s="6" t="s">
        <v>17</v>
      </c>
      <c r="B530" t="s">
        <v>118</v>
      </c>
      <c r="C530" t="s">
        <v>119</v>
      </c>
      <c r="D530" t="s">
        <v>776</v>
      </c>
      <c r="E530" s="2">
        <v>188.8</v>
      </c>
      <c r="F530" s="3">
        <f>DATE(2025,3,23)</f>
        <v>45739</v>
      </c>
      <c r="G530" s="3">
        <f>DATE(2025,3,23)</f>
        <v>45739</v>
      </c>
      <c r="H530">
        <v>1958261322</v>
      </c>
      <c r="I530" t="s">
        <v>158</v>
      </c>
      <c r="K530" t="s">
        <v>22</v>
      </c>
      <c r="L530" t="s">
        <v>23</v>
      </c>
      <c r="M530" t="s">
        <v>24</v>
      </c>
      <c r="N530" t="s">
        <v>24</v>
      </c>
      <c r="O530" t="s">
        <v>25</v>
      </c>
      <c r="P530" s="8" t="s">
        <v>777</v>
      </c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</row>
    <row r="531" spans="1:51" hidden="1" x14ac:dyDescent="0.2">
      <c r="A531" s="6" t="s">
        <v>17</v>
      </c>
      <c r="B531" t="s">
        <v>132</v>
      </c>
      <c r="C531" t="s">
        <v>133</v>
      </c>
      <c r="D531" t="s">
        <v>744</v>
      </c>
      <c r="E531" s="2">
        <v>91.89</v>
      </c>
      <c r="F531" s="3">
        <f>DATE(2025,3,21)</f>
        <v>45737</v>
      </c>
      <c r="G531" s="3">
        <f>DATE(2025,3,21)</f>
        <v>45737</v>
      </c>
      <c r="H531">
        <v>1958261323</v>
      </c>
      <c r="I531" t="s">
        <v>158</v>
      </c>
      <c r="K531" t="s">
        <v>22</v>
      </c>
      <c r="L531" t="s">
        <v>23</v>
      </c>
      <c r="M531" t="s">
        <v>24</v>
      </c>
      <c r="N531" t="s">
        <v>24</v>
      </c>
      <c r="O531" t="s">
        <v>25</v>
      </c>
      <c r="P531" s="8" t="s">
        <v>778</v>
      </c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</row>
    <row r="532" spans="1:51" x14ac:dyDescent="0.2">
      <c r="A532" s="6" t="s">
        <v>17</v>
      </c>
      <c r="B532" t="s">
        <v>342</v>
      </c>
      <c r="C532" t="s">
        <v>342</v>
      </c>
      <c r="D532" t="s">
        <v>779</v>
      </c>
      <c r="E532" s="2">
        <v>36</v>
      </c>
      <c r="F532" s="3">
        <f>DATE(2025,3,23)</f>
        <v>45739</v>
      </c>
      <c r="G532" s="3">
        <f>DATE(2025,3,23)</f>
        <v>45739</v>
      </c>
      <c r="H532">
        <v>1958261324</v>
      </c>
      <c r="I532" t="s">
        <v>158</v>
      </c>
      <c r="K532" t="s">
        <v>22</v>
      </c>
      <c r="L532" t="s">
        <v>23</v>
      </c>
      <c r="M532" t="s">
        <v>24</v>
      </c>
      <c r="N532" t="s">
        <v>24</v>
      </c>
      <c r="O532" t="s">
        <v>25</v>
      </c>
      <c r="P532" s="8" t="s">
        <v>780</v>
      </c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</row>
    <row r="533" spans="1:51" hidden="1" x14ac:dyDescent="0.2">
      <c r="A533" s="6"/>
      <c r="E533" s="2"/>
      <c r="F533" s="3"/>
      <c r="G533" s="3"/>
      <c r="P533" s="8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</row>
    <row r="534" spans="1:51" hidden="1" x14ac:dyDescent="0.2">
      <c r="A534" s="6" t="s">
        <v>17</v>
      </c>
      <c r="B534" t="s">
        <v>287</v>
      </c>
      <c r="C534" t="s">
        <v>288</v>
      </c>
      <c r="D534" t="s">
        <v>781</v>
      </c>
      <c r="E534" s="2">
        <v>795</v>
      </c>
      <c r="F534" s="3">
        <f>DATE(2025,3,25)</f>
        <v>45741</v>
      </c>
      <c r="G534" s="3">
        <f>DATE(2025,3,25)</f>
        <v>45741</v>
      </c>
      <c r="H534">
        <v>1964405178</v>
      </c>
      <c r="I534" t="s">
        <v>21</v>
      </c>
      <c r="K534" t="s">
        <v>22</v>
      </c>
      <c r="L534" t="s">
        <v>23</v>
      </c>
      <c r="M534" t="s">
        <v>24</v>
      </c>
      <c r="N534" t="s">
        <v>24</v>
      </c>
      <c r="O534" t="s">
        <v>25</v>
      </c>
      <c r="P534" s="8" t="s">
        <v>782</v>
      </c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</row>
    <row r="535" spans="1:51" hidden="1" x14ac:dyDescent="0.2">
      <c r="A535" s="6"/>
      <c r="E535" s="2"/>
      <c r="F535" s="3"/>
      <c r="G535" s="3"/>
      <c r="P535" s="8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</row>
    <row r="536" spans="1:51" hidden="1" x14ac:dyDescent="0.2">
      <c r="A536" s="6"/>
      <c r="E536" s="2"/>
      <c r="F536" s="3"/>
      <c r="G536" s="3"/>
      <c r="P536" s="8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</row>
    <row r="537" spans="1:51" hidden="1" x14ac:dyDescent="0.2">
      <c r="A537" s="6"/>
      <c r="E537" s="2"/>
      <c r="F537" s="3"/>
      <c r="G537" s="3"/>
      <c r="P537" s="8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</row>
    <row r="538" spans="1:51" hidden="1" x14ac:dyDescent="0.2">
      <c r="A538" s="6"/>
      <c r="E538" s="2"/>
      <c r="F538" s="3"/>
      <c r="G538" s="3"/>
      <c r="P538" s="8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</row>
    <row r="539" spans="1:51" hidden="1" x14ac:dyDescent="0.2">
      <c r="A539" s="6" t="s">
        <v>17</v>
      </c>
      <c r="B539" t="s">
        <v>118</v>
      </c>
      <c r="C539" t="s">
        <v>119</v>
      </c>
      <c r="D539" t="s">
        <v>783</v>
      </c>
      <c r="E539" s="2">
        <v>10.83</v>
      </c>
      <c r="F539" s="3">
        <f t="shared" ref="F539:G541" si="40">DATE(2025,3,24)</f>
        <v>45740</v>
      </c>
      <c r="G539" s="3">
        <f t="shared" si="40"/>
        <v>45740</v>
      </c>
      <c r="H539">
        <v>1964405217</v>
      </c>
      <c r="I539" t="s">
        <v>158</v>
      </c>
      <c r="K539" t="s">
        <v>22</v>
      </c>
      <c r="L539" t="s">
        <v>23</v>
      </c>
      <c r="M539" t="s">
        <v>24</v>
      </c>
      <c r="N539" t="s">
        <v>24</v>
      </c>
      <c r="O539" t="s">
        <v>25</v>
      </c>
      <c r="P539" s="8" t="s">
        <v>784</v>
      </c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</row>
    <row r="540" spans="1:51" hidden="1" x14ac:dyDescent="0.2">
      <c r="A540" s="6" t="s">
        <v>17</v>
      </c>
      <c r="B540" t="s">
        <v>118</v>
      </c>
      <c r="C540" t="s">
        <v>119</v>
      </c>
      <c r="D540" t="s">
        <v>783</v>
      </c>
      <c r="E540" s="2">
        <v>20.82</v>
      </c>
      <c r="F540" s="3">
        <f t="shared" si="40"/>
        <v>45740</v>
      </c>
      <c r="G540" s="3">
        <f t="shared" si="40"/>
        <v>45740</v>
      </c>
      <c r="H540">
        <v>1964405218</v>
      </c>
      <c r="I540" t="s">
        <v>158</v>
      </c>
      <c r="K540" t="s">
        <v>22</v>
      </c>
      <c r="L540" t="s">
        <v>23</v>
      </c>
      <c r="M540" t="s">
        <v>24</v>
      </c>
      <c r="N540" t="s">
        <v>24</v>
      </c>
      <c r="O540" t="s">
        <v>25</v>
      </c>
      <c r="P540" s="8" t="s">
        <v>785</v>
      </c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</row>
    <row r="541" spans="1:51" hidden="1" x14ac:dyDescent="0.2">
      <c r="A541" s="6" t="s">
        <v>17</v>
      </c>
      <c r="B541" t="s">
        <v>118</v>
      </c>
      <c r="C541" t="s">
        <v>119</v>
      </c>
      <c r="D541" t="s">
        <v>786</v>
      </c>
      <c r="E541" s="2">
        <v>18.87</v>
      </c>
      <c r="F541" s="3">
        <f t="shared" si="40"/>
        <v>45740</v>
      </c>
      <c r="G541" s="3">
        <f t="shared" si="40"/>
        <v>45740</v>
      </c>
      <c r="H541">
        <v>1964405219</v>
      </c>
      <c r="I541" t="s">
        <v>158</v>
      </c>
      <c r="K541" t="s">
        <v>22</v>
      </c>
      <c r="L541" t="s">
        <v>23</v>
      </c>
      <c r="M541" t="s">
        <v>24</v>
      </c>
      <c r="N541" t="s">
        <v>24</v>
      </c>
      <c r="O541" t="s">
        <v>25</v>
      </c>
      <c r="P541" s="8" t="s">
        <v>787</v>
      </c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</row>
    <row r="542" spans="1:51" hidden="1" x14ac:dyDescent="0.2">
      <c r="A542" s="6" t="s">
        <v>17</v>
      </c>
      <c r="B542" t="s">
        <v>118</v>
      </c>
      <c r="C542" t="s">
        <v>119</v>
      </c>
      <c r="D542" t="s">
        <v>783</v>
      </c>
      <c r="E542" s="2">
        <v>32</v>
      </c>
      <c r="F542" s="3">
        <f>DATE(2025,3,25)</f>
        <v>45741</v>
      </c>
      <c r="G542" s="3">
        <f>DATE(2025,3,25)</f>
        <v>45741</v>
      </c>
      <c r="H542">
        <v>1964405220</v>
      </c>
      <c r="I542" t="s">
        <v>158</v>
      </c>
      <c r="K542" t="s">
        <v>22</v>
      </c>
      <c r="L542" t="s">
        <v>23</v>
      </c>
      <c r="M542" t="s">
        <v>24</v>
      </c>
      <c r="N542" t="s">
        <v>24</v>
      </c>
      <c r="O542" t="s">
        <v>25</v>
      </c>
      <c r="P542" s="8" t="s">
        <v>788</v>
      </c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</row>
    <row r="543" spans="1:51" hidden="1" x14ac:dyDescent="0.2">
      <c r="A543" s="6" t="s">
        <v>17</v>
      </c>
      <c r="B543" t="s">
        <v>118</v>
      </c>
      <c r="C543" t="s">
        <v>119</v>
      </c>
      <c r="D543" t="s">
        <v>160</v>
      </c>
      <c r="E543" s="2">
        <v>17.45</v>
      </c>
      <c r="F543" s="3">
        <f>DATE(2025,3,24)</f>
        <v>45740</v>
      </c>
      <c r="G543" s="3">
        <f>DATE(2025,3,24)</f>
        <v>45740</v>
      </c>
      <c r="H543">
        <v>1964405221</v>
      </c>
      <c r="I543" t="s">
        <v>158</v>
      </c>
      <c r="K543" t="s">
        <v>22</v>
      </c>
      <c r="L543" t="s">
        <v>23</v>
      </c>
      <c r="M543" t="s">
        <v>24</v>
      </c>
      <c r="N543" t="s">
        <v>24</v>
      </c>
      <c r="O543" t="s">
        <v>25</v>
      </c>
      <c r="P543" s="8" t="s">
        <v>789</v>
      </c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</row>
    <row r="544" spans="1:51" hidden="1" x14ac:dyDescent="0.2">
      <c r="A544" s="6" t="s">
        <v>17</v>
      </c>
      <c r="B544" t="s">
        <v>118</v>
      </c>
      <c r="C544" t="s">
        <v>119</v>
      </c>
      <c r="D544" t="s">
        <v>783</v>
      </c>
      <c r="E544" s="2">
        <v>142.41</v>
      </c>
      <c r="F544" s="3">
        <f>DATE(2025,3,24)</f>
        <v>45740</v>
      </c>
      <c r="G544" s="3">
        <f>DATE(2025,3,24)</f>
        <v>45740</v>
      </c>
      <c r="H544">
        <v>1964405222</v>
      </c>
      <c r="I544" t="s">
        <v>158</v>
      </c>
      <c r="K544" t="s">
        <v>22</v>
      </c>
      <c r="L544" t="s">
        <v>23</v>
      </c>
      <c r="M544" t="s">
        <v>24</v>
      </c>
      <c r="N544" t="s">
        <v>24</v>
      </c>
      <c r="O544" t="s">
        <v>25</v>
      </c>
      <c r="P544" s="8" t="s">
        <v>790</v>
      </c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</row>
    <row r="545" spans="1:51" hidden="1" x14ac:dyDescent="0.2">
      <c r="A545" s="6" t="s">
        <v>17</v>
      </c>
      <c r="B545" t="s">
        <v>118</v>
      </c>
      <c r="C545" t="s">
        <v>119</v>
      </c>
      <c r="D545" t="s">
        <v>783</v>
      </c>
      <c r="E545" s="2">
        <v>8.32</v>
      </c>
      <c r="F545" s="3">
        <f>DATE(2025,3,25)</f>
        <v>45741</v>
      </c>
      <c r="G545" s="3">
        <f>DATE(2025,3,25)</f>
        <v>45741</v>
      </c>
      <c r="H545">
        <v>1964405223</v>
      </c>
      <c r="I545" t="s">
        <v>158</v>
      </c>
      <c r="K545" t="s">
        <v>22</v>
      </c>
      <c r="L545" t="s">
        <v>23</v>
      </c>
      <c r="M545" t="s">
        <v>24</v>
      </c>
      <c r="N545" t="s">
        <v>24</v>
      </c>
      <c r="O545" t="s">
        <v>25</v>
      </c>
      <c r="P545" s="8" t="s">
        <v>791</v>
      </c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</row>
    <row r="546" spans="1:51" hidden="1" x14ac:dyDescent="0.2">
      <c r="A546" s="6"/>
      <c r="E546" s="2"/>
      <c r="F546" s="3"/>
      <c r="G546" s="3"/>
      <c r="P546" s="8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</row>
    <row r="547" spans="1:51" hidden="1" x14ac:dyDescent="0.2">
      <c r="A547" s="6"/>
      <c r="E547" s="2"/>
      <c r="F547" s="3"/>
      <c r="G547" s="3"/>
      <c r="P547" s="8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</row>
    <row r="548" spans="1:51" hidden="1" x14ac:dyDescent="0.2">
      <c r="A548" s="6" t="s">
        <v>17</v>
      </c>
      <c r="B548" t="s">
        <v>70</v>
      </c>
      <c r="C548" t="s">
        <v>71</v>
      </c>
      <c r="D548" t="s">
        <v>792</v>
      </c>
      <c r="E548" s="2">
        <v>654.96</v>
      </c>
      <c r="F548" s="3">
        <f t="shared" ref="F548:G549" si="41">DATE(2025,3,27)</f>
        <v>45743</v>
      </c>
      <c r="G548" s="3">
        <f t="shared" si="41"/>
        <v>45743</v>
      </c>
      <c r="H548">
        <v>1969029576</v>
      </c>
      <c r="I548" t="s">
        <v>21</v>
      </c>
      <c r="K548" t="s">
        <v>22</v>
      </c>
      <c r="L548" t="s">
        <v>23</v>
      </c>
      <c r="M548" t="s">
        <v>24</v>
      </c>
      <c r="N548" t="s">
        <v>24</v>
      </c>
      <c r="O548" t="s">
        <v>25</v>
      </c>
      <c r="P548" s="8" t="s">
        <v>793</v>
      </c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</row>
    <row r="549" spans="1:51" hidden="1" x14ac:dyDescent="0.2">
      <c r="A549" s="6" t="s">
        <v>17</v>
      </c>
      <c r="B549" t="s">
        <v>35</v>
      </c>
      <c r="C549" t="s">
        <v>35</v>
      </c>
      <c r="D549" t="s">
        <v>794</v>
      </c>
      <c r="E549" s="2">
        <v>5.72</v>
      </c>
      <c r="F549" s="3">
        <f t="shared" si="41"/>
        <v>45743</v>
      </c>
      <c r="G549" s="3">
        <f t="shared" si="41"/>
        <v>45743</v>
      </c>
      <c r="H549">
        <v>1969029577</v>
      </c>
      <c r="I549" t="s">
        <v>21</v>
      </c>
      <c r="K549" t="s">
        <v>22</v>
      </c>
      <c r="L549" t="s">
        <v>23</v>
      </c>
      <c r="M549" t="s">
        <v>24</v>
      </c>
      <c r="N549" t="s">
        <v>24</v>
      </c>
      <c r="O549" t="s">
        <v>25</v>
      </c>
      <c r="P549" s="8" t="s">
        <v>795</v>
      </c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</row>
    <row r="550" spans="1:51" hidden="1" x14ac:dyDescent="0.2">
      <c r="A550" s="6"/>
      <c r="E550" s="2"/>
      <c r="F550" s="3"/>
      <c r="G550" s="3"/>
      <c r="P550" s="8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</row>
    <row r="551" spans="1:51" hidden="1" x14ac:dyDescent="0.2">
      <c r="A551" s="6" t="s">
        <v>17</v>
      </c>
      <c r="B551" t="s">
        <v>118</v>
      </c>
      <c r="C551" t="s">
        <v>119</v>
      </c>
      <c r="D551" t="s">
        <v>796</v>
      </c>
      <c r="E551" s="2">
        <v>32.1</v>
      </c>
      <c r="F551" s="3">
        <f>DATE(2025,3,26)</f>
        <v>45742</v>
      </c>
      <c r="G551" s="3">
        <f>DATE(2025,3,26)</f>
        <v>45742</v>
      </c>
      <c r="H551">
        <v>1969029589</v>
      </c>
      <c r="I551" t="s">
        <v>158</v>
      </c>
      <c r="K551" t="s">
        <v>22</v>
      </c>
      <c r="L551" t="s">
        <v>23</v>
      </c>
      <c r="M551" t="s">
        <v>24</v>
      </c>
      <c r="N551" t="s">
        <v>24</v>
      </c>
      <c r="O551" t="s">
        <v>25</v>
      </c>
      <c r="P551" s="8" t="s">
        <v>797</v>
      </c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</row>
    <row r="552" spans="1:51" hidden="1" x14ac:dyDescent="0.2">
      <c r="A552" s="6" t="s">
        <v>17</v>
      </c>
      <c r="B552" t="s">
        <v>46</v>
      </c>
      <c r="C552" t="s">
        <v>47</v>
      </c>
      <c r="D552" t="s">
        <v>798</v>
      </c>
      <c r="E552" s="2">
        <v>120</v>
      </c>
      <c r="F552" s="3">
        <f>DATE(2025,3,26)</f>
        <v>45742</v>
      </c>
      <c r="G552" s="3">
        <f>DATE(2025,3,26)</f>
        <v>45742</v>
      </c>
      <c r="H552">
        <v>1969029590</v>
      </c>
      <c r="I552" t="s">
        <v>158</v>
      </c>
      <c r="K552" t="s">
        <v>22</v>
      </c>
      <c r="L552" t="s">
        <v>23</v>
      </c>
      <c r="M552" t="s">
        <v>24</v>
      </c>
      <c r="N552" t="s">
        <v>24</v>
      </c>
      <c r="O552" t="s">
        <v>25</v>
      </c>
      <c r="P552" s="8" t="s">
        <v>799</v>
      </c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</row>
    <row r="553" spans="1:51" hidden="1" x14ac:dyDescent="0.2">
      <c r="A553" s="6"/>
      <c r="E553" s="2"/>
      <c r="F553" s="3"/>
      <c r="G553" s="3"/>
      <c r="P553" s="8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</row>
    <row r="554" spans="1:51" hidden="1" x14ac:dyDescent="0.2">
      <c r="A554" s="6"/>
      <c r="E554" s="2"/>
      <c r="F554" s="3"/>
      <c r="G554" s="3"/>
      <c r="P554" s="8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</row>
    <row r="555" spans="1:51" hidden="1" x14ac:dyDescent="0.2">
      <c r="A555" s="6"/>
      <c r="E555" s="2"/>
      <c r="F555" s="3"/>
      <c r="G555" s="3"/>
      <c r="P555" s="8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</row>
    <row r="556" spans="1:51" hidden="1" x14ac:dyDescent="0.2">
      <c r="A556" s="6"/>
      <c r="E556" s="2"/>
      <c r="F556" s="3"/>
      <c r="G556" s="3"/>
      <c r="P556" s="8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</row>
    <row r="557" spans="1:51" hidden="1" x14ac:dyDescent="0.2">
      <c r="A557" s="6" t="s">
        <v>17</v>
      </c>
      <c r="B557" t="s">
        <v>90</v>
      </c>
      <c r="C557" t="s">
        <v>91</v>
      </c>
      <c r="D557" t="s">
        <v>800</v>
      </c>
      <c r="E557" s="2">
        <v>600</v>
      </c>
      <c r="F557" s="3">
        <f t="shared" ref="F557:G558" si="42">DATE(2025,3,28)</f>
        <v>45744</v>
      </c>
      <c r="G557" s="3">
        <f t="shared" si="42"/>
        <v>45744</v>
      </c>
      <c r="H557">
        <v>1973365830</v>
      </c>
      <c r="I557" t="s">
        <v>21</v>
      </c>
      <c r="K557" t="s">
        <v>22</v>
      </c>
      <c r="L557" t="s">
        <v>23</v>
      </c>
      <c r="M557" t="s">
        <v>24</v>
      </c>
      <c r="N557" t="s">
        <v>24</v>
      </c>
      <c r="O557" t="s">
        <v>25</v>
      </c>
      <c r="P557" s="8" t="s">
        <v>801</v>
      </c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</row>
    <row r="558" spans="1:51" hidden="1" x14ac:dyDescent="0.2">
      <c r="A558" s="6" t="s">
        <v>17</v>
      </c>
      <c r="B558" t="s">
        <v>155</v>
      </c>
      <c r="C558" t="s">
        <v>156</v>
      </c>
      <c r="D558" t="s">
        <v>802</v>
      </c>
      <c r="E558" s="2">
        <v>300</v>
      </c>
      <c r="F558" s="3">
        <f t="shared" si="42"/>
        <v>45744</v>
      </c>
      <c r="G558" s="3">
        <f t="shared" si="42"/>
        <v>45744</v>
      </c>
      <c r="H558">
        <v>1973365831</v>
      </c>
      <c r="I558" t="s">
        <v>21</v>
      </c>
      <c r="K558" t="s">
        <v>22</v>
      </c>
      <c r="L558" t="s">
        <v>23</v>
      </c>
      <c r="M558" t="s">
        <v>24</v>
      </c>
      <c r="N558" t="s">
        <v>24</v>
      </c>
      <c r="O558" t="s">
        <v>25</v>
      </c>
      <c r="P558" s="8" t="s">
        <v>803</v>
      </c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</row>
    <row r="559" spans="1:51" hidden="1" x14ac:dyDescent="0.2">
      <c r="A559" s="6" t="s">
        <v>17</v>
      </c>
      <c r="B559" t="s">
        <v>132</v>
      </c>
      <c r="C559" t="s">
        <v>133</v>
      </c>
      <c r="D559" t="s">
        <v>616</v>
      </c>
      <c r="E559" s="2">
        <v>210</v>
      </c>
      <c r="F559" s="3">
        <f>DATE(2025,3,27)</f>
        <v>45743</v>
      </c>
      <c r="G559" s="3">
        <f>DATE(2025,3,27)</f>
        <v>45743</v>
      </c>
      <c r="H559">
        <v>1973365845</v>
      </c>
      <c r="I559" t="s">
        <v>158</v>
      </c>
      <c r="K559" t="s">
        <v>22</v>
      </c>
      <c r="L559" t="s">
        <v>23</v>
      </c>
      <c r="M559" t="s">
        <v>24</v>
      </c>
      <c r="N559" t="s">
        <v>24</v>
      </c>
      <c r="O559" t="s">
        <v>25</v>
      </c>
      <c r="P559" s="8" t="s">
        <v>804</v>
      </c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</row>
    <row r="560" spans="1:51" hidden="1" x14ac:dyDescent="0.2">
      <c r="A560" s="6"/>
      <c r="E560" s="2"/>
      <c r="F560" s="3"/>
      <c r="G560" s="3"/>
      <c r="P560" s="8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</row>
    <row r="561" spans="1:51" hidden="1" x14ac:dyDescent="0.2">
      <c r="A561" s="6" t="s">
        <v>17</v>
      </c>
      <c r="B561" t="s">
        <v>118</v>
      </c>
      <c r="C561" t="s">
        <v>119</v>
      </c>
      <c r="D561" t="s">
        <v>805</v>
      </c>
      <c r="E561" s="2">
        <v>29.95</v>
      </c>
      <c r="F561" s="3">
        <f t="shared" ref="F561:G563" si="43">DATE(2025,3,28)</f>
        <v>45744</v>
      </c>
      <c r="G561" s="3">
        <f t="shared" si="43"/>
        <v>45744</v>
      </c>
      <c r="H561">
        <v>1973370728</v>
      </c>
      <c r="I561" t="s">
        <v>192</v>
      </c>
      <c r="K561" t="s">
        <v>22</v>
      </c>
      <c r="L561" t="s">
        <v>23</v>
      </c>
      <c r="M561" t="s">
        <v>24</v>
      </c>
      <c r="N561" t="s">
        <v>24</v>
      </c>
      <c r="O561" t="s">
        <v>25</v>
      </c>
      <c r="P561" s="8" t="s">
        <v>806</v>
      </c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</row>
    <row r="562" spans="1:51" hidden="1" x14ac:dyDescent="0.2">
      <c r="A562" s="6"/>
      <c r="E562" s="2"/>
      <c r="F562" s="3"/>
      <c r="G562" s="3"/>
      <c r="P562" s="8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</row>
    <row r="563" spans="1:51" x14ac:dyDescent="0.2">
      <c r="A563" s="6" t="s">
        <v>17</v>
      </c>
      <c r="B563" t="s">
        <v>342</v>
      </c>
      <c r="C563" t="s">
        <v>342</v>
      </c>
      <c r="D563" t="s">
        <v>807</v>
      </c>
      <c r="E563" s="2">
        <v>10</v>
      </c>
      <c r="F563" s="3">
        <f t="shared" si="43"/>
        <v>45744</v>
      </c>
      <c r="G563" s="3">
        <f t="shared" si="43"/>
        <v>45744</v>
      </c>
      <c r="H563">
        <v>1973370730</v>
      </c>
      <c r="I563" t="s">
        <v>192</v>
      </c>
      <c r="K563" t="s">
        <v>22</v>
      </c>
      <c r="L563" t="s">
        <v>23</v>
      </c>
      <c r="M563" t="s">
        <v>24</v>
      </c>
      <c r="N563" t="s">
        <v>24</v>
      </c>
      <c r="O563" t="s">
        <v>25</v>
      </c>
      <c r="P563" s="8" t="s">
        <v>808</v>
      </c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</row>
    <row r="564" spans="1:51" hidden="1" x14ac:dyDescent="0.2">
      <c r="A564" s="6" t="s">
        <v>17</v>
      </c>
      <c r="B564" t="s">
        <v>42</v>
      </c>
      <c r="C564" t="s">
        <v>43</v>
      </c>
      <c r="D564" t="s">
        <v>809</v>
      </c>
      <c r="E564" s="2">
        <v>190.08</v>
      </c>
      <c r="F564" s="3">
        <f t="shared" ref="F564:G567" si="44">DATE(2025,3,31)</f>
        <v>45747</v>
      </c>
      <c r="G564" s="3">
        <f t="shared" si="44"/>
        <v>45747</v>
      </c>
      <c r="H564">
        <v>1979308263</v>
      </c>
      <c r="I564" t="s">
        <v>21</v>
      </c>
      <c r="K564" t="s">
        <v>22</v>
      </c>
      <c r="L564" t="s">
        <v>23</v>
      </c>
      <c r="M564" t="s">
        <v>24</v>
      </c>
      <c r="N564" t="s">
        <v>24</v>
      </c>
      <c r="O564" t="s">
        <v>25</v>
      </c>
      <c r="P564" s="8" t="s">
        <v>810</v>
      </c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</row>
    <row r="565" spans="1:51" hidden="1" x14ac:dyDescent="0.2">
      <c r="A565" s="6" t="s">
        <v>17</v>
      </c>
      <c r="B565" t="s">
        <v>118</v>
      </c>
      <c r="C565" t="s">
        <v>119</v>
      </c>
      <c r="D565" t="s">
        <v>811</v>
      </c>
      <c r="E565" s="2">
        <v>465.26</v>
      </c>
      <c r="F565" s="3">
        <f t="shared" si="44"/>
        <v>45747</v>
      </c>
      <c r="G565" s="3">
        <f t="shared" si="44"/>
        <v>45747</v>
      </c>
      <c r="H565">
        <v>1979308264</v>
      </c>
      <c r="I565" t="s">
        <v>21</v>
      </c>
      <c r="K565" t="s">
        <v>22</v>
      </c>
      <c r="L565" t="s">
        <v>23</v>
      </c>
      <c r="M565" t="s">
        <v>24</v>
      </c>
      <c r="N565" t="s">
        <v>24</v>
      </c>
      <c r="O565" t="s">
        <v>25</v>
      </c>
      <c r="P565" s="8" t="s">
        <v>812</v>
      </c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</row>
    <row r="566" spans="1:51" hidden="1" x14ac:dyDescent="0.2">
      <c r="A566" s="6" t="s">
        <v>17</v>
      </c>
      <c r="B566" t="s">
        <v>244</v>
      </c>
      <c r="C566" t="s">
        <v>245</v>
      </c>
      <c r="D566" t="s">
        <v>813</v>
      </c>
      <c r="E566" s="2">
        <v>629.04</v>
      </c>
      <c r="F566" s="3">
        <f t="shared" si="44"/>
        <v>45747</v>
      </c>
      <c r="G566" s="3">
        <f t="shared" si="44"/>
        <v>45747</v>
      </c>
      <c r="H566">
        <v>1979308265</v>
      </c>
      <c r="I566" t="s">
        <v>21</v>
      </c>
      <c r="K566" t="s">
        <v>22</v>
      </c>
      <c r="L566" t="s">
        <v>23</v>
      </c>
      <c r="M566" t="s">
        <v>24</v>
      </c>
      <c r="N566" t="s">
        <v>24</v>
      </c>
      <c r="O566" t="s">
        <v>25</v>
      </c>
      <c r="P566" s="8" t="s">
        <v>814</v>
      </c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</row>
    <row r="567" spans="1:51" hidden="1" x14ac:dyDescent="0.2">
      <c r="A567" s="6" t="s">
        <v>17</v>
      </c>
      <c r="B567" t="s">
        <v>38</v>
      </c>
      <c r="C567" t="s">
        <v>39</v>
      </c>
      <c r="D567" t="s">
        <v>815</v>
      </c>
      <c r="E567" s="2">
        <v>2983.51</v>
      </c>
      <c r="F567" s="3">
        <f t="shared" si="44"/>
        <v>45747</v>
      </c>
      <c r="G567" s="3">
        <f t="shared" si="44"/>
        <v>45747</v>
      </c>
      <c r="H567">
        <v>1979308266</v>
      </c>
      <c r="I567" t="s">
        <v>21</v>
      </c>
      <c r="K567" t="s">
        <v>22</v>
      </c>
      <c r="L567" t="s">
        <v>23</v>
      </c>
      <c r="M567" t="s">
        <v>24</v>
      </c>
      <c r="N567" t="s">
        <v>24</v>
      </c>
      <c r="O567" t="s">
        <v>25</v>
      </c>
      <c r="P567" s="8" t="s">
        <v>816</v>
      </c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</row>
    <row r="568" spans="1:51" hidden="1" x14ac:dyDescent="0.2">
      <c r="A568" s="6"/>
      <c r="E568" s="2"/>
      <c r="F568" s="3"/>
      <c r="G568" s="3"/>
      <c r="P568" s="8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</row>
    <row r="569" spans="1:51" hidden="1" x14ac:dyDescent="0.2">
      <c r="A569" s="6"/>
      <c r="E569" s="2"/>
      <c r="F569" s="3"/>
      <c r="G569" s="3"/>
      <c r="P569" s="8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</row>
    <row r="570" spans="1:51" hidden="1" x14ac:dyDescent="0.2">
      <c r="A570" s="6"/>
      <c r="E570" s="2"/>
      <c r="F570" s="3"/>
      <c r="G570" s="3"/>
      <c r="P570" s="8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</row>
    <row r="571" spans="1:51" hidden="1" x14ac:dyDescent="0.2">
      <c r="A571" s="6" t="s">
        <v>17</v>
      </c>
      <c r="B571" t="s">
        <v>35</v>
      </c>
      <c r="C571" t="s">
        <v>35</v>
      </c>
      <c r="D571" t="s">
        <v>817</v>
      </c>
      <c r="E571" s="2">
        <v>0.56000000000000005</v>
      </c>
      <c r="F571" s="3">
        <f t="shared" ref="F571:G573" si="45">DATE(2025,3,31)</f>
        <v>45747</v>
      </c>
      <c r="G571" s="3">
        <f t="shared" si="45"/>
        <v>45747</v>
      </c>
      <c r="H571">
        <v>1979308270</v>
      </c>
      <c r="I571" t="s">
        <v>21</v>
      </c>
      <c r="K571" t="s">
        <v>22</v>
      </c>
      <c r="L571" t="s">
        <v>23</v>
      </c>
      <c r="M571" t="s">
        <v>24</v>
      </c>
      <c r="N571" t="s">
        <v>24</v>
      </c>
      <c r="O571" t="s">
        <v>25</v>
      </c>
      <c r="P571" s="8" t="s">
        <v>818</v>
      </c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</row>
    <row r="572" spans="1:51" hidden="1" x14ac:dyDescent="0.2">
      <c r="A572" s="6" t="s">
        <v>17</v>
      </c>
      <c r="B572" t="s">
        <v>118</v>
      </c>
      <c r="C572" t="s">
        <v>119</v>
      </c>
      <c r="D572" t="s">
        <v>819</v>
      </c>
      <c r="E572" s="2">
        <v>840.05</v>
      </c>
      <c r="F572" s="3">
        <f t="shared" si="45"/>
        <v>45747</v>
      </c>
      <c r="G572" s="3">
        <f t="shared" si="45"/>
        <v>45747</v>
      </c>
      <c r="H572">
        <v>1979308271</v>
      </c>
      <c r="I572" t="s">
        <v>21</v>
      </c>
      <c r="K572" t="s">
        <v>22</v>
      </c>
      <c r="L572" t="s">
        <v>23</v>
      </c>
      <c r="M572" t="s">
        <v>24</v>
      </c>
      <c r="N572" t="s">
        <v>24</v>
      </c>
      <c r="O572" t="s">
        <v>25</v>
      </c>
      <c r="P572" s="8" t="s">
        <v>820</v>
      </c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</row>
    <row r="573" spans="1:51" hidden="1" x14ac:dyDescent="0.2">
      <c r="A573" s="6" t="s">
        <v>17</v>
      </c>
      <c r="B573" t="s">
        <v>118</v>
      </c>
      <c r="C573" t="s">
        <v>119</v>
      </c>
      <c r="D573" t="s">
        <v>821</v>
      </c>
      <c r="E573" s="2">
        <v>919.48</v>
      </c>
      <c r="F573" s="3">
        <f t="shared" si="45"/>
        <v>45747</v>
      </c>
      <c r="G573" s="3">
        <f t="shared" si="45"/>
        <v>45747</v>
      </c>
      <c r="H573">
        <v>1979308272</v>
      </c>
      <c r="I573" t="s">
        <v>21</v>
      </c>
      <c r="K573" t="s">
        <v>22</v>
      </c>
      <c r="L573" t="s">
        <v>23</v>
      </c>
      <c r="M573" t="s">
        <v>24</v>
      </c>
      <c r="N573" t="s">
        <v>24</v>
      </c>
      <c r="O573" t="s">
        <v>25</v>
      </c>
      <c r="P573" s="8" t="s">
        <v>822</v>
      </c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</row>
    <row r="574" spans="1:51" hidden="1" x14ac:dyDescent="0.2">
      <c r="A574" s="6"/>
      <c r="E574" s="2"/>
      <c r="F574" s="3"/>
      <c r="G574" s="3"/>
      <c r="P574" s="8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</row>
    <row r="575" spans="1:51" hidden="1" x14ac:dyDescent="0.2">
      <c r="A575" s="6" t="s">
        <v>17</v>
      </c>
      <c r="B575" t="s">
        <v>35</v>
      </c>
      <c r="C575" t="s">
        <v>35</v>
      </c>
      <c r="D575" t="s">
        <v>823</v>
      </c>
      <c r="E575" s="2">
        <v>12.92</v>
      </c>
      <c r="F575" s="3">
        <f>DATE(2025,4,1)</f>
        <v>45748</v>
      </c>
      <c r="G575" s="3">
        <f>DATE(2025,4,1)</f>
        <v>45748</v>
      </c>
      <c r="H575">
        <v>1984212803</v>
      </c>
      <c r="I575" t="s">
        <v>21</v>
      </c>
      <c r="K575" t="s">
        <v>22</v>
      </c>
      <c r="L575" t="s">
        <v>23</v>
      </c>
      <c r="M575" t="s">
        <v>24</v>
      </c>
      <c r="N575" t="s">
        <v>24</v>
      </c>
      <c r="O575" t="s">
        <v>25</v>
      </c>
      <c r="P575" s="8" t="s">
        <v>824</v>
      </c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</row>
    <row r="576" spans="1:51" hidden="1" x14ac:dyDescent="0.2">
      <c r="A576" s="6"/>
      <c r="E576" s="2"/>
      <c r="F576" s="3"/>
      <c r="G576" s="3"/>
      <c r="P576" s="8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</row>
    <row r="577" spans="1:51" hidden="1" x14ac:dyDescent="0.2">
      <c r="A577" s="6" t="s">
        <v>17</v>
      </c>
      <c r="B577" t="s">
        <v>825</v>
      </c>
      <c r="C577" t="s">
        <v>826</v>
      </c>
      <c r="D577" t="s">
        <v>827</v>
      </c>
      <c r="E577" s="2">
        <v>942.67</v>
      </c>
      <c r="F577" s="3">
        <f>DATE(2025,3,31)</f>
        <v>45747</v>
      </c>
      <c r="G577" s="3">
        <f>DATE(2025,3,31)</f>
        <v>45747</v>
      </c>
      <c r="H577">
        <v>1984212805</v>
      </c>
      <c r="I577" t="s">
        <v>21</v>
      </c>
      <c r="K577" t="s">
        <v>22</v>
      </c>
      <c r="L577" t="s">
        <v>23</v>
      </c>
      <c r="M577" t="s">
        <v>24</v>
      </c>
      <c r="N577" t="s">
        <v>24</v>
      </c>
      <c r="O577" t="s">
        <v>25</v>
      </c>
      <c r="P577" s="8" t="s">
        <v>828</v>
      </c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</row>
    <row r="578" spans="1:51" hidden="1" x14ac:dyDescent="0.2">
      <c r="A578" s="6"/>
      <c r="E578" s="2"/>
      <c r="F578" s="3"/>
      <c r="G578" s="3"/>
      <c r="P578" s="8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</row>
    <row r="579" spans="1:51" hidden="1" x14ac:dyDescent="0.2">
      <c r="A579" s="6" t="s">
        <v>17</v>
      </c>
      <c r="B579" t="s">
        <v>27</v>
      </c>
      <c r="C579" t="s">
        <v>28</v>
      </c>
      <c r="D579" t="s">
        <v>829</v>
      </c>
      <c r="E579" s="2">
        <v>1313.46</v>
      </c>
      <c r="F579" s="3">
        <f>DATE(2025,4,1)</f>
        <v>45748</v>
      </c>
      <c r="G579" s="3">
        <f>DATE(2025,4,1)</f>
        <v>45748</v>
      </c>
      <c r="H579">
        <v>1984212807</v>
      </c>
      <c r="I579" t="s">
        <v>21</v>
      </c>
      <c r="K579" t="s">
        <v>22</v>
      </c>
      <c r="L579" t="s">
        <v>23</v>
      </c>
      <c r="M579" t="s">
        <v>24</v>
      </c>
      <c r="N579" t="s">
        <v>24</v>
      </c>
      <c r="O579" t="s">
        <v>25</v>
      </c>
      <c r="P579" s="8" t="s">
        <v>830</v>
      </c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</row>
    <row r="580" spans="1:51" hidden="1" x14ac:dyDescent="0.2">
      <c r="A580" s="6"/>
      <c r="E580" s="2"/>
      <c r="F580" s="3"/>
      <c r="G580" s="3"/>
      <c r="P580" s="8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</row>
    <row r="581" spans="1:51" hidden="1" x14ac:dyDescent="0.2">
      <c r="A581" s="6"/>
      <c r="E581" s="2"/>
      <c r="F581" s="3"/>
      <c r="G581" s="3"/>
      <c r="P581" s="8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</row>
    <row r="582" spans="1:51" x14ac:dyDescent="0.2">
      <c r="A582" s="6" t="s">
        <v>17</v>
      </c>
      <c r="B582" t="s">
        <v>342</v>
      </c>
      <c r="C582" t="s">
        <v>342</v>
      </c>
      <c r="D582" t="s">
        <v>359</v>
      </c>
      <c r="E582" s="2">
        <v>4997.8599999999997</v>
      </c>
      <c r="F582" s="3">
        <f t="shared" ref="F582:G583" si="46">DATE(2025,3,31)</f>
        <v>45747</v>
      </c>
      <c r="G582" s="3">
        <f t="shared" si="46"/>
        <v>45747</v>
      </c>
      <c r="H582">
        <v>1984212810</v>
      </c>
      <c r="I582" t="s">
        <v>21</v>
      </c>
      <c r="K582" t="s">
        <v>22</v>
      </c>
      <c r="L582" t="s">
        <v>23</v>
      </c>
      <c r="M582" t="s">
        <v>24</v>
      </c>
      <c r="N582" t="s">
        <v>25</v>
      </c>
      <c r="O582" t="s">
        <v>25</v>
      </c>
      <c r="P582" s="8" t="s">
        <v>831</v>
      </c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</row>
    <row r="583" spans="1:51" hidden="1" x14ac:dyDescent="0.2">
      <c r="A583" s="6" t="s">
        <v>17</v>
      </c>
      <c r="B583" t="s">
        <v>825</v>
      </c>
      <c r="C583" t="s">
        <v>826</v>
      </c>
      <c r="D583" t="s">
        <v>832</v>
      </c>
      <c r="E583" s="2">
        <v>143.27000000000001</v>
      </c>
      <c r="F583" s="3">
        <f t="shared" si="46"/>
        <v>45747</v>
      </c>
      <c r="G583" s="3">
        <f t="shared" si="46"/>
        <v>45747</v>
      </c>
      <c r="H583">
        <v>1984212811</v>
      </c>
      <c r="I583" t="s">
        <v>21</v>
      </c>
      <c r="K583" t="s">
        <v>22</v>
      </c>
      <c r="L583" t="s">
        <v>23</v>
      </c>
      <c r="M583" t="s">
        <v>24</v>
      </c>
      <c r="N583" t="s">
        <v>24</v>
      </c>
      <c r="O583" t="s">
        <v>25</v>
      </c>
      <c r="P583" s="8" t="s">
        <v>833</v>
      </c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</row>
    <row r="584" spans="1:51" hidden="1" x14ac:dyDescent="0.2">
      <c r="A584" s="6"/>
      <c r="E584" s="2"/>
      <c r="F584" s="3"/>
      <c r="G584" s="3"/>
      <c r="P584" s="8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</row>
    <row r="585" spans="1:51" hidden="1" x14ac:dyDescent="0.2">
      <c r="A585" s="6" t="s">
        <v>17</v>
      </c>
      <c r="B585" t="s">
        <v>589</v>
      </c>
      <c r="C585" t="s">
        <v>590</v>
      </c>
      <c r="D585" t="s">
        <v>834</v>
      </c>
      <c r="E585" s="2">
        <v>15.09</v>
      </c>
      <c r="F585" s="3">
        <f>DATE(2025,3,31)</f>
        <v>45747</v>
      </c>
      <c r="G585" s="3">
        <f>DATE(2025,3,31)</f>
        <v>45747</v>
      </c>
      <c r="H585">
        <v>1984269756</v>
      </c>
      <c r="I585" t="s">
        <v>192</v>
      </c>
      <c r="K585" t="s">
        <v>22</v>
      </c>
      <c r="L585" t="s">
        <v>23</v>
      </c>
      <c r="M585" t="s">
        <v>24</v>
      </c>
      <c r="N585" t="s">
        <v>24</v>
      </c>
      <c r="O585" t="s">
        <v>25</v>
      </c>
      <c r="P585" s="8" t="s">
        <v>835</v>
      </c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</row>
    <row r="586" spans="1:51" hidden="1" x14ac:dyDescent="0.2">
      <c r="A586" s="6" t="s">
        <v>17</v>
      </c>
      <c r="B586" t="s">
        <v>35</v>
      </c>
      <c r="C586" t="s">
        <v>35</v>
      </c>
      <c r="D586" t="s">
        <v>204</v>
      </c>
      <c r="E586" s="2">
        <v>12</v>
      </c>
      <c r="F586" s="3">
        <f>DATE(2025,4,1)</f>
        <v>45748</v>
      </c>
      <c r="G586" s="3">
        <f>DATE(2025,4,1)</f>
        <v>45748</v>
      </c>
      <c r="H586">
        <v>1984269757</v>
      </c>
      <c r="I586" t="s">
        <v>192</v>
      </c>
      <c r="K586" t="s">
        <v>22</v>
      </c>
      <c r="L586" t="s">
        <v>23</v>
      </c>
      <c r="M586" t="s">
        <v>24</v>
      </c>
      <c r="N586" t="s">
        <v>24</v>
      </c>
      <c r="O586" t="s">
        <v>25</v>
      </c>
      <c r="P586" s="8" t="s">
        <v>836</v>
      </c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</row>
    <row r="587" spans="1:51" hidden="1" x14ac:dyDescent="0.2">
      <c r="A587" s="6"/>
      <c r="E587" s="2"/>
      <c r="F587" s="3"/>
      <c r="G587" s="3"/>
      <c r="P587" s="8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</row>
    <row r="588" spans="1:51" hidden="1" x14ac:dyDescent="0.2">
      <c r="A588" s="6"/>
      <c r="E588" s="2"/>
      <c r="F588" s="3"/>
      <c r="G588" s="3"/>
      <c r="P588" s="8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</row>
    <row r="589" spans="1:51" hidden="1" x14ac:dyDescent="0.2">
      <c r="A589" s="6" t="s">
        <v>17</v>
      </c>
      <c r="B589" t="s">
        <v>118</v>
      </c>
      <c r="C589" t="s">
        <v>119</v>
      </c>
      <c r="D589" t="s">
        <v>786</v>
      </c>
      <c r="E589" s="2">
        <v>23.38</v>
      </c>
      <c r="F589" s="3">
        <f t="shared" ref="F589:G593" si="47">DATE(2025,3,31)</f>
        <v>45747</v>
      </c>
      <c r="G589" s="3">
        <f t="shared" si="47"/>
        <v>45747</v>
      </c>
      <c r="H589">
        <v>1990316650</v>
      </c>
      <c r="I589" t="s">
        <v>158</v>
      </c>
      <c r="K589" t="s">
        <v>22</v>
      </c>
      <c r="L589" t="s">
        <v>23</v>
      </c>
      <c r="M589" t="s">
        <v>24</v>
      </c>
      <c r="N589" t="s">
        <v>24</v>
      </c>
      <c r="O589" t="s">
        <v>25</v>
      </c>
      <c r="P589" s="8" t="s">
        <v>837</v>
      </c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</row>
    <row r="590" spans="1:51" hidden="1" x14ac:dyDescent="0.2">
      <c r="A590" s="6" t="s">
        <v>17</v>
      </c>
      <c r="B590" t="s">
        <v>118</v>
      </c>
      <c r="C590" t="s">
        <v>119</v>
      </c>
      <c r="D590" t="s">
        <v>838</v>
      </c>
      <c r="E590" s="2">
        <v>179.98</v>
      </c>
      <c r="F590" s="3">
        <f t="shared" si="47"/>
        <v>45747</v>
      </c>
      <c r="G590" s="3">
        <f t="shared" si="47"/>
        <v>45747</v>
      </c>
      <c r="H590">
        <v>1990316651</v>
      </c>
      <c r="I590" t="s">
        <v>158</v>
      </c>
      <c r="K590" t="s">
        <v>22</v>
      </c>
      <c r="L590" t="s">
        <v>23</v>
      </c>
      <c r="M590" t="s">
        <v>24</v>
      </c>
      <c r="N590" t="s">
        <v>24</v>
      </c>
      <c r="O590" t="s">
        <v>25</v>
      </c>
      <c r="P590" s="8" t="s">
        <v>839</v>
      </c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</row>
    <row r="591" spans="1:51" x14ac:dyDescent="0.2">
      <c r="A591" s="6" t="s">
        <v>17</v>
      </c>
      <c r="B591" t="s">
        <v>342</v>
      </c>
      <c r="C591" t="s">
        <v>342</v>
      </c>
      <c r="D591" t="s">
        <v>840</v>
      </c>
      <c r="E591" s="2">
        <v>157.21</v>
      </c>
      <c r="F591" s="3">
        <f t="shared" si="47"/>
        <v>45747</v>
      </c>
      <c r="G591" s="3">
        <f t="shared" si="47"/>
        <v>45747</v>
      </c>
      <c r="H591">
        <v>1990316652</v>
      </c>
      <c r="I591" t="s">
        <v>158</v>
      </c>
      <c r="K591" t="s">
        <v>22</v>
      </c>
      <c r="L591" t="s">
        <v>23</v>
      </c>
      <c r="M591" t="s">
        <v>24</v>
      </c>
      <c r="N591" t="s">
        <v>24</v>
      </c>
      <c r="O591" t="s">
        <v>25</v>
      </c>
      <c r="P591" s="8" t="s">
        <v>841</v>
      </c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</row>
    <row r="592" spans="1:51" hidden="1" x14ac:dyDescent="0.2">
      <c r="A592" s="6" t="s">
        <v>17</v>
      </c>
      <c r="B592" t="s">
        <v>118</v>
      </c>
      <c r="C592" t="s">
        <v>119</v>
      </c>
      <c r="D592" t="s">
        <v>842</v>
      </c>
      <c r="E592" s="2">
        <v>25.71</v>
      </c>
      <c r="F592" s="3">
        <f t="shared" si="47"/>
        <v>45747</v>
      </c>
      <c r="G592" s="3">
        <f t="shared" si="47"/>
        <v>45747</v>
      </c>
      <c r="H592">
        <v>1990316653</v>
      </c>
      <c r="I592" t="s">
        <v>158</v>
      </c>
      <c r="K592" t="s">
        <v>22</v>
      </c>
      <c r="L592" t="s">
        <v>23</v>
      </c>
      <c r="M592" t="s">
        <v>24</v>
      </c>
      <c r="N592" t="s">
        <v>24</v>
      </c>
      <c r="O592" t="s">
        <v>25</v>
      </c>
      <c r="P592" s="8" t="s">
        <v>843</v>
      </c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</row>
    <row r="593" spans="1:51" hidden="1" x14ac:dyDescent="0.2">
      <c r="A593" s="6" t="s">
        <v>17</v>
      </c>
      <c r="B593" t="s">
        <v>118</v>
      </c>
      <c r="C593" t="s">
        <v>119</v>
      </c>
      <c r="D593" t="s">
        <v>842</v>
      </c>
      <c r="E593" s="2">
        <v>54.59</v>
      </c>
      <c r="F593" s="3">
        <f t="shared" si="47"/>
        <v>45747</v>
      </c>
      <c r="G593" s="3">
        <f t="shared" si="47"/>
        <v>45747</v>
      </c>
      <c r="H593">
        <v>1990316654</v>
      </c>
      <c r="I593" t="s">
        <v>158</v>
      </c>
      <c r="K593" t="s">
        <v>22</v>
      </c>
      <c r="L593" t="s">
        <v>23</v>
      </c>
      <c r="M593" t="s">
        <v>24</v>
      </c>
      <c r="N593" t="s">
        <v>24</v>
      </c>
      <c r="O593" t="s">
        <v>25</v>
      </c>
      <c r="P593" s="8" t="s">
        <v>844</v>
      </c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</row>
    <row r="594" spans="1:51" hidden="1" x14ac:dyDescent="0.2">
      <c r="A594" s="6" t="s">
        <v>17</v>
      </c>
      <c r="B594" t="s">
        <v>118</v>
      </c>
      <c r="C594" t="s">
        <v>119</v>
      </c>
      <c r="D594" t="s">
        <v>845</v>
      </c>
      <c r="E594" s="2">
        <v>12.24</v>
      </c>
      <c r="F594" s="3">
        <f>DATE(2025,3,29)</f>
        <v>45745</v>
      </c>
      <c r="G594" s="3">
        <f>DATE(2025,3,29)</f>
        <v>45745</v>
      </c>
      <c r="H594">
        <v>1990316655</v>
      </c>
      <c r="I594" t="s">
        <v>158</v>
      </c>
      <c r="K594" t="s">
        <v>22</v>
      </c>
      <c r="L594" t="s">
        <v>23</v>
      </c>
      <c r="M594" t="s">
        <v>24</v>
      </c>
      <c r="N594" t="s">
        <v>24</v>
      </c>
      <c r="O594" t="s">
        <v>25</v>
      </c>
      <c r="P594" s="8" t="s">
        <v>846</v>
      </c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</row>
    <row r="595" spans="1:51" hidden="1" x14ac:dyDescent="0.2">
      <c r="A595" s="6" t="s">
        <v>17</v>
      </c>
      <c r="B595" t="s">
        <v>155</v>
      </c>
      <c r="C595" t="s">
        <v>156</v>
      </c>
      <c r="D595" t="s">
        <v>847</v>
      </c>
      <c r="E595" s="2">
        <v>11.67</v>
      </c>
      <c r="F595" s="3">
        <f>DATE(2025,4,1)</f>
        <v>45748</v>
      </c>
      <c r="G595" s="3">
        <f>DATE(2025,4,1)</f>
        <v>45748</v>
      </c>
      <c r="H595">
        <v>1990316656</v>
      </c>
      <c r="I595" t="s">
        <v>158</v>
      </c>
      <c r="K595" t="s">
        <v>22</v>
      </c>
      <c r="L595" t="s">
        <v>23</v>
      </c>
      <c r="M595" t="s">
        <v>24</v>
      </c>
      <c r="N595" t="s">
        <v>24</v>
      </c>
      <c r="O595" t="s">
        <v>25</v>
      </c>
      <c r="P595" s="8" t="s">
        <v>848</v>
      </c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</row>
    <row r="596" spans="1:51" hidden="1" x14ac:dyDescent="0.2">
      <c r="A596" s="6"/>
      <c r="E596" s="2"/>
      <c r="F596" s="3"/>
      <c r="G596" s="3"/>
      <c r="P596" s="8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</row>
    <row r="597" spans="1:51" hidden="1" x14ac:dyDescent="0.2">
      <c r="A597" s="6" t="s">
        <v>17</v>
      </c>
      <c r="B597" t="s">
        <v>27</v>
      </c>
      <c r="C597" t="s">
        <v>28</v>
      </c>
      <c r="D597" t="s">
        <v>849</v>
      </c>
      <c r="E597" s="2">
        <v>3829.92</v>
      </c>
      <c r="F597" s="3">
        <f>DATE(2025,4,3)</f>
        <v>45750</v>
      </c>
      <c r="G597" s="3">
        <f>DATE(2025,4,3)</f>
        <v>45750</v>
      </c>
      <c r="H597">
        <v>1990316658</v>
      </c>
      <c r="I597" t="s">
        <v>21</v>
      </c>
      <c r="K597" t="s">
        <v>22</v>
      </c>
      <c r="L597" t="s">
        <v>23</v>
      </c>
      <c r="M597" t="s">
        <v>24</v>
      </c>
      <c r="N597" t="s">
        <v>24</v>
      </c>
      <c r="O597" t="s">
        <v>25</v>
      </c>
      <c r="P597" s="8" t="s">
        <v>850</v>
      </c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</row>
    <row r="598" spans="1:51" hidden="1" x14ac:dyDescent="0.2">
      <c r="A598" s="6" t="s">
        <v>17</v>
      </c>
      <c r="B598" t="s">
        <v>42</v>
      </c>
      <c r="C598" t="s">
        <v>43</v>
      </c>
      <c r="D598" t="s">
        <v>851</v>
      </c>
      <c r="E598" s="2">
        <v>89</v>
      </c>
      <c r="F598" s="3">
        <f>DATE(2025,4,2)</f>
        <v>45749</v>
      </c>
      <c r="G598" s="3">
        <f>DATE(2025,4,2)</f>
        <v>45749</v>
      </c>
      <c r="H598">
        <v>1990316659</v>
      </c>
      <c r="I598" t="s">
        <v>21</v>
      </c>
      <c r="K598" t="s">
        <v>22</v>
      </c>
      <c r="L598" t="s">
        <v>23</v>
      </c>
      <c r="M598" t="s">
        <v>24</v>
      </c>
      <c r="N598" t="s">
        <v>24</v>
      </c>
      <c r="O598" t="s">
        <v>25</v>
      </c>
      <c r="P598" s="8" t="s">
        <v>852</v>
      </c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</row>
    <row r="599" spans="1:51" hidden="1" x14ac:dyDescent="0.2">
      <c r="A599" s="6" t="s">
        <v>17</v>
      </c>
      <c r="B599" t="s">
        <v>35</v>
      </c>
      <c r="C599" t="s">
        <v>35</v>
      </c>
      <c r="D599" t="s">
        <v>98</v>
      </c>
      <c r="E599" s="2">
        <v>80.709999999999994</v>
      </c>
      <c r="F599" s="3">
        <f>DATE(2025,4,1)</f>
        <v>45748</v>
      </c>
      <c r="G599" s="3">
        <f>DATE(2025,4,1)</f>
        <v>45748</v>
      </c>
      <c r="H599">
        <v>1990316660</v>
      </c>
      <c r="I599" t="s">
        <v>21</v>
      </c>
      <c r="K599" t="s">
        <v>22</v>
      </c>
      <c r="L599" t="s">
        <v>23</v>
      </c>
      <c r="M599" t="s">
        <v>24</v>
      </c>
      <c r="N599" t="s">
        <v>24</v>
      </c>
      <c r="O599" t="s">
        <v>25</v>
      </c>
      <c r="P599" s="8" t="s">
        <v>853</v>
      </c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</row>
    <row r="600" spans="1:51" hidden="1" x14ac:dyDescent="0.2">
      <c r="A600" s="6"/>
      <c r="E600" s="2"/>
      <c r="F600" s="3"/>
      <c r="G600" s="3"/>
      <c r="P600" s="8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</row>
    <row r="601" spans="1:51" hidden="1" x14ac:dyDescent="0.2">
      <c r="A601" s="6"/>
      <c r="E601" s="2"/>
      <c r="F601" s="3"/>
      <c r="G601" s="3"/>
      <c r="P601" s="8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</row>
    <row r="602" spans="1:51" hidden="1" x14ac:dyDescent="0.2">
      <c r="A602" s="6"/>
      <c r="E602" s="2"/>
      <c r="F602" s="3"/>
      <c r="G602" s="3"/>
      <c r="P602" s="8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</row>
    <row r="603" spans="1:51" hidden="1" x14ac:dyDescent="0.2">
      <c r="A603" s="6" t="s">
        <v>17</v>
      </c>
      <c r="B603" t="s">
        <v>42</v>
      </c>
      <c r="C603" t="s">
        <v>43</v>
      </c>
      <c r="D603" t="s">
        <v>854</v>
      </c>
      <c r="E603" s="2">
        <v>102.16</v>
      </c>
      <c r="F603" s="3">
        <f>DATE(2025,4,1)</f>
        <v>45748</v>
      </c>
      <c r="G603" s="3">
        <f>DATE(2025,4,1)</f>
        <v>45748</v>
      </c>
      <c r="H603">
        <v>1990316664</v>
      </c>
      <c r="I603" t="s">
        <v>21</v>
      </c>
      <c r="K603" t="s">
        <v>22</v>
      </c>
      <c r="L603" t="s">
        <v>23</v>
      </c>
      <c r="M603" t="s">
        <v>24</v>
      </c>
      <c r="N603" t="s">
        <v>24</v>
      </c>
      <c r="O603" t="s">
        <v>25</v>
      </c>
      <c r="P603" s="8" t="s">
        <v>855</v>
      </c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</row>
    <row r="604" spans="1:51" hidden="1" x14ac:dyDescent="0.2">
      <c r="A604" s="6"/>
      <c r="E604" s="2"/>
      <c r="F604" s="3"/>
      <c r="G604" s="3"/>
      <c r="P604" s="8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</row>
    <row r="605" spans="1:51" hidden="1" x14ac:dyDescent="0.2">
      <c r="A605" s="6"/>
      <c r="E605" s="2"/>
      <c r="F605" s="3"/>
      <c r="G605" s="3"/>
      <c r="P605" s="8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</row>
    <row r="606" spans="1:51" hidden="1" x14ac:dyDescent="0.2">
      <c r="A606" s="6"/>
      <c r="E606" s="2"/>
      <c r="F606" s="3"/>
      <c r="G606" s="3"/>
      <c r="P606" s="8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</row>
    <row r="607" spans="1:51" hidden="1" x14ac:dyDescent="0.2">
      <c r="A607" s="6" t="s">
        <v>17</v>
      </c>
      <c r="B607" t="s">
        <v>31</v>
      </c>
      <c r="C607" t="s">
        <v>32</v>
      </c>
      <c r="D607" t="s">
        <v>856</v>
      </c>
      <c r="E607" s="2">
        <v>310.63</v>
      </c>
      <c r="F607" s="3">
        <f t="shared" ref="F607:G607" si="48">DATE(2025,4,3)</f>
        <v>45750</v>
      </c>
      <c r="G607" s="3">
        <f t="shared" si="48"/>
        <v>45750</v>
      </c>
      <c r="H607">
        <v>1995131358</v>
      </c>
      <c r="I607" t="s">
        <v>21</v>
      </c>
      <c r="K607" t="s">
        <v>22</v>
      </c>
      <c r="L607" t="s">
        <v>23</v>
      </c>
      <c r="M607" t="s">
        <v>24</v>
      </c>
      <c r="N607" t="s">
        <v>24</v>
      </c>
      <c r="O607" t="s">
        <v>25</v>
      </c>
      <c r="P607" s="8" t="s">
        <v>857</v>
      </c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</row>
    <row r="608" spans="1:51" hidden="1" x14ac:dyDescent="0.2">
      <c r="A608" s="6"/>
      <c r="E608" s="2"/>
      <c r="F608" s="3"/>
      <c r="G608" s="3"/>
      <c r="P608" s="8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</row>
    <row r="609" spans="1:51" hidden="1" x14ac:dyDescent="0.2">
      <c r="A609" s="6"/>
      <c r="E609" s="2"/>
      <c r="F609" s="3"/>
      <c r="G609" s="3"/>
      <c r="P609" s="8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</row>
    <row r="610" spans="1:51" hidden="1" x14ac:dyDescent="0.2">
      <c r="A610" s="6" t="s">
        <v>17</v>
      </c>
      <c r="B610" t="s">
        <v>118</v>
      </c>
      <c r="C610" t="s">
        <v>119</v>
      </c>
      <c r="D610" t="s">
        <v>842</v>
      </c>
      <c r="E610" s="2">
        <v>90.83</v>
      </c>
      <c r="F610" s="3">
        <f t="shared" ref="F610:G612" si="49">DATE(2025,4,2)</f>
        <v>45749</v>
      </c>
      <c r="G610" s="3">
        <f t="shared" si="49"/>
        <v>45749</v>
      </c>
      <c r="H610">
        <v>1995131361</v>
      </c>
      <c r="I610" t="s">
        <v>158</v>
      </c>
      <c r="K610" t="s">
        <v>22</v>
      </c>
      <c r="L610" t="s">
        <v>23</v>
      </c>
      <c r="M610" t="s">
        <v>24</v>
      </c>
      <c r="N610" t="s">
        <v>24</v>
      </c>
      <c r="O610" t="s">
        <v>25</v>
      </c>
      <c r="P610" s="8" t="s">
        <v>858</v>
      </c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</row>
    <row r="611" spans="1:51" hidden="1" x14ac:dyDescent="0.2">
      <c r="A611" s="6" t="s">
        <v>17</v>
      </c>
      <c r="B611" t="s">
        <v>132</v>
      </c>
      <c r="C611" t="s">
        <v>133</v>
      </c>
      <c r="D611" t="s">
        <v>417</v>
      </c>
      <c r="E611" s="2">
        <v>46.9</v>
      </c>
      <c r="F611" s="3">
        <f t="shared" si="49"/>
        <v>45749</v>
      </c>
      <c r="G611" s="3">
        <f t="shared" si="49"/>
        <v>45749</v>
      </c>
      <c r="H611">
        <v>1995131362</v>
      </c>
      <c r="I611" t="s">
        <v>158</v>
      </c>
      <c r="K611" t="s">
        <v>22</v>
      </c>
      <c r="L611" t="s">
        <v>23</v>
      </c>
      <c r="M611" t="s">
        <v>24</v>
      </c>
      <c r="N611" t="s">
        <v>24</v>
      </c>
      <c r="O611" t="s">
        <v>25</v>
      </c>
      <c r="P611" s="8" t="s">
        <v>859</v>
      </c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</row>
    <row r="612" spans="1:51" hidden="1" x14ac:dyDescent="0.2">
      <c r="A612" s="6" t="s">
        <v>17</v>
      </c>
      <c r="B612" t="s">
        <v>118</v>
      </c>
      <c r="C612" t="s">
        <v>119</v>
      </c>
      <c r="D612" t="s">
        <v>842</v>
      </c>
      <c r="E612" s="2">
        <v>14.15</v>
      </c>
      <c r="F612" s="3">
        <f t="shared" si="49"/>
        <v>45749</v>
      </c>
      <c r="G612" s="3">
        <f t="shared" si="49"/>
        <v>45749</v>
      </c>
      <c r="H612">
        <v>1995131363</v>
      </c>
      <c r="I612" t="s">
        <v>158</v>
      </c>
      <c r="K612" t="s">
        <v>22</v>
      </c>
      <c r="L612" t="s">
        <v>23</v>
      </c>
      <c r="M612" t="s">
        <v>24</v>
      </c>
      <c r="N612" t="s">
        <v>24</v>
      </c>
      <c r="O612" t="s">
        <v>25</v>
      </c>
      <c r="P612" s="8" t="s">
        <v>860</v>
      </c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</row>
    <row r="613" spans="1:51" hidden="1" x14ac:dyDescent="0.2">
      <c r="A613" s="6"/>
      <c r="E613" s="2"/>
      <c r="F613" s="3"/>
      <c r="G613" s="3"/>
      <c r="P613" s="8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</row>
    <row r="614" spans="1:51" hidden="1" x14ac:dyDescent="0.2">
      <c r="A614" s="6" t="s">
        <v>17</v>
      </c>
      <c r="B614" t="s">
        <v>244</v>
      </c>
      <c r="C614" t="s">
        <v>245</v>
      </c>
      <c r="D614" t="s">
        <v>861</v>
      </c>
      <c r="E614" s="2">
        <v>18.600000000000001</v>
      </c>
      <c r="F614" s="3">
        <f t="shared" ref="F614:G614" si="50">DATE(2025,4,3)</f>
        <v>45750</v>
      </c>
      <c r="G614" s="3">
        <f t="shared" si="50"/>
        <v>45750</v>
      </c>
      <c r="H614">
        <v>1995164900</v>
      </c>
      <c r="I614" t="s">
        <v>192</v>
      </c>
      <c r="K614" t="s">
        <v>22</v>
      </c>
      <c r="L614" t="s">
        <v>23</v>
      </c>
      <c r="M614" t="s">
        <v>24</v>
      </c>
      <c r="N614" t="s">
        <v>24</v>
      </c>
      <c r="O614" t="s">
        <v>25</v>
      </c>
      <c r="P614" s="8" t="s">
        <v>862</v>
      </c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</row>
    <row r="615" spans="1:51" hidden="1" x14ac:dyDescent="0.2">
      <c r="A615" s="6"/>
      <c r="E615" s="2"/>
      <c r="F615" s="3"/>
      <c r="G615" s="3"/>
      <c r="P615" s="8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</row>
    <row r="616" spans="1:51" hidden="1" x14ac:dyDescent="0.2">
      <c r="A616" s="6" t="s">
        <v>17</v>
      </c>
      <c r="B616" t="s">
        <v>118</v>
      </c>
      <c r="C616" t="s">
        <v>119</v>
      </c>
      <c r="D616" t="s">
        <v>160</v>
      </c>
      <c r="E616" s="2">
        <v>24.32</v>
      </c>
      <c r="F616" s="3">
        <f>DATE(2025,4,2)</f>
        <v>45749</v>
      </c>
      <c r="G616" s="3">
        <f>DATE(2025,4,2)</f>
        <v>45749</v>
      </c>
      <c r="H616">
        <v>1998440356</v>
      </c>
      <c r="I616" t="s">
        <v>158</v>
      </c>
      <c r="K616" t="s">
        <v>22</v>
      </c>
      <c r="L616" t="s">
        <v>23</v>
      </c>
      <c r="M616" t="s">
        <v>24</v>
      </c>
      <c r="N616" t="s">
        <v>24</v>
      </c>
      <c r="O616" t="s">
        <v>25</v>
      </c>
      <c r="P616" s="8" t="s">
        <v>863</v>
      </c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</row>
    <row r="617" spans="1:51" hidden="1" x14ac:dyDescent="0.2">
      <c r="A617" s="6" t="s">
        <v>17</v>
      </c>
      <c r="B617" t="s">
        <v>18</v>
      </c>
      <c r="C617" t="s">
        <v>19</v>
      </c>
      <c r="D617" t="s">
        <v>864</v>
      </c>
      <c r="E617" s="2">
        <v>40.65</v>
      </c>
      <c r="F617" s="3">
        <f t="shared" ref="F617:G636" si="51">DATE(2025,4,4)</f>
        <v>45751</v>
      </c>
      <c r="G617" s="3">
        <f t="shared" si="51"/>
        <v>45751</v>
      </c>
      <c r="H617">
        <v>1998440358</v>
      </c>
      <c r="I617" t="s">
        <v>21</v>
      </c>
      <c r="K617" t="s">
        <v>22</v>
      </c>
      <c r="L617" t="s">
        <v>23</v>
      </c>
      <c r="M617" t="s">
        <v>24</v>
      </c>
      <c r="N617" t="s">
        <v>24</v>
      </c>
      <c r="O617" t="s">
        <v>25</v>
      </c>
      <c r="P617" s="8" t="s">
        <v>865</v>
      </c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</row>
    <row r="618" spans="1:51" hidden="1" x14ac:dyDescent="0.2">
      <c r="A618" s="6"/>
      <c r="E618" s="2"/>
      <c r="F618" s="3"/>
      <c r="G618" s="3"/>
      <c r="P618" s="8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</row>
    <row r="619" spans="1:51" hidden="1" x14ac:dyDescent="0.2">
      <c r="A619" s="6"/>
      <c r="E619" s="2"/>
      <c r="F619" s="3"/>
      <c r="G619" s="3"/>
      <c r="P619" s="8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</row>
    <row r="620" spans="1:51" hidden="1" x14ac:dyDescent="0.2">
      <c r="A620" s="6" t="s">
        <v>17</v>
      </c>
      <c r="B620" t="s">
        <v>244</v>
      </c>
      <c r="C620" t="s">
        <v>245</v>
      </c>
      <c r="D620" t="s">
        <v>866</v>
      </c>
      <c r="E620" s="2">
        <v>300</v>
      </c>
      <c r="F620" s="3">
        <f t="shared" si="51"/>
        <v>45751</v>
      </c>
      <c r="G620" s="3">
        <f t="shared" si="51"/>
        <v>45751</v>
      </c>
      <c r="H620">
        <v>1998440361</v>
      </c>
      <c r="I620" t="s">
        <v>21</v>
      </c>
      <c r="K620" t="s">
        <v>22</v>
      </c>
      <c r="L620" t="s">
        <v>23</v>
      </c>
      <c r="M620" t="s">
        <v>24</v>
      </c>
      <c r="N620" t="s">
        <v>24</v>
      </c>
      <c r="O620" t="s">
        <v>25</v>
      </c>
      <c r="P620" s="8" t="s">
        <v>867</v>
      </c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</row>
    <row r="621" spans="1:51" hidden="1" x14ac:dyDescent="0.2">
      <c r="A621" s="6" t="s">
        <v>17</v>
      </c>
      <c r="B621" t="s">
        <v>18</v>
      </c>
      <c r="C621" t="s">
        <v>19</v>
      </c>
      <c r="D621" t="s">
        <v>868</v>
      </c>
      <c r="E621" s="2">
        <v>259.69</v>
      </c>
      <c r="F621" s="3">
        <f t="shared" si="51"/>
        <v>45751</v>
      </c>
      <c r="G621" s="3">
        <f t="shared" si="51"/>
        <v>45751</v>
      </c>
      <c r="H621">
        <v>1998440362</v>
      </c>
      <c r="I621" t="s">
        <v>21</v>
      </c>
      <c r="K621" t="s">
        <v>22</v>
      </c>
      <c r="L621" t="s">
        <v>23</v>
      </c>
      <c r="M621" t="s">
        <v>24</v>
      </c>
      <c r="N621" t="s">
        <v>24</v>
      </c>
      <c r="O621" t="s">
        <v>25</v>
      </c>
      <c r="P621" s="8" t="s">
        <v>869</v>
      </c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</row>
    <row r="622" spans="1:51" hidden="1" x14ac:dyDescent="0.2">
      <c r="A622" s="6" t="s">
        <v>17</v>
      </c>
      <c r="B622" t="s">
        <v>825</v>
      </c>
      <c r="C622" t="s">
        <v>826</v>
      </c>
      <c r="D622" t="s">
        <v>870</v>
      </c>
      <c r="E622" s="2">
        <v>168.38</v>
      </c>
      <c r="F622" s="3">
        <f t="shared" si="51"/>
        <v>45751</v>
      </c>
      <c r="G622" s="3">
        <f t="shared" si="51"/>
        <v>45751</v>
      </c>
      <c r="H622">
        <v>1998440363</v>
      </c>
      <c r="I622" t="s">
        <v>21</v>
      </c>
      <c r="K622" t="s">
        <v>22</v>
      </c>
      <c r="L622" t="s">
        <v>23</v>
      </c>
      <c r="M622" t="s">
        <v>24</v>
      </c>
      <c r="N622" t="s">
        <v>24</v>
      </c>
      <c r="O622" t="s">
        <v>25</v>
      </c>
      <c r="P622" s="8" t="s">
        <v>871</v>
      </c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</row>
    <row r="623" spans="1:51" hidden="1" x14ac:dyDescent="0.2">
      <c r="A623" s="6"/>
      <c r="E623" s="2"/>
      <c r="F623" s="3"/>
      <c r="G623" s="3"/>
      <c r="P623" s="8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</row>
    <row r="624" spans="1:51" hidden="1" x14ac:dyDescent="0.2">
      <c r="A624" s="6" t="s">
        <v>17</v>
      </c>
      <c r="B624" t="s">
        <v>46</v>
      </c>
      <c r="C624" t="s">
        <v>47</v>
      </c>
      <c r="D624" t="s">
        <v>872</v>
      </c>
      <c r="E624" s="2">
        <v>150</v>
      </c>
      <c r="F624" s="3">
        <f t="shared" si="51"/>
        <v>45751</v>
      </c>
      <c r="G624" s="3">
        <f t="shared" si="51"/>
        <v>45751</v>
      </c>
      <c r="H624">
        <v>1998440365</v>
      </c>
      <c r="I624" t="s">
        <v>21</v>
      </c>
      <c r="K624" t="s">
        <v>22</v>
      </c>
      <c r="L624" t="s">
        <v>23</v>
      </c>
      <c r="M624" t="s">
        <v>24</v>
      </c>
      <c r="N624" t="s">
        <v>24</v>
      </c>
      <c r="O624" t="s">
        <v>25</v>
      </c>
      <c r="P624" s="8" t="s">
        <v>873</v>
      </c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</row>
    <row r="625" spans="1:51" hidden="1" x14ac:dyDescent="0.2">
      <c r="A625" s="6" t="s">
        <v>17</v>
      </c>
      <c r="B625" t="s">
        <v>46</v>
      </c>
      <c r="C625" t="s">
        <v>47</v>
      </c>
      <c r="D625" t="s">
        <v>874</v>
      </c>
      <c r="E625" s="2">
        <v>234</v>
      </c>
      <c r="F625" s="3">
        <f t="shared" si="51"/>
        <v>45751</v>
      </c>
      <c r="G625" s="3">
        <f t="shared" si="51"/>
        <v>45751</v>
      </c>
      <c r="H625">
        <v>1998440366</v>
      </c>
      <c r="I625" t="s">
        <v>21</v>
      </c>
      <c r="K625" t="s">
        <v>22</v>
      </c>
      <c r="L625" t="s">
        <v>23</v>
      </c>
      <c r="M625" t="s">
        <v>24</v>
      </c>
      <c r="N625" t="s">
        <v>24</v>
      </c>
      <c r="O625" t="s">
        <v>25</v>
      </c>
      <c r="P625" s="8" t="s">
        <v>875</v>
      </c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</row>
    <row r="626" spans="1:51" hidden="1" x14ac:dyDescent="0.2">
      <c r="A626" s="6" t="s">
        <v>17</v>
      </c>
      <c r="B626" t="s">
        <v>54</v>
      </c>
      <c r="C626" t="s">
        <v>55</v>
      </c>
      <c r="D626" t="s">
        <v>876</v>
      </c>
      <c r="E626" s="2">
        <v>87</v>
      </c>
      <c r="F626" s="3">
        <f t="shared" si="51"/>
        <v>45751</v>
      </c>
      <c r="G626" s="3">
        <f t="shared" si="51"/>
        <v>45751</v>
      </c>
      <c r="H626">
        <v>1998440367</v>
      </c>
      <c r="I626" t="s">
        <v>21</v>
      </c>
      <c r="K626" t="s">
        <v>22</v>
      </c>
      <c r="L626" t="s">
        <v>23</v>
      </c>
      <c r="M626" t="s">
        <v>24</v>
      </c>
      <c r="N626" t="s">
        <v>24</v>
      </c>
      <c r="O626" t="s">
        <v>25</v>
      </c>
      <c r="P626" s="8" t="s">
        <v>877</v>
      </c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</row>
    <row r="627" spans="1:51" hidden="1" x14ac:dyDescent="0.2">
      <c r="A627" s="6" t="s">
        <v>17</v>
      </c>
      <c r="B627" t="s">
        <v>878</v>
      </c>
      <c r="C627" t="s">
        <v>879</v>
      </c>
      <c r="D627" t="s">
        <v>880</v>
      </c>
      <c r="E627" s="2">
        <v>781.72</v>
      </c>
      <c r="F627" s="3">
        <f t="shared" si="51"/>
        <v>45751</v>
      </c>
      <c r="G627" s="3">
        <f t="shared" si="51"/>
        <v>45751</v>
      </c>
      <c r="H627">
        <v>1998440368</v>
      </c>
      <c r="I627" t="s">
        <v>21</v>
      </c>
      <c r="K627" t="s">
        <v>22</v>
      </c>
      <c r="L627" t="s">
        <v>23</v>
      </c>
      <c r="M627" t="s">
        <v>24</v>
      </c>
      <c r="N627" t="s">
        <v>24</v>
      </c>
      <c r="O627" t="s">
        <v>25</v>
      </c>
      <c r="P627" s="8" t="s">
        <v>881</v>
      </c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</row>
    <row r="628" spans="1:51" hidden="1" x14ac:dyDescent="0.2">
      <c r="A628" s="6" t="s">
        <v>17</v>
      </c>
      <c r="B628" t="s">
        <v>266</v>
      </c>
      <c r="C628" t="s">
        <v>267</v>
      </c>
      <c r="D628" t="s">
        <v>882</v>
      </c>
      <c r="E628" s="2">
        <v>234</v>
      </c>
      <c r="F628" s="3">
        <f t="shared" si="51"/>
        <v>45751</v>
      </c>
      <c r="G628" s="3">
        <f t="shared" si="51"/>
        <v>45751</v>
      </c>
      <c r="H628">
        <v>1998440369</v>
      </c>
      <c r="I628" t="s">
        <v>21</v>
      </c>
      <c r="K628" t="s">
        <v>22</v>
      </c>
      <c r="L628" t="s">
        <v>23</v>
      </c>
      <c r="M628" t="s">
        <v>24</v>
      </c>
      <c r="N628" t="s">
        <v>24</v>
      </c>
      <c r="O628" t="s">
        <v>25</v>
      </c>
      <c r="P628" s="8" t="s">
        <v>883</v>
      </c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</row>
    <row r="629" spans="1:51" hidden="1" x14ac:dyDescent="0.2">
      <c r="A629" s="6" t="s">
        <v>17</v>
      </c>
      <c r="B629" t="s">
        <v>266</v>
      </c>
      <c r="C629" t="s">
        <v>267</v>
      </c>
      <c r="D629" t="s">
        <v>884</v>
      </c>
      <c r="E629" s="2">
        <v>1535.96</v>
      </c>
      <c r="F629" s="3">
        <f t="shared" si="51"/>
        <v>45751</v>
      </c>
      <c r="G629" s="3">
        <f t="shared" si="51"/>
        <v>45751</v>
      </c>
      <c r="H629">
        <v>1998440370</v>
      </c>
      <c r="I629" t="s">
        <v>21</v>
      </c>
      <c r="K629" t="s">
        <v>22</v>
      </c>
      <c r="L629" t="s">
        <v>23</v>
      </c>
      <c r="M629" t="s">
        <v>24</v>
      </c>
      <c r="N629" t="s">
        <v>24</v>
      </c>
      <c r="O629" t="s">
        <v>25</v>
      </c>
      <c r="P629" s="8" t="s">
        <v>885</v>
      </c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</row>
    <row r="630" spans="1:51" hidden="1" x14ac:dyDescent="0.2">
      <c r="A630" s="6" t="s">
        <v>17</v>
      </c>
      <c r="B630" t="s">
        <v>565</v>
      </c>
      <c r="C630" t="s">
        <v>566</v>
      </c>
      <c r="D630" t="s">
        <v>886</v>
      </c>
      <c r="E630" s="2">
        <v>1870.73</v>
      </c>
      <c r="F630" s="3">
        <f t="shared" si="51"/>
        <v>45751</v>
      </c>
      <c r="G630" s="3">
        <f t="shared" si="51"/>
        <v>45751</v>
      </c>
      <c r="H630">
        <v>1998440371</v>
      </c>
      <c r="I630" t="s">
        <v>21</v>
      </c>
      <c r="K630" t="s">
        <v>22</v>
      </c>
      <c r="L630" t="s">
        <v>23</v>
      </c>
      <c r="M630" t="s">
        <v>24</v>
      </c>
      <c r="N630" t="s">
        <v>24</v>
      </c>
      <c r="O630" t="s">
        <v>25</v>
      </c>
      <c r="P630" s="8" t="s">
        <v>887</v>
      </c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</row>
    <row r="631" spans="1:51" hidden="1" x14ac:dyDescent="0.2">
      <c r="A631" s="6" t="s">
        <v>17</v>
      </c>
      <c r="B631" t="s">
        <v>244</v>
      </c>
      <c r="C631" t="s">
        <v>245</v>
      </c>
      <c r="D631" t="s">
        <v>888</v>
      </c>
      <c r="E631" s="2">
        <v>300</v>
      </c>
      <c r="F631" s="3">
        <f t="shared" si="51"/>
        <v>45751</v>
      </c>
      <c r="G631" s="3">
        <f t="shared" si="51"/>
        <v>45751</v>
      </c>
      <c r="H631">
        <v>1998440372</v>
      </c>
      <c r="I631" t="s">
        <v>21</v>
      </c>
      <c r="K631" t="s">
        <v>22</v>
      </c>
      <c r="L631" t="s">
        <v>23</v>
      </c>
      <c r="M631" t="s">
        <v>24</v>
      </c>
      <c r="N631" t="s">
        <v>24</v>
      </c>
      <c r="O631" t="s">
        <v>25</v>
      </c>
      <c r="P631" s="8" t="s">
        <v>889</v>
      </c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</row>
    <row r="632" spans="1:51" hidden="1" x14ac:dyDescent="0.2">
      <c r="A632" s="6" t="s">
        <v>17</v>
      </c>
      <c r="B632" t="s">
        <v>90</v>
      </c>
      <c r="C632" t="s">
        <v>91</v>
      </c>
      <c r="D632" t="s">
        <v>890</v>
      </c>
      <c r="E632" s="2">
        <v>12087.32</v>
      </c>
      <c r="F632" s="3">
        <f t="shared" si="51"/>
        <v>45751</v>
      </c>
      <c r="G632" s="3">
        <f t="shared" si="51"/>
        <v>45751</v>
      </c>
      <c r="H632">
        <v>1998440373</v>
      </c>
      <c r="I632" t="s">
        <v>21</v>
      </c>
      <c r="K632" t="s">
        <v>22</v>
      </c>
      <c r="L632" t="s">
        <v>23</v>
      </c>
      <c r="M632" t="s">
        <v>24</v>
      </c>
      <c r="N632" t="s">
        <v>24</v>
      </c>
      <c r="O632" t="s">
        <v>25</v>
      </c>
      <c r="P632" s="8" t="s">
        <v>891</v>
      </c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</row>
    <row r="633" spans="1:51" hidden="1" x14ac:dyDescent="0.2">
      <c r="A633" s="6"/>
      <c r="E633" s="2"/>
      <c r="F633" s="3"/>
      <c r="G633" s="3"/>
      <c r="P633" s="8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</row>
    <row r="634" spans="1:51" hidden="1" x14ac:dyDescent="0.2">
      <c r="A634" s="6" t="s">
        <v>17</v>
      </c>
      <c r="B634" t="s">
        <v>90</v>
      </c>
      <c r="C634" t="s">
        <v>91</v>
      </c>
      <c r="D634" t="s">
        <v>892</v>
      </c>
      <c r="E634" s="2">
        <v>102.83</v>
      </c>
      <c r="F634" s="3">
        <f t="shared" si="51"/>
        <v>45751</v>
      </c>
      <c r="G634" s="3">
        <f t="shared" si="51"/>
        <v>45751</v>
      </c>
      <c r="H634">
        <v>1998440375</v>
      </c>
      <c r="I634" t="s">
        <v>21</v>
      </c>
      <c r="K634" t="s">
        <v>22</v>
      </c>
      <c r="L634" t="s">
        <v>23</v>
      </c>
      <c r="M634" t="s">
        <v>24</v>
      </c>
      <c r="N634" t="s">
        <v>24</v>
      </c>
      <c r="O634" t="s">
        <v>25</v>
      </c>
      <c r="P634" s="8" t="s">
        <v>893</v>
      </c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</row>
    <row r="635" spans="1:51" hidden="1" x14ac:dyDescent="0.2">
      <c r="A635" s="6" t="s">
        <v>17</v>
      </c>
      <c r="B635" t="s">
        <v>244</v>
      </c>
      <c r="C635" t="s">
        <v>245</v>
      </c>
      <c r="D635" t="s">
        <v>894</v>
      </c>
      <c r="E635" s="2">
        <v>300</v>
      </c>
      <c r="F635" s="3">
        <f t="shared" si="51"/>
        <v>45751</v>
      </c>
      <c r="G635" s="3">
        <f t="shared" si="51"/>
        <v>45751</v>
      </c>
      <c r="H635">
        <v>1998440376</v>
      </c>
      <c r="I635" t="s">
        <v>21</v>
      </c>
      <c r="K635" t="s">
        <v>22</v>
      </c>
      <c r="L635" t="s">
        <v>23</v>
      </c>
      <c r="M635" t="s">
        <v>24</v>
      </c>
      <c r="N635" t="s">
        <v>24</v>
      </c>
      <c r="O635" t="s">
        <v>25</v>
      </c>
      <c r="P635" s="8" t="s">
        <v>895</v>
      </c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</row>
    <row r="636" spans="1:51" hidden="1" x14ac:dyDescent="0.2">
      <c r="A636" s="6" t="s">
        <v>17</v>
      </c>
      <c r="B636" t="s">
        <v>70</v>
      </c>
      <c r="C636" t="s">
        <v>71</v>
      </c>
      <c r="D636" t="s">
        <v>896</v>
      </c>
      <c r="E636" s="2">
        <v>268.2</v>
      </c>
      <c r="F636" s="3">
        <f t="shared" si="51"/>
        <v>45751</v>
      </c>
      <c r="G636" s="3">
        <f t="shared" si="51"/>
        <v>45751</v>
      </c>
      <c r="H636">
        <v>1998440377</v>
      </c>
      <c r="I636" t="s">
        <v>21</v>
      </c>
      <c r="K636" t="s">
        <v>22</v>
      </c>
      <c r="L636" t="s">
        <v>23</v>
      </c>
      <c r="M636" t="s">
        <v>24</v>
      </c>
      <c r="N636" t="s">
        <v>24</v>
      </c>
      <c r="O636" t="s">
        <v>25</v>
      </c>
      <c r="P636" s="8" t="s">
        <v>897</v>
      </c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</row>
    <row r="637" spans="1:51" hidden="1" x14ac:dyDescent="0.2">
      <c r="A637" s="6"/>
      <c r="E637" s="2"/>
      <c r="F637" s="3"/>
      <c r="G637" s="3"/>
      <c r="P637" s="8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</row>
    <row r="638" spans="1:51" hidden="1" x14ac:dyDescent="0.2">
      <c r="A638" s="6" t="s">
        <v>17</v>
      </c>
      <c r="B638" t="s">
        <v>198</v>
      </c>
      <c r="C638" t="s">
        <v>199</v>
      </c>
      <c r="D638" t="s">
        <v>898</v>
      </c>
      <c r="E638" s="2">
        <v>235.08</v>
      </c>
      <c r="F638" s="3">
        <f>DATE(2025,4,5)</f>
        <v>45752</v>
      </c>
      <c r="G638" s="3">
        <f>DATE(2025,4,5)</f>
        <v>45752</v>
      </c>
      <c r="H638">
        <v>1998449485</v>
      </c>
      <c r="I638" t="s">
        <v>192</v>
      </c>
      <c r="K638" t="s">
        <v>22</v>
      </c>
      <c r="L638" t="s">
        <v>23</v>
      </c>
      <c r="M638" t="s">
        <v>24</v>
      </c>
      <c r="N638" t="s">
        <v>24</v>
      </c>
      <c r="O638" t="s">
        <v>25</v>
      </c>
      <c r="P638" s="8" t="s">
        <v>899</v>
      </c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</row>
    <row r="639" spans="1:51" hidden="1" x14ac:dyDescent="0.2">
      <c r="A639" s="6" t="s">
        <v>17</v>
      </c>
      <c r="B639" t="s">
        <v>198</v>
      </c>
      <c r="C639" t="s">
        <v>199</v>
      </c>
      <c r="D639" t="s">
        <v>900</v>
      </c>
      <c r="E639" s="2">
        <v>3617.78</v>
      </c>
      <c r="F639" s="3">
        <f>DATE(2025,4,5)</f>
        <v>45752</v>
      </c>
      <c r="G639" s="3">
        <f>DATE(2025,4,5)</f>
        <v>45752</v>
      </c>
      <c r="H639">
        <v>1998449486</v>
      </c>
      <c r="I639" t="s">
        <v>192</v>
      </c>
      <c r="K639" t="s">
        <v>22</v>
      </c>
      <c r="L639" t="s">
        <v>23</v>
      </c>
      <c r="M639" t="s">
        <v>24</v>
      </c>
      <c r="N639" t="s">
        <v>24</v>
      </c>
      <c r="O639" t="s">
        <v>25</v>
      </c>
      <c r="P639" s="8" t="s">
        <v>901</v>
      </c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</row>
    <row r="640" spans="1:51" hidden="1" x14ac:dyDescent="0.2">
      <c r="A640" s="6"/>
      <c r="E640" s="2"/>
      <c r="F640" s="3"/>
      <c r="G640" s="3"/>
      <c r="P640" s="8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</row>
    <row r="641" spans="1:51" hidden="1" x14ac:dyDescent="0.2">
      <c r="A641" s="6"/>
      <c r="E641" s="2"/>
      <c r="F641" s="3"/>
      <c r="G641" s="3"/>
      <c r="P641" s="8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</row>
    <row r="642" spans="1:51" hidden="1" x14ac:dyDescent="0.2">
      <c r="A642" s="6"/>
      <c r="E642" s="2"/>
      <c r="F642" s="3"/>
      <c r="G642" s="3"/>
      <c r="P642" s="8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</row>
    <row r="643" spans="1:51" hidden="1" x14ac:dyDescent="0.2">
      <c r="A643" s="6"/>
      <c r="E643" s="2"/>
      <c r="F643" s="3"/>
      <c r="G643" s="3"/>
      <c r="P643" s="8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</row>
    <row r="644" spans="1:51" hidden="1" x14ac:dyDescent="0.2">
      <c r="A644" s="6" t="s">
        <v>17</v>
      </c>
      <c r="B644" t="s">
        <v>118</v>
      </c>
      <c r="C644" t="s">
        <v>119</v>
      </c>
      <c r="D644" t="s">
        <v>160</v>
      </c>
      <c r="E644" s="2">
        <v>41.66</v>
      </c>
      <c r="F644" s="3">
        <f t="shared" ref="F644:G645" si="52">DATE(2025,4,4)</f>
        <v>45751</v>
      </c>
      <c r="G644" s="3">
        <f t="shared" si="52"/>
        <v>45751</v>
      </c>
      <c r="H644">
        <v>2000297787</v>
      </c>
      <c r="I644" t="s">
        <v>158</v>
      </c>
      <c r="K644" t="s">
        <v>22</v>
      </c>
      <c r="L644" t="s">
        <v>23</v>
      </c>
      <c r="M644" t="s">
        <v>24</v>
      </c>
      <c r="N644" t="s">
        <v>24</v>
      </c>
      <c r="O644" t="s">
        <v>25</v>
      </c>
      <c r="P644" s="8" t="s">
        <v>902</v>
      </c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</row>
    <row r="645" spans="1:51" hidden="1" x14ac:dyDescent="0.2">
      <c r="A645" s="6" t="s">
        <v>17</v>
      </c>
      <c r="B645" t="s">
        <v>118</v>
      </c>
      <c r="C645" t="s">
        <v>119</v>
      </c>
      <c r="D645" t="s">
        <v>160</v>
      </c>
      <c r="E645" s="2">
        <v>104.17</v>
      </c>
      <c r="F645" s="3">
        <f t="shared" si="52"/>
        <v>45751</v>
      </c>
      <c r="G645" s="3">
        <f t="shared" si="52"/>
        <v>45751</v>
      </c>
      <c r="H645">
        <v>2000297788</v>
      </c>
      <c r="I645" t="s">
        <v>158</v>
      </c>
      <c r="K645" t="s">
        <v>22</v>
      </c>
      <c r="L645" t="s">
        <v>23</v>
      </c>
      <c r="M645" t="s">
        <v>24</v>
      </c>
      <c r="N645" t="s">
        <v>24</v>
      </c>
      <c r="O645" t="s">
        <v>25</v>
      </c>
      <c r="P645" s="8" t="s">
        <v>903</v>
      </c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</row>
    <row r="646" spans="1:51" hidden="1" x14ac:dyDescent="0.2">
      <c r="A646" s="6"/>
      <c r="E646" s="2"/>
      <c r="F646" s="3"/>
      <c r="G646" s="3"/>
      <c r="P646" s="8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</row>
    <row r="647" spans="1:51" hidden="1" x14ac:dyDescent="0.2">
      <c r="A647" s="6" t="s">
        <v>17</v>
      </c>
      <c r="B647" t="s">
        <v>90</v>
      </c>
      <c r="C647" t="s">
        <v>91</v>
      </c>
      <c r="D647" t="s">
        <v>904</v>
      </c>
      <c r="E647" s="2">
        <v>200</v>
      </c>
      <c r="F647" s="3">
        <f>DATE(2025,4,5)</f>
        <v>45752</v>
      </c>
      <c r="G647" s="3">
        <f>DATE(2025,4,5)</f>
        <v>45752</v>
      </c>
      <c r="H647">
        <v>2000297790</v>
      </c>
      <c r="I647" t="s">
        <v>21</v>
      </c>
      <c r="K647" t="s">
        <v>22</v>
      </c>
      <c r="L647" t="s">
        <v>23</v>
      </c>
      <c r="M647" t="s">
        <v>24</v>
      </c>
      <c r="N647" t="s">
        <v>24</v>
      </c>
      <c r="O647" t="s">
        <v>25</v>
      </c>
      <c r="P647" s="8" t="s">
        <v>905</v>
      </c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</row>
    <row r="648" spans="1:51" hidden="1" x14ac:dyDescent="0.2">
      <c r="A648" s="6" t="s">
        <v>17</v>
      </c>
      <c r="B648" t="s">
        <v>35</v>
      </c>
      <c r="C648" t="s">
        <v>35</v>
      </c>
      <c r="D648" t="s">
        <v>906</v>
      </c>
      <c r="E648" s="2">
        <v>218.05</v>
      </c>
      <c r="F648" s="3">
        <f t="shared" ref="F648:G650" si="53">DATE(2025,4,7)</f>
        <v>45754</v>
      </c>
      <c r="G648" s="3">
        <f t="shared" si="53"/>
        <v>45754</v>
      </c>
      <c r="H648">
        <v>2004340826</v>
      </c>
      <c r="I648" t="s">
        <v>21</v>
      </c>
      <c r="K648" t="s">
        <v>22</v>
      </c>
      <c r="L648" t="s">
        <v>23</v>
      </c>
      <c r="M648" t="s">
        <v>24</v>
      </c>
      <c r="N648" t="s">
        <v>24</v>
      </c>
      <c r="O648" t="s">
        <v>25</v>
      </c>
      <c r="P648" s="8" t="s">
        <v>907</v>
      </c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</row>
    <row r="649" spans="1:51" hidden="1" x14ac:dyDescent="0.2">
      <c r="A649" s="6" t="s">
        <v>17</v>
      </c>
      <c r="B649" t="s">
        <v>42</v>
      </c>
      <c r="C649" t="s">
        <v>43</v>
      </c>
      <c r="D649" t="s">
        <v>44</v>
      </c>
      <c r="E649" s="2">
        <v>500</v>
      </c>
      <c r="F649" s="3">
        <f t="shared" si="53"/>
        <v>45754</v>
      </c>
      <c r="G649" s="3">
        <f t="shared" si="53"/>
        <v>45754</v>
      </c>
      <c r="H649">
        <v>2004340827</v>
      </c>
      <c r="I649" t="s">
        <v>21</v>
      </c>
      <c r="K649" t="s">
        <v>22</v>
      </c>
      <c r="L649" t="s">
        <v>23</v>
      </c>
      <c r="M649" t="s">
        <v>24</v>
      </c>
      <c r="N649" t="s">
        <v>24</v>
      </c>
      <c r="O649" t="s">
        <v>25</v>
      </c>
      <c r="P649" s="8" t="s">
        <v>908</v>
      </c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</row>
    <row r="650" spans="1:51" hidden="1" x14ac:dyDescent="0.2">
      <c r="A650" s="6" t="s">
        <v>17</v>
      </c>
      <c r="B650" t="s">
        <v>244</v>
      </c>
      <c r="C650" t="s">
        <v>245</v>
      </c>
      <c r="D650" t="s">
        <v>909</v>
      </c>
      <c r="E650" s="2">
        <v>386.06</v>
      </c>
      <c r="F650" s="3">
        <f t="shared" si="53"/>
        <v>45754</v>
      </c>
      <c r="G650" s="3">
        <f t="shared" si="53"/>
        <v>45754</v>
      </c>
      <c r="H650">
        <v>2004340828</v>
      </c>
      <c r="I650" t="s">
        <v>21</v>
      </c>
      <c r="K650" t="s">
        <v>22</v>
      </c>
      <c r="L650" t="s">
        <v>23</v>
      </c>
      <c r="M650" t="s">
        <v>24</v>
      </c>
      <c r="N650" t="s">
        <v>24</v>
      </c>
      <c r="O650" t="s">
        <v>25</v>
      </c>
      <c r="P650" s="8" t="s">
        <v>910</v>
      </c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</row>
    <row r="651" spans="1:51" hidden="1" x14ac:dyDescent="0.2">
      <c r="A651" s="6" t="s">
        <v>17</v>
      </c>
      <c r="B651" t="s">
        <v>565</v>
      </c>
      <c r="C651" t="s">
        <v>566</v>
      </c>
      <c r="D651" t="s">
        <v>911</v>
      </c>
      <c r="E651" s="2">
        <v>121.92</v>
      </c>
      <c r="F651" s="3">
        <f>DATE(2025,4,6)</f>
        <v>45753</v>
      </c>
      <c r="G651" s="3">
        <f>DATE(2025,4,6)</f>
        <v>45753</v>
      </c>
      <c r="H651">
        <v>2009069648</v>
      </c>
      <c r="I651" t="s">
        <v>158</v>
      </c>
      <c r="K651" t="s">
        <v>22</v>
      </c>
      <c r="L651" t="s">
        <v>23</v>
      </c>
      <c r="M651" t="s">
        <v>24</v>
      </c>
      <c r="N651" t="s">
        <v>24</v>
      </c>
      <c r="O651" t="s">
        <v>25</v>
      </c>
      <c r="P651" s="8" t="s">
        <v>912</v>
      </c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</row>
    <row r="652" spans="1:51" hidden="1" x14ac:dyDescent="0.2">
      <c r="A652" s="6" t="s">
        <v>17</v>
      </c>
      <c r="B652" t="s">
        <v>173</v>
      </c>
      <c r="C652" t="s">
        <v>154</v>
      </c>
      <c r="D652" t="s">
        <v>913</v>
      </c>
      <c r="E652" s="2">
        <v>118.63</v>
      </c>
      <c r="F652" s="3">
        <f>DATE(2025,4,5)</f>
        <v>45752</v>
      </c>
      <c r="G652" s="3">
        <f>DATE(2025,4,5)</f>
        <v>45752</v>
      </c>
      <c r="H652">
        <v>2009069649</v>
      </c>
      <c r="I652" t="s">
        <v>158</v>
      </c>
      <c r="K652" t="s">
        <v>22</v>
      </c>
      <c r="L652" t="s">
        <v>23</v>
      </c>
      <c r="M652" t="s">
        <v>24</v>
      </c>
      <c r="N652" t="s">
        <v>24</v>
      </c>
      <c r="O652" t="s">
        <v>25</v>
      </c>
      <c r="P652" s="8" t="s">
        <v>914</v>
      </c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</row>
    <row r="653" spans="1:51" hidden="1" x14ac:dyDescent="0.2">
      <c r="A653" s="6" t="s">
        <v>17</v>
      </c>
      <c r="B653" t="s">
        <v>118</v>
      </c>
      <c r="C653" t="s">
        <v>119</v>
      </c>
      <c r="D653" t="s">
        <v>160</v>
      </c>
      <c r="E653" s="2">
        <v>9.1999999999999993</v>
      </c>
      <c r="F653" s="3">
        <f>DATE(2025,4,4)</f>
        <v>45751</v>
      </c>
      <c r="G653" s="3">
        <f>DATE(2025,4,4)</f>
        <v>45751</v>
      </c>
      <c r="H653">
        <v>2009069650</v>
      </c>
      <c r="I653" t="s">
        <v>158</v>
      </c>
      <c r="K653" t="s">
        <v>22</v>
      </c>
      <c r="L653" t="s">
        <v>23</v>
      </c>
      <c r="M653" t="s">
        <v>24</v>
      </c>
      <c r="N653" t="s">
        <v>24</v>
      </c>
      <c r="O653" t="s">
        <v>25</v>
      </c>
      <c r="P653" s="8" t="s">
        <v>915</v>
      </c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</row>
    <row r="654" spans="1:51" x14ac:dyDescent="0.2">
      <c r="A654" s="6" t="s">
        <v>17</v>
      </c>
      <c r="B654" t="s">
        <v>342</v>
      </c>
      <c r="C654" t="s">
        <v>342</v>
      </c>
      <c r="D654" t="s">
        <v>916</v>
      </c>
      <c r="E654" s="2">
        <v>560.52</v>
      </c>
      <c r="F654" s="3">
        <f>DATE(2025,4,6)</f>
        <v>45753</v>
      </c>
      <c r="G654" s="3">
        <f>DATE(2025,4,6)</f>
        <v>45753</v>
      </c>
      <c r="H654">
        <v>2009069651</v>
      </c>
      <c r="I654" t="s">
        <v>158</v>
      </c>
      <c r="K654" t="s">
        <v>22</v>
      </c>
      <c r="L654" t="s">
        <v>23</v>
      </c>
      <c r="M654" t="s">
        <v>24</v>
      </c>
      <c r="N654" t="s">
        <v>24</v>
      </c>
      <c r="O654" t="s">
        <v>25</v>
      </c>
      <c r="P654" s="8" t="s">
        <v>917</v>
      </c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</row>
    <row r="655" spans="1:51" hidden="1" x14ac:dyDescent="0.2">
      <c r="A655" s="6" t="s">
        <v>17</v>
      </c>
      <c r="B655" t="s">
        <v>118</v>
      </c>
      <c r="C655" t="s">
        <v>119</v>
      </c>
      <c r="D655" t="s">
        <v>160</v>
      </c>
      <c r="E655" s="2">
        <v>18.97</v>
      </c>
      <c r="F655" s="3">
        <f>DATE(2025,4,4)</f>
        <v>45751</v>
      </c>
      <c r="G655" s="3">
        <f>DATE(2025,4,4)</f>
        <v>45751</v>
      </c>
      <c r="H655">
        <v>2009069652</v>
      </c>
      <c r="I655" t="s">
        <v>158</v>
      </c>
      <c r="K655" t="s">
        <v>22</v>
      </c>
      <c r="L655" t="s">
        <v>23</v>
      </c>
      <c r="M655" t="s">
        <v>24</v>
      </c>
      <c r="N655" t="s">
        <v>24</v>
      </c>
      <c r="O655" t="s">
        <v>25</v>
      </c>
      <c r="P655" s="8" t="s">
        <v>918</v>
      </c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</row>
    <row r="656" spans="1:51" hidden="1" x14ac:dyDescent="0.2">
      <c r="A656" s="6"/>
      <c r="E656" s="2"/>
      <c r="F656" s="3"/>
      <c r="G656" s="3"/>
      <c r="P656" s="8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</row>
    <row r="657" spans="1:51" hidden="1" x14ac:dyDescent="0.2">
      <c r="A657" s="6" t="s">
        <v>17</v>
      </c>
      <c r="B657" t="s">
        <v>84</v>
      </c>
      <c r="C657" t="s">
        <v>85</v>
      </c>
      <c r="D657" t="s">
        <v>919</v>
      </c>
      <c r="E657" s="2">
        <v>211.84</v>
      </c>
      <c r="F657" s="3">
        <f t="shared" ref="F657:G666" si="54">DATE(2025,4,7)</f>
        <v>45754</v>
      </c>
      <c r="G657" s="3">
        <f t="shared" si="54"/>
        <v>45754</v>
      </c>
      <c r="H657">
        <v>2009069654</v>
      </c>
      <c r="I657" t="s">
        <v>21</v>
      </c>
      <c r="K657" t="s">
        <v>22</v>
      </c>
      <c r="L657" t="s">
        <v>23</v>
      </c>
      <c r="M657" t="s">
        <v>24</v>
      </c>
      <c r="N657" t="s">
        <v>24</v>
      </c>
      <c r="O657" t="s">
        <v>25</v>
      </c>
      <c r="P657" s="8" t="s">
        <v>920</v>
      </c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</row>
    <row r="658" spans="1:51" hidden="1" x14ac:dyDescent="0.2">
      <c r="A658" s="6" t="s">
        <v>17</v>
      </c>
      <c r="B658" t="s">
        <v>84</v>
      </c>
      <c r="C658" t="s">
        <v>85</v>
      </c>
      <c r="D658" t="s">
        <v>921</v>
      </c>
      <c r="E658" s="2">
        <v>293.55</v>
      </c>
      <c r="F658" s="3">
        <f t="shared" si="54"/>
        <v>45754</v>
      </c>
      <c r="G658" s="3">
        <f t="shared" si="54"/>
        <v>45754</v>
      </c>
      <c r="H658">
        <v>2009069655</v>
      </c>
      <c r="I658" t="s">
        <v>21</v>
      </c>
      <c r="K658" t="s">
        <v>22</v>
      </c>
      <c r="L658" t="s">
        <v>23</v>
      </c>
      <c r="M658" t="s">
        <v>24</v>
      </c>
      <c r="N658" t="s">
        <v>24</v>
      </c>
      <c r="O658" t="s">
        <v>25</v>
      </c>
      <c r="P658" s="8" t="s">
        <v>922</v>
      </c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</row>
    <row r="659" spans="1:51" hidden="1" x14ac:dyDescent="0.2">
      <c r="A659" s="6" t="s">
        <v>17</v>
      </c>
      <c r="B659" t="s">
        <v>31</v>
      </c>
      <c r="C659" t="s">
        <v>32</v>
      </c>
      <c r="D659" t="s">
        <v>923</v>
      </c>
      <c r="E659" s="2">
        <v>52.5</v>
      </c>
      <c r="F659" s="3">
        <f t="shared" si="54"/>
        <v>45754</v>
      </c>
      <c r="G659" s="3">
        <f t="shared" si="54"/>
        <v>45754</v>
      </c>
      <c r="H659">
        <v>2009069656</v>
      </c>
      <c r="I659" t="s">
        <v>21</v>
      </c>
      <c r="K659" t="s">
        <v>22</v>
      </c>
      <c r="L659" t="s">
        <v>23</v>
      </c>
      <c r="M659" t="s">
        <v>24</v>
      </c>
      <c r="N659" t="s">
        <v>24</v>
      </c>
      <c r="O659" t="s">
        <v>25</v>
      </c>
      <c r="P659" s="8" t="s">
        <v>924</v>
      </c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</row>
    <row r="660" spans="1:51" hidden="1" x14ac:dyDescent="0.2">
      <c r="A660" s="6"/>
      <c r="E660" s="2"/>
      <c r="F660" s="3"/>
      <c r="G660" s="3"/>
      <c r="P660" s="8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</row>
    <row r="661" spans="1:51" hidden="1" x14ac:dyDescent="0.2">
      <c r="A661" s="6"/>
      <c r="E661" s="2"/>
      <c r="F661" s="3"/>
      <c r="G661" s="3"/>
      <c r="P661" s="8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</row>
    <row r="662" spans="1:51" hidden="1" x14ac:dyDescent="0.2">
      <c r="A662" s="6"/>
      <c r="E662" s="2"/>
      <c r="F662" s="3"/>
      <c r="G662" s="3"/>
      <c r="P662" s="8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</row>
    <row r="663" spans="1:51" hidden="1" x14ac:dyDescent="0.2">
      <c r="A663" s="6" t="s">
        <v>17</v>
      </c>
      <c r="B663" t="s">
        <v>118</v>
      </c>
      <c r="C663" t="s">
        <v>119</v>
      </c>
      <c r="D663" t="s">
        <v>925</v>
      </c>
      <c r="E663" s="2">
        <v>123.98</v>
      </c>
      <c r="F663" s="3">
        <f t="shared" si="54"/>
        <v>45754</v>
      </c>
      <c r="G663" s="3">
        <f t="shared" si="54"/>
        <v>45754</v>
      </c>
      <c r="H663">
        <v>2015210364</v>
      </c>
      <c r="I663" t="s">
        <v>158</v>
      </c>
      <c r="K663" t="s">
        <v>22</v>
      </c>
      <c r="L663" t="s">
        <v>23</v>
      </c>
      <c r="M663" t="s">
        <v>24</v>
      </c>
      <c r="N663" t="s">
        <v>24</v>
      </c>
      <c r="O663" t="s">
        <v>25</v>
      </c>
      <c r="P663" s="8" t="s">
        <v>926</v>
      </c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</row>
    <row r="664" spans="1:51" hidden="1" x14ac:dyDescent="0.2">
      <c r="A664" s="6" t="s">
        <v>17</v>
      </c>
      <c r="B664" t="s">
        <v>155</v>
      </c>
      <c r="C664" t="s">
        <v>156</v>
      </c>
      <c r="D664" t="s">
        <v>927</v>
      </c>
      <c r="E664" s="2">
        <v>16.309999999999999</v>
      </c>
      <c r="F664" s="3">
        <f t="shared" si="54"/>
        <v>45754</v>
      </c>
      <c r="G664" s="3">
        <f t="shared" si="54"/>
        <v>45754</v>
      </c>
      <c r="H664">
        <v>2015210365</v>
      </c>
      <c r="I664" t="s">
        <v>158</v>
      </c>
      <c r="K664" t="s">
        <v>22</v>
      </c>
      <c r="L664" t="s">
        <v>23</v>
      </c>
      <c r="M664" t="s">
        <v>24</v>
      </c>
      <c r="N664" t="s">
        <v>24</v>
      </c>
      <c r="O664" t="s">
        <v>25</v>
      </c>
      <c r="P664" s="8" t="s">
        <v>928</v>
      </c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</row>
    <row r="665" spans="1:51" x14ac:dyDescent="0.2">
      <c r="A665" s="6" t="s">
        <v>17</v>
      </c>
      <c r="B665" t="s">
        <v>342</v>
      </c>
      <c r="C665" t="s">
        <v>342</v>
      </c>
      <c r="D665" t="s">
        <v>840</v>
      </c>
      <c r="E665" s="2">
        <v>540.16</v>
      </c>
      <c r="F665" s="3">
        <f t="shared" si="54"/>
        <v>45754</v>
      </c>
      <c r="G665" s="3">
        <f t="shared" si="54"/>
        <v>45754</v>
      </c>
      <c r="H665">
        <v>2015210366</v>
      </c>
      <c r="I665" t="s">
        <v>158</v>
      </c>
      <c r="K665" t="s">
        <v>22</v>
      </c>
      <c r="L665" t="s">
        <v>23</v>
      </c>
      <c r="M665" t="s">
        <v>24</v>
      </c>
      <c r="N665" t="s">
        <v>24</v>
      </c>
      <c r="O665" t="s">
        <v>25</v>
      </c>
      <c r="P665" s="8" t="s">
        <v>929</v>
      </c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</row>
    <row r="666" spans="1:51" hidden="1" x14ac:dyDescent="0.2">
      <c r="A666" s="6" t="s">
        <v>17</v>
      </c>
      <c r="B666" t="s">
        <v>118</v>
      </c>
      <c r="C666" t="s">
        <v>119</v>
      </c>
      <c r="D666" t="s">
        <v>925</v>
      </c>
      <c r="E666" s="2">
        <v>12.49</v>
      </c>
      <c r="F666" s="3">
        <f t="shared" si="54"/>
        <v>45754</v>
      </c>
      <c r="G666" s="3">
        <f t="shared" si="54"/>
        <v>45754</v>
      </c>
      <c r="H666">
        <v>2015210367</v>
      </c>
      <c r="I666" t="s">
        <v>158</v>
      </c>
      <c r="K666" t="s">
        <v>22</v>
      </c>
      <c r="L666" t="s">
        <v>23</v>
      </c>
      <c r="M666" t="s">
        <v>24</v>
      </c>
      <c r="N666" t="s">
        <v>24</v>
      </c>
      <c r="O666" t="s">
        <v>25</v>
      </c>
      <c r="P666" s="8" t="s">
        <v>930</v>
      </c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</row>
    <row r="667" spans="1:51" hidden="1" x14ac:dyDescent="0.2">
      <c r="A667" s="6" t="s">
        <v>17</v>
      </c>
      <c r="B667" t="s">
        <v>118</v>
      </c>
      <c r="C667" t="s">
        <v>119</v>
      </c>
      <c r="D667" t="s">
        <v>925</v>
      </c>
      <c r="E667" s="2">
        <v>22.98</v>
      </c>
      <c r="F667" s="3">
        <f>DATE(2025,4,8)</f>
        <v>45755</v>
      </c>
      <c r="G667" s="3">
        <f>DATE(2025,4,8)</f>
        <v>45755</v>
      </c>
      <c r="H667">
        <v>2015210368</v>
      </c>
      <c r="I667" t="s">
        <v>158</v>
      </c>
      <c r="K667" t="s">
        <v>22</v>
      </c>
      <c r="L667" t="s">
        <v>23</v>
      </c>
      <c r="M667" t="s">
        <v>24</v>
      </c>
      <c r="N667" t="s">
        <v>24</v>
      </c>
      <c r="O667" t="s">
        <v>25</v>
      </c>
      <c r="P667" s="8" t="s">
        <v>931</v>
      </c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</row>
    <row r="668" spans="1:51" hidden="1" x14ac:dyDescent="0.2">
      <c r="A668" s="6" t="s">
        <v>17</v>
      </c>
      <c r="B668" t="s">
        <v>118</v>
      </c>
      <c r="C668" t="s">
        <v>119</v>
      </c>
      <c r="D668" t="s">
        <v>925</v>
      </c>
      <c r="E668" s="2">
        <v>19.920000000000002</v>
      </c>
      <c r="F668" s="3">
        <f>DATE(2025,4,7)</f>
        <v>45754</v>
      </c>
      <c r="G668" s="3">
        <f>DATE(2025,4,7)</f>
        <v>45754</v>
      </c>
      <c r="H668">
        <v>2015210369</v>
      </c>
      <c r="I668" t="s">
        <v>158</v>
      </c>
      <c r="K668" t="s">
        <v>22</v>
      </c>
      <c r="L668" t="s">
        <v>23</v>
      </c>
      <c r="M668" t="s">
        <v>24</v>
      </c>
      <c r="N668" t="s">
        <v>24</v>
      </c>
      <c r="O668" t="s">
        <v>25</v>
      </c>
      <c r="P668" s="8" t="s">
        <v>932</v>
      </c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</row>
    <row r="669" spans="1:51" x14ac:dyDescent="0.2">
      <c r="A669" s="6" t="s">
        <v>17</v>
      </c>
      <c r="B669" t="s">
        <v>342</v>
      </c>
      <c r="C669" t="s">
        <v>342</v>
      </c>
      <c r="D669" t="s">
        <v>933</v>
      </c>
      <c r="E669" s="2">
        <v>70.38</v>
      </c>
      <c r="F669" s="3">
        <f>DATE(2025,4,7)</f>
        <v>45754</v>
      </c>
      <c r="G669" s="3">
        <f>DATE(2025,4,7)</f>
        <v>45754</v>
      </c>
      <c r="H669">
        <v>2015210370</v>
      </c>
      <c r="I669" t="s">
        <v>158</v>
      </c>
      <c r="K669" t="s">
        <v>22</v>
      </c>
      <c r="L669" t="s">
        <v>23</v>
      </c>
      <c r="M669" t="s">
        <v>24</v>
      </c>
      <c r="N669" t="s">
        <v>24</v>
      </c>
      <c r="O669" t="s">
        <v>25</v>
      </c>
      <c r="P669" s="8" t="s">
        <v>934</v>
      </c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</row>
    <row r="670" spans="1:51" hidden="1" x14ac:dyDescent="0.2">
      <c r="A670" s="6"/>
      <c r="E670" s="2"/>
      <c r="F670" s="3"/>
      <c r="G670" s="3"/>
      <c r="P670" s="8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</row>
    <row r="671" spans="1:51" hidden="1" x14ac:dyDescent="0.2">
      <c r="A671" s="6" t="s">
        <v>17</v>
      </c>
      <c r="B671" t="s">
        <v>27</v>
      </c>
      <c r="C671" t="s">
        <v>28</v>
      </c>
      <c r="D671" t="s">
        <v>935</v>
      </c>
      <c r="E671" s="2">
        <v>871.08</v>
      </c>
      <c r="F671" s="3">
        <f>DATE(2025,4,9)</f>
        <v>45756</v>
      </c>
      <c r="G671" s="3">
        <f>DATE(2025,4,9)</f>
        <v>45756</v>
      </c>
      <c r="H671">
        <v>2015210373</v>
      </c>
      <c r="I671" t="s">
        <v>21</v>
      </c>
      <c r="K671" t="s">
        <v>22</v>
      </c>
      <c r="L671" t="s">
        <v>23</v>
      </c>
      <c r="M671" t="s">
        <v>24</v>
      </c>
      <c r="N671" t="s">
        <v>24</v>
      </c>
      <c r="O671" t="s">
        <v>25</v>
      </c>
      <c r="P671" s="8" t="s">
        <v>936</v>
      </c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</row>
    <row r="672" spans="1:51" hidden="1" x14ac:dyDescent="0.2">
      <c r="A672" s="6"/>
      <c r="E672" s="2"/>
      <c r="F672" s="3"/>
      <c r="G672" s="3"/>
      <c r="P672" s="8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</row>
    <row r="673" spans="1:51" hidden="1" x14ac:dyDescent="0.2">
      <c r="A673" s="6" t="s">
        <v>17</v>
      </c>
      <c r="B673" t="s">
        <v>118</v>
      </c>
      <c r="C673" t="s">
        <v>119</v>
      </c>
      <c r="D673" t="s">
        <v>937</v>
      </c>
      <c r="E673" s="2">
        <v>107.06</v>
      </c>
      <c r="F673" s="3">
        <f>DATE(2025,4,9)</f>
        <v>45756</v>
      </c>
      <c r="G673" s="3">
        <f>DATE(2025,4,9)</f>
        <v>45756</v>
      </c>
      <c r="H673">
        <v>2015210375</v>
      </c>
      <c r="I673" t="s">
        <v>21</v>
      </c>
      <c r="K673" t="s">
        <v>22</v>
      </c>
      <c r="L673" t="s">
        <v>23</v>
      </c>
      <c r="M673" t="s">
        <v>24</v>
      </c>
      <c r="N673" t="s">
        <v>24</v>
      </c>
      <c r="O673" t="s">
        <v>25</v>
      </c>
      <c r="P673" s="8" t="s">
        <v>938</v>
      </c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</row>
    <row r="674" spans="1:51" hidden="1" x14ac:dyDescent="0.2">
      <c r="A674" s="6"/>
      <c r="E674" s="2"/>
      <c r="F674" s="3"/>
      <c r="G674" s="3"/>
      <c r="P674" s="8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</row>
    <row r="675" spans="1:51" hidden="1" x14ac:dyDescent="0.2">
      <c r="A675" s="6"/>
      <c r="E675" s="2"/>
      <c r="F675" s="3"/>
      <c r="G675" s="3"/>
      <c r="P675" s="8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</row>
    <row r="676" spans="1:51" hidden="1" x14ac:dyDescent="0.2">
      <c r="A676" s="6" t="s">
        <v>17</v>
      </c>
      <c r="B676" t="s">
        <v>27</v>
      </c>
      <c r="C676" t="s">
        <v>28</v>
      </c>
      <c r="D676" t="s">
        <v>939</v>
      </c>
      <c r="E676" s="2">
        <v>1156.0999999999999</v>
      </c>
      <c r="F676" s="3">
        <f>DATE(2025,4,9)</f>
        <v>45756</v>
      </c>
      <c r="G676" s="3">
        <f>DATE(2025,4,9)</f>
        <v>45756</v>
      </c>
      <c r="H676">
        <v>2015210378</v>
      </c>
      <c r="I676" t="s">
        <v>21</v>
      </c>
      <c r="K676" t="s">
        <v>22</v>
      </c>
      <c r="L676" t="s">
        <v>23</v>
      </c>
      <c r="M676" t="s">
        <v>24</v>
      </c>
      <c r="N676" t="s">
        <v>24</v>
      </c>
      <c r="O676" t="s">
        <v>25</v>
      </c>
      <c r="P676" s="8" t="s">
        <v>940</v>
      </c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</row>
    <row r="677" spans="1:51" hidden="1" x14ac:dyDescent="0.2">
      <c r="A677" s="6" t="s">
        <v>17</v>
      </c>
      <c r="B677" t="s">
        <v>118</v>
      </c>
      <c r="C677" t="s">
        <v>119</v>
      </c>
      <c r="D677" t="s">
        <v>941</v>
      </c>
      <c r="E677" s="2">
        <v>32.340000000000003</v>
      </c>
      <c r="F677" s="3">
        <f>DATE(2025,4,8)</f>
        <v>45755</v>
      </c>
      <c r="G677" s="3">
        <f>DATE(2025,4,8)</f>
        <v>45755</v>
      </c>
      <c r="H677">
        <v>2015237377</v>
      </c>
      <c r="I677" t="s">
        <v>192</v>
      </c>
      <c r="K677" t="s">
        <v>22</v>
      </c>
      <c r="L677" t="s">
        <v>23</v>
      </c>
      <c r="M677" t="s">
        <v>24</v>
      </c>
      <c r="N677" t="s">
        <v>24</v>
      </c>
      <c r="O677" t="s">
        <v>25</v>
      </c>
      <c r="P677" s="8" t="s">
        <v>942</v>
      </c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</row>
    <row r="678" spans="1:51" hidden="1" x14ac:dyDescent="0.2">
      <c r="A678" s="6"/>
      <c r="E678" s="2"/>
      <c r="F678" s="3"/>
      <c r="G678" s="3"/>
      <c r="P678" s="8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</row>
    <row r="679" spans="1:51" x14ac:dyDescent="0.2">
      <c r="A679" s="6" t="s">
        <v>17</v>
      </c>
      <c r="B679" t="s">
        <v>342</v>
      </c>
      <c r="C679" t="s">
        <v>342</v>
      </c>
      <c r="D679" t="s">
        <v>943</v>
      </c>
      <c r="E679" s="2">
        <v>300</v>
      </c>
      <c r="F679" s="3">
        <f>DATE(2025,4,9)</f>
        <v>45756</v>
      </c>
      <c r="G679" s="3">
        <f>DATE(2025,4,9)</f>
        <v>45756</v>
      </c>
      <c r="H679">
        <v>2015237379</v>
      </c>
      <c r="I679" t="s">
        <v>192</v>
      </c>
      <c r="K679" t="s">
        <v>22</v>
      </c>
      <c r="L679" t="s">
        <v>23</v>
      </c>
      <c r="M679" t="s">
        <v>24</v>
      </c>
      <c r="N679" t="s">
        <v>24</v>
      </c>
      <c r="O679" t="s">
        <v>25</v>
      </c>
      <c r="P679" s="8" t="s">
        <v>944</v>
      </c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</row>
    <row r="680" spans="1:51" hidden="1" x14ac:dyDescent="0.2">
      <c r="A680" s="6" t="s">
        <v>17</v>
      </c>
      <c r="B680" t="s">
        <v>35</v>
      </c>
      <c r="C680" t="s">
        <v>35</v>
      </c>
      <c r="D680" t="s">
        <v>945</v>
      </c>
      <c r="E680" s="2">
        <v>30.98</v>
      </c>
      <c r="F680" s="3">
        <f>DATE(2025,4,9)</f>
        <v>45756</v>
      </c>
      <c r="G680" s="3">
        <f>DATE(2025,4,9)</f>
        <v>45756</v>
      </c>
      <c r="H680">
        <v>2015237380</v>
      </c>
      <c r="I680" t="s">
        <v>192</v>
      </c>
      <c r="K680" t="s">
        <v>22</v>
      </c>
      <c r="L680" t="s">
        <v>23</v>
      </c>
      <c r="M680" t="s">
        <v>24</v>
      </c>
      <c r="N680" t="s">
        <v>24</v>
      </c>
      <c r="O680" t="s">
        <v>25</v>
      </c>
      <c r="P680" s="8" t="s">
        <v>946</v>
      </c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</row>
    <row r="681" spans="1:51" hidden="1" x14ac:dyDescent="0.2">
      <c r="A681" s="6" t="s">
        <v>17</v>
      </c>
      <c r="B681" t="s">
        <v>118</v>
      </c>
      <c r="C681" t="s">
        <v>119</v>
      </c>
      <c r="D681" t="s">
        <v>947</v>
      </c>
      <c r="E681" s="2">
        <v>26.75</v>
      </c>
      <c r="F681" s="3">
        <f t="shared" ref="F681:G683" si="55">DATE(2025,4,8)</f>
        <v>45755</v>
      </c>
      <c r="G681" s="3">
        <f t="shared" si="55"/>
        <v>45755</v>
      </c>
      <c r="H681">
        <v>2015237381</v>
      </c>
      <c r="I681" t="s">
        <v>192</v>
      </c>
      <c r="K681" t="s">
        <v>22</v>
      </c>
      <c r="L681" t="s">
        <v>23</v>
      </c>
      <c r="M681" t="s">
        <v>24</v>
      </c>
      <c r="N681" t="s">
        <v>24</v>
      </c>
      <c r="O681" t="s">
        <v>25</v>
      </c>
      <c r="P681" s="8" t="s">
        <v>948</v>
      </c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</row>
    <row r="682" spans="1:51" hidden="1" x14ac:dyDescent="0.2">
      <c r="A682" s="6"/>
      <c r="E682" s="2"/>
      <c r="F682" s="3"/>
      <c r="G682" s="3"/>
      <c r="P682" s="8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</row>
    <row r="683" spans="1:51" x14ac:dyDescent="0.2">
      <c r="A683" s="6" t="s">
        <v>17</v>
      </c>
      <c r="B683" t="s">
        <v>342</v>
      </c>
      <c r="C683" t="s">
        <v>342</v>
      </c>
      <c r="D683" t="s">
        <v>949</v>
      </c>
      <c r="E683" s="2">
        <v>68</v>
      </c>
      <c r="F683" s="3">
        <f t="shared" si="55"/>
        <v>45755</v>
      </c>
      <c r="G683" s="3">
        <f t="shared" si="55"/>
        <v>45755</v>
      </c>
      <c r="H683">
        <v>2015237383</v>
      </c>
      <c r="I683" t="s">
        <v>192</v>
      </c>
      <c r="K683" t="s">
        <v>22</v>
      </c>
      <c r="L683" t="s">
        <v>23</v>
      </c>
      <c r="M683" t="s">
        <v>24</v>
      </c>
      <c r="N683" t="s">
        <v>24</v>
      </c>
      <c r="O683" t="s">
        <v>25</v>
      </c>
      <c r="P683" s="8" t="s">
        <v>950</v>
      </c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</row>
    <row r="684" spans="1:51" hidden="1" x14ac:dyDescent="0.2">
      <c r="A684" s="6" t="s">
        <v>17</v>
      </c>
      <c r="B684" t="s">
        <v>42</v>
      </c>
      <c r="C684" t="s">
        <v>43</v>
      </c>
      <c r="D684" t="s">
        <v>951</v>
      </c>
      <c r="E684" s="2">
        <v>7</v>
      </c>
      <c r="F684" s="3">
        <f t="shared" ref="F684:G686" si="56">DATE(2025,4,9)</f>
        <v>45756</v>
      </c>
      <c r="G684" s="3">
        <f t="shared" si="56"/>
        <v>45756</v>
      </c>
      <c r="H684">
        <v>2019927156</v>
      </c>
      <c r="I684" t="s">
        <v>158</v>
      </c>
      <c r="K684" t="s">
        <v>22</v>
      </c>
      <c r="L684" t="s">
        <v>23</v>
      </c>
      <c r="M684" t="s">
        <v>24</v>
      </c>
      <c r="N684" t="s">
        <v>24</v>
      </c>
      <c r="O684" t="s">
        <v>25</v>
      </c>
      <c r="P684" s="8" t="s">
        <v>952</v>
      </c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</row>
    <row r="685" spans="1:51" hidden="1" x14ac:dyDescent="0.2">
      <c r="A685" s="6" t="s">
        <v>17</v>
      </c>
      <c r="B685" t="s">
        <v>173</v>
      </c>
      <c r="C685" t="s">
        <v>154</v>
      </c>
      <c r="D685" t="s">
        <v>913</v>
      </c>
      <c r="E685" s="2">
        <v>21.85</v>
      </c>
      <c r="F685" s="3">
        <f t="shared" si="56"/>
        <v>45756</v>
      </c>
      <c r="G685" s="3">
        <f t="shared" si="56"/>
        <v>45756</v>
      </c>
      <c r="H685">
        <v>2019927157</v>
      </c>
      <c r="I685" t="s">
        <v>158</v>
      </c>
      <c r="K685" t="s">
        <v>22</v>
      </c>
      <c r="L685" t="s">
        <v>23</v>
      </c>
      <c r="M685" t="s">
        <v>24</v>
      </c>
      <c r="N685" t="s">
        <v>24</v>
      </c>
      <c r="O685" t="s">
        <v>25</v>
      </c>
      <c r="P685" s="8" t="s">
        <v>953</v>
      </c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</row>
    <row r="686" spans="1:51" hidden="1" x14ac:dyDescent="0.2">
      <c r="A686" s="6" t="s">
        <v>17</v>
      </c>
      <c r="B686" t="s">
        <v>118</v>
      </c>
      <c r="C686" t="s">
        <v>119</v>
      </c>
      <c r="D686" t="s">
        <v>796</v>
      </c>
      <c r="E686" s="2">
        <v>57.42</v>
      </c>
      <c r="F686" s="3">
        <f t="shared" si="56"/>
        <v>45756</v>
      </c>
      <c r="G686" s="3">
        <f t="shared" si="56"/>
        <v>45756</v>
      </c>
      <c r="H686">
        <v>2019927158</v>
      </c>
      <c r="I686" t="s">
        <v>158</v>
      </c>
      <c r="K686" t="s">
        <v>22</v>
      </c>
      <c r="L686" t="s">
        <v>23</v>
      </c>
      <c r="M686" t="s">
        <v>24</v>
      </c>
      <c r="N686" t="s">
        <v>24</v>
      </c>
      <c r="O686" t="s">
        <v>25</v>
      </c>
      <c r="P686" s="8" t="s">
        <v>954</v>
      </c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</row>
    <row r="687" spans="1:51" hidden="1" x14ac:dyDescent="0.2">
      <c r="A687" s="6" t="s">
        <v>17</v>
      </c>
      <c r="B687" t="s">
        <v>46</v>
      </c>
      <c r="C687" t="s">
        <v>47</v>
      </c>
      <c r="D687" t="s">
        <v>955</v>
      </c>
      <c r="E687" s="2">
        <v>324</v>
      </c>
      <c r="F687" s="3">
        <f>DATE(2025,4,10)</f>
        <v>45757</v>
      </c>
      <c r="G687" s="3">
        <f>DATE(2025,4,10)</f>
        <v>45757</v>
      </c>
      <c r="H687">
        <v>2019927159</v>
      </c>
      <c r="I687" t="s">
        <v>21</v>
      </c>
      <c r="K687" t="s">
        <v>22</v>
      </c>
      <c r="L687" t="s">
        <v>23</v>
      </c>
      <c r="M687" t="s">
        <v>24</v>
      </c>
      <c r="N687" t="s">
        <v>24</v>
      </c>
      <c r="O687" t="s">
        <v>25</v>
      </c>
      <c r="P687" s="8" t="s">
        <v>956</v>
      </c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</row>
    <row r="688" spans="1:51" hidden="1" x14ac:dyDescent="0.2">
      <c r="A688" s="6"/>
      <c r="E688" s="2"/>
      <c r="F688" s="3"/>
      <c r="G688" s="3"/>
      <c r="P688" s="8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</row>
    <row r="689" spans="1:51" x14ac:dyDescent="0.2">
      <c r="A689" s="6" t="s">
        <v>17</v>
      </c>
      <c r="B689" t="s">
        <v>342</v>
      </c>
      <c r="C689" t="s">
        <v>342</v>
      </c>
      <c r="D689" t="s">
        <v>957</v>
      </c>
      <c r="E689" s="2">
        <v>12</v>
      </c>
      <c r="F689" s="3">
        <f>DATE(2025,4,11)</f>
        <v>45758</v>
      </c>
      <c r="G689" s="3">
        <f>DATE(2025,4,11)</f>
        <v>45758</v>
      </c>
      <c r="H689">
        <v>2019927161</v>
      </c>
      <c r="I689" t="s">
        <v>21</v>
      </c>
      <c r="K689" t="s">
        <v>22</v>
      </c>
      <c r="L689" t="s">
        <v>23</v>
      </c>
      <c r="M689" t="s">
        <v>24</v>
      </c>
      <c r="N689" t="s">
        <v>24</v>
      </c>
      <c r="O689" t="s">
        <v>25</v>
      </c>
      <c r="P689" s="8" t="s">
        <v>958</v>
      </c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</row>
    <row r="690" spans="1:51" hidden="1" x14ac:dyDescent="0.2">
      <c r="A690" s="6" t="s">
        <v>17</v>
      </c>
      <c r="B690" t="s">
        <v>42</v>
      </c>
      <c r="C690" t="s">
        <v>43</v>
      </c>
      <c r="D690" t="s">
        <v>959</v>
      </c>
      <c r="E690" s="2">
        <v>143.30000000000001</v>
      </c>
      <c r="F690" s="3">
        <f t="shared" ref="F690:G693" si="57">DATE(2025,4,10)</f>
        <v>45757</v>
      </c>
      <c r="G690" s="3">
        <f t="shared" si="57"/>
        <v>45757</v>
      </c>
      <c r="H690">
        <v>2019927162</v>
      </c>
      <c r="I690" t="s">
        <v>21</v>
      </c>
      <c r="K690" t="s">
        <v>22</v>
      </c>
      <c r="L690" t="s">
        <v>23</v>
      </c>
      <c r="M690" t="s">
        <v>24</v>
      </c>
      <c r="N690" t="s">
        <v>24</v>
      </c>
      <c r="O690" t="s">
        <v>25</v>
      </c>
      <c r="P690" s="8" t="s">
        <v>960</v>
      </c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</row>
    <row r="691" spans="1:51" hidden="1" x14ac:dyDescent="0.2">
      <c r="A691" s="6" t="s">
        <v>17</v>
      </c>
      <c r="B691" t="s">
        <v>60</v>
      </c>
      <c r="C691" t="s">
        <v>61</v>
      </c>
      <c r="D691" t="s">
        <v>961</v>
      </c>
      <c r="E691" s="2">
        <v>223.23</v>
      </c>
      <c r="F691" s="3">
        <f t="shared" si="57"/>
        <v>45757</v>
      </c>
      <c r="G691" s="3">
        <f t="shared" si="57"/>
        <v>45757</v>
      </c>
      <c r="H691">
        <v>2019927163</v>
      </c>
      <c r="I691" t="s">
        <v>21</v>
      </c>
      <c r="K691" t="s">
        <v>22</v>
      </c>
      <c r="L691" t="s">
        <v>23</v>
      </c>
      <c r="M691" t="s">
        <v>24</v>
      </c>
      <c r="N691" t="s">
        <v>24</v>
      </c>
      <c r="O691" t="s">
        <v>25</v>
      </c>
      <c r="P691" s="8" t="s">
        <v>962</v>
      </c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</row>
    <row r="692" spans="1:51" hidden="1" x14ac:dyDescent="0.2">
      <c r="A692" s="6" t="s">
        <v>17</v>
      </c>
      <c r="B692" t="s">
        <v>60</v>
      </c>
      <c r="C692" t="s">
        <v>61</v>
      </c>
      <c r="D692" t="s">
        <v>963</v>
      </c>
      <c r="E692" s="2">
        <v>118.8</v>
      </c>
      <c r="F692" s="3">
        <f t="shared" si="57"/>
        <v>45757</v>
      </c>
      <c r="G692" s="3">
        <f t="shared" si="57"/>
        <v>45757</v>
      </c>
      <c r="H692">
        <v>2019927164</v>
      </c>
      <c r="I692" t="s">
        <v>21</v>
      </c>
      <c r="K692" t="s">
        <v>22</v>
      </c>
      <c r="L692" t="s">
        <v>23</v>
      </c>
      <c r="M692" t="s">
        <v>24</v>
      </c>
      <c r="N692" t="s">
        <v>24</v>
      </c>
      <c r="O692" t="s">
        <v>25</v>
      </c>
      <c r="P692" s="8" t="s">
        <v>964</v>
      </c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</row>
    <row r="693" spans="1:51" hidden="1" x14ac:dyDescent="0.2">
      <c r="A693" s="6" t="s">
        <v>17</v>
      </c>
      <c r="B693" t="s">
        <v>35</v>
      </c>
      <c r="C693" t="s">
        <v>35</v>
      </c>
      <c r="D693" t="s">
        <v>965</v>
      </c>
      <c r="E693" s="2">
        <v>1.02</v>
      </c>
      <c r="F693" s="3">
        <f t="shared" si="57"/>
        <v>45757</v>
      </c>
      <c r="G693" s="3">
        <f t="shared" si="57"/>
        <v>45757</v>
      </c>
      <c r="H693">
        <v>2019927165</v>
      </c>
      <c r="I693" t="s">
        <v>21</v>
      </c>
      <c r="K693" t="s">
        <v>22</v>
      </c>
      <c r="L693" t="s">
        <v>23</v>
      </c>
      <c r="M693" t="s">
        <v>24</v>
      </c>
      <c r="N693" t="s">
        <v>24</v>
      </c>
      <c r="O693" t="s">
        <v>25</v>
      </c>
      <c r="P693" s="8" t="s">
        <v>966</v>
      </c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</row>
    <row r="694" spans="1:51" hidden="1" x14ac:dyDescent="0.2">
      <c r="A694" s="6" t="s">
        <v>17</v>
      </c>
      <c r="B694" t="s">
        <v>118</v>
      </c>
      <c r="C694" t="s">
        <v>119</v>
      </c>
      <c r="D694" t="s">
        <v>967</v>
      </c>
      <c r="E694" s="2">
        <v>30</v>
      </c>
      <c r="F694" s="3">
        <f>DATE(2025,4,11)</f>
        <v>45758</v>
      </c>
      <c r="G694" s="3">
        <f>DATE(2025,4,11)</f>
        <v>45758</v>
      </c>
      <c r="H694">
        <v>2019927166</v>
      </c>
      <c r="I694" t="s">
        <v>21</v>
      </c>
      <c r="K694" t="s">
        <v>22</v>
      </c>
      <c r="L694" t="s">
        <v>23</v>
      </c>
      <c r="M694" t="s">
        <v>24</v>
      </c>
      <c r="N694" t="s">
        <v>24</v>
      </c>
      <c r="O694" t="s">
        <v>25</v>
      </c>
      <c r="P694" s="8" t="s">
        <v>968</v>
      </c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</row>
    <row r="695" spans="1:51" hidden="1" x14ac:dyDescent="0.2">
      <c r="A695" s="6"/>
      <c r="E695" s="2"/>
      <c r="F695" s="3"/>
      <c r="G695" s="3"/>
      <c r="P695" s="8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</row>
    <row r="696" spans="1:51" hidden="1" x14ac:dyDescent="0.2">
      <c r="A696" s="6"/>
      <c r="E696" s="2"/>
      <c r="F696" s="3"/>
      <c r="G696" s="3"/>
      <c r="P696" s="8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</row>
    <row r="697" spans="1:51" hidden="1" x14ac:dyDescent="0.2">
      <c r="A697" s="6"/>
      <c r="E697" s="2"/>
      <c r="F697" s="3"/>
      <c r="G697" s="3"/>
      <c r="P697" s="8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</row>
    <row r="698" spans="1:51" hidden="1" x14ac:dyDescent="0.2">
      <c r="A698" s="6" t="s">
        <v>17</v>
      </c>
      <c r="B698" t="s">
        <v>118</v>
      </c>
      <c r="C698" t="s">
        <v>119</v>
      </c>
      <c r="D698" t="s">
        <v>969</v>
      </c>
      <c r="E698" s="2">
        <v>502.46</v>
      </c>
      <c r="F698" s="3">
        <f>DATE(2025,4,8)</f>
        <v>45755</v>
      </c>
      <c r="G698" s="3">
        <f>DATE(2025,4,8)</f>
        <v>45755</v>
      </c>
      <c r="H698">
        <v>2022888205</v>
      </c>
      <c r="I698" t="s">
        <v>158</v>
      </c>
      <c r="K698" t="s">
        <v>22</v>
      </c>
      <c r="L698" t="s">
        <v>23</v>
      </c>
      <c r="M698" t="s">
        <v>24</v>
      </c>
      <c r="N698" t="s">
        <v>24</v>
      </c>
      <c r="O698" t="s">
        <v>25</v>
      </c>
      <c r="P698" s="8" t="s">
        <v>970</v>
      </c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</row>
    <row r="699" spans="1:51" hidden="1" x14ac:dyDescent="0.2">
      <c r="A699" s="6" t="s">
        <v>17</v>
      </c>
      <c r="B699" t="s">
        <v>118</v>
      </c>
      <c r="C699" t="s">
        <v>119</v>
      </c>
      <c r="D699" t="s">
        <v>786</v>
      </c>
      <c r="E699" s="2">
        <v>32.32</v>
      </c>
      <c r="F699" s="3">
        <f>DATE(2025,4,10)</f>
        <v>45757</v>
      </c>
      <c r="G699" s="3">
        <f>DATE(2025,4,10)</f>
        <v>45757</v>
      </c>
      <c r="H699">
        <v>2022888206</v>
      </c>
      <c r="I699" t="s">
        <v>158</v>
      </c>
      <c r="K699" t="s">
        <v>22</v>
      </c>
      <c r="L699" t="s">
        <v>23</v>
      </c>
      <c r="M699" t="s">
        <v>24</v>
      </c>
      <c r="N699" t="s">
        <v>24</v>
      </c>
      <c r="O699" t="s">
        <v>25</v>
      </c>
      <c r="P699" s="8" t="s">
        <v>971</v>
      </c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</row>
    <row r="700" spans="1:51" hidden="1" x14ac:dyDescent="0.2">
      <c r="A700" s="6"/>
      <c r="E700" s="2"/>
      <c r="F700" s="3"/>
      <c r="G700" s="3"/>
      <c r="P700" s="8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</row>
    <row r="701" spans="1:51" hidden="1" x14ac:dyDescent="0.2">
      <c r="A701" s="6"/>
      <c r="E701" s="2"/>
      <c r="F701" s="3"/>
      <c r="G701" s="3"/>
      <c r="P701" s="8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</row>
    <row r="702" spans="1:51" hidden="1" x14ac:dyDescent="0.2">
      <c r="A702" s="6"/>
      <c r="E702" s="2"/>
      <c r="F702" s="3"/>
      <c r="G702" s="3"/>
      <c r="P702" s="8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</row>
    <row r="703" spans="1:51" hidden="1" x14ac:dyDescent="0.2">
      <c r="A703" s="6"/>
      <c r="E703" s="2"/>
      <c r="F703" s="3"/>
      <c r="G703" s="3"/>
      <c r="P703" s="8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</row>
    <row r="704" spans="1:51" hidden="1" x14ac:dyDescent="0.2">
      <c r="A704" s="6"/>
      <c r="E704" s="2"/>
      <c r="F704" s="3"/>
      <c r="G704" s="3"/>
      <c r="P704" s="8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</row>
    <row r="705" spans="1:51" hidden="1" x14ac:dyDescent="0.2">
      <c r="A705" s="6"/>
      <c r="E705" s="2"/>
      <c r="F705" s="3"/>
      <c r="G705" s="3"/>
      <c r="P705" s="8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</row>
    <row r="706" spans="1:51" hidden="1" x14ac:dyDescent="0.2">
      <c r="A706" s="6"/>
      <c r="E706" s="2"/>
      <c r="F706" s="3"/>
      <c r="G706" s="3"/>
      <c r="P706" s="8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</row>
    <row r="707" spans="1:51" hidden="1" x14ac:dyDescent="0.2">
      <c r="A707" s="6" t="s">
        <v>17</v>
      </c>
      <c r="B707" t="s">
        <v>118</v>
      </c>
      <c r="C707" t="s">
        <v>119</v>
      </c>
      <c r="D707" t="s">
        <v>776</v>
      </c>
      <c r="E707" s="2">
        <v>209</v>
      </c>
      <c r="F707" s="3">
        <f t="shared" ref="F707:G708" si="58">DATE(2025,4,11)</f>
        <v>45758</v>
      </c>
      <c r="G707" s="3">
        <f t="shared" si="58"/>
        <v>45758</v>
      </c>
      <c r="H707">
        <v>2024987989</v>
      </c>
      <c r="I707" t="s">
        <v>158</v>
      </c>
      <c r="K707" t="s">
        <v>22</v>
      </c>
      <c r="L707" t="s">
        <v>23</v>
      </c>
      <c r="M707" t="s">
        <v>24</v>
      </c>
      <c r="N707" t="s">
        <v>24</v>
      </c>
      <c r="O707" t="s">
        <v>25</v>
      </c>
      <c r="P707" s="8" t="s">
        <v>972</v>
      </c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</row>
    <row r="708" spans="1:51" hidden="1" x14ac:dyDescent="0.2">
      <c r="A708" s="6" t="s">
        <v>17</v>
      </c>
      <c r="B708" t="s">
        <v>132</v>
      </c>
      <c r="C708" t="s">
        <v>133</v>
      </c>
      <c r="D708" t="s">
        <v>751</v>
      </c>
      <c r="E708" s="2">
        <v>150</v>
      </c>
      <c r="F708" s="3">
        <f t="shared" si="58"/>
        <v>45758</v>
      </c>
      <c r="G708" s="3">
        <f t="shared" si="58"/>
        <v>45758</v>
      </c>
      <c r="H708">
        <v>2024987990</v>
      </c>
      <c r="I708" t="s">
        <v>158</v>
      </c>
      <c r="K708" t="s">
        <v>22</v>
      </c>
      <c r="L708" t="s">
        <v>23</v>
      </c>
      <c r="M708" t="s">
        <v>24</v>
      </c>
      <c r="N708" t="s">
        <v>24</v>
      </c>
      <c r="O708" t="s">
        <v>25</v>
      </c>
      <c r="P708" s="8" t="s">
        <v>973</v>
      </c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</row>
    <row r="709" spans="1:51" hidden="1" x14ac:dyDescent="0.2">
      <c r="A709" s="6" t="s">
        <v>17</v>
      </c>
      <c r="B709" t="s">
        <v>260</v>
      </c>
      <c r="C709" t="s">
        <v>261</v>
      </c>
      <c r="D709" t="s">
        <v>974</v>
      </c>
      <c r="E709" s="2">
        <v>250</v>
      </c>
      <c r="F709" s="3">
        <f>DATE(2025,4,12)</f>
        <v>45759</v>
      </c>
      <c r="G709" s="3">
        <f>DATE(2025,4,12)</f>
        <v>45759</v>
      </c>
      <c r="H709">
        <v>2024987991</v>
      </c>
      <c r="I709" t="s">
        <v>21</v>
      </c>
      <c r="K709" t="s">
        <v>22</v>
      </c>
      <c r="L709" t="s">
        <v>23</v>
      </c>
      <c r="M709" t="s">
        <v>24</v>
      </c>
      <c r="N709" t="s">
        <v>24</v>
      </c>
      <c r="O709" t="s">
        <v>25</v>
      </c>
      <c r="P709" s="8" t="s">
        <v>975</v>
      </c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</row>
    <row r="710" spans="1:51" hidden="1" x14ac:dyDescent="0.2">
      <c r="A710" s="6"/>
      <c r="E710" s="2"/>
      <c r="F710" s="3"/>
      <c r="G710" s="3"/>
      <c r="P710" s="8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</row>
    <row r="711" spans="1:51" hidden="1" x14ac:dyDescent="0.2">
      <c r="A711" s="6" t="s">
        <v>17</v>
      </c>
      <c r="B711" t="s">
        <v>35</v>
      </c>
      <c r="C711" t="s">
        <v>35</v>
      </c>
      <c r="D711" t="s">
        <v>976</v>
      </c>
      <c r="E711" s="2">
        <v>0.56000000000000005</v>
      </c>
      <c r="F711" s="3">
        <f t="shared" ref="F711:G714" si="59">DATE(2025,4,14)</f>
        <v>45761</v>
      </c>
      <c r="G711" s="3">
        <f t="shared" si="59"/>
        <v>45761</v>
      </c>
      <c r="H711">
        <v>2029707451</v>
      </c>
      <c r="I711" t="s">
        <v>21</v>
      </c>
      <c r="K711" t="s">
        <v>22</v>
      </c>
      <c r="L711" t="s">
        <v>23</v>
      </c>
      <c r="M711" t="s">
        <v>24</v>
      </c>
      <c r="N711" t="s">
        <v>24</v>
      </c>
      <c r="O711" t="s">
        <v>25</v>
      </c>
      <c r="P711" s="8" t="s">
        <v>977</v>
      </c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</row>
    <row r="712" spans="1:51" hidden="1" x14ac:dyDescent="0.2">
      <c r="A712" s="6" t="s">
        <v>17</v>
      </c>
      <c r="B712" t="s">
        <v>31</v>
      </c>
      <c r="C712" t="s">
        <v>32</v>
      </c>
      <c r="D712" t="s">
        <v>978</v>
      </c>
      <c r="E712" s="2">
        <v>127.2</v>
      </c>
      <c r="F712" s="3">
        <f t="shared" si="59"/>
        <v>45761</v>
      </c>
      <c r="G712" s="3">
        <f t="shared" si="59"/>
        <v>45761</v>
      </c>
      <c r="H712">
        <v>2029707452</v>
      </c>
      <c r="I712" t="s">
        <v>21</v>
      </c>
      <c r="K712" t="s">
        <v>22</v>
      </c>
      <c r="L712" t="s">
        <v>23</v>
      </c>
      <c r="M712" t="s">
        <v>24</v>
      </c>
      <c r="N712" t="s">
        <v>24</v>
      </c>
      <c r="O712" t="s">
        <v>25</v>
      </c>
      <c r="P712" s="8" t="s">
        <v>979</v>
      </c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</row>
    <row r="713" spans="1:51" hidden="1" x14ac:dyDescent="0.2">
      <c r="A713" s="6" t="s">
        <v>17</v>
      </c>
      <c r="B713" t="s">
        <v>980</v>
      </c>
      <c r="C713" t="s">
        <v>981</v>
      </c>
      <c r="D713" t="s">
        <v>982</v>
      </c>
      <c r="E713" s="2">
        <v>93.26</v>
      </c>
      <c r="F713" s="3">
        <f t="shared" si="59"/>
        <v>45761</v>
      </c>
      <c r="G713" s="3">
        <f t="shared" si="59"/>
        <v>45761</v>
      </c>
      <c r="H713">
        <v>2029707453</v>
      </c>
      <c r="I713" t="s">
        <v>21</v>
      </c>
      <c r="K713" t="s">
        <v>22</v>
      </c>
      <c r="L713" t="s">
        <v>23</v>
      </c>
      <c r="M713" t="s">
        <v>24</v>
      </c>
      <c r="N713" t="s">
        <v>24</v>
      </c>
      <c r="O713" t="s">
        <v>25</v>
      </c>
      <c r="P713" s="8" t="s">
        <v>983</v>
      </c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</row>
    <row r="714" spans="1:51" hidden="1" x14ac:dyDescent="0.2">
      <c r="A714" s="6" t="s">
        <v>17</v>
      </c>
      <c r="B714" t="s">
        <v>84</v>
      </c>
      <c r="C714" t="s">
        <v>85</v>
      </c>
      <c r="D714" t="s">
        <v>984</v>
      </c>
      <c r="E714" s="2">
        <v>58</v>
      </c>
      <c r="F714" s="3">
        <f t="shared" si="59"/>
        <v>45761</v>
      </c>
      <c r="G714" s="3">
        <f t="shared" si="59"/>
        <v>45761</v>
      </c>
      <c r="H714">
        <v>2029707454</v>
      </c>
      <c r="I714" t="s">
        <v>21</v>
      </c>
      <c r="K714" t="s">
        <v>22</v>
      </c>
      <c r="L714" t="s">
        <v>23</v>
      </c>
      <c r="M714" t="s">
        <v>24</v>
      </c>
      <c r="N714" t="s">
        <v>24</v>
      </c>
      <c r="O714" t="s">
        <v>25</v>
      </c>
      <c r="P714" s="8" t="s">
        <v>985</v>
      </c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</row>
    <row r="715" spans="1:51" hidden="1" x14ac:dyDescent="0.2">
      <c r="A715" s="6" t="s">
        <v>17</v>
      </c>
      <c r="B715" t="s">
        <v>42</v>
      </c>
      <c r="C715" t="s">
        <v>43</v>
      </c>
      <c r="D715" t="s">
        <v>170</v>
      </c>
      <c r="E715" s="2">
        <v>40</v>
      </c>
      <c r="F715" s="3">
        <f>DATE(2025,4,13)</f>
        <v>45760</v>
      </c>
      <c r="G715" s="3">
        <f>DATE(2025,4,13)</f>
        <v>45760</v>
      </c>
      <c r="H715">
        <v>2035275237</v>
      </c>
      <c r="I715" t="s">
        <v>158</v>
      </c>
      <c r="K715" t="s">
        <v>22</v>
      </c>
      <c r="L715" t="s">
        <v>23</v>
      </c>
      <c r="M715" t="s">
        <v>24</v>
      </c>
      <c r="N715" t="s">
        <v>24</v>
      </c>
      <c r="O715" t="s">
        <v>25</v>
      </c>
      <c r="P715" s="8" t="s">
        <v>986</v>
      </c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</row>
    <row r="716" spans="1:51" hidden="1" x14ac:dyDescent="0.2">
      <c r="A716" s="6"/>
      <c r="E716" s="2"/>
      <c r="F716" s="3"/>
      <c r="G716" s="3"/>
      <c r="P716" s="8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</row>
    <row r="717" spans="1:51" hidden="1" x14ac:dyDescent="0.2">
      <c r="A717" s="6"/>
      <c r="E717" s="2"/>
      <c r="F717" s="3"/>
      <c r="G717" s="3"/>
      <c r="P717" s="8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</row>
    <row r="718" spans="1:51" hidden="1" x14ac:dyDescent="0.2">
      <c r="A718" s="6"/>
      <c r="E718" s="2"/>
      <c r="F718" s="3"/>
      <c r="G718" s="3"/>
      <c r="P718" s="8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</row>
    <row r="719" spans="1:51" hidden="1" x14ac:dyDescent="0.2">
      <c r="A719" s="6"/>
      <c r="E719" s="2"/>
      <c r="F719" s="3"/>
      <c r="G719" s="3"/>
      <c r="P719" s="8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</row>
    <row r="720" spans="1:51" hidden="1" x14ac:dyDescent="0.2">
      <c r="A720" s="6"/>
      <c r="E720" s="2"/>
      <c r="F720" s="3"/>
      <c r="G720" s="3"/>
      <c r="P720" s="8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</row>
    <row r="721" spans="1:51" hidden="1" x14ac:dyDescent="0.2">
      <c r="A721" s="6"/>
      <c r="E721" s="2"/>
      <c r="F721" s="3"/>
      <c r="G721" s="3"/>
      <c r="P721" s="8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</row>
    <row r="722" spans="1:51" hidden="1" x14ac:dyDescent="0.2">
      <c r="A722" s="6"/>
      <c r="E722" s="2"/>
      <c r="F722" s="3"/>
      <c r="G722" s="3"/>
      <c r="P722" s="8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</row>
    <row r="723" spans="1:51" hidden="1" x14ac:dyDescent="0.2">
      <c r="A723" s="6"/>
      <c r="E723" s="2"/>
      <c r="F723" s="3"/>
      <c r="G723" s="3"/>
      <c r="P723" s="8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</row>
    <row r="724" spans="1:51" hidden="1" x14ac:dyDescent="0.2">
      <c r="A724" s="6"/>
      <c r="E724" s="2"/>
      <c r="F724" s="3"/>
      <c r="G724" s="3"/>
      <c r="P724" s="8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</row>
    <row r="725" spans="1:51" hidden="1" x14ac:dyDescent="0.2">
      <c r="A725" s="6" t="s">
        <v>17</v>
      </c>
      <c r="B725" t="s">
        <v>118</v>
      </c>
      <c r="C725" t="s">
        <v>119</v>
      </c>
      <c r="D725" t="s">
        <v>987</v>
      </c>
      <c r="E725" s="2">
        <v>10.19</v>
      </c>
      <c r="F725" s="3">
        <f>DATE(2025,4,14)</f>
        <v>45761</v>
      </c>
      <c r="G725" s="3">
        <f>DATE(2025,4,14)</f>
        <v>45761</v>
      </c>
      <c r="H725">
        <v>2042361801</v>
      </c>
      <c r="I725" t="s">
        <v>158</v>
      </c>
      <c r="K725" t="s">
        <v>22</v>
      </c>
      <c r="L725" t="s">
        <v>23</v>
      </c>
      <c r="M725" t="s">
        <v>24</v>
      </c>
      <c r="N725" t="s">
        <v>24</v>
      </c>
      <c r="O725" t="s">
        <v>25</v>
      </c>
      <c r="P725" s="8" t="s">
        <v>988</v>
      </c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</row>
    <row r="726" spans="1:51" hidden="1" x14ac:dyDescent="0.2">
      <c r="A726" s="6" t="s">
        <v>17</v>
      </c>
      <c r="B726" t="s">
        <v>118</v>
      </c>
      <c r="C726" t="s">
        <v>119</v>
      </c>
      <c r="D726" t="s">
        <v>987</v>
      </c>
      <c r="E726" s="2">
        <v>16.489999999999998</v>
      </c>
      <c r="F726" s="3">
        <f>DATE(2025,4,15)</f>
        <v>45762</v>
      </c>
      <c r="G726" s="3">
        <f>DATE(2025,4,15)</f>
        <v>45762</v>
      </c>
      <c r="H726">
        <v>2042361802</v>
      </c>
      <c r="I726" t="s">
        <v>158</v>
      </c>
      <c r="K726" t="s">
        <v>22</v>
      </c>
      <c r="L726" t="s">
        <v>23</v>
      </c>
      <c r="M726" t="s">
        <v>24</v>
      </c>
      <c r="N726" t="s">
        <v>24</v>
      </c>
      <c r="O726" t="s">
        <v>25</v>
      </c>
      <c r="P726" s="8" t="s">
        <v>989</v>
      </c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</row>
    <row r="727" spans="1:51" hidden="1" x14ac:dyDescent="0.2">
      <c r="A727" s="6" t="s">
        <v>17</v>
      </c>
      <c r="B727" t="s">
        <v>173</v>
      </c>
      <c r="C727" t="s">
        <v>154</v>
      </c>
      <c r="D727" t="s">
        <v>913</v>
      </c>
      <c r="E727" s="2">
        <v>42.25</v>
      </c>
      <c r="F727" s="3">
        <f>DATE(2025,4,14)</f>
        <v>45761</v>
      </c>
      <c r="G727" s="3">
        <f>DATE(2025,4,14)</f>
        <v>45761</v>
      </c>
      <c r="H727">
        <v>2042361803</v>
      </c>
      <c r="I727" t="s">
        <v>158</v>
      </c>
      <c r="K727" t="s">
        <v>22</v>
      </c>
      <c r="L727" t="s">
        <v>23</v>
      </c>
      <c r="M727" t="s">
        <v>24</v>
      </c>
      <c r="N727" t="s">
        <v>24</v>
      </c>
      <c r="O727" t="s">
        <v>25</v>
      </c>
      <c r="P727" s="8" t="s">
        <v>990</v>
      </c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</row>
    <row r="728" spans="1:51" hidden="1" x14ac:dyDescent="0.2">
      <c r="A728" s="6" t="s">
        <v>17</v>
      </c>
      <c r="B728" t="s">
        <v>42</v>
      </c>
      <c r="C728" t="s">
        <v>43</v>
      </c>
      <c r="D728" t="s">
        <v>991</v>
      </c>
      <c r="E728" s="2">
        <v>6.99</v>
      </c>
      <c r="F728" s="3">
        <f>DATE(2025,4,15)</f>
        <v>45762</v>
      </c>
      <c r="G728" s="3">
        <f>DATE(2025,4,15)</f>
        <v>45762</v>
      </c>
      <c r="H728">
        <v>2042361804</v>
      </c>
      <c r="I728" t="s">
        <v>158</v>
      </c>
      <c r="K728" t="s">
        <v>22</v>
      </c>
      <c r="L728" t="s">
        <v>23</v>
      </c>
      <c r="M728" t="s">
        <v>24</v>
      </c>
      <c r="N728" t="s">
        <v>24</v>
      </c>
      <c r="O728" t="s">
        <v>25</v>
      </c>
      <c r="P728" s="8" t="s">
        <v>992</v>
      </c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</row>
    <row r="729" spans="1:51" hidden="1" x14ac:dyDescent="0.2">
      <c r="A729" s="6" t="s">
        <v>17</v>
      </c>
      <c r="B729" t="s">
        <v>118</v>
      </c>
      <c r="C729" t="s">
        <v>119</v>
      </c>
      <c r="D729" t="s">
        <v>987</v>
      </c>
      <c r="E729" s="2">
        <v>33.979999999999997</v>
      </c>
      <c r="F729" s="3">
        <f>DATE(2025,4,14)</f>
        <v>45761</v>
      </c>
      <c r="G729" s="3">
        <f>DATE(2025,4,14)</f>
        <v>45761</v>
      </c>
      <c r="H729">
        <v>2042361805</v>
      </c>
      <c r="I729" t="s">
        <v>158</v>
      </c>
      <c r="K729" t="s">
        <v>22</v>
      </c>
      <c r="L729" t="s">
        <v>23</v>
      </c>
      <c r="M729" t="s">
        <v>24</v>
      </c>
      <c r="N729" t="s">
        <v>24</v>
      </c>
      <c r="O729" t="s">
        <v>25</v>
      </c>
      <c r="P729" s="8" t="s">
        <v>993</v>
      </c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</row>
    <row r="730" spans="1:51" hidden="1" x14ac:dyDescent="0.2">
      <c r="A730" s="6"/>
      <c r="E730" s="2"/>
      <c r="F730" s="3"/>
      <c r="G730" s="3"/>
      <c r="P730" s="8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</row>
    <row r="731" spans="1:51" hidden="1" x14ac:dyDescent="0.2">
      <c r="A731" s="6"/>
      <c r="E731" s="2"/>
      <c r="F731" s="3"/>
      <c r="G731" s="3"/>
      <c r="P731" s="8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</row>
    <row r="732" spans="1:51" hidden="1" x14ac:dyDescent="0.2">
      <c r="A732" s="6" t="s">
        <v>17</v>
      </c>
      <c r="B732" t="s">
        <v>106</v>
      </c>
      <c r="C732" t="s">
        <v>107</v>
      </c>
      <c r="D732" t="s">
        <v>994</v>
      </c>
      <c r="E732" s="2">
        <v>52.66</v>
      </c>
      <c r="F732" s="3">
        <f>DATE(2025,4,16)</f>
        <v>45763</v>
      </c>
      <c r="G732" s="3">
        <f>DATE(2025,4,16)</f>
        <v>45763</v>
      </c>
      <c r="H732">
        <v>2042361808</v>
      </c>
      <c r="I732" t="s">
        <v>21</v>
      </c>
      <c r="K732" t="s">
        <v>22</v>
      </c>
      <c r="L732" t="s">
        <v>23</v>
      </c>
      <c r="M732" t="s">
        <v>24</v>
      </c>
      <c r="N732" t="s">
        <v>24</v>
      </c>
      <c r="O732" t="s">
        <v>25</v>
      </c>
      <c r="P732" s="8" t="s">
        <v>995</v>
      </c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</row>
    <row r="733" spans="1:51" hidden="1" x14ac:dyDescent="0.2">
      <c r="A733" s="6" t="s">
        <v>17</v>
      </c>
      <c r="B733" t="s">
        <v>825</v>
      </c>
      <c r="C733" t="s">
        <v>826</v>
      </c>
      <c r="D733" t="s">
        <v>996</v>
      </c>
      <c r="E733" s="2">
        <v>538.54</v>
      </c>
      <c r="F733" s="3">
        <f>DATE(2025,4,16)</f>
        <v>45763</v>
      </c>
      <c r="G733" s="3">
        <f>DATE(2025,4,16)</f>
        <v>45763</v>
      </c>
      <c r="H733">
        <v>2042361809</v>
      </c>
      <c r="I733" t="s">
        <v>21</v>
      </c>
      <c r="K733" t="s">
        <v>22</v>
      </c>
      <c r="L733" t="s">
        <v>23</v>
      </c>
      <c r="M733" t="s">
        <v>24</v>
      </c>
      <c r="N733" t="s">
        <v>24</v>
      </c>
      <c r="O733" t="s">
        <v>25</v>
      </c>
      <c r="P733" s="8" t="s">
        <v>997</v>
      </c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</row>
    <row r="734" spans="1:51" hidden="1" x14ac:dyDescent="0.2">
      <c r="A734" s="6"/>
      <c r="E734" s="2"/>
      <c r="F734" s="3"/>
      <c r="G734" s="3"/>
      <c r="P734" s="8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</row>
    <row r="735" spans="1:51" hidden="1" x14ac:dyDescent="0.2">
      <c r="A735" s="6"/>
      <c r="E735" s="2"/>
      <c r="F735" s="3"/>
      <c r="G735" s="3"/>
      <c r="P735" s="8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</row>
    <row r="736" spans="1:51" hidden="1" x14ac:dyDescent="0.2">
      <c r="A736" s="6" t="s">
        <v>17</v>
      </c>
      <c r="B736" t="s">
        <v>118</v>
      </c>
      <c r="C736" t="s">
        <v>119</v>
      </c>
      <c r="D736" t="s">
        <v>998</v>
      </c>
      <c r="E736" s="2">
        <v>160.08000000000001</v>
      </c>
      <c r="F736" s="3">
        <f t="shared" ref="F736:G737" si="60">DATE(2025,4,16)</f>
        <v>45763</v>
      </c>
      <c r="G736" s="3">
        <f t="shared" si="60"/>
        <v>45763</v>
      </c>
      <c r="H736">
        <v>2042361812</v>
      </c>
      <c r="I736" t="s">
        <v>21</v>
      </c>
      <c r="K736" t="s">
        <v>22</v>
      </c>
      <c r="L736" t="s">
        <v>23</v>
      </c>
      <c r="M736" t="s">
        <v>24</v>
      </c>
      <c r="N736" t="s">
        <v>24</v>
      </c>
      <c r="O736" t="s">
        <v>25</v>
      </c>
      <c r="P736" s="8" t="s">
        <v>999</v>
      </c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</row>
    <row r="737" spans="1:51" hidden="1" x14ac:dyDescent="0.2">
      <c r="A737" s="6" t="s">
        <v>17</v>
      </c>
      <c r="B737" t="s">
        <v>140</v>
      </c>
      <c r="C737" t="s">
        <v>141</v>
      </c>
      <c r="D737" t="s">
        <v>1000</v>
      </c>
      <c r="E737" s="2">
        <v>7552</v>
      </c>
      <c r="F737" s="3">
        <f t="shared" si="60"/>
        <v>45763</v>
      </c>
      <c r="G737" s="3">
        <f t="shared" si="60"/>
        <v>45763</v>
      </c>
      <c r="H737">
        <v>2042361813</v>
      </c>
      <c r="I737" t="s">
        <v>21</v>
      </c>
      <c r="K737" t="s">
        <v>22</v>
      </c>
      <c r="L737" t="s">
        <v>23</v>
      </c>
      <c r="M737" t="s">
        <v>24</v>
      </c>
      <c r="N737" t="s">
        <v>24</v>
      </c>
      <c r="O737" t="s">
        <v>25</v>
      </c>
      <c r="P737" s="8" t="s">
        <v>1001</v>
      </c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</row>
    <row r="738" spans="1:51" hidden="1" x14ac:dyDescent="0.2">
      <c r="A738" s="6"/>
      <c r="E738" s="2"/>
      <c r="F738" s="3"/>
      <c r="G738" s="3"/>
      <c r="P738" s="8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</row>
    <row r="739" spans="1:51" hidden="1" x14ac:dyDescent="0.2">
      <c r="A739" s="6"/>
      <c r="E739" s="2"/>
      <c r="F739" s="3"/>
      <c r="G739" s="3"/>
      <c r="P739" s="8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</row>
    <row r="740" spans="1:51" hidden="1" x14ac:dyDescent="0.2">
      <c r="A740" s="6"/>
      <c r="E740" s="2"/>
      <c r="F740" s="3"/>
      <c r="G740" s="3"/>
      <c r="P740" s="8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</row>
    <row r="741" spans="1:51" hidden="1" x14ac:dyDescent="0.2">
      <c r="A741" s="6" t="s">
        <v>17</v>
      </c>
      <c r="B741" t="s">
        <v>1002</v>
      </c>
      <c r="C741" t="s">
        <v>1003</v>
      </c>
      <c r="D741" t="s">
        <v>1004</v>
      </c>
      <c r="E741" s="2">
        <v>548.76</v>
      </c>
      <c r="F741" s="3">
        <f>DATE(2025,4,15)</f>
        <v>45762</v>
      </c>
      <c r="G741" s="3">
        <f>DATE(2025,4,15)</f>
        <v>45762</v>
      </c>
      <c r="H741">
        <v>2042361817</v>
      </c>
      <c r="I741" t="s">
        <v>21</v>
      </c>
      <c r="K741" t="s">
        <v>22</v>
      </c>
      <c r="L741" t="s">
        <v>23</v>
      </c>
      <c r="M741" t="s">
        <v>24</v>
      </c>
      <c r="N741" t="s">
        <v>24</v>
      </c>
      <c r="O741" t="s">
        <v>25</v>
      </c>
      <c r="P741" s="8" t="s">
        <v>1005</v>
      </c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</row>
    <row r="742" spans="1:51" hidden="1" x14ac:dyDescent="0.2">
      <c r="A742" s="6"/>
      <c r="E742" s="2"/>
      <c r="F742" s="3"/>
      <c r="G742" s="3"/>
      <c r="P742" s="8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</row>
    <row r="743" spans="1:51" hidden="1" x14ac:dyDescent="0.2">
      <c r="A743" s="6" t="s">
        <v>17</v>
      </c>
      <c r="B743" t="s">
        <v>60</v>
      </c>
      <c r="C743" t="s">
        <v>61</v>
      </c>
      <c r="D743" t="s">
        <v>1006</v>
      </c>
      <c r="E743" s="2">
        <v>153</v>
      </c>
      <c r="F743" s="3">
        <f t="shared" ref="F743:G747" si="61">DATE(2025,4,16)</f>
        <v>45763</v>
      </c>
      <c r="G743" s="3">
        <f t="shared" si="61"/>
        <v>45763</v>
      </c>
      <c r="H743">
        <v>2042361819</v>
      </c>
      <c r="I743" t="s">
        <v>21</v>
      </c>
      <c r="K743" t="s">
        <v>22</v>
      </c>
      <c r="L743" t="s">
        <v>23</v>
      </c>
      <c r="M743" t="s">
        <v>24</v>
      </c>
      <c r="N743" t="s">
        <v>24</v>
      </c>
      <c r="O743" t="s">
        <v>25</v>
      </c>
      <c r="P743" s="8" t="s">
        <v>1007</v>
      </c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</row>
    <row r="744" spans="1:51" hidden="1" x14ac:dyDescent="0.2">
      <c r="A744" s="6" t="s">
        <v>17</v>
      </c>
      <c r="B744" t="s">
        <v>106</v>
      </c>
      <c r="C744" t="s">
        <v>107</v>
      </c>
      <c r="D744" t="s">
        <v>1008</v>
      </c>
      <c r="E744" s="2">
        <v>724.82</v>
      </c>
      <c r="F744" s="3">
        <f t="shared" si="61"/>
        <v>45763</v>
      </c>
      <c r="G744" s="3">
        <f t="shared" si="61"/>
        <v>45763</v>
      </c>
      <c r="H744">
        <v>2042361820</v>
      </c>
      <c r="I744" t="s">
        <v>21</v>
      </c>
      <c r="K744" t="s">
        <v>22</v>
      </c>
      <c r="L744" t="s">
        <v>23</v>
      </c>
      <c r="M744" t="s">
        <v>24</v>
      </c>
      <c r="N744" t="s">
        <v>24</v>
      </c>
      <c r="O744" t="s">
        <v>25</v>
      </c>
      <c r="P744" s="8" t="s">
        <v>1009</v>
      </c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</row>
    <row r="745" spans="1:51" hidden="1" x14ac:dyDescent="0.2">
      <c r="A745" s="6" t="s">
        <v>17</v>
      </c>
      <c r="B745" t="s">
        <v>589</v>
      </c>
      <c r="C745" t="s">
        <v>590</v>
      </c>
      <c r="D745" t="s">
        <v>1010</v>
      </c>
      <c r="E745" s="2">
        <v>287.55</v>
      </c>
      <c r="F745" s="3">
        <f t="shared" si="61"/>
        <v>45763</v>
      </c>
      <c r="G745" s="3">
        <f t="shared" si="61"/>
        <v>45763</v>
      </c>
      <c r="H745">
        <v>2042361821</v>
      </c>
      <c r="I745" t="s">
        <v>21</v>
      </c>
      <c r="K745" t="s">
        <v>22</v>
      </c>
      <c r="L745" t="s">
        <v>23</v>
      </c>
      <c r="M745" t="s">
        <v>24</v>
      </c>
      <c r="N745" t="s">
        <v>24</v>
      </c>
      <c r="O745" t="s">
        <v>25</v>
      </c>
      <c r="P745" s="8" t="s">
        <v>1011</v>
      </c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</row>
    <row r="746" spans="1:51" hidden="1" x14ac:dyDescent="0.2">
      <c r="A746" s="6" t="s">
        <v>17</v>
      </c>
      <c r="B746" t="s">
        <v>60</v>
      </c>
      <c r="C746" t="s">
        <v>61</v>
      </c>
      <c r="D746" t="s">
        <v>1012</v>
      </c>
      <c r="E746" s="2">
        <v>4561.82</v>
      </c>
      <c r="F746" s="3">
        <f t="shared" si="61"/>
        <v>45763</v>
      </c>
      <c r="G746" s="3">
        <f t="shared" si="61"/>
        <v>45763</v>
      </c>
      <c r="H746">
        <v>2042361822</v>
      </c>
      <c r="I746" t="s">
        <v>21</v>
      </c>
      <c r="K746" t="s">
        <v>22</v>
      </c>
      <c r="L746" t="s">
        <v>23</v>
      </c>
      <c r="M746" t="s">
        <v>24</v>
      </c>
      <c r="N746" t="s">
        <v>24</v>
      </c>
      <c r="O746" t="s">
        <v>25</v>
      </c>
      <c r="P746" s="8" t="s">
        <v>1013</v>
      </c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</row>
    <row r="747" spans="1:51" hidden="1" x14ac:dyDescent="0.2">
      <c r="A747" s="6" t="s">
        <v>17</v>
      </c>
      <c r="B747" t="s">
        <v>255</v>
      </c>
      <c r="C747" t="s">
        <v>255</v>
      </c>
      <c r="D747" t="s">
        <v>1014</v>
      </c>
      <c r="E747" s="2">
        <v>240</v>
      </c>
      <c r="F747" s="3">
        <f t="shared" si="61"/>
        <v>45763</v>
      </c>
      <c r="G747" s="3">
        <f t="shared" si="61"/>
        <v>45763</v>
      </c>
      <c r="H747">
        <v>2042361823</v>
      </c>
      <c r="I747" t="s">
        <v>21</v>
      </c>
      <c r="K747" t="s">
        <v>22</v>
      </c>
      <c r="L747" t="s">
        <v>23</v>
      </c>
      <c r="M747" t="s">
        <v>24</v>
      </c>
      <c r="N747" t="s">
        <v>24</v>
      </c>
      <c r="O747" t="s">
        <v>25</v>
      </c>
      <c r="P747" s="8" t="s">
        <v>1015</v>
      </c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</row>
    <row r="748" spans="1:51" hidden="1" x14ac:dyDescent="0.2">
      <c r="A748" s="6"/>
      <c r="E748" s="2"/>
      <c r="F748" s="3"/>
      <c r="G748" s="3"/>
      <c r="P748" s="8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</row>
    <row r="749" spans="1:51" hidden="1" x14ac:dyDescent="0.2">
      <c r="A749" s="6" t="s">
        <v>17</v>
      </c>
      <c r="B749" t="s">
        <v>70</v>
      </c>
      <c r="C749" t="s">
        <v>71</v>
      </c>
      <c r="D749" t="s">
        <v>1016</v>
      </c>
      <c r="E749" s="2">
        <v>243</v>
      </c>
      <c r="F749" s="3">
        <f t="shared" ref="F749:G751" si="62">DATE(2025,4,16)</f>
        <v>45763</v>
      </c>
      <c r="G749" s="3">
        <f t="shared" si="62"/>
        <v>45763</v>
      </c>
      <c r="H749">
        <v>2042361825</v>
      </c>
      <c r="I749" t="s">
        <v>21</v>
      </c>
      <c r="K749" t="s">
        <v>22</v>
      </c>
      <c r="L749" t="s">
        <v>23</v>
      </c>
      <c r="M749" t="s">
        <v>24</v>
      </c>
      <c r="N749" t="s">
        <v>24</v>
      </c>
      <c r="O749" t="s">
        <v>25</v>
      </c>
      <c r="P749" s="8" t="s">
        <v>1017</v>
      </c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</row>
    <row r="750" spans="1:51" hidden="1" x14ac:dyDescent="0.2">
      <c r="A750" s="6" t="s">
        <v>17</v>
      </c>
      <c r="B750" t="s">
        <v>155</v>
      </c>
      <c r="C750" t="s">
        <v>156</v>
      </c>
      <c r="D750" t="s">
        <v>1018</v>
      </c>
      <c r="E750" s="2">
        <v>1194.05</v>
      </c>
      <c r="F750" s="3">
        <f t="shared" si="62"/>
        <v>45763</v>
      </c>
      <c r="G750" s="3">
        <f t="shared" si="62"/>
        <v>45763</v>
      </c>
      <c r="H750">
        <v>2042361826</v>
      </c>
      <c r="I750" t="s">
        <v>21</v>
      </c>
      <c r="K750" t="s">
        <v>22</v>
      </c>
      <c r="L750" t="s">
        <v>23</v>
      </c>
      <c r="M750" t="s">
        <v>24</v>
      </c>
      <c r="N750" t="s">
        <v>24</v>
      </c>
      <c r="O750" t="s">
        <v>25</v>
      </c>
      <c r="P750" s="8" t="s">
        <v>1019</v>
      </c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</row>
    <row r="751" spans="1:51" hidden="1" x14ac:dyDescent="0.2">
      <c r="A751" s="6" t="s">
        <v>17</v>
      </c>
      <c r="B751" t="s">
        <v>825</v>
      </c>
      <c r="C751" t="s">
        <v>826</v>
      </c>
      <c r="D751" t="s">
        <v>1020</v>
      </c>
      <c r="E751" s="2">
        <v>913.36</v>
      </c>
      <c r="F751" s="3">
        <f t="shared" si="62"/>
        <v>45763</v>
      </c>
      <c r="G751" s="3">
        <f t="shared" si="62"/>
        <v>45763</v>
      </c>
      <c r="H751">
        <v>2042361827</v>
      </c>
      <c r="I751" t="s">
        <v>21</v>
      </c>
      <c r="K751" t="s">
        <v>22</v>
      </c>
      <c r="L751" t="s">
        <v>23</v>
      </c>
      <c r="M751" t="s">
        <v>24</v>
      </c>
      <c r="N751" t="s">
        <v>24</v>
      </c>
      <c r="O751" t="s">
        <v>25</v>
      </c>
      <c r="P751" s="8" t="s">
        <v>1021</v>
      </c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</row>
    <row r="752" spans="1:51" hidden="1" x14ac:dyDescent="0.2">
      <c r="A752" s="6" t="s">
        <v>17</v>
      </c>
      <c r="B752" t="s">
        <v>31</v>
      </c>
      <c r="C752" t="s">
        <v>32</v>
      </c>
      <c r="D752" t="s">
        <v>1022</v>
      </c>
      <c r="E752" s="2">
        <v>131.94</v>
      </c>
      <c r="F752" s="3">
        <f>DATE(2025,4,15)</f>
        <v>45762</v>
      </c>
      <c r="G752" s="3">
        <f>DATE(2025,4,15)</f>
        <v>45762</v>
      </c>
      <c r="H752">
        <v>2042361828</v>
      </c>
      <c r="I752" t="s">
        <v>21</v>
      </c>
      <c r="K752" t="s">
        <v>22</v>
      </c>
      <c r="L752" t="s">
        <v>23</v>
      </c>
      <c r="M752" t="s">
        <v>24</v>
      </c>
      <c r="N752" t="s">
        <v>24</v>
      </c>
      <c r="O752" t="s">
        <v>25</v>
      </c>
      <c r="P752" s="8" t="s">
        <v>1023</v>
      </c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</row>
    <row r="753" spans="1:51" hidden="1" x14ac:dyDescent="0.2">
      <c r="A753" s="6" t="s">
        <v>17</v>
      </c>
      <c r="B753" t="s">
        <v>42</v>
      </c>
      <c r="C753" t="s">
        <v>43</v>
      </c>
      <c r="D753" t="s">
        <v>1024</v>
      </c>
      <c r="E753" s="2">
        <v>79.5</v>
      </c>
      <c r="F753" s="3">
        <f t="shared" ref="F753:G755" si="63">DATE(2025,4,16)</f>
        <v>45763</v>
      </c>
      <c r="G753" s="3">
        <f t="shared" si="63"/>
        <v>45763</v>
      </c>
      <c r="H753">
        <v>2042361829</v>
      </c>
      <c r="I753" t="s">
        <v>21</v>
      </c>
      <c r="K753" t="s">
        <v>22</v>
      </c>
      <c r="L753" t="s">
        <v>23</v>
      </c>
      <c r="M753" t="s">
        <v>24</v>
      </c>
      <c r="N753" t="s">
        <v>24</v>
      </c>
      <c r="O753" t="s">
        <v>25</v>
      </c>
      <c r="P753" s="8" t="s">
        <v>1025</v>
      </c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</row>
    <row r="754" spans="1:51" hidden="1" x14ac:dyDescent="0.2">
      <c r="A754" s="6" t="s">
        <v>17</v>
      </c>
      <c r="B754" t="s">
        <v>54</v>
      </c>
      <c r="C754" t="s">
        <v>55</v>
      </c>
      <c r="D754" t="s">
        <v>1026</v>
      </c>
      <c r="E754" s="2">
        <v>273</v>
      </c>
      <c r="F754" s="3">
        <f t="shared" si="63"/>
        <v>45763</v>
      </c>
      <c r="G754" s="3">
        <f t="shared" si="63"/>
        <v>45763</v>
      </c>
      <c r="H754">
        <v>2042361830</v>
      </c>
      <c r="I754" t="s">
        <v>21</v>
      </c>
      <c r="K754" t="s">
        <v>22</v>
      </c>
      <c r="L754" t="s">
        <v>23</v>
      </c>
      <c r="M754" t="s">
        <v>24</v>
      </c>
      <c r="N754" t="s">
        <v>24</v>
      </c>
      <c r="O754" t="s">
        <v>25</v>
      </c>
      <c r="P754" s="8" t="s">
        <v>1027</v>
      </c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</row>
    <row r="755" spans="1:51" hidden="1" x14ac:dyDescent="0.2">
      <c r="A755" s="6" t="s">
        <v>17</v>
      </c>
      <c r="B755" t="s">
        <v>46</v>
      </c>
      <c r="C755" t="s">
        <v>47</v>
      </c>
      <c r="D755" t="s">
        <v>1028</v>
      </c>
      <c r="E755" s="2">
        <v>720</v>
      </c>
      <c r="F755" s="3">
        <f t="shared" si="63"/>
        <v>45763</v>
      </c>
      <c r="G755" s="3">
        <f t="shared" si="63"/>
        <v>45763</v>
      </c>
      <c r="H755">
        <v>2042361831</v>
      </c>
      <c r="I755" t="s">
        <v>21</v>
      </c>
      <c r="K755" t="s">
        <v>22</v>
      </c>
      <c r="L755" t="s">
        <v>23</v>
      </c>
      <c r="M755" t="s">
        <v>24</v>
      </c>
      <c r="N755" t="s">
        <v>24</v>
      </c>
      <c r="O755" t="s">
        <v>25</v>
      </c>
      <c r="P755" s="8" t="s">
        <v>1029</v>
      </c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</row>
    <row r="756" spans="1:51" hidden="1" x14ac:dyDescent="0.2">
      <c r="A756" s="6" t="s">
        <v>17</v>
      </c>
      <c r="B756" t="s">
        <v>46</v>
      </c>
      <c r="C756" t="s">
        <v>47</v>
      </c>
      <c r="D756" t="s">
        <v>1030</v>
      </c>
      <c r="E756" s="2">
        <v>398.4</v>
      </c>
      <c r="F756" s="3">
        <f>DATE(2025,4,15)</f>
        <v>45762</v>
      </c>
      <c r="G756" s="3">
        <f>DATE(2025,4,15)</f>
        <v>45762</v>
      </c>
      <c r="H756">
        <v>2042361832</v>
      </c>
      <c r="I756" t="s">
        <v>21</v>
      </c>
      <c r="K756" t="s">
        <v>22</v>
      </c>
      <c r="L756" t="s">
        <v>23</v>
      </c>
      <c r="M756" t="s">
        <v>24</v>
      </c>
      <c r="N756" t="s">
        <v>24</v>
      </c>
      <c r="O756" t="s">
        <v>25</v>
      </c>
      <c r="P756" s="8" t="s">
        <v>1031</v>
      </c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</row>
    <row r="757" spans="1:51" hidden="1" x14ac:dyDescent="0.2">
      <c r="A757" s="6"/>
      <c r="E757" s="2"/>
      <c r="F757" s="3"/>
      <c r="G757" s="3"/>
      <c r="P757" s="8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</row>
    <row r="758" spans="1:51" hidden="1" x14ac:dyDescent="0.2">
      <c r="A758" s="6" t="s">
        <v>17</v>
      </c>
      <c r="B758" t="s">
        <v>90</v>
      </c>
      <c r="C758" t="s">
        <v>91</v>
      </c>
      <c r="D758" t="s">
        <v>1032</v>
      </c>
      <c r="E758" s="2">
        <v>840</v>
      </c>
      <c r="F758" s="3">
        <f>DATE(2025,4,18)</f>
        <v>45765</v>
      </c>
      <c r="G758" s="3">
        <f>DATE(2025,4,18)</f>
        <v>45765</v>
      </c>
      <c r="H758">
        <v>2048267021</v>
      </c>
      <c r="I758" t="s">
        <v>21</v>
      </c>
      <c r="K758" t="s">
        <v>22</v>
      </c>
      <c r="L758" t="s">
        <v>23</v>
      </c>
      <c r="M758" t="s">
        <v>24</v>
      </c>
      <c r="N758" t="s">
        <v>24</v>
      </c>
      <c r="O758" t="s">
        <v>25</v>
      </c>
      <c r="P758" s="8" t="s">
        <v>1033</v>
      </c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</row>
    <row r="759" spans="1:51" hidden="1" x14ac:dyDescent="0.2">
      <c r="A759" s="6"/>
      <c r="E759" s="2"/>
      <c r="F759" s="3"/>
      <c r="G759" s="3"/>
      <c r="P759" s="8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</row>
    <row r="760" spans="1:51" hidden="1" x14ac:dyDescent="0.2">
      <c r="A760" s="6" t="s">
        <v>17</v>
      </c>
      <c r="B760" t="s">
        <v>90</v>
      </c>
      <c r="C760" t="s">
        <v>91</v>
      </c>
      <c r="D760" t="s">
        <v>1034</v>
      </c>
      <c r="E760" s="2">
        <v>1040</v>
      </c>
      <c r="F760" s="3">
        <f>DATE(2025,4,18)</f>
        <v>45765</v>
      </c>
      <c r="G760" s="3">
        <f>DATE(2025,4,18)</f>
        <v>45765</v>
      </c>
      <c r="H760">
        <v>2048267023</v>
      </c>
      <c r="I760" t="s">
        <v>21</v>
      </c>
      <c r="K760" t="s">
        <v>22</v>
      </c>
      <c r="L760" t="s">
        <v>23</v>
      </c>
      <c r="M760" t="s">
        <v>24</v>
      </c>
      <c r="N760" t="s">
        <v>24</v>
      </c>
      <c r="O760" t="s">
        <v>25</v>
      </c>
      <c r="P760" s="8" t="s">
        <v>1035</v>
      </c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</row>
    <row r="761" spans="1:51" hidden="1" x14ac:dyDescent="0.2">
      <c r="A761" s="6"/>
      <c r="E761" s="2"/>
      <c r="F761" s="3"/>
      <c r="G761" s="3"/>
      <c r="P761" s="8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</row>
    <row r="762" spans="1:51" hidden="1" x14ac:dyDescent="0.2">
      <c r="A762" s="6" t="s">
        <v>17</v>
      </c>
      <c r="B762" t="s">
        <v>825</v>
      </c>
      <c r="C762" t="s">
        <v>826</v>
      </c>
      <c r="D762" t="s">
        <v>1036</v>
      </c>
      <c r="E762" s="2">
        <v>60.47</v>
      </c>
      <c r="F762" s="3">
        <f t="shared" ref="F762:G764" si="64">DATE(2025,4,16)</f>
        <v>45763</v>
      </c>
      <c r="G762" s="3">
        <f t="shared" si="64"/>
        <v>45763</v>
      </c>
      <c r="H762">
        <v>2048267026</v>
      </c>
      <c r="I762" t="s">
        <v>158</v>
      </c>
      <c r="K762" t="s">
        <v>22</v>
      </c>
      <c r="L762" t="s">
        <v>23</v>
      </c>
      <c r="M762" t="s">
        <v>24</v>
      </c>
      <c r="N762" t="s">
        <v>24</v>
      </c>
      <c r="O762" t="s">
        <v>25</v>
      </c>
      <c r="P762" s="8" t="s">
        <v>1037</v>
      </c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</row>
    <row r="763" spans="1:51" hidden="1" x14ac:dyDescent="0.2">
      <c r="A763" s="6" t="s">
        <v>17</v>
      </c>
      <c r="B763" t="s">
        <v>173</v>
      </c>
      <c r="C763" t="s">
        <v>154</v>
      </c>
      <c r="D763" t="s">
        <v>1038</v>
      </c>
      <c r="E763" s="2">
        <v>56.22</v>
      </c>
      <c r="F763" s="3">
        <f t="shared" si="64"/>
        <v>45763</v>
      </c>
      <c r="G763" s="3">
        <f t="shared" si="64"/>
        <v>45763</v>
      </c>
      <c r="H763">
        <v>2048267027</v>
      </c>
      <c r="I763" t="s">
        <v>158</v>
      </c>
      <c r="K763" t="s">
        <v>22</v>
      </c>
      <c r="L763" t="s">
        <v>23</v>
      </c>
      <c r="M763" t="s">
        <v>24</v>
      </c>
      <c r="N763" t="s">
        <v>24</v>
      </c>
      <c r="O763" t="s">
        <v>25</v>
      </c>
      <c r="P763" s="8" t="s">
        <v>1039</v>
      </c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</row>
    <row r="764" spans="1:51" hidden="1" x14ac:dyDescent="0.2">
      <c r="A764" s="6" t="s">
        <v>17</v>
      </c>
      <c r="B764" t="s">
        <v>35</v>
      </c>
      <c r="C764" t="s">
        <v>35</v>
      </c>
      <c r="D764" t="s">
        <v>242</v>
      </c>
      <c r="E764" s="2">
        <v>57</v>
      </c>
      <c r="F764" s="3">
        <f t="shared" si="64"/>
        <v>45763</v>
      </c>
      <c r="G764" s="3">
        <f t="shared" si="64"/>
        <v>45763</v>
      </c>
      <c r="H764">
        <v>2048304355</v>
      </c>
      <c r="I764" t="s">
        <v>192</v>
      </c>
      <c r="K764" t="s">
        <v>22</v>
      </c>
      <c r="L764" t="s">
        <v>23</v>
      </c>
      <c r="M764" t="s">
        <v>24</v>
      </c>
      <c r="N764" t="s">
        <v>24</v>
      </c>
      <c r="O764" t="s">
        <v>25</v>
      </c>
      <c r="P764" s="8" t="s">
        <v>1040</v>
      </c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</row>
    <row r="765" spans="1:51" hidden="1" x14ac:dyDescent="0.2">
      <c r="A765" s="6"/>
      <c r="E765" s="2"/>
      <c r="F765" s="3"/>
      <c r="G765" s="3"/>
      <c r="P765" s="8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</row>
    <row r="766" spans="1:51" hidden="1" x14ac:dyDescent="0.2">
      <c r="A766" s="6" t="s">
        <v>17</v>
      </c>
      <c r="B766" t="s">
        <v>825</v>
      </c>
      <c r="C766" t="s">
        <v>826</v>
      </c>
      <c r="D766" t="s">
        <v>1036</v>
      </c>
      <c r="E766" s="2">
        <v>57.08</v>
      </c>
      <c r="F766" s="3">
        <f>DATE(2025,4,17)</f>
        <v>45764</v>
      </c>
      <c r="G766" s="3">
        <f>DATE(2025,4,17)</f>
        <v>45764</v>
      </c>
      <c r="H766">
        <v>2051800695</v>
      </c>
      <c r="I766" t="s">
        <v>158</v>
      </c>
      <c r="K766" t="s">
        <v>22</v>
      </c>
      <c r="L766" t="s">
        <v>23</v>
      </c>
      <c r="M766" t="s">
        <v>24</v>
      </c>
      <c r="N766" t="s">
        <v>24</v>
      </c>
      <c r="O766" t="s">
        <v>25</v>
      </c>
      <c r="P766" s="8" t="s">
        <v>1041</v>
      </c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</row>
    <row r="767" spans="1:51" hidden="1" x14ac:dyDescent="0.2">
      <c r="A767" s="6" t="s">
        <v>17</v>
      </c>
      <c r="B767" t="s">
        <v>118</v>
      </c>
      <c r="C767" t="s">
        <v>119</v>
      </c>
      <c r="D767" t="s">
        <v>1042</v>
      </c>
      <c r="E767" s="2">
        <v>28.89</v>
      </c>
      <c r="F767" s="3">
        <f t="shared" ref="F767:G770" si="65">DATE(2025,4,18)</f>
        <v>45765</v>
      </c>
      <c r="G767" s="3">
        <f t="shared" si="65"/>
        <v>45765</v>
      </c>
      <c r="H767">
        <v>2051800696</v>
      </c>
      <c r="I767" t="s">
        <v>158</v>
      </c>
      <c r="K767" t="s">
        <v>22</v>
      </c>
      <c r="L767" t="s">
        <v>23</v>
      </c>
      <c r="M767" t="s">
        <v>24</v>
      </c>
      <c r="N767" t="s">
        <v>24</v>
      </c>
      <c r="O767" t="s">
        <v>25</v>
      </c>
      <c r="P767" s="8" t="s">
        <v>1043</v>
      </c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</row>
    <row r="768" spans="1:51" hidden="1" x14ac:dyDescent="0.2">
      <c r="A768" s="6" t="s">
        <v>17</v>
      </c>
      <c r="B768" t="s">
        <v>155</v>
      </c>
      <c r="C768" t="s">
        <v>156</v>
      </c>
      <c r="D768" t="s">
        <v>157</v>
      </c>
      <c r="E768" s="2">
        <v>11.3</v>
      </c>
      <c r="F768" s="3">
        <f t="shared" si="65"/>
        <v>45765</v>
      </c>
      <c r="G768" s="3">
        <f t="shared" si="65"/>
        <v>45765</v>
      </c>
      <c r="H768">
        <v>2054212725</v>
      </c>
      <c r="I768" t="s">
        <v>158</v>
      </c>
      <c r="K768" t="s">
        <v>22</v>
      </c>
      <c r="L768" t="s">
        <v>23</v>
      </c>
      <c r="M768" t="s">
        <v>24</v>
      </c>
      <c r="N768" t="s">
        <v>24</v>
      </c>
      <c r="O768" t="s">
        <v>25</v>
      </c>
      <c r="P768" s="8" t="s">
        <v>1044</v>
      </c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</row>
    <row r="769" spans="1:51" hidden="1" x14ac:dyDescent="0.2">
      <c r="A769" s="6" t="s">
        <v>17</v>
      </c>
      <c r="B769" t="s">
        <v>42</v>
      </c>
      <c r="C769" t="s">
        <v>43</v>
      </c>
      <c r="D769" t="s">
        <v>516</v>
      </c>
      <c r="E769" s="2">
        <v>19.989999999999998</v>
      </c>
      <c r="F769" s="3">
        <f t="shared" si="65"/>
        <v>45765</v>
      </c>
      <c r="G769" s="3">
        <f t="shared" si="65"/>
        <v>45765</v>
      </c>
      <c r="H769">
        <v>2054212726</v>
      </c>
      <c r="I769" t="s">
        <v>158</v>
      </c>
      <c r="K769" t="s">
        <v>22</v>
      </c>
      <c r="L769" t="s">
        <v>23</v>
      </c>
      <c r="M769" t="s">
        <v>24</v>
      </c>
      <c r="N769" t="s">
        <v>24</v>
      </c>
      <c r="O769" t="s">
        <v>25</v>
      </c>
      <c r="P769" s="8" t="s">
        <v>1045</v>
      </c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</row>
    <row r="770" spans="1:51" hidden="1" x14ac:dyDescent="0.2">
      <c r="A770" s="6" t="s">
        <v>17</v>
      </c>
      <c r="B770" t="s">
        <v>50</v>
      </c>
      <c r="C770" t="s">
        <v>51</v>
      </c>
      <c r="D770" t="s">
        <v>1046</v>
      </c>
      <c r="E770" s="2">
        <v>392.98</v>
      </c>
      <c r="F770" s="3">
        <f t="shared" si="65"/>
        <v>45765</v>
      </c>
      <c r="G770" s="3">
        <f t="shared" si="65"/>
        <v>45765</v>
      </c>
      <c r="H770">
        <v>2054212727</v>
      </c>
      <c r="I770" t="s">
        <v>158</v>
      </c>
      <c r="K770" t="s">
        <v>22</v>
      </c>
      <c r="L770" t="s">
        <v>23</v>
      </c>
      <c r="M770" t="s">
        <v>24</v>
      </c>
      <c r="N770" t="s">
        <v>24</v>
      </c>
      <c r="O770" t="s">
        <v>25</v>
      </c>
      <c r="P770" s="8" t="s">
        <v>1047</v>
      </c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</row>
    <row r="771" spans="1:51" hidden="1" x14ac:dyDescent="0.2">
      <c r="A771" s="6"/>
      <c r="E771" s="2"/>
      <c r="F771" s="3"/>
      <c r="G771" s="3"/>
      <c r="P771" s="8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</row>
    <row r="772" spans="1:51" hidden="1" x14ac:dyDescent="0.2">
      <c r="A772" s="6" t="s">
        <v>17</v>
      </c>
      <c r="B772" t="s">
        <v>1048</v>
      </c>
      <c r="C772" t="s">
        <v>1049</v>
      </c>
      <c r="D772" t="s">
        <v>1050</v>
      </c>
      <c r="E772" s="2">
        <v>1786.28</v>
      </c>
      <c r="F772" s="3">
        <f t="shared" ref="F772:G777" si="66">DATE(2025,4,22)</f>
        <v>45769</v>
      </c>
      <c r="G772" s="3">
        <f t="shared" si="66"/>
        <v>45769</v>
      </c>
      <c r="H772">
        <v>2063260219</v>
      </c>
      <c r="I772" t="s">
        <v>21</v>
      </c>
      <c r="K772" t="s">
        <v>22</v>
      </c>
      <c r="L772" t="s">
        <v>23</v>
      </c>
      <c r="M772" t="s">
        <v>24</v>
      </c>
      <c r="N772" t="s">
        <v>24</v>
      </c>
      <c r="O772" t="s">
        <v>25</v>
      </c>
      <c r="P772" s="8" t="s">
        <v>1051</v>
      </c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</row>
    <row r="773" spans="1:51" hidden="1" x14ac:dyDescent="0.2">
      <c r="A773" s="6"/>
      <c r="E773" s="2"/>
      <c r="F773" s="3"/>
      <c r="G773" s="3"/>
      <c r="P773" s="8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</row>
    <row r="774" spans="1:51" hidden="1" x14ac:dyDescent="0.2">
      <c r="A774" s="6"/>
      <c r="E774" s="2"/>
      <c r="F774" s="3"/>
      <c r="G774" s="3"/>
      <c r="P774" s="8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</row>
    <row r="775" spans="1:51" hidden="1" x14ac:dyDescent="0.2">
      <c r="A775" s="6"/>
      <c r="E775" s="2"/>
      <c r="F775" s="3"/>
      <c r="G775" s="3"/>
      <c r="P775" s="8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</row>
    <row r="776" spans="1:51" hidden="1" x14ac:dyDescent="0.2">
      <c r="A776" s="6" t="s">
        <v>17</v>
      </c>
      <c r="B776" t="s">
        <v>399</v>
      </c>
      <c r="C776" t="s">
        <v>400</v>
      </c>
      <c r="D776" t="s">
        <v>1052</v>
      </c>
      <c r="E776" s="2">
        <v>8.23</v>
      </c>
      <c r="F776" s="3">
        <f t="shared" si="66"/>
        <v>45769</v>
      </c>
      <c r="G776" s="3">
        <f t="shared" si="66"/>
        <v>45769</v>
      </c>
      <c r="H776">
        <v>2063302805</v>
      </c>
      <c r="I776" t="s">
        <v>192</v>
      </c>
      <c r="K776" t="s">
        <v>22</v>
      </c>
      <c r="L776" t="s">
        <v>23</v>
      </c>
      <c r="M776" t="s">
        <v>24</v>
      </c>
      <c r="N776" t="s">
        <v>24</v>
      </c>
      <c r="O776" t="s">
        <v>25</v>
      </c>
      <c r="P776" s="8" t="s">
        <v>1053</v>
      </c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</row>
    <row r="777" spans="1:51" hidden="1" x14ac:dyDescent="0.2">
      <c r="A777" s="6" t="s">
        <v>17</v>
      </c>
      <c r="B777" t="s">
        <v>118</v>
      </c>
      <c r="C777" t="s">
        <v>119</v>
      </c>
      <c r="D777" t="s">
        <v>1042</v>
      </c>
      <c r="E777" s="2">
        <v>166.66</v>
      </c>
      <c r="F777" s="3">
        <f t="shared" si="66"/>
        <v>45769</v>
      </c>
      <c r="G777" s="3">
        <f t="shared" si="66"/>
        <v>45769</v>
      </c>
      <c r="H777">
        <v>2070544449</v>
      </c>
      <c r="I777" t="s">
        <v>158</v>
      </c>
      <c r="K777" t="s">
        <v>22</v>
      </c>
      <c r="L777" t="s">
        <v>23</v>
      </c>
      <c r="M777" t="s">
        <v>24</v>
      </c>
      <c r="N777" t="s">
        <v>24</v>
      </c>
      <c r="O777" t="s">
        <v>25</v>
      </c>
      <c r="P777" s="8" t="s">
        <v>1054</v>
      </c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</row>
    <row r="778" spans="1:51" hidden="1" x14ac:dyDescent="0.2">
      <c r="A778" s="6" t="s">
        <v>17</v>
      </c>
      <c r="B778" t="s">
        <v>155</v>
      </c>
      <c r="C778" t="s">
        <v>156</v>
      </c>
      <c r="D778" t="s">
        <v>297</v>
      </c>
      <c r="E778" s="2">
        <v>7.99</v>
      </c>
      <c r="F778" s="3">
        <f>DATE(2025,4,21)</f>
        <v>45768</v>
      </c>
      <c r="G778" s="3">
        <f>DATE(2025,4,21)</f>
        <v>45768</v>
      </c>
      <c r="H778">
        <v>2070544450</v>
      </c>
      <c r="I778" t="s">
        <v>158</v>
      </c>
      <c r="K778" t="s">
        <v>22</v>
      </c>
      <c r="L778" t="s">
        <v>23</v>
      </c>
      <c r="M778" t="s">
        <v>24</v>
      </c>
      <c r="N778" t="s">
        <v>24</v>
      </c>
      <c r="O778" t="s">
        <v>25</v>
      </c>
      <c r="P778" s="8" t="s">
        <v>1055</v>
      </c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</row>
    <row r="779" spans="1:51" hidden="1" x14ac:dyDescent="0.2">
      <c r="A779" s="6" t="s">
        <v>17</v>
      </c>
      <c r="B779" t="s">
        <v>155</v>
      </c>
      <c r="C779" t="s">
        <v>156</v>
      </c>
      <c r="D779" t="s">
        <v>157</v>
      </c>
      <c r="E779" s="2">
        <v>7.14</v>
      </c>
      <c r="F779" s="3">
        <f>DATE(2025,4,22)</f>
        <v>45769</v>
      </c>
      <c r="G779" s="3">
        <f>DATE(2025,4,22)</f>
        <v>45769</v>
      </c>
      <c r="H779">
        <v>2070544451</v>
      </c>
      <c r="I779" t="s">
        <v>158</v>
      </c>
      <c r="K779" t="s">
        <v>22</v>
      </c>
      <c r="L779" t="s">
        <v>23</v>
      </c>
      <c r="M779" t="s">
        <v>24</v>
      </c>
      <c r="N779" t="s">
        <v>24</v>
      </c>
      <c r="O779" t="s">
        <v>25</v>
      </c>
      <c r="P779" s="8" t="s">
        <v>1056</v>
      </c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</row>
    <row r="780" spans="1:51" hidden="1" x14ac:dyDescent="0.2">
      <c r="A780" s="6" t="s">
        <v>17</v>
      </c>
      <c r="B780" t="s">
        <v>118</v>
      </c>
      <c r="C780" t="s">
        <v>119</v>
      </c>
      <c r="D780" t="s">
        <v>160</v>
      </c>
      <c r="E780" s="2">
        <v>8.99</v>
      </c>
      <c r="F780" s="3">
        <f>DATE(2025,4,21)</f>
        <v>45768</v>
      </c>
      <c r="G780" s="3">
        <f>DATE(2025,4,21)</f>
        <v>45768</v>
      </c>
      <c r="H780">
        <v>2070544452</v>
      </c>
      <c r="I780" t="s">
        <v>158</v>
      </c>
      <c r="K780" t="s">
        <v>22</v>
      </c>
      <c r="L780" t="s">
        <v>23</v>
      </c>
      <c r="M780" t="s">
        <v>24</v>
      </c>
      <c r="N780" t="s">
        <v>24</v>
      </c>
      <c r="O780" t="s">
        <v>25</v>
      </c>
      <c r="P780" s="8" t="s">
        <v>1057</v>
      </c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</row>
    <row r="781" spans="1:51" hidden="1" x14ac:dyDescent="0.2">
      <c r="A781" s="6" t="s">
        <v>17</v>
      </c>
      <c r="B781" t="s">
        <v>565</v>
      </c>
      <c r="C781" t="s">
        <v>566</v>
      </c>
      <c r="D781" t="s">
        <v>1058</v>
      </c>
      <c r="E781" s="2">
        <v>1326.7</v>
      </c>
      <c r="F781" s="3">
        <f>DATE(2025,4,23)</f>
        <v>45770</v>
      </c>
      <c r="G781" s="3">
        <f>DATE(2025,4,23)</f>
        <v>45770</v>
      </c>
      <c r="H781">
        <v>2070544457</v>
      </c>
      <c r="I781" t="s">
        <v>21</v>
      </c>
      <c r="K781" t="s">
        <v>22</v>
      </c>
      <c r="L781" t="s">
        <v>23</v>
      </c>
      <c r="M781" t="s">
        <v>24</v>
      </c>
      <c r="N781" t="s">
        <v>24</v>
      </c>
      <c r="O781" t="s">
        <v>25</v>
      </c>
      <c r="P781" s="8" t="s">
        <v>1059</v>
      </c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</row>
    <row r="782" spans="1:51" hidden="1" x14ac:dyDescent="0.2">
      <c r="A782" s="6"/>
      <c r="E782" s="2"/>
      <c r="F782" s="3"/>
      <c r="G782" s="3"/>
      <c r="P782" s="8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</row>
    <row r="783" spans="1:51" hidden="1" x14ac:dyDescent="0.2">
      <c r="A783" s="6"/>
      <c r="E783" s="2"/>
      <c r="F783" s="3"/>
      <c r="G783" s="3"/>
      <c r="P783" s="8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</row>
    <row r="784" spans="1:51" hidden="1" x14ac:dyDescent="0.2">
      <c r="A784" s="6"/>
      <c r="E784" s="2"/>
      <c r="F784" s="3"/>
      <c r="G784" s="3"/>
      <c r="P784" s="8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</row>
    <row r="785" spans="1:51" hidden="1" x14ac:dyDescent="0.2">
      <c r="A785" s="6" t="s">
        <v>17</v>
      </c>
      <c r="B785" t="s">
        <v>31</v>
      </c>
      <c r="C785" t="s">
        <v>32</v>
      </c>
      <c r="D785" t="s">
        <v>1060</v>
      </c>
      <c r="E785" s="2">
        <v>51.99</v>
      </c>
      <c r="F785" s="3">
        <f t="shared" ref="F785:G790" si="67">DATE(2025,4,22)</f>
        <v>45769</v>
      </c>
      <c r="G785" s="3">
        <f t="shared" si="67"/>
        <v>45769</v>
      </c>
      <c r="H785">
        <v>2070544461</v>
      </c>
      <c r="I785" t="s">
        <v>21</v>
      </c>
      <c r="K785" t="s">
        <v>22</v>
      </c>
      <c r="L785" t="s">
        <v>23</v>
      </c>
      <c r="M785" t="s">
        <v>24</v>
      </c>
      <c r="N785" t="s">
        <v>24</v>
      </c>
      <c r="O785" t="s">
        <v>25</v>
      </c>
      <c r="P785" s="8" t="s">
        <v>1061</v>
      </c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</row>
    <row r="786" spans="1:51" hidden="1" x14ac:dyDescent="0.2">
      <c r="A786" s="6" t="s">
        <v>17</v>
      </c>
      <c r="B786" t="s">
        <v>155</v>
      </c>
      <c r="C786" t="s">
        <v>156</v>
      </c>
      <c r="D786" t="s">
        <v>1062</v>
      </c>
      <c r="E786" s="2">
        <v>440</v>
      </c>
      <c r="F786" s="3">
        <f t="shared" si="67"/>
        <v>45769</v>
      </c>
      <c r="G786" s="3">
        <f t="shared" si="67"/>
        <v>45769</v>
      </c>
      <c r="H786">
        <v>2070544462</v>
      </c>
      <c r="I786" t="s">
        <v>21</v>
      </c>
      <c r="K786" t="s">
        <v>22</v>
      </c>
      <c r="L786" t="s">
        <v>23</v>
      </c>
      <c r="M786" t="s">
        <v>24</v>
      </c>
      <c r="N786" t="s">
        <v>24</v>
      </c>
      <c r="O786" t="s">
        <v>25</v>
      </c>
      <c r="P786" s="8" t="s">
        <v>1063</v>
      </c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</row>
    <row r="787" spans="1:51" hidden="1" x14ac:dyDescent="0.2">
      <c r="A787" s="6" t="s">
        <v>17</v>
      </c>
      <c r="B787" t="s">
        <v>980</v>
      </c>
      <c r="C787" t="s">
        <v>981</v>
      </c>
      <c r="D787" t="s">
        <v>1064</v>
      </c>
      <c r="E787" s="2">
        <v>111.72</v>
      </c>
      <c r="F787" s="3">
        <f t="shared" si="67"/>
        <v>45769</v>
      </c>
      <c r="G787" s="3">
        <f t="shared" si="67"/>
        <v>45769</v>
      </c>
      <c r="H787">
        <v>2070544463</v>
      </c>
      <c r="I787" t="s">
        <v>21</v>
      </c>
      <c r="K787" t="s">
        <v>22</v>
      </c>
      <c r="L787" t="s">
        <v>23</v>
      </c>
      <c r="M787" t="s">
        <v>24</v>
      </c>
      <c r="N787" t="s">
        <v>24</v>
      </c>
      <c r="O787" t="s">
        <v>25</v>
      </c>
      <c r="P787" s="8" t="s">
        <v>1065</v>
      </c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</row>
    <row r="788" spans="1:51" hidden="1" x14ac:dyDescent="0.2">
      <c r="A788" s="6"/>
      <c r="E788" s="2"/>
      <c r="F788" s="3"/>
      <c r="G788" s="3"/>
      <c r="P788" s="8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</row>
    <row r="789" spans="1:51" hidden="1" x14ac:dyDescent="0.2">
      <c r="A789" s="6"/>
      <c r="E789" s="2"/>
      <c r="F789" s="3"/>
      <c r="G789" s="3"/>
      <c r="P789" s="8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</row>
    <row r="790" spans="1:51" hidden="1" x14ac:dyDescent="0.2">
      <c r="A790" s="6" t="s">
        <v>17</v>
      </c>
      <c r="B790" t="s">
        <v>565</v>
      </c>
      <c r="C790" t="s">
        <v>566</v>
      </c>
      <c r="D790" t="s">
        <v>1066</v>
      </c>
      <c r="E790" s="2">
        <v>2687.27</v>
      </c>
      <c r="F790" s="3">
        <f t="shared" si="67"/>
        <v>45769</v>
      </c>
      <c r="G790" s="3">
        <f t="shared" si="67"/>
        <v>45769</v>
      </c>
      <c r="H790">
        <v>2070544466</v>
      </c>
      <c r="I790" t="s">
        <v>21</v>
      </c>
      <c r="K790" t="s">
        <v>22</v>
      </c>
      <c r="L790" t="s">
        <v>23</v>
      </c>
      <c r="M790" t="s">
        <v>24</v>
      </c>
      <c r="N790" t="s">
        <v>24</v>
      </c>
      <c r="O790" t="s">
        <v>25</v>
      </c>
      <c r="P790" s="8" t="s">
        <v>1067</v>
      </c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</row>
    <row r="791" spans="1:51" hidden="1" x14ac:dyDescent="0.2">
      <c r="A791" s="6" t="s">
        <v>17</v>
      </c>
      <c r="B791" t="s">
        <v>70</v>
      </c>
      <c r="C791" t="s">
        <v>71</v>
      </c>
      <c r="D791" t="s">
        <v>1068</v>
      </c>
      <c r="E791" s="2">
        <v>474.24</v>
      </c>
      <c r="F791" s="3">
        <f>DATE(2025,4,23)</f>
        <v>45770</v>
      </c>
      <c r="G791" s="3">
        <f>DATE(2025,4,23)</f>
        <v>45770</v>
      </c>
      <c r="H791">
        <v>2070544467</v>
      </c>
      <c r="I791" t="s">
        <v>21</v>
      </c>
      <c r="K791" t="s">
        <v>22</v>
      </c>
      <c r="L791" t="s">
        <v>23</v>
      </c>
      <c r="M791" t="s">
        <v>24</v>
      </c>
      <c r="N791" t="s">
        <v>24</v>
      </c>
      <c r="O791" t="s">
        <v>25</v>
      </c>
      <c r="P791" s="8" t="s">
        <v>1069</v>
      </c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</row>
    <row r="792" spans="1:51" x14ac:dyDescent="0.2">
      <c r="A792" s="6" t="s">
        <v>17</v>
      </c>
      <c r="B792" t="s">
        <v>342</v>
      </c>
      <c r="C792" t="s">
        <v>342</v>
      </c>
      <c r="D792" t="s">
        <v>1070</v>
      </c>
      <c r="E792" s="2">
        <v>332.01</v>
      </c>
      <c r="F792" s="3">
        <f>DATE(2025,4,23)</f>
        <v>45770</v>
      </c>
      <c r="G792" s="3">
        <f>DATE(2025,4,23)</f>
        <v>45770</v>
      </c>
      <c r="H792">
        <v>2070544468</v>
      </c>
      <c r="I792" t="s">
        <v>21</v>
      </c>
      <c r="K792" t="s">
        <v>22</v>
      </c>
      <c r="L792" t="s">
        <v>23</v>
      </c>
      <c r="M792" t="s">
        <v>24</v>
      </c>
      <c r="N792" t="s">
        <v>24</v>
      </c>
      <c r="O792" t="s">
        <v>25</v>
      </c>
      <c r="P792" s="8" t="s">
        <v>1071</v>
      </c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</row>
    <row r="793" spans="1:51" hidden="1" x14ac:dyDescent="0.2">
      <c r="A793" s="6"/>
      <c r="E793" s="2"/>
      <c r="F793" s="3"/>
      <c r="G793" s="3"/>
      <c r="P793" s="8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</row>
    <row r="794" spans="1:51" hidden="1" x14ac:dyDescent="0.2">
      <c r="A794" s="6" t="s">
        <v>17</v>
      </c>
      <c r="B794" t="s">
        <v>18</v>
      </c>
      <c r="C794" t="s">
        <v>19</v>
      </c>
      <c r="D794" t="s">
        <v>1072</v>
      </c>
      <c r="E794" s="2">
        <v>75.599999999999994</v>
      </c>
      <c r="F794" s="3">
        <f>DATE(2025,4,23)</f>
        <v>45770</v>
      </c>
      <c r="G794" s="3">
        <f>DATE(2025,4,23)</f>
        <v>45770</v>
      </c>
      <c r="H794">
        <v>2070544470</v>
      </c>
      <c r="I794" t="s">
        <v>21</v>
      </c>
      <c r="K794" t="s">
        <v>22</v>
      </c>
      <c r="L794" t="s">
        <v>23</v>
      </c>
      <c r="M794" t="s">
        <v>24</v>
      </c>
      <c r="N794" t="s">
        <v>24</v>
      </c>
      <c r="O794" t="s">
        <v>25</v>
      </c>
      <c r="P794" s="8" t="s">
        <v>1073</v>
      </c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</row>
    <row r="795" spans="1:51" hidden="1" x14ac:dyDescent="0.2">
      <c r="A795" s="6" t="s">
        <v>17</v>
      </c>
      <c r="B795" t="s">
        <v>90</v>
      </c>
      <c r="C795" t="s">
        <v>91</v>
      </c>
      <c r="D795" t="s">
        <v>1074</v>
      </c>
      <c r="E795" s="2">
        <v>600</v>
      </c>
      <c r="F795" s="3">
        <f>DATE(2025,4,23)</f>
        <v>45770</v>
      </c>
      <c r="G795" s="3">
        <f>DATE(2025,4,23)</f>
        <v>45770</v>
      </c>
      <c r="H795">
        <v>2070544471</v>
      </c>
      <c r="I795" t="s">
        <v>21</v>
      </c>
      <c r="K795" t="s">
        <v>22</v>
      </c>
      <c r="L795" t="s">
        <v>23</v>
      </c>
      <c r="M795" t="s">
        <v>24</v>
      </c>
      <c r="N795" t="s">
        <v>24</v>
      </c>
      <c r="O795" t="s">
        <v>25</v>
      </c>
      <c r="P795" s="8" t="s">
        <v>1075</v>
      </c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</row>
    <row r="796" spans="1:51" hidden="1" x14ac:dyDescent="0.2">
      <c r="A796" s="6" t="s">
        <v>17</v>
      </c>
      <c r="B796" t="s">
        <v>255</v>
      </c>
      <c r="C796" t="s">
        <v>255</v>
      </c>
      <c r="D796" t="s">
        <v>1076</v>
      </c>
      <c r="E796" s="2">
        <v>239.02</v>
      </c>
      <c r="F796" s="3">
        <f t="shared" ref="F796:G798" si="68">DATE(2025,4,22)</f>
        <v>45769</v>
      </c>
      <c r="G796" s="3">
        <f t="shared" si="68"/>
        <v>45769</v>
      </c>
      <c r="H796">
        <v>2070544472</v>
      </c>
      <c r="I796" t="s">
        <v>21</v>
      </c>
      <c r="K796" t="s">
        <v>22</v>
      </c>
      <c r="L796" t="s">
        <v>23</v>
      </c>
      <c r="M796" t="s">
        <v>24</v>
      </c>
      <c r="N796" t="s">
        <v>24</v>
      </c>
      <c r="O796" t="s">
        <v>25</v>
      </c>
      <c r="P796" s="8" t="s">
        <v>1077</v>
      </c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</row>
    <row r="797" spans="1:51" hidden="1" x14ac:dyDescent="0.2">
      <c r="A797" s="6" t="s">
        <v>17</v>
      </c>
      <c r="B797" t="s">
        <v>155</v>
      </c>
      <c r="C797" t="s">
        <v>156</v>
      </c>
      <c r="D797" t="s">
        <v>1078</v>
      </c>
      <c r="E797" s="2">
        <v>25.44</v>
      </c>
      <c r="F797" s="3">
        <f t="shared" si="68"/>
        <v>45769</v>
      </c>
      <c r="G797" s="3">
        <f t="shared" si="68"/>
        <v>45769</v>
      </c>
      <c r="H797">
        <v>2070544473</v>
      </c>
      <c r="I797" t="s">
        <v>21</v>
      </c>
      <c r="K797" t="s">
        <v>22</v>
      </c>
      <c r="L797" t="s">
        <v>23</v>
      </c>
      <c r="M797" t="s">
        <v>24</v>
      </c>
      <c r="N797" t="s">
        <v>24</v>
      </c>
      <c r="O797" t="s">
        <v>25</v>
      </c>
      <c r="P797" s="8" t="s">
        <v>1079</v>
      </c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</row>
    <row r="798" spans="1:51" hidden="1" x14ac:dyDescent="0.2">
      <c r="A798" s="6" t="s">
        <v>17</v>
      </c>
      <c r="B798" t="s">
        <v>31</v>
      </c>
      <c r="C798" t="s">
        <v>32</v>
      </c>
      <c r="D798" t="s">
        <v>1080</v>
      </c>
      <c r="E798" s="2">
        <v>11.79</v>
      </c>
      <c r="F798" s="3">
        <f t="shared" si="68"/>
        <v>45769</v>
      </c>
      <c r="G798" s="3">
        <f t="shared" si="68"/>
        <v>45769</v>
      </c>
      <c r="H798">
        <v>2070544474</v>
      </c>
      <c r="I798" t="s">
        <v>21</v>
      </c>
      <c r="K798" t="s">
        <v>22</v>
      </c>
      <c r="L798" t="s">
        <v>23</v>
      </c>
      <c r="M798" t="s">
        <v>24</v>
      </c>
      <c r="N798" t="s">
        <v>24</v>
      </c>
      <c r="O798" t="s">
        <v>25</v>
      </c>
      <c r="P798" s="8" t="s">
        <v>1081</v>
      </c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</row>
    <row r="799" spans="1:51" hidden="1" x14ac:dyDescent="0.2">
      <c r="A799" s="6"/>
      <c r="E799" s="2"/>
      <c r="F799" s="3"/>
      <c r="G799" s="3"/>
      <c r="P799" s="8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</row>
    <row r="800" spans="1:51" hidden="1" x14ac:dyDescent="0.2">
      <c r="A800" s="6" t="s">
        <v>17</v>
      </c>
      <c r="B800" t="s">
        <v>878</v>
      </c>
      <c r="C800" t="s">
        <v>879</v>
      </c>
      <c r="D800" t="s">
        <v>1082</v>
      </c>
      <c r="E800" s="2">
        <v>1462.71</v>
      </c>
      <c r="F800" s="3">
        <f>DATE(2025,4,23)</f>
        <v>45770</v>
      </c>
      <c r="G800" s="3">
        <f>DATE(2025,4,23)</f>
        <v>45770</v>
      </c>
      <c r="H800">
        <v>2070544476</v>
      </c>
      <c r="I800" t="s">
        <v>21</v>
      </c>
      <c r="K800" t="s">
        <v>22</v>
      </c>
      <c r="L800" t="s">
        <v>23</v>
      </c>
      <c r="M800" t="s">
        <v>24</v>
      </c>
      <c r="N800" t="s">
        <v>24</v>
      </c>
      <c r="O800" t="s">
        <v>25</v>
      </c>
      <c r="P800" s="8" t="s">
        <v>1083</v>
      </c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</row>
    <row r="801" spans="1:51" hidden="1" x14ac:dyDescent="0.2">
      <c r="A801" s="6" t="s">
        <v>17</v>
      </c>
      <c r="B801" t="s">
        <v>1002</v>
      </c>
      <c r="C801" t="s">
        <v>1003</v>
      </c>
      <c r="D801" t="s">
        <v>1084</v>
      </c>
      <c r="E801" s="2">
        <v>1795.12</v>
      </c>
      <c r="F801" s="3">
        <f t="shared" ref="F801:G803" si="69">DATE(2025,4,22)</f>
        <v>45769</v>
      </c>
      <c r="G801" s="3">
        <f t="shared" si="69"/>
        <v>45769</v>
      </c>
      <c r="H801">
        <v>2070544477</v>
      </c>
      <c r="I801" t="s">
        <v>21</v>
      </c>
      <c r="K801" t="s">
        <v>22</v>
      </c>
      <c r="L801" t="s">
        <v>23</v>
      </c>
      <c r="M801" t="s">
        <v>24</v>
      </c>
      <c r="N801" t="s">
        <v>24</v>
      </c>
      <c r="O801" t="s">
        <v>25</v>
      </c>
      <c r="P801" s="8" t="s">
        <v>1085</v>
      </c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</row>
    <row r="802" spans="1:51" hidden="1" x14ac:dyDescent="0.2">
      <c r="A802" s="6"/>
      <c r="E802" s="2"/>
      <c r="F802" s="3"/>
      <c r="G802" s="3"/>
      <c r="P802" s="8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</row>
    <row r="803" spans="1:51" hidden="1" x14ac:dyDescent="0.2">
      <c r="A803" s="6" t="s">
        <v>17</v>
      </c>
      <c r="B803" t="s">
        <v>35</v>
      </c>
      <c r="C803" t="s">
        <v>35</v>
      </c>
      <c r="D803" t="s">
        <v>1086</v>
      </c>
      <c r="E803" s="2">
        <v>1.69</v>
      </c>
      <c r="F803" s="3">
        <f t="shared" si="69"/>
        <v>45769</v>
      </c>
      <c r="G803" s="3">
        <f t="shared" si="69"/>
        <v>45769</v>
      </c>
      <c r="H803">
        <v>2070544479</v>
      </c>
      <c r="I803" t="s">
        <v>21</v>
      </c>
      <c r="K803" t="s">
        <v>22</v>
      </c>
      <c r="L803" t="s">
        <v>23</v>
      </c>
      <c r="M803" t="s">
        <v>24</v>
      </c>
      <c r="N803" t="s">
        <v>24</v>
      </c>
      <c r="O803" t="s">
        <v>25</v>
      </c>
      <c r="P803" s="8" t="s">
        <v>1087</v>
      </c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</row>
    <row r="804" spans="1:51" hidden="1" x14ac:dyDescent="0.2">
      <c r="A804" s="6" t="s">
        <v>17</v>
      </c>
      <c r="B804" t="s">
        <v>825</v>
      </c>
      <c r="C804" t="s">
        <v>826</v>
      </c>
      <c r="D804" t="s">
        <v>1088</v>
      </c>
      <c r="E804" s="2">
        <v>995.79</v>
      </c>
      <c r="F804" s="3">
        <f>DATE(2025,4,23)</f>
        <v>45770</v>
      </c>
      <c r="G804" s="3">
        <f>DATE(2025,4,23)</f>
        <v>45770</v>
      </c>
      <c r="H804">
        <v>2070544480</v>
      </c>
      <c r="I804" t="s">
        <v>21</v>
      </c>
      <c r="K804" t="s">
        <v>22</v>
      </c>
      <c r="L804" t="s">
        <v>23</v>
      </c>
      <c r="M804" t="s">
        <v>24</v>
      </c>
      <c r="N804" t="s">
        <v>24</v>
      </c>
      <c r="O804" t="s">
        <v>25</v>
      </c>
      <c r="P804" s="8" t="s">
        <v>1089</v>
      </c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</row>
    <row r="805" spans="1:51" hidden="1" x14ac:dyDescent="0.2">
      <c r="A805" s="6" t="s">
        <v>17</v>
      </c>
      <c r="B805" t="s">
        <v>31</v>
      </c>
      <c r="C805" t="s">
        <v>32</v>
      </c>
      <c r="D805" t="s">
        <v>1090</v>
      </c>
      <c r="E805" s="2">
        <v>80.400000000000006</v>
      </c>
      <c r="F805" s="3">
        <f>DATE(2025,4,22)</f>
        <v>45769</v>
      </c>
      <c r="G805" s="3">
        <f>DATE(2025,4,22)</f>
        <v>45769</v>
      </c>
      <c r="H805">
        <v>2070544481</v>
      </c>
      <c r="I805" t="s">
        <v>21</v>
      </c>
      <c r="K805" t="s">
        <v>22</v>
      </c>
      <c r="L805" t="s">
        <v>23</v>
      </c>
      <c r="M805" t="s">
        <v>24</v>
      </c>
      <c r="N805" t="s">
        <v>24</v>
      </c>
      <c r="O805" t="s">
        <v>25</v>
      </c>
      <c r="P805" s="8" t="s">
        <v>1091</v>
      </c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</row>
    <row r="806" spans="1:51" hidden="1" x14ac:dyDescent="0.2">
      <c r="A806" s="6"/>
      <c r="E806" s="2"/>
      <c r="F806" s="3"/>
      <c r="G806" s="3"/>
      <c r="P806" s="8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</row>
    <row r="807" spans="1:51" hidden="1" x14ac:dyDescent="0.2">
      <c r="A807" s="6"/>
      <c r="E807" s="2"/>
      <c r="F807" s="3"/>
      <c r="G807" s="3"/>
      <c r="P807" s="8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</row>
    <row r="808" spans="1:51" hidden="1" x14ac:dyDescent="0.2">
      <c r="A808" s="6"/>
      <c r="E808" s="2"/>
      <c r="F808" s="3"/>
      <c r="G808" s="3"/>
      <c r="P808" s="8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</row>
    <row r="809" spans="1:51" hidden="1" x14ac:dyDescent="0.2">
      <c r="A809" s="6"/>
      <c r="E809" s="2"/>
      <c r="F809" s="3"/>
      <c r="G809" s="3"/>
      <c r="P809" s="8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</row>
    <row r="810" spans="1:51" hidden="1" x14ac:dyDescent="0.2">
      <c r="A810" s="6"/>
      <c r="E810" s="2"/>
      <c r="F810" s="3"/>
      <c r="G810" s="3"/>
      <c r="P810" s="8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</row>
    <row r="811" spans="1:51" hidden="1" x14ac:dyDescent="0.2">
      <c r="A811" s="6" t="s">
        <v>17</v>
      </c>
      <c r="B811" t="s">
        <v>173</v>
      </c>
      <c r="C811" t="s">
        <v>154</v>
      </c>
      <c r="D811" t="s">
        <v>913</v>
      </c>
      <c r="E811" s="2">
        <v>69.05</v>
      </c>
      <c r="F811" s="3">
        <f t="shared" ref="F811:G811" si="70">DATE(2025,4,23)</f>
        <v>45770</v>
      </c>
      <c r="G811" s="3">
        <f t="shared" si="70"/>
        <v>45770</v>
      </c>
      <c r="H811">
        <v>2076329054</v>
      </c>
      <c r="I811" t="s">
        <v>158</v>
      </c>
      <c r="K811" t="s">
        <v>22</v>
      </c>
      <c r="L811" t="s">
        <v>23</v>
      </c>
      <c r="M811" t="s">
        <v>24</v>
      </c>
      <c r="N811" t="s">
        <v>24</v>
      </c>
      <c r="O811" t="s">
        <v>25</v>
      </c>
      <c r="P811" s="8" t="s">
        <v>1092</v>
      </c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</row>
    <row r="812" spans="1:51" hidden="1" x14ac:dyDescent="0.2">
      <c r="A812" s="6"/>
      <c r="E812" s="2"/>
      <c r="F812" s="3"/>
      <c r="G812" s="3"/>
      <c r="P812" s="8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</row>
    <row r="813" spans="1:51" hidden="1" x14ac:dyDescent="0.2">
      <c r="A813" s="6" t="s">
        <v>17</v>
      </c>
      <c r="B813" t="s">
        <v>287</v>
      </c>
      <c r="C813" t="s">
        <v>288</v>
      </c>
      <c r="D813" t="s">
        <v>1093</v>
      </c>
      <c r="E813" s="2">
        <v>595</v>
      </c>
      <c r="F813" s="3">
        <f t="shared" ref="F813:G818" si="71">DATE(2025,4,24)</f>
        <v>45771</v>
      </c>
      <c r="G813" s="3">
        <f t="shared" si="71"/>
        <v>45771</v>
      </c>
      <c r="H813">
        <v>2076329056</v>
      </c>
      <c r="I813" t="s">
        <v>21</v>
      </c>
      <c r="K813" t="s">
        <v>22</v>
      </c>
      <c r="L813" t="s">
        <v>23</v>
      </c>
      <c r="M813" t="s">
        <v>24</v>
      </c>
      <c r="N813" t="s">
        <v>24</v>
      </c>
      <c r="O813" t="s">
        <v>25</v>
      </c>
      <c r="P813" s="8" t="s">
        <v>1094</v>
      </c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</row>
    <row r="814" spans="1:51" hidden="1" x14ac:dyDescent="0.2">
      <c r="A814" s="6"/>
      <c r="E814" s="2"/>
      <c r="F814" s="3"/>
      <c r="G814" s="3"/>
      <c r="P814" s="8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</row>
    <row r="815" spans="1:51" hidden="1" x14ac:dyDescent="0.2">
      <c r="A815" s="6"/>
      <c r="E815" s="2"/>
      <c r="F815" s="3"/>
      <c r="G815" s="3"/>
      <c r="P815" s="8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</row>
    <row r="816" spans="1:51" hidden="1" x14ac:dyDescent="0.2">
      <c r="A816" s="6"/>
      <c r="E816" s="2"/>
      <c r="F816" s="3"/>
      <c r="G816" s="3"/>
      <c r="P816" s="8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</row>
    <row r="817" spans="1:51" hidden="1" x14ac:dyDescent="0.2">
      <c r="A817" s="6"/>
      <c r="E817" s="2"/>
      <c r="F817" s="3"/>
      <c r="G817" s="3"/>
      <c r="P817" s="8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</row>
    <row r="818" spans="1:51" hidden="1" x14ac:dyDescent="0.2">
      <c r="A818" s="6" t="s">
        <v>17</v>
      </c>
      <c r="B818" t="s">
        <v>60</v>
      </c>
      <c r="C818" t="s">
        <v>61</v>
      </c>
      <c r="D818" t="s">
        <v>463</v>
      </c>
      <c r="E818" s="2">
        <v>15.63</v>
      </c>
      <c r="F818" s="3">
        <f t="shared" si="71"/>
        <v>45771</v>
      </c>
      <c r="G818" s="3">
        <f t="shared" si="71"/>
        <v>45771</v>
      </c>
      <c r="H818">
        <v>2079746343</v>
      </c>
      <c r="I818" t="s">
        <v>158</v>
      </c>
      <c r="K818" t="s">
        <v>22</v>
      </c>
      <c r="L818" t="s">
        <v>23</v>
      </c>
      <c r="M818" t="s">
        <v>24</v>
      </c>
      <c r="N818" t="s">
        <v>24</v>
      </c>
      <c r="O818" t="s">
        <v>25</v>
      </c>
      <c r="P818" s="8" t="s">
        <v>1095</v>
      </c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</row>
    <row r="819" spans="1:51" hidden="1" x14ac:dyDescent="0.2">
      <c r="A819" s="6" t="s">
        <v>17</v>
      </c>
      <c r="B819" t="s">
        <v>35</v>
      </c>
      <c r="C819" t="s">
        <v>35</v>
      </c>
      <c r="D819" t="s">
        <v>1096</v>
      </c>
      <c r="E819" s="2">
        <v>15.38</v>
      </c>
      <c r="F819" s="3">
        <f t="shared" ref="F819:G824" si="72">DATE(2025,4,25)</f>
        <v>45772</v>
      </c>
      <c r="G819" s="3">
        <f t="shared" si="72"/>
        <v>45772</v>
      </c>
      <c r="H819">
        <v>2079746344</v>
      </c>
      <c r="I819" t="s">
        <v>21</v>
      </c>
      <c r="K819" t="s">
        <v>22</v>
      </c>
      <c r="L819" t="s">
        <v>23</v>
      </c>
      <c r="M819" t="s">
        <v>24</v>
      </c>
      <c r="N819" t="s">
        <v>24</v>
      </c>
      <c r="O819" t="s">
        <v>25</v>
      </c>
      <c r="P819" s="8" t="s">
        <v>1097</v>
      </c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</row>
    <row r="820" spans="1:51" hidden="1" x14ac:dyDescent="0.2">
      <c r="A820" s="6" t="s">
        <v>17</v>
      </c>
      <c r="B820" t="s">
        <v>309</v>
      </c>
      <c r="C820" t="s">
        <v>310</v>
      </c>
      <c r="D820" t="s">
        <v>1098</v>
      </c>
      <c r="E820" s="2">
        <v>1588.73</v>
      </c>
      <c r="F820" s="3">
        <f t="shared" si="72"/>
        <v>45772</v>
      </c>
      <c r="G820" s="3">
        <f t="shared" si="72"/>
        <v>45772</v>
      </c>
      <c r="H820">
        <v>2079746345</v>
      </c>
      <c r="I820" t="s">
        <v>21</v>
      </c>
      <c r="K820" t="s">
        <v>22</v>
      </c>
      <c r="L820" t="s">
        <v>23</v>
      </c>
      <c r="M820" t="s">
        <v>24</v>
      </c>
      <c r="N820" t="s">
        <v>24</v>
      </c>
      <c r="O820" t="s">
        <v>25</v>
      </c>
      <c r="P820" s="8" t="s">
        <v>1099</v>
      </c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</row>
    <row r="821" spans="1:51" hidden="1" x14ac:dyDescent="0.2">
      <c r="A821" s="6"/>
      <c r="E821" s="2"/>
      <c r="F821" s="3"/>
      <c r="G821" s="3"/>
      <c r="P821" s="8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</row>
    <row r="822" spans="1:51" hidden="1" x14ac:dyDescent="0.2">
      <c r="A822" s="6" t="s">
        <v>17</v>
      </c>
      <c r="B822" t="s">
        <v>1002</v>
      </c>
      <c r="C822" t="s">
        <v>1003</v>
      </c>
      <c r="D822" t="s">
        <v>1100</v>
      </c>
      <c r="E822" s="2">
        <v>296.45999999999998</v>
      </c>
      <c r="F822" s="3">
        <f t="shared" si="72"/>
        <v>45772</v>
      </c>
      <c r="G822" s="3">
        <f t="shared" si="72"/>
        <v>45772</v>
      </c>
      <c r="H822">
        <v>2079746347</v>
      </c>
      <c r="I822" t="s">
        <v>21</v>
      </c>
      <c r="K822" t="s">
        <v>22</v>
      </c>
      <c r="L822" t="s">
        <v>23</v>
      </c>
      <c r="M822" t="s">
        <v>24</v>
      </c>
      <c r="N822" t="s">
        <v>24</v>
      </c>
      <c r="O822" t="s">
        <v>25</v>
      </c>
      <c r="P822" s="8" t="s">
        <v>1101</v>
      </c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</row>
    <row r="823" spans="1:51" hidden="1" x14ac:dyDescent="0.2">
      <c r="A823" s="6"/>
      <c r="E823" s="2"/>
      <c r="F823" s="3"/>
      <c r="G823" s="3"/>
      <c r="P823" s="8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</row>
    <row r="824" spans="1:51" hidden="1" x14ac:dyDescent="0.2">
      <c r="A824" s="6" t="s">
        <v>17</v>
      </c>
      <c r="B824" t="s">
        <v>31</v>
      </c>
      <c r="C824" t="s">
        <v>32</v>
      </c>
      <c r="D824" t="s">
        <v>1102</v>
      </c>
      <c r="E824" s="2">
        <v>71.34</v>
      </c>
      <c r="F824" s="3">
        <f t="shared" si="72"/>
        <v>45772</v>
      </c>
      <c r="G824" s="3">
        <f t="shared" si="72"/>
        <v>45772</v>
      </c>
      <c r="H824">
        <v>2079746349</v>
      </c>
      <c r="I824" t="s">
        <v>21</v>
      </c>
      <c r="K824" t="s">
        <v>22</v>
      </c>
      <c r="L824" t="s">
        <v>23</v>
      </c>
      <c r="M824" t="s">
        <v>24</v>
      </c>
      <c r="N824" t="s">
        <v>24</v>
      </c>
      <c r="O824" t="s">
        <v>25</v>
      </c>
      <c r="P824" s="8" t="s">
        <v>1103</v>
      </c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</row>
    <row r="825" spans="1:51" hidden="1" x14ac:dyDescent="0.2">
      <c r="A825" s="6"/>
      <c r="E825" s="2"/>
      <c r="F825" s="3"/>
      <c r="G825" s="3"/>
      <c r="P825" s="8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</row>
    <row r="826" spans="1:51" hidden="1" x14ac:dyDescent="0.2">
      <c r="A826" s="6"/>
      <c r="E826" s="2"/>
      <c r="F826" s="3"/>
      <c r="G826" s="3"/>
      <c r="P826" s="8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</row>
    <row r="827" spans="1:51" hidden="1" x14ac:dyDescent="0.2">
      <c r="A827" s="6"/>
      <c r="E827" s="2"/>
      <c r="F827" s="3"/>
      <c r="G827" s="3"/>
      <c r="P827" s="8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</row>
    <row r="828" spans="1:51" hidden="1" x14ac:dyDescent="0.2">
      <c r="A828" s="6"/>
      <c r="E828" s="2"/>
      <c r="F828" s="3"/>
      <c r="G828" s="3"/>
      <c r="P828" s="8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</row>
    <row r="829" spans="1:51" hidden="1" x14ac:dyDescent="0.2">
      <c r="A829" s="6"/>
      <c r="E829" s="2"/>
      <c r="F829" s="3"/>
      <c r="G829" s="3"/>
      <c r="P829" s="8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</row>
    <row r="830" spans="1:51" hidden="1" x14ac:dyDescent="0.2">
      <c r="A830" s="6" t="s">
        <v>17</v>
      </c>
      <c r="B830" t="s">
        <v>980</v>
      </c>
      <c r="C830" t="s">
        <v>981</v>
      </c>
      <c r="D830" t="s">
        <v>1104</v>
      </c>
      <c r="E830" s="2">
        <v>150.56</v>
      </c>
      <c r="F830" s="3">
        <f t="shared" ref="F830:G833" si="73">DATE(2025,4,28)</f>
        <v>45775</v>
      </c>
      <c r="G830" s="3">
        <f t="shared" si="73"/>
        <v>45775</v>
      </c>
      <c r="H830">
        <v>2087421303</v>
      </c>
      <c r="I830" t="s">
        <v>21</v>
      </c>
      <c r="K830" t="s">
        <v>22</v>
      </c>
      <c r="L830" t="s">
        <v>23</v>
      </c>
      <c r="M830" t="s">
        <v>24</v>
      </c>
      <c r="N830" t="s">
        <v>24</v>
      </c>
      <c r="O830" t="s">
        <v>25</v>
      </c>
      <c r="P830" s="8" t="s">
        <v>1105</v>
      </c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</row>
    <row r="831" spans="1:51" hidden="1" x14ac:dyDescent="0.2">
      <c r="A831" s="6" t="s">
        <v>17</v>
      </c>
      <c r="B831" t="s">
        <v>35</v>
      </c>
      <c r="C831" t="s">
        <v>35</v>
      </c>
      <c r="D831" t="s">
        <v>1106</v>
      </c>
      <c r="E831" s="2">
        <v>0.56000000000000005</v>
      </c>
      <c r="F831" s="3">
        <f t="shared" si="73"/>
        <v>45775</v>
      </c>
      <c r="G831" s="3">
        <f t="shared" si="73"/>
        <v>45775</v>
      </c>
      <c r="H831">
        <v>2087421304</v>
      </c>
      <c r="I831" t="s">
        <v>21</v>
      </c>
      <c r="K831" t="s">
        <v>22</v>
      </c>
      <c r="L831" t="s">
        <v>23</v>
      </c>
      <c r="M831" t="s">
        <v>24</v>
      </c>
      <c r="N831" t="s">
        <v>24</v>
      </c>
      <c r="O831" t="s">
        <v>25</v>
      </c>
      <c r="P831" s="8" t="s">
        <v>1107</v>
      </c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</row>
    <row r="832" spans="1:51" hidden="1" x14ac:dyDescent="0.2">
      <c r="A832" s="6"/>
      <c r="E832" s="2"/>
      <c r="F832" s="3"/>
      <c r="G832" s="3"/>
      <c r="P832" s="8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</row>
    <row r="833" spans="1:51" hidden="1" x14ac:dyDescent="0.2">
      <c r="A833" s="6" t="s">
        <v>17</v>
      </c>
      <c r="B833" t="s">
        <v>118</v>
      </c>
      <c r="C833" t="s">
        <v>119</v>
      </c>
      <c r="D833" t="s">
        <v>1108</v>
      </c>
      <c r="E833" s="2">
        <v>589</v>
      </c>
      <c r="F833" s="3">
        <f t="shared" si="73"/>
        <v>45775</v>
      </c>
      <c r="G833" s="3">
        <f t="shared" si="73"/>
        <v>45775</v>
      </c>
      <c r="H833">
        <v>2093395638</v>
      </c>
      <c r="I833" t="s">
        <v>21</v>
      </c>
      <c r="K833" t="s">
        <v>22</v>
      </c>
      <c r="L833" t="s">
        <v>23</v>
      </c>
      <c r="M833" t="s">
        <v>24</v>
      </c>
      <c r="N833" t="s">
        <v>24</v>
      </c>
      <c r="O833" t="s">
        <v>25</v>
      </c>
      <c r="P833" s="8" t="s">
        <v>1109</v>
      </c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</row>
    <row r="834" spans="1:51" hidden="1" x14ac:dyDescent="0.2">
      <c r="A834" s="6" t="s">
        <v>17</v>
      </c>
      <c r="B834" t="s">
        <v>70</v>
      </c>
      <c r="C834" t="s">
        <v>71</v>
      </c>
      <c r="D834" t="s">
        <v>1110</v>
      </c>
      <c r="E834" s="2">
        <v>820.8</v>
      </c>
      <c r="F834" s="3">
        <f>DATE(2025,4,29)</f>
        <v>45776</v>
      </c>
      <c r="G834" s="3">
        <f>DATE(2025,4,29)</f>
        <v>45776</v>
      </c>
      <c r="H834">
        <v>2093395639</v>
      </c>
      <c r="I834" t="s">
        <v>21</v>
      </c>
      <c r="K834" t="s">
        <v>22</v>
      </c>
      <c r="L834" t="s">
        <v>23</v>
      </c>
      <c r="M834" t="s">
        <v>24</v>
      </c>
      <c r="N834" t="s">
        <v>24</v>
      </c>
      <c r="O834" t="s">
        <v>25</v>
      </c>
      <c r="P834" s="8" t="s">
        <v>1111</v>
      </c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</row>
    <row r="835" spans="1:51" hidden="1" x14ac:dyDescent="0.2">
      <c r="A835" s="6"/>
      <c r="E835" s="2"/>
      <c r="F835" s="3"/>
      <c r="G835" s="3"/>
      <c r="P835" s="8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</row>
    <row r="836" spans="1:51" hidden="1" x14ac:dyDescent="0.2">
      <c r="A836" s="6" t="s">
        <v>17</v>
      </c>
      <c r="B836" t="s">
        <v>46</v>
      </c>
      <c r="C836" t="s">
        <v>47</v>
      </c>
      <c r="D836" t="s">
        <v>1112</v>
      </c>
      <c r="E836" s="2">
        <v>255.17</v>
      </c>
      <c r="F836" s="3">
        <f>DATE(2025,4,28)</f>
        <v>45775</v>
      </c>
      <c r="G836" s="3">
        <f>DATE(2025,4,28)</f>
        <v>45775</v>
      </c>
      <c r="H836">
        <v>2093395641</v>
      </c>
      <c r="I836" t="s">
        <v>21</v>
      </c>
      <c r="K836" t="s">
        <v>22</v>
      </c>
      <c r="L836" t="s">
        <v>23</v>
      </c>
      <c r="M836" t="s">
        <v>24</v>
      </c>
      <c r="N836" t="s">
        <v>24</v>
      </c>
      <c r="O836" t="s">
        <v>25</v>
      </c>
      <c r="P836" s="8" t="s">
        <v>1113</v>
      </c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</row>
    <row r="837" spans="1:51" hidden="1" x14ac:dyDescent="0.2">
      <c r="A837" s="6" t="s">
        <v>17</v>
      </c>
      <c r="B837" t="s">
        <v>1114</v>
      </c>
      <c r="C837" t="s">
        <v>1115</v>
      </c>
      <c r="D837" t="s">
        <v>1116</v>
      </c>
      <c r="E837" s="2">
        <v>4559.88</v>
      </c>
      <c r="F837" s="3">
        <f>DATE(2025,4,29)</f>
        <v>45776</v>
      </c>
      <c r="G837" s="3">
        <f>DATE(2025,4,29)</f>
        <v>45776</v>
      </c>
      <c r="H837">
        <v>2093395642</v>
      </c>
      <c r="I837" t="s">
        <v>21</v>
      </c>
      <c r="K837" t="s">
        <v>22</v>
      </c>
      <c r="L837" t="s">
        <v>23</v>
      </c>
      <c r="M837" t="s">
        <v>24</v>
      </c>
      <c r="N837" t="s">
        <v>24</v>
      </c>
      <c r="O837" t="s">
        <v>25</v>
      </c>
      <c r="P837" s="8" t="s">
        <v>1117</v>
      </c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</row>
    <row r="838" spans="1:51" hidden="1" x14ac:dyDescent="0.2">
      <c r="A838" s="6" t="s">
        <v>17</v>
      </c>
      <c r="B838" t="s">
        <v>70</v>
      </c>
      <c r="C838" t="s">
        <v>71</v>
      </c>
      <c r="D838" t="s">
        <v>1118</v>
      </c>
      <c r="E838" s="2">
        <v>727.8</v>
      </c>
      <c r="F838" s="3">
        <f>DATE(2025,4,28)</f>
        <v>45775</v>
      </c>
      <c r="G838" s="3">
        <f>DATE(2025,4,28)</f>
        <v>45775</v>
      </c>
      <c r="H838">
        <v>2093395643</v>
      </c>
      <c r="I838" t="s">
        <v>21</v>
      </c>
      <c r="K838" t="s">
        <v>22</v>
      </c>
      <c r="L838" t="s">
        <v>23</v>
      </c>
      <c r="M838" t="s">
        <v>24</v>
      </c>
      <c r="N838" t="s">
        <v>24</v>
      </c>
      <c r="O838" t="s">
        <v>25</v>
      </c>
      <c r="P838" s="8" t="s">
        <v>1119</v>
      </c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</row>
    <row r="839" spans="1:51" hidden="1" x14ac:dyDescent="0.2">
      <c r="A839" s="6" t="s">
        <v>17</v>
      </c>
      <c r="B839" t="s">
        <v>50</v>
      </c>
      <c r="C839" t="s">
        <v>51</v>
      </c>
      <c r="D839" t="s">
        <v>1120</v>
      </c>
      <c r="E839" s="2">
        <v>581.14</v>
      </c>
      <c r="F839" s="3">
        <f>DATE(2025,4,28)</f>
        <v>45775</v>
      </c>
      <c r="G839" s="3">
        <f>DATE(2025,4,28)</f>
        <v>45775</v>
      </c>
      <c r="H839">
        <v>2093395644</v>
      </c>
      <c r="I839" t="s">
        <v>21</v>
      </c>
      <c r="K839" t="s">
        <v>22</v>
      </c>
      <c r="L839" t="s">
        <v>23</v>
      </c>
      <c r="M839" t="s">
        <v>24</v>
      </c>
      <c r="N839" t="s">
        <v>24</v>
      </c>
      <c r="O839" t="s">
        <v>25</v>
      </c>
      <c r="P839" s="8" t="s">
        <v>1121</v>
      </c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</row>
    <row r="840" spans="1:51" hidden="1" x14ac:dyDescent="0.2">
      <c r="A840" s="6" t="s">
        <v>17</v>
      </c>
      <c r="B840" t="s">
        <v>266</v>
      </c>
      <c r="C840" t="s">
        <v>267</v>
      </c>
      <c r="D840" t="s">
        <v>1122</v>
      </c>
      <c r="E840" s="2">
        <v>192</v>
      </c>
      <c r="F840" s="3">
        <f>DATE(2025,4,29)</f>
        <v>45776</v>
      </c>
      <c r="G840" s="3">
        <f>DATE(2025,4,29)</f>
        <v>45776</v>
      </c>
      <c r="H840">
        <v>2093395645</v>
      </c>
      <c r="I840" t="s">
        <v>21</v>
      </c>
      <c r="K840" t="s">
        <v>22</v>
      </c>
      <c r="L840" t="s">
        <v>23</v>
      </c>
      <c r="M840" t="s">
        <v>24</v>
      </c>
      <c r="N840" t="s">
        <v>24</v>
      </c>
      <c r="O840" t="s">
        <v>25</v>
      </c>
      <c r="P840" s="8" t="s">
        <v>1123</v>
      </c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</row>
    <row r="841" spans="1:51" hidden="1" x14ac:dyDescent="0.2">
      <c r="A841" s="6"/>
      <c r="E841" s="2"/>
      <c r="F841" s="3"/>
      <c r="G841" s="3"/>
      <c r="P841" s="8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</row>
    <row r="842" spans="1:51" hidden="1" x14ac:dyDescent="0.2">
      <c r="A842" s="6" t="s">
        <v>17</v>
      </c>
      <c r="B842" t="s">
        <v>878</v>
      </c>
      <c r="C842" t="s">
        <v>879</v>
      </c>
      <c r="D842" t="s">
        <v>1124</v>
      </c>
      <c r="E842" s="2">
        <v>965.01</v>
      </c>
      <c r="F842" s="3">
        <f t="shared" ref="F842:G847" si="74">DATE(2025,4,28)</f>
        <v>45775</v>
      </c>
      <c r="G842" s="3">
        <f t="shared" si="74"/>
        <v>45775</v>
      </c>
      <c r="H842">
        <v>2093395647</v>
      </c>
      <c r="I842" t="s">
        <v>21</v>
      </c>
      <c r="K842" t="s">
        <v>22</v>
      </c>
      <c r="L842" t="s">
        <v>23</v>
      </c>
      <c r="M842" t="s">
        <v>24</v>
      </c>
      <c r="N842" t="s">
        <v>24</v>
      </c>
      <c r="O842" t="s">
        <v>25</v>
      </c>
      <c r="P842" s="8" t="s">
        <v>1125</v>
      </c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</row>
    <row r="843" spans="1:51" hidden="1" x14ac:dyDescent="0.2">
      <c r="A843" s="6" t="s">
        <v>17</v>
      </c>
      <c r="B843" t="s">
        <v>825</v>
      </c>
      <c r="C843" t="s">
        <v>826</v>
      </c>
      <c r="D843" t="s">
        <v>1126</v>
      </c>
      <c r="E843" s="2">
        <v>224.5</v>
      </c>
      <c r="F843" s="3">
        <f t="shared" si="74"/>
        <v>45775</v>
      </c>
      <c r="G843" s="3">
        <f t="shared" si="74"/>
        <v>45775</v>
      </c>
      <c r="H843">
        <v>2093395648</v>
      </c>
      <c r="I843" t="s">
        <v>21</v>
      </c>
      <c r="K843" t="s">
        <v>22</v>
      </c>
      <c r="L843" t="s">
        <v>23</v>
      </c>
      <c r="M843" t="s">
        <v>24</v>
      </c>
      <c r="N843" t="s">
        <v>24</v>
      </c>
      <c r="O843" t="s">
        <v>25</v>
      </c>
      <c r="P843" s="8" t="s">
        <v>1127</v>
      </c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</row>
    <row r="844" spans="1:51" hidden="1" x14ac:dyDescent="0.2">
      <c r="A844" s="6" t="s">
        <v>17</v>
      </c>
      <c r="B844" t="s">
        <v>244</v>
      </c>
      <c r="C844" t="s">
        <v>245</v>
      </c>
      <c r="D844" t="s">
        <v>1128</v>
      </c>
      <c r="E844" s="2">
        <v>1219.33</v>
      </c>
      <c r="F844" s="3">
        <f t="shared" si="74"/>
        <v>45775</v>
      </c>
      <c r="G844" s="3">
        <f t="shared" si="74"/>
        <v>45775</v>
      </c>
      <c r="H844">
        <v>2093395649</v>
      </c>
      <c r="I844" t="s">
        <v>21</v>
      </c>
      <c r="K844" t="s">
        <v>22</v>
      </c>
      <c r="L844" t="s">
        <v>23</v>
      </c>
      <c r="M844" t="s">
        <v>24</v>
      </c>
      <c r="N844" t="s">
        <v>24</v>
      </c>
      <c r="O844" t="s">
        <v>25</v>
      </c>
      <c r="P844" s="8" t="s">
        <v>1129</v>
      </c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</row>
    <row r="845" spans="1:51" hidden="1" x14ac:dyDescent="0.2">
      <c r="A845" s="6" t="s">
        <v>17</v>
      </c>
      <c r="B845" t="s">
        <v>825</v>
      </c>
      <c r="C845" t="s">
        <v>826</v>
      </c>
      <c r="D845" t="s">
        <v>1130</v>
      </c>
      <c r="E845" s="2">
        <v>794.61</v>
      </c>
      <c r="F845" s="3">
        <f t="shared" si="74"/>
        <v>45775</v>
      </c>
      <c r="G845" s="3">
        <f t="shared" si="74"/>
        <v>45775</v>
      </c>
      <c r="H845">
        <v>2093395650</v>
      </c>
      <c r="I845" t="s">
        <v>21</v>
      </c>
      <c r="K845" t="s">
        <v>22</v>
      </c>
      <c r="L845" t="s">
        <v>23</v>
      </c>
      <c r="M845" t="s">
        <v>24</v>
      </c>
      <c r="N845" t="s">
        <v>24</v>
      </c>
      <c r="O845" t="s">
        <v>25</v>
      </c>
      <c r="P845" s="8" t="s">
        <v>1131</v>
      </c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</row>
    <row r="846" spans="1:51" hidden="1" x14ac:dyDescent="0.2">
      <c r="A846" s="6" t="s">
        <v>17</v>
      </c>
      <c r="B846" t="s">
        <v>50</v>
      </c>
      <c r="C846" t="s">
        <v>51</v>
      </c>
      <c r="D846" t="s">
        <v>1132</v>
      </c>
      <c r="E846" s="2">
        <v>15.33</v>
      </c>
      <c r="F846" s="3">
        <f t="shared" si="74"/>
        <v>45775</v>
      </c>
      <c r="G846" s="3">
        <f t="shared" si="74"/>
        <v>45775</v>
      </c>
      <c r="H846">
        <v>2093395651</v>
      </c>
      <c r="I846" t="s">
        <v>21</v>
      </c>
      <c r="K846" t="s">
        <v>22</v>
      </c>
      <c r="L846" t="s">
        <v>23</v>
      </c>
      <c r="M846" t="s">
        <v>24</v>
      </c>
      <c r="N846" t="s">
        <v>24</v>
      </c>
      <c r="O846" t="s">
        <v>25</v>
      </c>
      <c r="P846" s="8" t="s">
        <v>1133</v>
      </c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</row>
    <row r="847" spans="1:51" hidden="1" x14ac:dyDescent="0.2">
      <c r="A847" s="6" t="s">
        <v>17</v>
      </c>
      <c r="B847" t="s">
        <v>54</v>
      </c>
      <c r="C847" t="s">
        <v>55</v>
      </c>
      <c r="D847" t="s">
        <v>1134</v>
      </c>
      <c r="E847" s="2">
        <v>216</v>
      </c>
      <c r="F847" s="3">
        <f t="shared" si="74"/>
        <v>45775</v>
      </c>
      <c r="G847" s="3">
        <f t="shared" si="74"/>
        <v>45775</v>
      </c>
      <c r="H847">
        <v>2093395652</v>
      </c>
      <c r="I847" t="s">
        <v>21</v>
      </c>
      <c r="K847" t="s">
        <v>22</v>
      </c>
      <c r="L847" t="s">
        <v>23</v>
      </c>
      <c r="M847" t="s">
        <v>24</v>
      </c>
      <c r="N847" t="s">
        <v>24</v>
      </c>
      <c r="O847" t="s">
        <v>25</v>
      </c>
      <c r="P847" s="8" t="s">
        <v>1135</v>
      </c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</row>
    <row r="848" spans="1:51" hidden="1" x14ac:dyDescent="0.2">
      <c r="A848" s="6"/>
      <c r="E848" s="2"/>
      <c r="F848" s="3"/>
      <c r="G848" s="3"/>
      <c r="P848" s="8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</row>
    <row r="849" spans="1:51" hidden="1" x14ac:dyDescent="0.2">
      <c r="A849" s="6"/>
      <c r="E849" s="2"/>
      <c r="F849" s="3"/>
      <c r="G849" s="3"/>
      <c r="P849" s="8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</row>
    <row r="850" spans="1:51" hidden="1" x14ac:dyDescent="0.2">
      <c r="A850" s="6" t="s">
        <v>17</v>
      </c>
      <c r="B850" t="s">
        <v>50</v>
      </c>
      <c r="C850" t="s">
        <v>51</v>
      </c>
      <c r="D850" t="s">
        <v>1136</v>
      </c>
      <c r="E850" s="2">
        <v>253.92</v>
      </c>
      <c r="F850" s="3">
        <f t="shared" ref="F850:G853" si="75">DATE(2025,4,28)</f>
        <v>45775</v>
      </c>
      <c r="G850" s="3">
        <f t="shared" si="75"/>
        <v>45775</v>
      </c>
      <c r="H850">
        <v>2093395655</v>
      </c>
      <c r="I850" t="s">
        <v>21</v>
      </c>
      <c r="K850" t="s">
        <v>22</v>
      </c>
      <c r="L850" t="s">
        <v>23</v>
      </c>
      <c r="M850" t="s">
        <v>24</v>
      </c>
      <c r="N850" t="s">
        <v>24</v>
      </c>
      <c r="O850" t="s">
        <v>25</v>
      </c>
      <c r="P850" s="8" t="s">
        <v>1137</v>
      </c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</row>
    <row r="851" spans="1:51" hidden="1" x14ac:dyDescent="0.2">
      <c r="A851" s="6" t="s">
        <v>17</v>
      </c>
      <c r="B851" t="s">
        <v>266</v>
      </c>
      <c r="C851" t="s">
        <v>267</v>
      </c>
      <c r="D851" t="s">
        <v>1138</v>
      </c>
      <c r="E851" s="2">
        <v>1096</v>
      </c>
      <c r="F851" s="3">
        <f t="shared" si="75"/>
        <v>45775</v>
      </c>
      <c r="G851" s="3">
        <f t="shared" si="75"/>
        <v>45775</v>
      </c>
      <c r="H851">
        <v>2093395656</v>
      </c>
      <c r="I851" t="s">
        <v>21</v>
      </c>
      <c r="K851" t="s">
        <v>22</v>
      </c>
      <c r="L851" t="s">
        <v>23</v>
      </c>
      <c r="M851" t="s">
        <v>24</v>
      </c>
      <c r="N851" t="s">
        <v>24</v>
      </c>
      <c r="O851" t="s">
        <v>25</v>
      </c>
      <c r="P851" s="8" t="s">
        <v>1139</v>
      </c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</row>
    <row r="852" spans="1:51" hidden="1" x14ac:dyDescent="0.2">
      <c r="A852" s="6"/>
      <c r="E852" s="2"/>
      <c r="F852" s="3"/>
      <c r="G852" s="3"/>
      <c r="P852" s="8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</row>
    <row r="853" spans="1:51" hidden="1" x14ac:dyDescent="0.2">
      <c r="A853" s="6" t="s">
        <v>17</v>
      </c>
      <c r="B853" t="s">
        <v>50</v>
      </c>
      <c r="C853" t="s">
        <v>51</v>
      </c>
      <c r="D853" t="s">
        <v>1140</v>
      </c>
      <c r="E853" s="2">
        <v>545.79999999999995</v>
      </c>
      <c r="F853" s="3">
        <f t="shared" si="75"/>
        <v>45775</v>
      </c>
      <c r="G853" s="3">
        <f t="shared" si="75"/>
        <v>45775</v>
      </c>
      <c r="H853">
        <v>2093395658</v>
      </c>
      <c r="I853" t="s">
        <v>21</v>
      </c>
      <c r="K853" t="s">
        <v>22</v>
      </c>
      <c r="L853" t="s">
        <v>23</v>
      </c>
      <c r="M853" t="s">
        <v>24</v>
      </c>
      <c r="N853" t="s">
        <v>24</v>
      </c>
      <c r="O853" t="s">
        <v>25</v>
      </c>
      <c r="P853" s="8" t="s">
        <v>1141</v>
      </c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</row>
    <row r="854" spans="1:51" hidden="1" x14ac:dyDescent="0.2">
      <c r="A854" s="6"/>
      <c r="E854" s="2"/>
      <c r="F854" s="3"/>
      <c r="G854" s="3"/>
      <c r="P854" s="8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</row>
    <row r="855" spans="1:51" hidden="1" x14ac:dyDescent="0.2">
      <c r="A855" s="6"/>
      <c r="E855" s="2"/>
      <c r="F855" s="3"/>
      <c r="G855" s="3"/>
      <c r="P855" s="8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</row>
    <row r="856" spans="1:51" hidden="1" x14ac:dyDescent="0.2">
      <c r="A856" s="6" t="s">
        <v>17</v>
      </c>
      <c r="B856" t="s">
        <v>118</v>
      </c>
      <c r="C856" t="s">
        <v>119</v>
      </c>
      <c r="D856" t="s">
        <v>1142</v>
      </c>
      <c r="E856" s="2">
        <v>278.14999999999998</v>
      </c>
      <c r="F856" s="3">
        <f>DATE(2025,4,30)</f>
        <v>45777</v>
      </c>
      <c r="G856" s="3">
        <f>DATE(2025,4,30)</f>
        <v>45777</v>
      </c>
      <c r="H856">
        <v>2101379959</v>
      </c>
      <c r="I856" t="s">
        <v>21</v>
      </c>
      <c r="K856" t="s">
        <v>22</v>
      </c>
      <c r="L856" t="s">
        <v>23</v>
      </c>
      <c r="M856" t="s">
        <v>24</v>
      </c>
      <c r="N856" t="s">
        <v>24</v>
      </c>
      <c r="O856" t="s">
        <v>25</v>
      </c>
      <c r="P856" s="8" t="s">
        <v>1143</v>
      </c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</row>
    <row r="857" spans="1:51" hidden="1" x14ac:dyDescent="0.2">
      <c r="A857" s="6" t="s">
        <v>17</v>
      </c>
      <c r="B857" t="s">
        <v>50</v>
      </c>
      <c r="C857" t="s">
        <v>51</v>
      </c>
      <c r="D857" t="s">
        <v>1144</v>
      </c>
      <c r="E857" s="2">
        <v>718.78</v>
      </c>
      <c r="F857" s="3">
        <f>DATE(2025,4,30)</f>
        <v>45777</v>
      </c>
      <c r="G857" s="3">
        <f>DATE(2025,4,30)</f>
        <v>45777</v>
      </c>
      <c r="H857">
        <v>2101379960</v>
      </c>
      <c r="I857" t="s">
        <v>21</v>
      </c>
      <c r="K857" t="s">
        <v>22</v>
      </c>
      <c r="L857" t="s">
        <v>23</v>
      </c>
      <c r="M857" t="s">
        <v>24</v>
      </c>
      <c r="N857" t="s">
        <v>24</v>
      </c>
      <c r="O857" t="s">
        <v>25</v>
      </c>
      <c r="P857" s="8" t="s">
        <v>1145</v>
      </c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</row>
    <row r="858" spans="1:51" hidden="1" x14ac:dyDescent="0.2">
      <c r="A858" s="6"/>
      <c r="E858" s="2"/>
      <c r="F858" s="3"/>
      <c r="G858" s="3"/>
      <c r="P858" s="8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</row>
    <row r="859" spans="1:51" hidden="1" x14ac:dyDescent="0.2">
      <c r="A859" s="6" t="s">
        <v>17</v>
      </c>
      <c r="B859" t="s">
        <v>35</v>
      </c>
      <c r="C859" t="s">
        <v>35</v>
      </c>
      <c r="D859" t="s">
        <v>1146</v>
      </c>
      <c r="E859" s="2">
        <v>12.92</v>
      </c>
      <c r="F859" s="3">
        <f>DATE(2025,5,1)</f>
        <v>45778</v>
      </c>
      <c r="G859" s="3">
        <f>DATE(2025,5,1)</f>
        <v>45778</v>
      </c>
      <c r="H859">
        <v>2101379962</v>
      </c>
      <c r="I859" t="s">
        <v>21</v>
      </c>
      <c r="K859" t="s">
        <v>22</v>
      </c>
      <c r="L859" t="s">
        <v>23</v>
      </c>
      <c r="M859" t="s">
        <v>24</v>
      </c>
      <c r="N859" t="s">
        <v>24</v>
      </c>
      <c r="O859" t="s">
        <v>25</v>
      </c>
      <c r="P859" s="8" t="s">
        <v>1147</v>
      </c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</row>
    <row r="860" spans="1:51" hidden="1" x14ac:dyDescent="0.2">
      <c r="A860" s="6" t="s">
        <v>17</v>
      </c>
      <c r="B860" t="s">
        <v>118</v>
      </c>
      <c r="C860" t="s">
        <v>119</v>
      </c>
      <c r="D860" t="s">
        <v>1148</v>
      </c>
      <c r="E860" s="2">
        <v>2211.4</v>
      </c>
      <c r="F860" s="3">
        <f>DATE(2025,4,30)</f>
        <v>45777</v>
      </c>
      <c r="G860" s="3">
        <f>DATE(2025,4,30)</f>
        <v>45777</v>
      </c>
      <c r="H860">
        <v>2101379963</v>
      </c>
      <c r="I860" t="s">
        <v>21</v>
      </c>
      <c r="K860" t="s">
        <v>22</v>
      </c>
      <c r="L860" t="s">
        <v>23</v>
      </c>
      <c r="M860" t="s">
        <v>24</v>
      </c>
      <c r="N860" t="s">
        <v>24</v>
      </c>
      <c r="O860" t="s">
        <v>25</v>
      </c>
      <c r="P860" s="8" t="s">
        <v>1149</v>
      </c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</row>
    <row r="861" spans="1:51" hidden="1" x14ac:dyDescent="0.2">
      <c r="A861" s="6" t="s">
        <v>17</v>
      </c>
      <c r="B861" t="s">
        <v>27</v>
      </c>
      <c r="C861" t="s">
        <v>28</v>
      </c>
      <c r="D861" t="s">
        <v>1150</v>
      </c>
      <c r="E861" s="2">
        <v>1313.46</v>
      </c>
      <c r="F861" s="3">
        <f>DATE(2025,5,1)</f>
        <v>45778</v>
      </c>
      <c r="G861" s="3">
        <f>DATE(2025,5,1)</f>
        <v>45778</v>
      </c>
      <c r="H861">
        <v>2101379964</v>
      </c>
      <c r="I861" t="s">
        <v>21</v>
      </c>
      <c r="K861" t="s">
        <v>22</v>
      </c>
      <c r="L861" t="s">
        <v>23</v>
      </c>
      <c r="M861" t="s">
        <v>24</v>
      </c>
      <c r="N861" t="s">
        <v>24</v>
      </c>
      <c r="O861" t="s">
        <v>25</v>
      </c>
      <c r="P861" s="8" t="s">
        <v>1151</v>
      </c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</row>
    <row r="862" spans="1:51" hidden="1" x14ac:dyDescent="0.2">
      <c r="A862" s="6" t="s">
        <v>17</v>
      </c>
      <c r="B862" t="s">
        <v>565</v>
      </c>
      <c r="C862" t="s">
        <v>566</v>
      </c>
      <c r="D862" t="s">
        <v>1152</v>
      </c>
      <c r="E862" s="2">
        <v>1578.29</v>
      </c>
      <c r="F862" s="3">
        <f t="shared" ref="F862:G867" si="76">DATE(2025,4,30)</f>
        <v>45777</v>
      </c>
      <c r="G862" s="3">
        <f t="shared" si="76"/>
        <v>45777</v>
      </c>
      <c r="H862">
        <v>2101379965</v>
      </c>
      <c r="I862" t="s">
        <v>21</v>
      </c>
      <c r="K862" t="s">
        <v>22</v>
      </c>
      <c r="L862" t="s">
        <v>23</v>
      </c>
      <c r="M862" t="s">
        <v>24</v>
      </c>
      <c r="N862" t="s">
        <v>24</v>
      </c>
      <c r="O862" t="s">
        <v>25</v>
      </c>
      <c r="P862" s="8" t="s">
        <v>1153</v>
      </c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</row>
    <row r="863" spans="1:51" hidden="1" x14ac:dyDescent="0.2">
      <c r="A863" s="6" t="s">
        <v>17</v>
      </c>
      <c r="B863" t="s">
        <v>118</v>
      </c>
      <c r="C863" t="s">
        <v>119</v>
      </c>
      <c r="D863" t="s">
        <v>1154</v>
      </c>
      <c r="E863" s="2">
        <v>1098.77</v>
      </c>
      <c r="F863" s="3">
        <f t="shared" si="76"/>
        <v>45777</v>
      </c>
      <c r="G863" s="3">
        <f t="shared" si="76"/>
        <v>45777</v>
      </c>
      <c r="H863">
        <v>2101379966</v>
      </c>
      <c r="I863" t="s">
        <v>21</v>
      </c>
      <c r="K863" t="s">
        <v>22</v>
      </c>
      <c r="L863" t="s">
        <v>23</v>
      </c>
      <c r="M863" t="s">
        <v>24</v>
      </c>
      <c r="N863" t="s">
        <v>24</v>
      </c>
      <c r="O863" t="s">
        <v>25</v>
      </c>
      <c r="P863" s="8" t="s">
        <v>1155</v>
      </c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</row>
    <row r="864" spans="1:51" hidden="1" x14ac:dyDescent="0.2">
      <c r="A864" s="6"/>
      <c r="E864" s="2"/>
      <c r="F864" s="3"/>
      <c r="G864" s="3"/>
      <c r="P864" s="8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</row>
    <row r="865" spans="1:51" hidden="1" x14ac:dyDescent="0.2">
      <c r="A865" s="6" t="s">
        <v>17</v>
      </c>
      <c r="B865" t="s">
        <v>1002</v>
      </c>
      <c r="C865" t="s">
        <v>1003</v>
      </c>
      <c r="D865" t="s">
        <v>1156</v>
      </c>
      <c r="E865" s="2">
        <v>2539.25</v>
      </c>
      <c r="F865" s="3">
        <f t="shared" si="76"/>
        <v>45777</v>
      </c>
      <c r="G865" s="3">
        <f t="shared" si="76"/>
        <v>45777</v>
      </c>
      <c r="H865">
        <v>2101379968</v>
      </c>
      <c r="I865" t="s">
        <v>21</v>
      </c>
      <c r="K865" t="s">
        <v>22</v>
      </c>
      <c r="L865" t="s">
        <v>23</v>
      </c>
      <c r="M865" t="s">
        <v>24</v>
      </c>
      <c r="N865" t="s">
        <v>24</v>
      </c>
      <c r="O865" t="s">
        <v>25</v>
      </c>
      <c r="P865" s="8" t="s">
        <v>1157</v>
      </c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</row>
    <row r="866" spans="1:51" hidden="1" x14ac:dyDescent="0.2">
      <c r="A866" s="6" t="s">
        <v>17</v>
      </c>
      <c r="B866" t="s">
        <v>1048</v>
      </c>
      <c r="C866" t="s">
        <v>1049</v>
      </c>
      <c r="D866" t="s">
        <v>1158</v>
      </c>
      <c r="E866" s="2">
        <v>1184.1500000000001</v>
      </c>
      <c r="F866" s="3">
        <f t="shared" si="76"/>
        <v>45777</v>
      </c>
      <c r="G866" s="3">
        <f t="shared" si="76"/>
        <v>45777</v>
      </c>
      <c r="H866">
        <v>2101379969</v>
      </c>
      <c r="I866" t="s">
        <v>21</v>
      </c>
      <c r="K866" t="s">
        <v>22</v>
      </c>
      <c r="L866" t="s">
        <v>23</v>
      </c>
      <c r="M866" t="s">
        <v>24</v>
      </c>
      <c r="N866" t="s">
        <v>24</v>
      </c>
      <c r="O866" t="s">
        <v>25</v>
      </c>
      <c r="P866" s="8" t="s">
        <v>1159</v>
      </c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</row>
    <row r="867" spans="1:51" x14ac:dyDescent="0.2">
      <c r="A867" s="6" t="s">
        <v>17</v>
      </c>
      <c r="B867" t="s">
        <v>342</v>
      </c>
      <c r="C867" t="s">
        <v>342</v>
      </c>
      <c r="D867" t="s">
        <v>359</v>
      </c>
      <c r="E867" s="2">
        <v>4714.37</v>
      </c>
      <c r="F867" s="3">
        <f t="shared" si="76"/>
        <v>45777</v>
      </c>
      <c r="G867" s="3">
        <f t="shared" si="76"/>
        <v>45777</v>
      </c>
      <c r="H867">
        <v>2101379970</v>
      </c>
      <c r="I867" t="s">
        <v>21</v>
      </c>
      <c r="K867" t="s">
        <v>22</v>
      </c>
      <c r="L867" t="s">
        <v>23</v>
      </c>
      <c r="M867" t="s">
        <v>24</v>
      </c>
      <c r="N867" t="s">
        <v>25</v>
      </c>
      <c r="O867" t="s">
        <v>25</v>
      </c>
      <c r="P867" s="8" t="s">
        <v>1160</v>
      </c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</row>
    <row r="868" spans="1:51" hidden="1" x14ac:dyDescent="0.2">
      <c r="A868" s="6"/>
      <c r="E868" s="2"/>
      <c r="F868" s="3"/>
      <c r="G868" s="3"/>
      <c r="P868" s="8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</row>
    <row r="869" spans="1:51" hidden="1" x14ac:dyDescent="0.2">
      <c r="A869" s="6" t="s">
        <v>17</v>
      </c>
      <c r="B869" t="s">
        <v>118</v>
      </c>
      <c r="C869" t="s">
        <v>119</v>
      </c>
      <c r="D869" t="s">
        <v>1161</v>
      </c>
      <c r="E869" s="2">
        <v>78.260000000000005</v>
      </c>
      <c r="F869" s="3">
        <f>DATE(2025,4,29)</f>
        <v>45776</v>
      </c>
      <c r="G869" s="3">
        <f>DATE(2025,4,29)</f>
        <v>45776</v>
      </c>
      <c r="H869">
        <v>2101379972</v>
      </c>
      <c r="I869" t="s">
        <v>158</v>
      </c>
      <c r="K869" t="s">
        <v>22</v>
      </c>
      <c r="L869" t="s">
        <v>23</v>
      </c>
      <c r="M869" t="s">
        <v>24</v>
      </c>
      <c r="N869" t="s">
        <v>24</v>
      </c>
      <c r="O869" t="s">
        <v>25</v>
      </c>
      <c r="P869" s="8" t="s">
        <v>1162</v>
      </c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</row>
    <row r="870" spans="1:51" hidden="1" x14ac:dyDescent="0.2">
      <c r="A870" s="6" t="s">
        <v>17</v>
      </c>
      <c r="B870" t="s">
        <v>118</v>
      </c>
      <c r="C870" t="s">
        <v>119</v>
      </c>
      <c r="D870" t="s">
        <v>786</v>
      </c>
      <c r="E870" s="2">
        <v>21.55</v>
      </c>
      <c r="F870" s="3">
        <f>DATE(2025,4,28)</f>
        <v>45775</v>
      </c>
      <c r="G870" s="3">
        <f>DATE(2025,4,28)</f>
        <v>45775</v>
      </c>
      <c r="H870">
        <v>2101379973</v>
      </c>
      <c r="I870" t="s">
        <v>158</v>
      </c>
      <c r="K870" t="s">
        <v>22</v>
      </c>
      <c r="L870" t="s">
        <v>23</v>
      </c>
      <c r="M870" t="s">
        <v>24</v>
      </c>
      <c r="N870" t="s">
        <v>24</v>
      </c>
      <c r="O870" t="s">
        <v>25</v>
      </c>
      <c r="P870" s="8" t="s">
        <v>1163</v>
      </c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</row>
    <row r="871" spans="1:51" hidden="1" x14ac:dyDescent="0.2">
      <c r="A871" s="6" t="s">
        <v>17</v>
      </c>
      <c r="B871" t="s">
        <v>118</v>
      </c>
      <c r="C871" t="s">
        <v>119</v>
      </c>
      <c r="D871" t="s">
        <v>1164</v>
      </c>
      <c r="E871" s="2">
        <v>80.05</v>
      </c>
      <c r="F871" s="3">
        <f>DATE(2025,4,28)</f>
        <v>45775</v>
      </c>
      <c r="G871" s="3">
        <f>DATE(2025,4,28)</f>
        <v>45775</v>
      </c>
      <c r="H871">
        <v>2101379974</v>
      </c>
      <c r="I871" t="s">
        <v>158</v>
      </c>
      <c r="K871" t="s">
        <v>22</v>
      </c>
      <c r="L871" t="s">
        <v>23</v>
      </c>
      <c r="M871" t="s">
        <v>24</v>
      </c>
      <c r="N871" t="s">
        <v>24</v>
      </c>
      <c r="O871" t="s">
        <v>25</v>
      </c>
      <c r="P871" s="8" t="s">
        <v>1165</v>
      </c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</row>
    <row r="872" spans="1:51" hidden="1" x14ac:dyDescent="0.2">
      <c r="A872" s="6" t="s">
        <v>17</v>
      </c>
      <c r="B872" t="s">
        <v>118</v>
      </c>
      <c r="C872" t="s">
        <v>119</v>
      </c>
      <c r="D872" t="s">
        <v>337</v>
      </c>
      <c r="E872" s="2">
        <v>79.900000000000006</v>
      </c>
      <c r="F872" s="3">
        <f>DATE(2025,4,29)</f>
        <v>45776</v>
      </c>
      <c r="G872" s="3">
        <f>DATE(2025,4,29)</f>
        <v>45776</v>
      </c>
      <c r="H872">
        <v>2101379975</v>
      </c>
      <c r="I872" t="s">
        <v>158</v>
      </c>
      <c r="K872" t="s">
        <v>22</v>
      </c>
      <c r="L872" t="s">
        <v>23</v>
      </c>
      <c r="M872" t="s">
        <v>24</v>
      </c>
      <c r="N872" t="s">
        <v>24</v>
      </c>
      <c r="O872" t="s">
        <v>25</v>
      </c>
      <c r="P872" s="8" t="s">
        <v>1166</v>
      </c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</row>
    <row r="873" spans="1:51" hidden="1" x14ac:dyDescent="0.2">
      <c r="A873" s="6"/>
      <c r="E873" s="2"/>
      <c r="F873" s="3"/>
      <c r="G873" s="3"/>
      <c r="P873" s="8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</row>
    <row r="874" spans="1:51" hidden="1" x14ac:dyDescent="0.2">
      <c r="A874" s="6"/>
      <c r="E874" s="2"/>
      <c r="F874" s="3"/>
      <c r="G874" s="3"/>
      <c r="P874" s="8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</row>
    <row r="875" spans="1:51" hidden="1" x14ac:dyDescent="0.2">
      <c r="A875" s="6" t="s">
        <v>17</v>
      </c>
      <c r="B875" t="s">
        <v>1048</v>
      </c>
      <c r="C875" t="s">
        <v>1049</v>
      </c>
      <c r="D875" t="s">
        <v>1167</v>
      </c>
      <c r="E875" s="2">
        <v>65.66</v>
      </c>
      <c r="F875" s="3">
        <f>DATE(2025,4,29)</f>
        <v>45776</v>
      </c>
      <c r="G875" s="3">
        <f>DATE(2025,4,29)</f>
        <v>45776</v>
      </c>
      <c r="H875">
        <v>2109693293</v>
      </c>
      <c r="I875" t="s">
        <v>158</v>
      </c>
      <c r="K875" t="s">
        <v>22</v>
      </c>
      <c r="L875" t="s">
        <v>23</v>
      </c>
      <c r="M875" t="s">
        <v>24</v>
      </c>
      <c r="N875" t="s">
        <v>24</v>
      </c>
      <c r="O875" t="s">
        <v>25</v>
      </c>
      <c r="P875" s="8" t="s">
        <v>1168</v>
      </c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</row>
    <row r="876" spans="1:51" hidden="1" x14ac:dyDescent="0.2">
      <c r="A876" s="6" t="s">
        <v>17</v>
      </c>
      <c r="B876" t="s">
        <v>46</v>
      </c>
      <c r="C876" t="s">
        <v>47</v>
      </c>
      <c r="D876" t="s">
        <v>1169</v>
      </c>
      <c r="E876" s="2">
        <v>21.56</v>
      </c>
      <c r="F876" s="3">
        <f>DATE(2025,5,1)</f>
        <v>45778</v>
      </c>
      <c r="G876" s="3">
        <f>DATE(2025,5,1)</f>
        <v>45778</v>
      </c>
      <c r="H876">
        <v>2109693294</v>
      </c>
      <c r="I876" t="s">
        <v>158</v>
      </c>
      <c r="K876" t="s">
        <v>22</v>
      </c>
      <c r="L876" t="s">
        <v>23</v>
      </c>
      <c r="M876" t="s">
        <v>24</v>
      </c>
      <c r="N876" t="s">
        <v>24</v>
      </c>
      <c r="O876" t="s">
        <v>25</v>
      </c>
      <c r="P876" s="8" t="s">
        <v>1170</v>
      </c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</row>
    <row r="877" spans="1:51" hidden="1" x14ac:dyDescent="0.2">
      <c r="A877" s="6"/>
      <c r="E877" s="2"/>
      <c r="F877" s="3"/>
      <c r="G877" s="3"/>
      <c r="P877" s="8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</row>
    <row r="878" spans="1:51" hidden="1" x14ac:dyDescent="0.2">
      <c r="A878" s="6" t="s">
        <v>17</v>
      </c>
      <c r="B878" t="s">
        <v>42</v>
      </c>
      <c r="C878" t="s">
        <v>43</v>
      </c>
      <c r="D878" t="s">
        <v>1171</v>
      </c>
      <c r="E878" s="2">
        <v>102.16</v>
      </c>
      <c r="F878" s="3">
        <f t="shared" ref="F878:G879" si="77">DATE(2025,5,2)</f>
        <v>45779</v>
      </c>
      <c r="G878" s="3">
        <f t="shared" si="77"/>
        <v>45779</v>
      </c>
      <c r="H878">
        <v>2109693296</v>
      </c>
      <c r="I878" t="s">
        <v>21</v>
      </c>
      <c r="K878" t="s">
        <v>22</v>
      </c>
      <c r="L878" t="s">
        <v>23</v>
      </c>
      <c r="M878" t="s">
        <v>24</v>
      </c>
      <c r="N878" t="s">
        <v>24</v>
      </c>
      <c r="O878" t="s">
        <v>25</v>
      </c>
      <c r="P878" s="8" t="s">
        <v>1172</v>
      </c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</row>
    <row r="879" spans="1:51" hidden="1" x14ac:dyDescent="0.2">
      <c r="A879" s="6" t="s">
        <v>17</v>
      </c>
      <c r="B879" t="s">
        <v>244</v>
      </c>
      <c r="C879" t="s">
        <v>245</v>
      </c>
      <c r="D879" t="s">
        <v>1173</v>
      </c>
      <c r="E879" s="2">
        <v>629.04</v>
      </c>
      <c r="F879" s="3">
        <f t="shared" si="77"/>
        <v>45779</v>
      </c>
      <c r="G879" s="3">
        <f t="shared" si="77"/>
        <v>45779</v>
      </c>
      <c r="H879">
        <v>2109693297</v>
      </c>
      <c r="I879" t="s">
        <v>21</v>
      </c>
      <c r="K879" t="s">
        <v>22</v>
      </c>
      <c r="L879" t="s">
        <v>23</v>
      </c>
      <c r="M879" t="s">
        <v>24</v>
      </c>
      <c r="N879" t="s">
        <v>24</v>
      </c>
      <c r="O879" t="s">
        <v>25</v>
      </c>
      <c r="P879" s="8" t="s">
        <v>1174</v>
      </c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</row>
    <row r="880" spans="1:51" hidden="1" x14ac:dyDescent="0.2">
      <c r="A880" s="6" t="s">
        <v>17</v>
      </c>
      <c r="B880" t="s">
        <v>27</v>
      </c>
      <c r="C880" t="s">
        <v>28</v>
      </c>
      <c r="D880" t="s">
        <v>1175</v>
      </c>
      <c r="E880" s="2">
        <v>3829.92</v>
      </c>
      <c r="F880" s="3">
        <f>DATE(2025,5,3)</f>
        <v>45780</v>
      </c>
      <c r="G880" s="3">
        <f>DATE(2025,5,3)</f>
        <v>45780</v>
      </c>
      <c r="H880">
        <v>2109693298</v>
      </c>
      <c r="I880" t="s">
        <v>21</v>
      </c>
      <c r="K880" t="s">
        <v>22</v>
      </c>
      <c r="L880" t="s">
        <v>23</v>
      </c>
      <c r="M880" t="s">
        <v>24</v>
      </c>
      <c r="N880" t="s">
        <v>24</v>
      </c>
      <c r="O880" t="s">
        <v>25</v>
      </c>
      <c r="P880" s="8" t="s">
        <v>1176</v>
      </c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</row>
    <row r="881" spans="1:51" hidden="1" x14ac:dyDescent="0.2">
      <c r="A881" s="6" t="s">
        <v>17</v>
      </c>
      <c r="B881" t="s">
        <v>35</v>
      </c>
      <c r="C881" t="s">
        <v>35</v>
      </c>
      <c r="D881" t="s">
        <v>204</v>
      </c>
      <c r="E881" s="2">
        <v>12</v>
      </c>
      <c r="F881" s="3">
        <f>DATE(2025,5,2)</f>
        <v>45779</v>
      </c>
      <c r="G881" s="3">
        <f>DATE(2025,5,2)</f>
        <v>45779</v>
      </c>
      <c r="H881">
        <v>2109695261</v>
      </c>
      <c r="I881" t="s">
        <v>192</v>
      </c>
      <c r="K881" t="s">
        <v>22</v>
      </c>
      <c r="L881" t="s">
        <v>23</v>
      </c>
      <c r="M881" t="s">
        <v>24</v>
      </c>
      <c r="N881" t="s">
        <v>24</v>
      </c>
      <c r="O881" t="s">
        <v>25</v>
      </c>
      <c r="P881" s="8" t="s">
        <v>1177</v>
      </c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</row>
    <row r="882" spans="1:51" hidden="1" x14ac:dyDescent="0.2">
      <c r="A882" s="6"/>
      <c r="E882" s="2"/>
      <c r="F882" s="3"/>
      <c r="G882" s="3"/>
      <c r="P882" s="8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</row>
    <row r="883" spans="1:51" hidden="1" x14ac:dyDescent="0.2">
      <c r="A883" s="6"/>
      <c r="E883" s="2"/>
      <c r="F883" s="3"/>
      <c r="G883" s="3"/>
      <c r="P883" s="8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</row>
    <row r="884" spans="1:51" hidden="1" x14ac:dyDescent="0.2">
      <c r="A884" s="6" t="s">
        <v>17</v>
      </c>
      <c r="B884" t="s">
        <v>173</v>
      </c>
      <c r="C884" t="s">
        <v>154</v>
      </c>
      <c r="D884" t="s">
        <v>1178</v>
      </c>
      <c r="E884" s="2">
        <v>38.200000000000003</v>
      </c>
      <c r="F884" s="3">
        <f>DATE(2025,5,2)</f>
        <v>45779</v>
      </c>
      <c r="G884" s="3">
        <f>DATE(2025,5,2)</f>
        <v>45779</v>
      </c>
      <c r="H884">
        <v>2112236688</v>
      </c>
      <c r="I884" t="s">
        <v>158</v>
      </c>
      <c r="K884" t="s">
        <v>22</v>
      </c>
      <c r="L884" t="s">
        <v>23</v>
      </c>
      <c r="M884" t="s">
        <v>24</v>
      </c>
      <c r="N884" t="s">
        <v>24</v>
      </c>
      <c r="O884" t="s">
        <v>25</v>
      </c>
      <c r="P884" s="8" t="s">
        <v>1179</v>
      </c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</row>
    <row r="885" spans="1:51" hidden="1" x14ac:dyDescent="0.2">
      <c r="A885" s="6"/>
      <c r="E885" s="2"/>
      <c r="F885" s="3"/>
      <c r="G885" s="3"/>
      <c r="P885" s="8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</row>
    <row r="886" spans="1:51" hidden="1" x14ac:dyDescent="0.2">
      <c r="A886" s="6" t="s">
        <v>17</v>
      </c>
      <c r="B886" t="s">
        <v>35</v>
      </c>
      <c r="C886" t="s">
        <v>35</v>
      </c>
      <c r="D886" t="s">
        <v>1180</v>
      </c>
      <c r="E886" s="2">
        <v>2.17</v>
      </c>
      <c r="F886" s="3">
        <f t="shared" ref="F886:G890" si="78">DATE(2025,5,5)</f>
        <v>45782</v>
      </c>
      <c r="G886" s="3">
        <f t="shared" si="78"/>
        <v>45782</v>
      </c>
      <c r="H886">
        <v>2117811607</v>
      </c>
      <c r="I886" t="s">
        <v>21</v>
      </c>
      <c r="K886" t="s">
        <v>22</v>
      </c>
      <c r="L886" t="s">
        <v>23</v>
      </c>
      <c r="M886" t="s">
        <v>24</v>
      </c>
      <c r="N886" t="s">
        <v>24</v>
      </c>
      <c r="O886" t="s">
        <v>25</v>
      </c>
      <c r="P886" s="8" t="s">
        <v>1181</v>
      </c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</row>
    <row r="887" spans="1:51" hidden="1" x14ac:dyDescent="0.2">
      <c r="A887" s="6"/>
      <c r="E887" s="2"/>
      <c r="F887" s="3"/>
      <c r="G887" s="3"/>
      <c r="P887" s="8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</row>
    <row r="888" spans="1:51" hidden="1" x14ac:dyDescent="0.2">
      <c r="A888" s="6"/>
      <c r="E888" s="2"/>
      <c r="F888" s="3"/>
      <c r="G888" s="3"/>
      <c r="P888" s="8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</row>
    <row r="889" spans="1:51" hidden="1" x14ac:dyDescent="0.2">
      <c r="A889" s="6" t="s">
        <v>17</v>
      </c>
      <c r="B889" t="s">
        <v>90</v>
      </c>
      <c r="C889" t="s">
        <v>91</v>
      </c>
      <c r="D889" t="s">
        <v>1182</v>
      </c>
      <c r="E889" s="2">
        <v>28366.44</v>
      </c>
      <c r="F889" s="3">
        <f t="shared" si="78"/>
        <v>45782</v>
      </c>
      <c r="G889" s="3">
        <f t="shared" si="78"/>
        <v>45782</v>
      </c>
      <c r="H889">
        <v>2117811610</v>
      </c>
      <c r="I889" t="s">
        <v>21</v>
      </c>
      <c r="K889" t="s">
        <v>22</v>
      </c>
      <c r="L889" t="s">
        <v>23</v>
      </c>
      <c r="M889" t="s">
        <v>24</v>
      </c>
      <c r="N889" t="s">
        <v>24</v>
      </c>
      <c r="O889" t="s">
        <v>25</v>
      </c>
      <c r="P889" s="8" t="s">
        <v>1183</v>
      </c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</row>
    <row r="890" spans="1:51" hidden="1" x14ac:dyDescent="0.2">
      <c r="A890" s="6" t="s">
        <v>17</v>
      </c>
      <c r="B890" t="s">
        <v>35</v>
      </c>
      <c r="C890" t="s">
        <v>35</v>
      </c>
      <c r="D890" t="s">
        <v>1184</v>
      </c>
      <c r="E890" s="2">
        <v>0.99</v>
      </c>
      <c r="F890" s="3">
        <f t="shared" si="78"/>
        <v>45782</v>
      </c>
      <c r="G890" s="3">
        <f t="shared" si="78"/>
        <v>45782</v>
      </c>
      <c r="H890">
        <v>2117811611</v>
      </c>
      <c r="I890" t="s">
        <v>21</v>
      </c>
      <c r="K890" t="s">
        <v>22</v>
      </c>
      <c r="L890" t="s">
        <v>23</v>
      </c>
      <c r="M890" t="s">
        <v>24</v>
      </c>
      <c r="N890" t="s">
        <v>24</v>
      </c>
      <c r="O890" t="s">
        <v>25</v>
      </c>
      <c r="P890" s="8" t="s">
        <v>1185</v>
      </c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</row>
    <row r="891" spans="1:51" hidden="1" x14ac:dyDescent="0.2">
      <c r="A891" s="6" t="s">
        <v>17</v>
      </c>
      <c r="B891" t="s">
        <v>1002</v>
      </c>
      <c r="C891" t="s">
        <v>1003</v>
      </c>
      <c r="D891" t="s">
        <v>1186</v>
      </c>
      <c r="E891" s="2">
        <v>906.72</v>
      </c>
      <c r="F891" s="3">
        <f>DATE(2025,5,6)</f>
        <v>45783</v>
      </c>
      <c r="G891" s="3">
        <f>DATE(2025,5,6)</f>
        <v>45783</v>
      </c>
      <c r="H891">
        <v>2124594078</v>
      </c>
      <c r="I891" t="s">
        <v>21</v>
      </c>
      <c r="K891" t="s">
        <v>22</v>
      </c>
      <c r="L891" t="s">
        <v>23</v>
      </c>
      <c r="M891" t="s">
        <v>24</v>
      </c>
      <c r="N891" t="s">
        <v>24</v>
      </c>
      <c r="O891" t="s">
        <v>25</v>
      </c>
      <c r="P891" s="8" t="s">
        <v>1187</v>
      </c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</row>
    <row r="892" spans="1:51" hidden="1" x14ac:dyDescent="0.2">
      <c r="A892" s="6"/>
      <c r="E892" s="2"/>
      <c r="F892" s="3"/>
      <c r="G892" s="3"/>
      <c r="P892" s="8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</row>
    <row r="893" spans="1:51" hidden="1" x14ac:dyDescent="0.2">
      <c r="A893" s="6" t="s">
        <v>17</v>
      </c>
      <c r="B893" t="s">
        <v>46</v>
      </c>
      <c r="C893" t="s">
        <v>47</v>
      </c>
      <c r="D893" t="s">
        <v>1188</v>
      </c>
      <c r="E893" s="2">
        <v>234</v>
      </c>
      <c r="F893" s="3">
        <f t="shared" ref="F893:G895" si="79">DATE(2025,5,6)</f>
        <v>45783</v>
      </c>
      <c r="G893" s="3">
        <f t="shared" si="79"/>
        <v>45783</v>
      </c>
      <c r="H893">
        <v>2124594080</v>
      </c>
      <c r="I893" t="s">
        <v>21</v>
      </c>
      <c r="K893" t="s">
        <v>22</v>
      </c>
      <c r="L893" t="s">
        <v>23</v>
      </c>
      <c r="M893" t="s">
        <v>24</v>
      </c>
      <c r="N893" t="s">
        <v>24</v>
      </c>
      <c r="O893" t="s">
        <v>25</v>
      </c>
      <c r="P893" s="8" t="s">
        <v>1189</v>
      </c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</row>
    <row r="894" spans="1:51" hidden="1" x14ac:dyDescent="0.2">
      <c r="A894" s="6" t="s">
        <v>17</v>
      </c>
      <c r="B894" t="s">
        <v>244</v>
      </c>
      <c r="C894" t="s">
        <v>245</v>
      </c>
      <c r="D894" t="s">
        <v>1190</v>
      </c>
      <c r="E894" s="2">
        <v>946</v>
      </c>
      <c r="F894" s="3">
        <f t="shared" si="79"/>
        <v>45783</v>
      </c>
      <c r="G894" s="3">
        <f t="shared" si="79"/>
        <v>45783</v>
      </c>
      <c r="H894">
        <v>2124594081</v>
      </c>
      <c r="I894" t="s">
        <v>21</v>
      </c>
      <c r="K894" t="s">
        <v>22</v>
      </c>
      <c r="L894" t="s">
        <v>23</v>
      </c>
      <c r="M894" t="s">
        <v>24</v>
      </c>
      <c r="N894" t="s">
        <v>24</v>
      </c>
      <c r="O894" t="s">
        <v>25</v>
      </c>
      <c r="P894" s="8" t="s">
        <v>1191</v>
      </c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</row>
    <row r="895" spans="1:51" hidden="1" x14ac:dyDescent="0.2">
      <c r="A895" s="6" t="s">
        <v>17</v>
      </c>
      <c r="B895" t="s">
        <v>118</v>
      </c>
      <c r="C895" t="s">
        <v>119</v>
      </c>
      <c r="D895" t="s">
        <v>1192</v>
      </c>
      <c r="E895" s="2">
        <v>809.1</v>
      </c>
      <c r="F895" s="3">
        <f t="shared" si="79"/>
        <v>45783</v>
      </c>
      <c r="G895" s="3">
        <f t="shared" si="79"/>
        <v>45783</v>
      </c>
      <c r="H895">
        <v>2124594082</v>
      </c>
      <c r="I895" t="s">
        <v>21</v>
      </c>
      <c r="K895" t="s">
        <v>22</v>
      </c>
      <c r="L895" t="s">
        <v>23</v>
      </c>
      <c r="M895" t="s">
        <v>24</v>
      </c>
      <c r="N895" t="s">
        <v>24</v>
      </c>
      <c r="O895" t="s">
        <v>25</v>
      </c>
      <c r="P895" s="8" t="s">
        <v>1193</v>
      </c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</row>
    <row r="896" spans="1:51" hidden="1" x14ac:dyDescent="0.2">
      <c r="A896" s="6"/>
      <c r="E896" s="2"/>
      <c r="F896" s="3"/>
      <c r="G896" s="3"/>
      <c r="P896" s="8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</row>
    <row r="897" spans="1:51" hidden="1" x14ac:dyDescent="0.2">
      <c r="A897" s="6" t="s">
        <v>17</v>
      </c>
      <c r="B897" t="s">
        <v>244</v>
      </c>
      <c r="C897" t="s">
        <v>245</v>
      </c>
      <c r="D897" t="s">
        <v>1194</v>
      </c>
      <c r="E897" s="2">
        <v>959</v>
      </c>
      <c r="F897" s="3">
        <f t="shared" ref="F897:G898" si="80">DATE(2025,5,6)</f>
        <v>45783</v>
      </c>
      <c r="G897" s="3">
        <f t="shared" si="80"/>
        <v>45783</v>
      </c>
      <c r="H897">
        <v>2124594084</v>
      </c>
      <c r="I897" t="s">
        <v>21</v>
      </c>
      <c r="K897" t="s">
        <v>22</v>
      </c>
      <c r="L897" t="s">
        <v>23</v>
      </c>
      <c r="M897" t="s">
        <v>24</v>
      </c>
      <c r="N897" t="s">
        <v>24</v>
      </c>
      <c r="O897" t="s">
        <v>25</v>
      </c>
      <c r="P897" s="8" t="s">
        <v>1195</v>
      </c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</row>
    <row r="898" spans="1:51" hidden="1" x14ac:dyDescent="0.2">
      <c r="A898" s="6" t="s">
        <v>17</v>
      </c>
      <c r="B898" t="s">
        <v>589</v>
      </c>
      <c r="C898" t="s">
        <v>590</v>
      </c>
      <c r="D898" t="s">
        <v>1196</v>
      </c>
      <c r="E898" s="2">
        <v>656.95</v>
      </c>
      <c r="F898" s="3">
        <f t="shared" si="80"/>
        <v>45783</v>
      </c>
      <c r="G898" s="3">
        <f t="shared" si="80"/>
        <v>45783</v>
      </c>
      <c r="H898">
        <v>2124594085</v>
      </c>
      <c r="I898" t="s">
        <v>21</v>
      </c>
      <c r="K898" t="s">
        <v>22</v>
      </c>
      <c r="L898" t="s">
        <v>23</v>
      </c>
      <c r="M898" t="s">
        <v>24</v>
      </c>
      <c r="N898" t="s">
        <v>24</v>
      </c>
      <c r="O898" t="s">
        <v>25</v>
      </c>
      <c r="P898" s="8" t="s">
        <v>1197</v>
      </c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</row>
    <row r="899" spans="1:51" hidden="1" x14ac:dyDescent="0.2">
      <c r="A899" s="6"/>
      <c r="E899" s="2"/>
      <c r="F899" s="3"/>
      <c r="G899" s="3"/>
      <c r="P899" s="8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</row>
    <row r="900" spans="1:51" hidden="1" x14ac:dyDescent="0.2">
      <c r="A900" s="6" t="s">
        <v>17</v>
      </c>
      <c r="B900" t="s">
        <v>244</v>
      </c>
      <c r="C900" t="s">
        <v>245</v>
      </c>
      <c r="D900" t="s">
        <v>1198</v>
      </c>
      <c r="E900" s="2">
        <v>1308</v>
      </c>
      <c r="F900" s="3">
        <f>DATE(2025,5,5)</f>
        <v>45782</v>
      </c>
      <c r="G900" s="3">
        <f>DATE(2025,5,5)</f>
        <v>45782</v>
      </c>
      <c r="H900">
        <v>2124594087</v>
      </c>
      <c r="I900" t="s">
        <v>21</v>
      </c>
      <c r="K900" t="s">
        <v>22</v>
      </c>
      <c r="L900" t="s">
        <v>23</v>
      </c>
      <c r="M900" t="s">
        <v>24</v>
      </c>
      <c r="N900" t="s">
        <v>24</v>
      </c>
      <c r="O900" t="s">
        <v>25</v>
      </c>
      <c r="P900" s="8" t="s">
        <v>1199</v>
      </c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</row>
    <row r="901" spans="1:51" hidden="1" x14ac:dyDescent="0.2">
      <c r="A901" s="6" t="s">
        <v>17</v>
      </c>
      <c r="B901" t="s">
        <v>18</v>
      </c>
      <c r="C901" t="s">
        <v>19</v>
      </c>
      <c r="D901" t="s">
        <v>1200</v>
      </c>
      <c r="E901" s="2">
        <v>127.08</v>
      </c>
      <c r="F901" s="3">
        <f>DATE(2025,5,6)</f>
        <v>45783</v>
      </c>
      <c r="G901" s="3">
        <f>DATE(2025,5,6)</f>
        <v>45783</v>
      </c>
      <c r="H901">
        <v>2124594088</v>
      </c>
      <c r="I901" t="s">
        <v>21</v>
      </c>
      <c r="K901" t="s">
        <v>22</v>
      </c>
      <c r="L901" t="s">
        <v>23</v>
      </c>
      <c r="M901" t="s">
        <v>24</v>
      </c>
      <c r="N901" t="s">
        <v>24</v>
      </c>
      <c r="O901" t="s">
        <v>25</v>
      </c>
      <c r="P901" s="8" t="s">
        <v>1201</v>
      </c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</row>
    <row r="902" spans="1:51" hidden="1" x14ac:dyDescent="0.2">
      <c r="A902" s="6" t="s">
        <v>17</v>
      </c>
      <c r="B902" t="s">
        <v>84</v>
      </c>
      <c r="C902" t="s">
        <v>85</v>
      </c>
      <c r="D902" t="s">
        <v>1202</v>
      </c>
      <c r="E902" s="2">
        <v>389.88</v>
      </c>
      <c r="F902" s="3">
        <f>DATE(2025,5,5)</f>
        <v>45782</v>
      </c>
      <c r="G902" s="3">
        <f>DATE(2025,5,5)</f>
        <v>45782</v>
      </c>
      <c r="H902">
        <v>2124594089</v>
      </c>
      <c r="I902" t="s">
        <v>21</v>
      </c>
      <c r="K902" t="s">
        <v>22</v>
      </c>
      <c r="L902" t="s">
        <v>23</v>
      </c>
      <c r="M902" t="s">
        <v>24</v>
      </c>
      <c r="N902" t="s">
        <v>24</v>
      </c>
      <c r="O902" t="s">
        <v>25</v>
      </c>
      <c r="P902" s="8" t="s">
        <v>1203</v>
      </c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</row>
    <row r="903" spans="1:51" hidden="1" x14ac:dyDescent="0.2">
      <c r="A903" s="6" t="s">
        <v>17</v>
      </c>
      <c r="B903" t="s">
        <v>329</v>
      </c>
      <c r="C903" t="s">
        <v>330</v>
      </c>
      <c r="D903" t="s">
        <v>1204</v>
      </c>
      <c r="E903" s="2">
        <v>332.64</v>
      </c>
      <c r="F903" s="3">
        <f>DATE(2025,5,6)</f>
        <v>45783</v>
      </c>
      <c r="G903" s="3">
        <f>DATE(2025,5,6)</f>
        <v>45783</v>
      </c>
      <c r="H903">
        <v>2124594090</v>
      </c>
      <c r="I903" t="s">
        <v>21</v>
      </c>
      <c r="K903" t="s">
        <v>22</v>
      </c>
      <c r="L903" t="s">
        <v>23</v>
      </c>
      <c r="M903" t="s">
        <v>24</v>
      </c>
      <c r="N903" t="s">
        <v>24</v>
      </c>
      <c r="O903" t="s">
        <v>25</v>
      </c>
      <c r="P903" s="8" t="s">
        <v>1205</v>
      </c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</row>
    <row r="904" spans="1:51" hidden="1" x14ac:dyDescent="0.2">
      <c r="A904" s="6" t="s">
        <v>17</v>
      </c>
      <c r="B904" t="s">
        <v>18</v>
      </c>
      <c r="C904" t="s">
        <v>19</v>
      </c>
      <c r="D904" t="s">
        <v>1206</v>
      </c>
      <c r="E904" s="2">
        <v>95.58</v>
      </c>
      <c r="F904" s="3">
        <f>DATE(2025,5,6)</f>
        <v>45783</v>
      </c>
      <c r="G904" s="3">
        <f>DATE(2025,5,6)</f>
        <v>45783</v>
      </c>
      <c r="H904">
        <v>2124594091</v>
      </c>
      <c r="I904" t="s">
        <v>21</v>
      </c>
      <c r="K904" t="s">
        <v>22</v>
      </c>
      <c r="L904" t="s">
        <v>23</v>
      </c>
      <c r="M904" t="s">
        <v>24</v>
      </c>
      <c r="N904" t="s">
        <v>24</v>
      </c>
      <c r="O904" t="s">
        <v>25</v>
      </c>
      <c r="P904" s="8" t="s">
        <v>1207</v>
      </c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</row>
    <row r="905" spans="1:51" hidden="1" x14ac:dyDescent="0.2">
      <c r="A905" s="6"/>
      <c r="E905" s="2"/>
      <c r="F905" s="3"/>
      <c r="G905" s="3"/>
      <c r="P905" s="8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</row>
    <row r="906" spans="1:51" hidden="1" x14ac:dyDescent="0.2">
      <c r="A906" s="6"/>
      <c r="E906" s="2"/>
      <c r="F906" s="3"/>
      <c r="G906" s="3"/>
      <c r="P906" s="8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</row>
    <row r="907" spans="1:51" hidden="1" x14ac:dyDescent="0.2">
      <c r="A907" s="6"/>
      <c r="E907" s="2"/>
      <c r="F907" s="3"/>
      <c r="G907" s="3"/>
      <c r="P907" s="8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</row>
    <row r="908" spans="1:51" hidden="1" x14ac:dyDescent="0.2">
      <c r="A908" s="6"/>
      <c r="E908" s="2"/>
      <c r="F908" s="3"/>
      <c r="G908" s="3"/>
      <c r="P908" s="8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</row>
    <row r="909" spans="1:51" hidden="1" x14ac:dyDescent="0.2">
      <c r="A909" s="6" t="s">
        <v>17</v>
      </c>
      <c r="B909" t="s">
        <v>825</v>
      </c>
      <c r="C909" t="s">
        <v>826</v>
      </c>
      <c r="D909" t="s">
        <v>1208</v>
      </c>
      <c r="E909" s="2">
        <v>710.27</v>
      </c>
      <c r="F909" s="3">
        <f>DATE(2025,5,6)</f>
        <v>45783</v>
      </c>
      <c r="G909" s="3">
        <f>DATE(2025,5,6)</f>
        <v>45783</v>
      </c>
      <c r="H909">
        <v>2124594096</v>
      </c>
      <c r="I909" t="s">
        <v>21</v>
      </c>
      <c r="K909" t="s">
        <v>22</v>
      </c>
      <c r="L909" t="s">
        <v>23</v>
      </c>
      <c r="M909" t="s">
        <v>24</v>
      </c>
      <c r="N909" t="s">
        <v>24</v>
      </c>
      <c r="O909" t="s">
        <v>25</v>
      </c>
      <c r="P909" s="8" t="s">
        <v>1209</v>
      </c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</row>
    <row r="910" spans="1:51" hidden="1" x14ac:dyDescent="0.2">
      <c r="A910" s="6"/>
      <c r="E910" s="2"/>
      <c r="F910" s="3"/>
      <c r="G910" s="3"/>
      <c r="P910" s="8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</row>
    <row r="911" spans="1:51" hidden="1" x14ac:dyDescent="0.2">
      <c r="A911" s="6" t="s">
        <v>17</v>
      </c>
      <c r="B911" t="s">
        <v>878</v>
      </c>
      <c r="C911" t="s">
        <v>879</v>
      </c>
      <c r="D911" t="s">
        <v>1210</v>
      </c>
      <c r="E911" s="2">
        <v>1100.76</v>
      </c>
      <c r="F911" s="3">
        <f t="shared" ref="F911:G917" si="81">DATE(2025,5,6)</f>
        <v>45783</v>
      </c>
      <c r="G911" s="3">
        <f t="shared" si="81"/>
        <v>45783</v>
      </c>
      <c r="H911">
        <v>2124594098</v>
      </c>
      <c r="I911" t="s">
        <v>21</v>
      </c>
      <c r="K911" t="s">
        <v>22</v>
      </c>
      <c r="L911" t="s">
        <v>23</v>
      </c>
      <c r="M911" t="s">
        <v>24</v>
      </c>
      <c r="N911" t="s">
        <v>24</v>
      </c>
      <c r="O911" t="s">
        <v>25</v>
      </c>
      <c r="P911" s="8" t="s">
        <v>1211</v>
      </c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</row>
    <row r="912" spans="1:51" hidden="1" x14ac:dyDescent="0.2">
      <c r="A912" s="6" t="s">
        <v>17</v>
      </c>
      <c r="B912" t="s">
        <v>266</v>
      </c>
      <c r="C912" t="s">
        <v>267</v>
      </c>
      <c r="D912" t="s">
        <v>1212</v>
      </c>
      <c r="E912" s="2">
        <v>234.3</v>
      </c>
      <c r="F912" s="3">
        <f t="shared" si="81"/>
        <v>45783</v>
      </c>
      <c r="G912" s="3">
        <f t="shared" si="81"/>
        <v>45783</v>
      </c>
      <c r="H912">
        <v>2124594099</v>
      </c>
      <c r="I912" t="s">
        <v>21</v>
      </c>
      <c r="K912" t="s">
        <v>22</v>
      </c>
      <c r="L912" t="s">
        <v>23</v>
      </c>
      <c r="M912" t="s">
        <v>24</v>
      </c>
      <c r="N912" t="s">
        <v>24</v>
      </c>
      <c r="O912" t="s">
        <v>25</v>
      </c>
      <c r="P912" s="8" t="s">
        <v>1213</v>
      </c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</row>
    <row r="913" spans="1:51" hidden="1" x14ac:dyDescent="0.2">
      <c r="A913" s="6" t="s">
        <v>17</v>
      </c>
      <c r="B913" t="s">
        <v>266</v>
      </c>
      <c r="C913" t="s">
        <v>267</v>
      </c>
      <c r="D913" t="s">
        <v>1214</v>
      </c>
      <c r="E913" s="2">
        <v>245.8</v>
      </c>
      <c r="F913" s="3">
        <f t="shared" si="81"/>
        <v>45783</v>
      </c>
      <c r="G913" s="3">
        <f t="shared" si="81"/>
        <v>45783</v>
      </c>
      <c r="H913">
        <v>2124594100</v>
      </c>
      <c r="I913" t="s">
        <v>21</v>
      </c>
      <c r="K913" t="s">
        <v>22</v>
      </c>
      <c r="L913" t="s">
        <v>23</v>
      </c>
      <c r="M913" t="s">
        <v>24</v>
      </c>
      <c r="N913" t="s">
        <v>24</v>
      </c>
      <c r="O913" t="s">
        <v>25</v>
      </c>
      <c r="P913" s="8" t="s">
        <v>1215</v>
      </c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</row>
    <row r="914" spans="1:51" hidden="1" x14ac:dyDescent="0.2">
      <c r="A914" s="6" t="s">
        <v>17</v>
      </c>
      <c r="B914" t="s">
        <v>90</v>
      </c>
      <c r="C914" t="s">
        <v>91</v>
      </c>
      <c r="D914" t="s">
        <v>1216</v>
      </c>
      <c r="E914" s="2">
        <v>425</v>
      </c>
      <c r="F914" s="3">
        <f t="shared" si="81"/>
        <v>45783</v>
      </c>
      <c r="G914" s="3">
        <f t="shared" si="81"/>
        <v>45783</v>
      </c>
      <c r="H914">
        <v>2124594101</v>
      </c>
      <c r="I914" t="s">
        <v>21</v>
      </c>
      <c r="K914" t="s">
        <v>22</v>
      </c>
      <c r="L914" t="s">
        <v>23</v>
      </c>
      <c r="M914" t="s">
        <v>24</v>
      </c>
      <c r="N914" t="s">
        <v>24</v>
      </c>
      <c r="O914" t="s">
        <v>25</v>
      </c>
      <c r="P914" s="8" t="s">
        <v>1217</v>
      </c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</row>
    <row r="915" spans="1:51" hidden="1" x14ac:dyDescent="0.2">
      <c r="A915" s="6" t="s">
        <v>17</v>
      </c>
      <c r="B915" t="s">
        <v>309</v>
      </c>
      <c r="C915" t="s">
        <v>310</v>
      </c>
      <c r="D915" t="s">
        <v>1218</v>
      </c>
      <c r="E915" s="2">
        <v>1572.58</v>
      </c>
      <c r="F915" s="3">
        <f t="shared" si="81"/>
        <v>45783</v>
      </c>
      <c r="G915" s="3">
        <f t="shared" si="81"/>
        <v>45783</v>
      </c>
      <c r="H915">
        <v>2124594102</v>
      </c>
      <c r="I915" t="s">
        <v>21</v>
      </c>
      <c r="K915" t="s">
        <v>22</v>
      </c>
      <c r="L915" t="s">
        <v>23</v>
      </c>
      <c r="M915" t="s">
        <v>24</v>
      </c>
      <c r="N915" t="s">
        <v>24</v>
      </c>
      <c r="O915" t="s">
        <v>25</v>
      </c>
      <c r="P915" s="8" t="s">
        <v>1219</v>
      </c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</row>
    <row r="916" spans="1:51" hidden="1" x14ac:dyDescent="0.2">
      <c r="A916" s="6" t="s">
        <v>17</v>
      </c>
      <c r="B916" t="s">
        <v>825</v>
      </c>
      <c r="C916" t="s">
        <v>826</v>
      </c>
      <c r="D916" t="s">
        <v>1220</v>
      </c>
      <c r="E916" s="2">
        <v>224.5</v>
      </c>
      <c r="F916" s="3">
        <f t="shared" si="81"/>
        <v>45783</v>
      </c>
      <c r="G916" s="3">
        <f t="shared" si="81"/>
        <v>45783</v>
      </c>
      <c r="H916">
        <v>2124594103</v>
      </c>
      <c r="I916" t="s">
        <v>21</v>
      </c>
      <c r="K916" t="s">
        <v>22</v>
      </c>
      <c r="L916" t="s">
        <v>23</v>
      </c>
      <c r="M916" t="s">
        <v>24</v>
      </c>
      <c r="N916" t="s">
        <v>24</v>
      </c>
      <c r="O916" t="s">
        <v>25</v>
      </c>
      <c r="P916" s="8" t="s">
        <v>1221</v>
      </c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</row>
    <row r="917" spans="1:51" hidden="1" x14ac:dyDescent="0.2">
      <c r="A917" s="6" t="s">
        <v>17</v>
      </c>
      <c r="B917" t="s">
        <v>18</v>
      </c>
      <c r="C917" t="s">
        <v>19</v>
      </c>
      <c r="D917" t="s">
        <v>1222</v>
      </c>
      <c r="E917" s="2">
        <v>927</v>
      </c>
      <c r="F917" s="3">
        <f t="shared" si="81"/>
        <v>45783</v>
      </c>
      <c r="G917" s="3">
        <f t="shared" si="81"/>
        <v>45783</v>
      </c>
      <c r="H917">
        <v>2124594104</v>
      </c>
      <c r="I917" t="s">
        <v>21</v>
      </c>
      <c r="K917" t="s">
        <v>22</v>
      </c>
      <c r="L917" t="s">
        <v>23</v>
      </c>
      <c r="M917" t="s">
        <v>24</v>
      </c>
      <c r="N917" t="s">
        <v>24</v>
      </c>
      <c r="O917" t="s">
        <v>25</v>
      </c>
      <c r="P917" s="8" t="s">
        <v>1223</v>
      </c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</row>
    <row r="918" spans="1:51" hidden="1" x14ac:dyDescent="0.2">
      <c r="A918" s="6"/>
      <c r="E918" s="2"/>
      <c r="F918" s="3"/>
      <c r="G918" s="3"/>
      <c r="P918" s="8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</row>
    <row r="919" spans="1:51" hidden="1" x14ac:dyDescent="0.2">
      <c r="A919" s="6" t="s">
        <v>17</v>
      </c>
      <c r="B919" t="s">
        <v>18</v>
      </c>
      <c r="C919" t="s">
        <v>19</v>
      </c>
      <c r="D919" t="s">
        <v>1224</v>
      </c>
      <c r="E919" s="2">
        <v>272.7</v>
      </c>
      <c r="F919" s="3">
        <f>DATE(2025,5,6)</f>
        <v>45783</v>
      </c>
      <c r="G919" s="3">
        <f>DATE(2025,5,6)</f>
        <v>45783</v>
      </c>
      <c r="H919">
        <v>2124594106</v>
      </c>
      <c r="I919" t="s">
        <v>21</v>
      </c>
      <c r="K919" t="s">
        <v>22</v>
      </c>
      <c r="L919" t="s">
        <v>23</v>
      </c>
      <c r="M919" t="s">
        <v>24</v>
      </c>
      <c r="N919" t="s">
        <v>24</v>
      </c>
      <c r="O919" t="s">
        <v>25</v>
      </c>
      <c r="P919" s="8" t="s">
        <v>1225</v>
      </c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</row>
    <row r="920" spans="1:51" hidden="1" x14ac:dyDescent="0.2">
      <c r="A920" s="6" t="s">
        <v>17</v>
      </c>
      <c r="B920" t="s">
        <v>70</v>
      </c>
      <c r="C920" t="s">
        <v>71</v>
      </c>
      <c r="D920" t="s">
        <v>1226</v>
      </c>
      <c r="E920" s="2">
        <v>365</v>
      </c>
      <c r="F920" s="3">
        <f>DATE(2025,5,6)</f>
        <v>45783</v>
      </c>
      <c r="G920" s="3">
        <f>DATE(2025,5,6)</f>
        <v>45783</v>
      </c>
      <c r="H920">
        <v>2124594107</v>
      </c>
      <c r="I920" t="s">
        <v>21</v>
      </c>
      <c r="K920" t="s">
        <v>22</v>
      </c>
      <c r="L920" t="s">
        <v>23</v>
      </c>
      <c r="M920" t="s">
        <v>24</v>
      </c>
      <c r="N920" t="s">
        <v>24</v>
      </c>
      <c r="O920" t="s">
        <v>25</v>
      </c>
      <c r="P920" s="8" t="s">
        <v>1227</v>
      </c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</row>
    <row r="921" spans="1:51" hidden="1" x14ac:dyDescent="0.2">
      <c r="A921" s="6" t="s">
        <v>17</v>
      </c>
      <c r="B921" t="s">
        <v>84</v>
      </c>
      <c r="C921" t="s">
        <v>85</v>
      </c>
      <c r="D921" t="s">
        <v>1228</v>
      </c>
      <c r="E921" s="2">
        <v>279.31</v>
      </c>
      <c r="F921" s="3">
        <f>DATE(2025,5,5)</f>
        <v>45782</v>
      </c>
      <c r="G921" s="3">
        <f>DATE(2025,5,5)</f>
        <v>45782</v>
      </c>
      <c r="H921">
        <v>2124594108</v>
      </c>
      <c r="I921" t="s">
        <v>21</v>
      </c>
      <c r="K921" t="s">
        <v>22</v>
      </c>
      <c r="L921" t="s">
        <v>23</v>
      </c>
      <c r="M921" t="s">
        <v>24</v>
      </c>
      <c r="N921" t="s">
        <v>24</v>
      </c>
      <c r="O921" t="s">
        <v>25</v>
      </c>
      <c r="P921" s="8" t="s">
        <v>1229</v>
      </c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</row>
    <row r="922" spans="1:51" hidden="1" x14ac:dyDescent="0.2">
      <c r="A922" s="6" t="s">
        <v>17</v>
      </c>
      <c r="B922" t="s">
        <v>155</v>
      </c>
      <c r="C922" t="s">
        <v>156</v>
      </c>
      <c r="D922" t="s">
        <v>1230</v>
      </c>
      <c r="E922" s="2">
        <v>1983.26</v>
      </c>
      <c r="F922" s="3">
        <f>DATE(2025,5,6)</f>
        <v>45783</v>
      </c>
      <c r="G922" s="3">
        <f>DATE(2025,5,6)</f>
        <v>45783</v>
      </c>
      <c r="H922">
        <v>2124594109</v>
      </c>
      <c r="I922" t="s">
        <v>21</v>
      </c>
      <c r="K922" t="s">
        <v>22</v>
      </c>
      <c r="L922" t="s">
        <v>23</v>
      </c>
      <c r="M922" t="s">
        <v>24</v>
      </c>
      <c r="N922" t="s">
        <v>24</v>
      </c>
      <c r="O922" t="s">
        <v>25</v>
      </c>
      <c r="P922" s="8" t="s">
        <v>1231</v>
      </c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</row>
    <row r="923" spans="1:51" hidden="1" x14ac:dyDescent="0.2">
      <c r="A923" s="6"/>
      <c r="E923" s="2"/>
      <c r="F923" s="3"/>
      <c r="G923" s="3"/>
      <c r="P923" s="8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</row>
    <row r="924" spans="1:51" hidden="1" x14ac:dyDescent="0.2">
      <c r="A924" s="6" t="s">
        <v>17</v>
      </c>
      <c r="B924" t="s">
        <v>42</v>
      </c>
      <c r="C924" t="s">
        <v>43</v>
      </c>
      <c r="D924" t="s">
        <v>44</v>
      </c>
      <c r="E924" s="2">
        <v>500</v>
      </c>
      <c r="F924" s="3">
        <f>DATE(2025,5,7)</f>
        <v>45784</v>
      </c>
      <c r="G924" s="3">
        <f>DATE(2025,5,7)</f>
        <v>45784</v>
      </c>
      <c r="H924">
        <v>2124594111</v>
      </c>
      <c r="I924" t="s">
        <v>21</v>
      </c>
      <c r="K924" t="s">
        <v>22</v>
      </c>
      <c r="L924" t="s">
        <v>23</v>
      </c>
      <c r="M924" t="s">
        <v>24</v>
      </c>
      <c r="N924" t="s">
        <v>24</v>
      </c>
      <c r="O924" t="s">
        <v>25</v>
      </c>
      <c r="P924" s="8" t="s">
        <v>1232</v>
      </c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</row>
    <row r="925" spans="1:51" hidden="1" x14ac:dyDescent="0.2">
      <c r="A925" s="6" t="s">
        <v>17</v>
      </c>
      <c r="B925" t="s">
        <v>60</v>
      </c>
      <c r="C925" t="s">
        <v>61</v>
      </c>
      <c r="D925" t="s">
        <v>1233</v>
      </c>
      <c r="E925" s="2">
        <v>3682.3</v>
      </c>
      <c r="F925" s="3">
        <f>DATE(2025,5,6)</f>
        <v>45783</v>
      </c>
      <c r="G925" s="3">
        <f>DATE(2025,5,6)</f>
        <v>45783</v>
      </c>
      <c r="H925">
        <v>2124594112</v>
      </c>
      <c r="I925" t="s">
        <v>21</v>
      </c>
      <c r="K925" t="s">
        <v>22</v>
      </c>
      <c r="L925" t="s">
        <v>23</v>
      </c>
      <c r="M925" t="s">
        <v>24</v>
      </c>
      <c r="N925" t="s">
        <v>24</v>
      </c>
      <c r="O925" t="s">
        <v>25</v>
      </c>
      <c r="P925" s="8" t="s">
        <v>1234</v>
      </c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</row>
    <row r="926" spans="1:51" hidden="1" x14ac:dyDescent="0.2">
      <c r="A926" s="6" t="s">
        <v>17</v>
      </c>
      <c r="B926" t="s">
        <v>60</v>
      </c>
      <c r="C926" t="s">
        <v>61</v>
      </c>
      <c r="D926" t="s">
        <v>1235</v>
      </c>
      <c r="E926" s="2">
        <v>1389.17</v>
      </c>
      <c r="F926" s="3">
        <f>DATE(2025,5,6)</f>
        <v>45783</v>
      </c>
      <c r="G926" s="3">
        <f>DATE(2025,5,6)</f>
        <v>45783</v>
      </c>
      <c r="H926">
        <v>2124594113</v>
      </c>
      <c r="I926" t="s">
        <v>21</v>
      </c>
      <c r="K926" t="s">
        <v>22</v>
      </c>
      <c r="L926" t="s">
        <v>23</v>
      </c>
      <c r="M926" t="s">
        <v>24</v>
      </c>
      <c r="N926" t="s">
        <v>24</v>
      </c>
      <c r="O926" t="s">
        <v>25</v>
      </c>
      <c r="P926" s="8" t="s">
        <v>1236</v>
      </c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</row>
    <row r="927" spans="1:51" hidden="1" x14ac:dyDescent="0.2">
      <c r="A927" s="6" t="s">
        <v>17</v>
      </c>
      <c r="B927" t="s">
        <v>42</v>
      </c>
      <c r="C927" t="s">
        <v>43</v>
      </c>
      <c r="D927" t="s">
        <v>1237</v>
      </c>
      <c r="E927" s="2">
        <v>89</v>
      </c>
      <c r="F927" s="3">
        <f>DATE(2025,5,5)</f>
        <v>45782</v>
      </c>
      <c r="G927" s="3">
        <f>DATE(2025,5,5)</f>
        <v>45782</v>
      </c>
      <c r="H927">
        <v>2124594114</v>
      </c>
      <c r="I927" t="s">
        <v>21</v>
      </c>
      <c r="K927" t="s">
        <v>22</v>
      </c>
      <c r="L927" t="s">
        <v>23</v>
      </c>
      <c r="M927" t="s">
        <v>24</v>
      </c>
      <c r="N927" t="s">
        <v>24</v>
      </c>
      <c r="O927" t="s">
        <v>25</v>
      </c>
      <c r="P927" s="8" t="s">
        <v>1238</v>
      </c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</row>
    <row r="928" spans="1:51" hidden="1" x14ac:dyDescent="0.2">
      <c r="A928" s="6" t="s">
        <v>17</v>
      </c>
      <c r="B928" t="s">
        <v>309</v>
      </c>
      <c r="C928" t="s">
        <v>310</v>
      </c>
      <c r="D928" t="s">
        <v>1239</v>
      </c>
      <c r="E928" s="2">
        <v>848.86</v>
      </c>
      <c r="F928" s="3">
        <f>DATE(2025,5,6)</f>
        <v>45783</v>
      </c>
      <c r="G928" s="3">
        <f>DATE(2025,5,6)</f>
        <v>45783</v>
      </c>
      <c r="H928">
        <v>2124594115</v>
      </c>
      <c r="I928" t="s">
        <v>21</v>
      </c>
      <c r="K928" t="s">
        <v>22</v>
      </c>
      <c r="L928" t="s">
        <v>23</v>
      </c>
      <c r="M928" t="s">
        <v>24</v>
      </c>
      <c r="N928" t="s">
        <v>24</v>
      </c>
      <c r="O928" t="s">
        <v>25</v>
      </c>
      <c r="P928" s="8" t="s">
        <v>1240</v>
      </c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</row>
    <row r="929" spans="1:51" hidden="1" x14ac:dyDescent="0.2">
      <c r="A929" s="6" t="s">
        <v>17</v>
      </c>
      <c r="B929" t="s">
        <v>31</v>
      </c>
      <c r="C929" t="s">
        <v>32</v>
      </c>
      <c r="D929" t="s">
        <v>1241</v>
      </c>
      <c r="E929" s="2">
        <v>259.62</v>
      </c>
      <c r="F929" s="3">
        <f t="shared" ref="F929:G939" si="82">DATE(2025,5,5)</f>
        <v>45782</v>
      </c>
      <c r="G929" s="3">
        <f t="shared" si="82"/>
        <v>45782</v>
      </c>
      <c r="H929">
        <v>2124594116</v>
      </c>
      <c r="I929" t="s">
        <v>21</v>
      </c>
      <c r="K929" t="s">
        <v>22</v>
      </c>
      <c r="L929" t="s">
        <v>23</v>
      </c>
      <c r="M929" t="s">
        <v>24</v>
      </c>
      <c r="N929" t="s">
        <v>24</v>
      </c>
      <c r="O929" t="s">
        <v>25</v>
      </c>
      <c r="P929" s="8" t="s">
        <v>1242</v>
      </c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</row>
    <row r="930" spans="1:51" hidden="1" x14ac:dyDescent="0.2">
      <c r="A930" s="6"/>
      <c r="E930" s="2"/>
      <c r="F930" s="3"/>
      <c r="G930" s="3"/>
      <c r="P930" s="8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</row>
    <row r="931" spans="1:51" hidden="1" x14ac:dyDescent="0.2">
      <c r="A931" s="6" t="s">
        <v>17</v>
      </c>
      <c r="B931" t="s">
        <v>155</v>
      </c>
      <c r="C931" t="s">
        <v>156</v>
      </c>
      <c r="D931" t="s">
        <v>1243</v>
      </c>
      <c r="E931" s="2">
        <v>13.8</v>
      </c>
      <c r="F931" s="3">
        <f t="shared" si="82"/>
        <v>45782</v>
      </c>
      <c r="G931" s="3">
        <f t="shared" si="82"/>
        <v>45782</v>
      </c>
      <c r="H931">
        <v>2124594118</v>
      </c>
      <c r="I931" t="s">
        <v>158</v>
      </c>
      <c r="K931" t="s">
        <v>22</v>
      </c>
      <c r="L931" t="s">
        <v>23</v>
      </c>
      <c r="M931" t="s">
        <v>24</v>
      </c>
      <c r="N931" t="s">
        <v>24</v>
      </c>
      <c r="O931" t="s">
        <v>25</v>
      </c>
      <c r="P931" s="8" t="s">
        <v>1244</v>
      </c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</row>
    <row r="932" spans="1:51" hidden="1" x14ac:dyDescent="0.2">
      <c r="A932" s="6" t="s">
        <v>17</v>
      </c>
      <c r="B932" t="s">
        <v>173</v>
      </c>
      <c r="C932" t="s">
        <v>154</v>
      </c>
      <c r="D932" t="s">
        <v>1245</v>
      </c>
      <c r="E932" s="2">
        <v>64.680000000000007</v>
      </c>
      <c r="F932" s="3">
        <f t="shared" si="82"/>
        <v>45782</v>
      </c>
      <c r="G932" s="3">
        <f t="shared" si="82"/>
        <v>45782</v>
      </c>
      <c r="H932">
        <v>2124594119</v>
      </c>
      <c r="I932" t="s">
        <v>158</v>
      </c>
      <c r="K932" t="s">
        <v>22</v>
      </c>
      <c r="L932" t="s">
        <v>23</v>
      </c>
      <c r="M932" t="s">
        <v>24</v>
      </c>
      <c r="N932" t="s">
        <v>24</v>
      </c>
      <c r="O932" t="s">
        <v>25</v>
      </c>
      <c r="P932" s="8" t="s">
        <v>1246</v>
      </c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</row>
    <row r="933" spans="1:51" hidden="1" x14ac:dyDescent="0.2">
      <c r="A933" s="6" t="s">
        <v>17</v>
      </c>
      <c r="B933" t="s">
        <v>118</v>
      </c>
      <c r="C933" t="s">
        <v>119</v>
      </c>
      <c r="D933" t="s">
        <v>1247</v>
      </c>
      <c r="E933" s="2">
        <v>21.98</v>
      </c>
      <c r="F933" s="3">
        <f t="shared" si="82"/>
        <v>45782</v>
      </c>
      <c r="G933" s="3">
        <f t="shared" si="82"/>
        <v>45782</v>
      </c>
      <c r="H933">
        <v>2124594120</v>
      </c>
      <c r="I933" t="s">
        <v>158</v>
      </c>
      <c r="K933" t="s">
        <v>22</v>
      </c>
      <c r="L933" t="s">
        <v>23</v>
      </c>
      <c r="M933" t="s">
        <v>24</v>
      </c>
      <c r="N933" t="s">
        <v>24</v>
      </c>
      <c r="O933" t="s">
        <v>25</v>
      </c>
      <c r="P933" s="8" t="s">
        <v>1248</v>
      </c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</row>
    <row r="934" spans="1:51" hidden="1" x14ac:dyDescent="0.2">
      <c r="A934" s="6" t="s">
        <v>17</v>
      </c>
      <c r="B934" t="s">
        <v>118</v>
      </c>
      <c r="C934" t="s">
        <v>119</v>
      </c>
      <c r="D934" t="s">
        <v>1249</v>
      </c>
      <c r="E934" s="2">
        <v>22.49</v>
      </c>
      <c r="F934" s="3">
        <f t="shared" si="82"/>
        <v>45782</v>
      </c>
      <c r="G934" s="3">
        <f t="shared" si="82"/>
        <v>45782</v>
      </c>
      <c r="H934">
        <v>2124594121</v>
      </c>
      <c r="I934" t="s">
        <v>158</v>
      </c>
      <c r="K934" t="s">
        <v>22</v>
      </c>
      <c r="L934" t="s">
        <v>23</v>
      </c>
      <c r="M934" t="s">
        <v>24</v>
      </c>
      <c r="N934" t="s">
        <v>24</v>
      </c>
      <c r="O934" t="s">
        <v>25</v>
      </c>
      <c r="P934" s="8" t="s">
        <v>1250</v>
      </c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</row>
    <row r="935" spans="1:51" hidden="1" x14ac:dyDescent="0.2">
      <c r="A935" s="6" t="s">
        <v>17</v>
      </c>
      <c r="B935" t="s">
        <v>155</v>
      </c>
      <c r="C935" t="s">
        <v>156</v>
      </c>
      <c r="D935" t="s">
        <v>1251</v>
      </c>
      <c r="E935" s="2">
        <v>8.8000000000000007</v>
      </c>
      <c r="F935" s="3">
        <f t="shared" si="82"/>
        <v>45782</v>
      </c>
      <c r="G935" s="3">
        <f t="shared" si="82"/>
        <v>45782</v>
      </c>
      <c r="H935">
        <v>2124594122</v>
      </c>
      <c r="I935" t="s">
        <v>158</v>
      </c>
      <c r="K935" t="s">
        <v>22</v>
      </c>
      <c r="L935" t="s">
        <v>23</v>
      </c>
      <c r="M935" t="s">
        <v>24</v>
      </c>
      <c r="N935" t="s">
        <v>24</v>
      </c>
      <c r="O935" t="s">
        <v>25</v>
      </c>
      <c r="P935" s="8" t="s">
        <v>1252</v>
      </c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</row>
    <row r="936" spans="1:51" hidden="1" x14ac:dyDescent="0.2">
      <c r="A936" s="6" t="s">
        <v>17</v>
      </c>
      <c r="B936" t="s">
        <v>50</v>
      </c>
      <c r="C936" t="s">
        <v>51</v>
      </c>
      <c r="D936" t="s">
        <v>1253</v>
      </c>
      <c r="E936" s="2">
        <v>261.98</v>
      </c>
      <c r="F936" s="3">
        <f t="shared" si="82"/>
        <v>45782</v>
      </c>
      <c r="G936" s="3">
        <f t="shared" si="82"/>
        <v>45782</v>
      </c>
      <c r="H936">
        <v>2124594123</v>
      </c>
      <c r="I936" t="s">
        <v>158</v>
      </c>
      <c r="K936" t="s">
        <v>22</v>
      </c>
      <c r="L936" t="s">
        <v>23</v>
      </c>
      <c r="M936" t="s">
        <v>24</v>
      </c>
      <c r="N936" t="s">
        <v>24</v>
      </c>
      <c r="O936" t="s">
        <v>25</v>
      </c>
      <c r="P936" s="8" t="s">
        <v>1254</v>
      </c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</row>
    <row r="937" spans="1:51" hidden="1" x14ac:dyDescent="0.2">
      <c r="A937" s="6"/>
      <c r="E937" s="2"/>
      <c r="F937" s="3"/>
      <c r="G937" s="3"/>
      <c r="P937" s="8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</row>
    <row r="938" spans="1:51" hidden="1" x14ac:dyDescent="0.2">
      <c r="A938" s="6"/>
      <c r="E938" s="2"/>
      <c r="F938" s="3"/>
      <c r="G938" s="3"/>
      <c r="P938" s="8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</row>
    <row r="939" spans="1:51" hidden="1" x14ac:dyDescent="0.2">
      <c r="A939" s="6" t="s">
        <v>17</v>
      </c>
      <c r="B939" t="s">
        <v>198</v>
      </c>
      <c r="C939" t="s">
        <v>199</v>
      </c>
      <c r="D939" t="s">
        <v>1255</v>
      </c>
      <c r="E939" s="2">
        <v>3621.25</v>
      </c>
      <c r="F939" s="3">
        <f t="shared" si="82"/>
        <v>45782</v>
      </c>
      <c r="G939" s="3">
        <f t="shared" si="82"/>
        <v>45782</v>
      </c>
      <c r="H939">
        <v>2124615210</v>
      </c>
      <c r="I939" t="s">
        <v>192</v>
      </c>
      <c r="K939" t="s">
        <v>22</v>
      </c>
      <c r="L939" t="s">
        <v>23</v>
      </c>
      <c r="M939" t="s">
        <v>24</v>
      </c>
      <c r="N939" t="s">
        <v>24</v>
      </c>
      <c r="O939" t="s">
        <v>25</v>
      </c>
      <c r="P939" s="8" t="s">
        <v>1256</v>
      </c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</row>
    <row r="940" spans="1:51" hidden="1" x14ac:dyDescent="0.2">
      <c r="A940" s="6"/>
      <c r="E940" s="2"/>
      <c r="F940" s="3"/>
      <c r="G940" s="3"/>
      <c r="P940" s="8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</row>
    <row r="941" spans="1:51" hidden="1" x14ac:dyDescent="0.2">
      <c r="A941" s="6"/>
      <c r="E941" s="2"/>
      <c r="F941" s="3"/>
      <c r="G941" s="3"/>
      <c r="P941" s="8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</row>
    <row r="942" spans="1:51" hidden="1" x14ac:dyDescent="0.2">
      <c r="A942" s="6" t="s">
        <v>17</v>
      </c>
      <c r="B942" t="s">
        <v>244</v>
      </c>
      <c r="C942" t="s">
        <v>245</v>
      </c>
      <c r="D942" t="s">
        <v>1257</v>
      </c>
      <c r="E942" s="2">
        <v>18.600000000000001</v>
      </c>
      <c r="F942" s="3">
        <f>DATE(2025,5,6)</f>
        <v>45783</v>
      </c>
      <c r="G942" s="3">
        <f>DATE(2025,5,6)</f>
        <v>45783</v>
      </c>
      <c r="H942">
        <v>2124615213</v>
      </c>
      <c r="I942" t="s">
        <v>192</v>
      </c>
      <c r="K942" t="s">
        <v>22</v>
      </c>
      <c r="L942" t="s">
        <v>23</v>
      </c>
      <c r="M942" t="s">
        <v>24</v>
      </c>
      <c r="N942" t="s">
        <v>24</v>
      </c>
      <c r="O942" t="s">
        <v>25</v>
      </c>
      <c r="P942" s="8" t="s">
        <v>1258</v>
      </c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</row>
    <row r="943" spans="1:51" hidden="1" x14ac:dyDescent="0.2">
      <c r="A943" s="6" t="s">
        <v>17</v>
      </c>
      <c r="B943" t="s">
        <v>198</v>
      </c>
      <c r="C943" t="s">
        <v>199</v>
      </c>
      <c r="D943" t="s">
        <v>1259</v>
      </c>
      <c r="E943" s="2">
        <v>231.61</v>
      </c>
      <c r="F943" s="3">
        <f>DATE(2025,5,5)</f>
        <v>45782</v>
      </c>
      <c r="G943" s="3">
        <f>DATE(2025,5,5)</f>
        <v>45782</v>
      </c>
      <c r="H943">
        <v>2124615214</v>
      </c>
      <c r="I943" t="s">
        <v>192</v>
      </c>
      <c r="K943" t="s">
        <v>22</v>
      </c>
      <c r="L943" t="s">
        <v>23</v>
      </c>
      <c r="M943" t="s">
        <v>24</v>
      </c>
      <c r="N943" t="s">
        <v>24</v>
      </c>
      <c r="O943" t="s">
        <v>25</v>
      </c>
      <c r="P943" s="8" t="s">
        <v>1260</v>
      </c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</row>
    <row r="944" spans="1:51" hidden="1" x14ac:dyDescent="0.2">
      <c r="A944" s="6"/>
      <c r="E944" s="2"/>
      <c r="F944" s="3"/>
      <c r="G944" s="3"/>
      <c r="P944" s="8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</row>
    <row r="945" spans="1:51" hidden="1" x14ac:dyDescent="0.2">
      <c r="A945" s="6"/>
      <c r="E945" s="2"/>
      <c r="F945" s="3"/>
      <c r="G945" s="3"/>
      <c r="P945" s="8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</row>
    <row r="946" spans="1:51" hidden="1" x14ac:dyDescent="0.2">
      <c r="A946" s="6" t="s">
        <v>17</v>
      </c>
      <c r="B946" t="s">
        <v>589</v>
      </c>
      <c r="C946" t="s">
        <v>590</v>
      </c>
      <c r="D946" t="s">
        <v>1261</v>
      </c>
      <c r="E946" s="2">
        <v>56.97</v>
      </c>
      <c r="F946" s="3">
        <f>DATE(2025,5,5)</f>
        <v>45782</v>
      </c>
      <c r="G946" s="3">
        <f>DATE(2025,5,5)</f>
        <v>45782</v>
      </c>
      <c r="H946">
        <v>2124615217</v>
      </c>
      <c r="I946" t="s">
        <v>192</v>
      </c>
      <c r="K946" t="s">
        <v>22</v>
      </c>
      <c r="L946" t="s">
        <v>23</v>
      </c>
      <c r="M946" t="s">
        <v>24</v>
      </c>
      <c r="N946" t="s">
        <v>24</v>
      </c>
      <c r="O946" t="s">
        <v>25</v>
      </c>
      <c r="P946" s="8" t="s">
        <v>1262</v>
      </c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</row>
    <row r="947" spans="1:51" hidden="1" x14ac:dyDescent="0.2">
      <c r="A947" s="6"/>
      <c r="E947" s="2"/>
      <c r="F947" s="3"/>
      <c r="G947" s="3"/>
      <c r="P947" s="8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</row>
    <row r="948" spans="1:51" hidden="1" x14ac:dyDescent="0.2">
      <c r="A948" s="6" t="s">
        <v>17</v>
      </c>
      <c r="B948" t="s">
        <v>589</v>
      </c>
      <c r="C948" t="s">
        <v>590</v>
      </c>
      <c r="D948" t="s">
        <v>1263</v>
      </c>
      <c r="E948" s="2">
        <v>26.96</v>
      </c>
      <c r="F948" s="3">
        <f>DATE(2025,5,5)</f>
        <v>45782</v>
      </c>
      <c r="G948" s="3">
        <f>DATE(2025,5,5)</f>
        <v>45782</v>
      </c>
      <c r="H948">
        <v>2132791843</v>
      </c>
      <c r="I948" t="s">
        <v>158</v>
      </c>
      <c r="K948" t="s">
        <v>22</v>
      </c>
      <c r="L948" t="s">
        <v>23</v>
      </c>
      <c r="M948" t="s">
        <v>24</v>
      </c>
      <c r="N948" t="s">
        <v>24</v>
      </c>
      <c r="O948" t="s">
        <v>25</v>
      </c>
      <c r="P948" s="8" t="s">
        <v>1264</v>
      </c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</row>
    <row r="949" spans="1:51" hidden="1" x14ac:dyDescent="0.2">
      <c r="A949" s="6" t="s">
        <v>17</v>
      </c>
      <c r="B949" t="s">
        <v>118</v>
      </c>
      <c r="C949" t="s">
        <v>119</v>
      </c>
      <c r="D949" t="s">
        <v>1265</v>
      </c>
      <c r="E949" s="2">
        <v>9.27</v>
      </c>
      <c r="F949" s="3">
        <f>DATE(2025,5,5)</f>
        <v>45782</v>
      </c>
      <c r="G949" s="3">
        <f>DATE(2025,5,5)</f>
        <v>45782</v>
      </c>
      <c r="H949">
        <v>2132791844</v>
      </c>
      <c r="I949" t="s">
        <v>158</v>
      </c>
      <c r="K949" t="s">
        <v>22</v>
      </c>
      <c r="L949" t="s">
        <v>23</v>
      </c>
      <c r="M949" t="s">
        <v>24</v>
      </c>
      <c r="N949" t="s">
        <v>24</v>
      </c>
      <c r="O949" t="s">
        <v>25</v>
      </c>
      <c r="P949" s="8" t="s">
        <v>1266</v>
      </c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</row>
    <row r="950" spans="1:51" hidden="1" x14ac:dyDescent="0.2">
      <c r="A950" s="6"/>
      <c r="E950" s="2"/>
      <c r="F950" s="3"/>
      <c r="G950" s="3"/>
      <c r="P950" s="8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</row>
    <row r="951" spans="1:51" hidden="1" x14ac:dyDescent="0.2">
      <c r="A951" s="6" t="s">
        <v>17</v>
      </c>
      <c r="B951" t="s">
        <v>35</v>
      </c>
      <c r="C951" t="s">
        <v>35</v>
      </c>
      <c r="D951" t="s">
        <v>1267</v>
      </c>
      <c r="E951" s="2">
        <v>12</v>
      </c>
      <c r="F951" s="3">
        <f>DATE(2025,5,8)</f>
        <v>45785</v>
      </c>
      <c r="G951" s="3">
        <f>DATE(2025,5,8)</f>
        <v>45785</v>
      </c>
      <c r="H951">
        <v>2132791846</v>
      </c>
      <c r="I951" t="s">
        <v>21</v>
      </c>
      <c r="K951" t="s">
        <v>22</v>
      </c>
      <c r="L951" t="s">
        <v>23</v>
      </c>
      <c r="M951" t="s">
        <v>24</v>
      </c>
      <c r="N951" t="s">
        <v>24</v>
      </c>
      <c r="O951" t="s">
        <v>25</v>
      </c>
      <c r="P951" s="8" t="s">
        <v>1268</v>
      </c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</row>
    <row r="952" spans="1:51" hidden="1" x14ac:dyDescent="0.2">
      <c r="A952" s="6" t="s">
        <v>17</v>
      </c>
      <c r="B952" t="s">
        <v>50</v>
      </c>
      <c r="C952" t="s">
        <v>51</v>
      </c>
      <c r="D952" t="s">
        <v>1269</v>
      </c>
      <c r="E952" s="2">
        <v>589.08000000000004</v>
      </c>
      <c r="F952" s="3">
        <f t="shared" ref="F952:G955" si="83">DATE(2025,5,7)</f>
        <v>45784</v>
      </c>
      <c r="G952" s="3">
        <f t="shared" si="83"/>
        <v>45784</v>
      </c>
      <c r="H952">
        <v>2132791847</v>
      </c>
      <c r="I952" t="s">
        <v>21</v>
      </c>
      <c r="K952" t="s">
        <v>22</v>
      </c>
      <c r="L952" t="s">
        <v>23</v>
      </c>
      <c r="M952" t="s">
        <v>24</v>
      </c>
      <c r="N952" t="s">
        <v>24</v>
      </c>
      <c r="O952" t="s">
        <v>25</v>
      </c>
      <c r="P952" s="8" t="s">
        <v>1270</v>
      </c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</row>
    <row r="953" spans="1:51" hidden="1" x14ac:dyDescent="0.2">
      <c r="A953" s="6"/>
      <c r="E953" s="2"/>
      <c r="F953" s="3"/>
      <c r="G953" s="3"/>
      <c r="P953" s="8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</row>
    <row r="954" spans="1:51" hidden="1" x14ac:dyDescent="0.2">
      <c r="A954" s="6"/>
      <c r="E954" s="2"/>
      <c r="F954" s="3"/>
      <c r="G954" s="3"/>
      <c r="P954" s="8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</row>
    <row r="955" spans="1:51" hidden="1" x14ac:dyDescent="0.2">
      <c r="A955" s="6" t="s">
        <v>17</v>
      </c>
      <c r="B955" t="s">
        <v>589</v>
      </c>
      <c r="C955" t="s">
        <v>590</v>
      </c>
      <c r="D955" t="s">
        <v>1271</v>
      </c>
      <c r="E955" s="2">
        <v>54.95</v>
      </c>
      <c r="F955" s="3">
        <f t="shared" si="83"/>
        <v>45784</v>
      </c>
      <c r="G955" s="3">
        <f t="shared" si="83"/>
        <v>45784</v>
      </c>
      <c r="H955">
        <v>2132820533</v>
      </c>
      <c r="I955" t="s">
        <v>192</v>
      </c>
      <c r="K955" t="s">
        <v>22</v>
      </c>
      <c r="L955" t="s">
        <v>23</v>
      </c>
      <c r="M955" t="s">
        <v>24</v>
      </c>
      <c r="N955" t="s">
        <v>24</v>
      </c>
      <c r="O955" t="s">
        <v>25</v>
      </c>
      <c r="P955" s="8" t="s">
        <v>1272</v>
      </c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</row>
    <row r="956" spans="1:51" hidden="1" x14ac:dyDescent="0.2">
      <c r="A956" s="6"/>
      <c r="E956" s="2"/>
      <c r="F956" s="3"/>
      <c r="G956" s="3"/>
      <c r="P956" s="8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</row>
    <row r="957" spans="1:51" hidden="1" x14ac:dyDescent="0.2">
      <c r="A957" s="6"/>
      <c r="E957" s="2"/>
      <c r="F957" s="3"/>
      <c r="G957" s="3"/>
      <c r="P957" s="8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</row>
    <row r="958" spans="1:51" hidden="1" x14ac:dyDescent="0.2">
      <c r="A958" s="6"/>
      <c r="E958" s="2"/>
      <c r="F958" s="3"/>
      <c r="G958" s="3"/>
      <c r="P958" s="8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</row>
    <row r="959" spans="1:51" hidden="1" x14ac:dyDescent="0.2">
      <c r="A959" s="6"/>
      <c r="E959" s="2"/>
      <c r="F959" s="3"/>
      <c r="G959" s="3"/>
      <c r="P959" s="8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</row>
    <row r="960" spans="1:51" hidden="1" x14ac:dyDescent="0.2">
      <c r="A960" s="6"/>
      <c r="E960" s="2"/>
      <c r="F960" s="3"/>
      <c r="G960" s="3"/>
      <c r="P960" s="8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</row>
    <row r="961" spans="1:51" hidden="1" x14ac:dyDescent="0.2">
      <c r="A961" s="6"/>
      <c r="E961" s="2"/>
      <c r="F961" s="3"/>
      <c r="G961" s="3"/>
      <c r="P961" s="8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</row>
    <row r="962" spans="1:51" hidden="1" x14ac:dyDescent="0.2">
      <c r="A962" s="6" t="s">
        <v>17</v>
      </c>
      <c r="B962" t="s">
        <v>35</v>
      </c>
      <c r="C962" t="s">
        <v>35</v>
      </c>
      <c r="D962" t="s">
        <v>1273</v>
      </c>
      <c r="E962" s="2">
        <v>0.99</v>
      </c>
      <c r="F962" s="3">
        <f t="shared" ref="F962:G962" si="84">DATE(2025,5,9)</f>
        <v>45786</v>
      </c>
      <c r="G962" s="3">
        <f t="shared" si="84"/>
        <v>45786</v>
      </c>
      <c r="H962">
        <v>2137777989</v>
      </c>
      <c r="I962" t="s">
        <v>21</v>
      </c>
      <c r="K962" t="s">
        <v>22</v>
      </c>
      <c r="L962" t="s">
        <v>23</v>
      </c>
      <c r="M962" t="s">
        <v>24</v>
      </c>
      <c r="N962" t="s">
        <v>24</v>
      </c>
      <c r="O962" t="s">
        <v>25</v>
      </c>
      <c r="P962" s="8" t="s">
        <v>1274</v>
      </c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</row>
    <row r="963" spans="1:51" hidden="1" x14ac:dyDescent="0.2">
      <c r="A963" s="6"/>
      <c r="E963" s="2"/>
      <c r="F963" s="3"/>
      <c r="G963" s="3"/>
      <c r="P963" s="8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</row>
    <row r="964" spans="1:51" hidden="1" x14ac:dyDescent="0.2">
      <c r="A964" s="6" t="s">
        <v>17</v>
      </c>
      <c r="B964" t="s">
        <v>27</v>
      </c>
      <c r="C964" t="s">
        <v>28</v>
      </c>
      <c r="D964" t="s">
        <v>1275</v>
      </c>
      <c r="E964" s="2">
        <v>871.08</v>
      </c>
      <c r="F964" s="3">
        <f>DATE(2025,5,10)</f>
        <v>45787</v>
      </c>
      <c r="G964" s="3">
        <f>DATE(2025,5,10)</f>
        <v>45787</v>
      </c>
      <c r="H964">
        <v>2141365796</v>
      </c>
      <c r="I964" t="s">
        <v>21</v>
      </c>
      <c r="K964" t="s">
        <v>22</v>
      </c>
      <c r="L964" t="s">
        <v>23</v>
      </c>
      <c r="M964" t="s">
        <v>24</v>
      </c>
      <c r="N964" t="s">
        <v>24</v>
      </c>
      <c r="O964" t="s">
        <v>25</v>
      </c>
      <c r="P964" s="8" t="s">
        <v>1276</v>
      </c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</row>
    <row r="965" spans="1:51" hidden="1" x14ac:dyDescent="0.2">
      <c r="A965" s="6" t="s">
        <v>17</v>
      </c>
      <c r="B965" t="s">
        <v>980</v>
      </c>
      <c r="C965" t="s">
        <v>981</v>
      </c>
      <c r="D965" t="s">
        <v>1277</v>
      </c>
      <c r="E965" s="2">
        <v>145.27000000000001</v>
      </c>
      <c r="F965" s="3">
        <f>DATE(2025,5,9)</f>
        <v>45786</v>
      </c>
      <c r="G965" s="3">
        <f>DATE(2025,5,9)</f>
        <v>45786</v>
      </c>
      <c r="H965">
        <v>2141365797</v>
      </c>
      <c r="I965" t="s">
        <v>21</v>
      </c>
      <c r="K965" t="s">
        <v>22</v>
      </c>
      <c r="L965" t="s">
        <v>23</v>
      </c>
      <c r="M965" t="s">
        <v>24</v>
      </c>
      <c r="N965" t="s">
        <v>24</v>
      </c>
      <c r="O965" t="s">
        <v>25</v>
      </c>
      <c r="P965" s="8" t="s">
        <v>1278</v>
      </c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</row>
    <row r="966" spans="1:51" hidden="1" x14ac:dyDescent="0.2">
      <c r="A966" s="6" t="s">
        <v>17</v>
      </c>
      <c r="B966" t="s">
        <v>27</v>
      </c>
      <c r="C966" t="s">
        <v>28</v>
      </c>
      <c r="D966" t="s">
        <v>1279</v>
      </c>
      <c r="E966" s="2">
        <v>1156.0999999999999</v>
      </c>
      <c r="F966" s="3">
        <f>DATE(2025,5,10)</f>
        <v>45787</v>
      </c>
      <c r="G966" s="3">
        <f>DATE(2025,5,10)</f>
        <v>45787</v>
      </c>
      <c r="H966">
        <v>2141365798</v>
      </c>
      <c r="I966" t="s">
        <v>21</v>
      </c>
      <c r="K966" t="s">
        <v>22</v>
      </c>
      <c r="L966" t="s">
        <v>23</v>
      </c>
      <c r="M966" t="s">
        <v>24</v>
      </c>
      <c r="N966" t="s">
        <v>24</v>
      </c>
      <c r="O966" t="s">
        <v>25</v>
      </c>
      <c r="P966" s="8" t="s">
        <v>1280</v>
      </c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</row>
    <row r="967" spans="1:51" hidden="1" x14ac:dyDescent="0.2">
      <c r="A967" s="6" t="s">
        <v>17</v>
      </c>
      <c r="B967" t="s">
        <v>31</v>
      </c>
      <c r="C967" t="s">
        <v>32</v>
      </c>
      <c r="D967" t="s">
        <v>1281</v>
      </c>
      <c r="E967" s="2">
        <v>52.5</v>
      </c>
      <c r="F967" s="3">
        <f>DATE(2025,5,9)</f>
        <v>45786</v>
      </c>
      <c r="G967" s="3">
        <f>DATE(2025,5,9)</f>
        <v>45786</v>
      </c>
      <c r="H967">
        <v>2141365799</v>
      </c>
      <c r="I967" t="s">
        <v>21</v>
      </c>
      <c r="K967" t="s">
        <v>22</v>
      </c>
      <c r="L967" t="s">
        <v>23</v>
      </c>
      <c r="M967" t="s">
        <v>24</v>
      </c>
      <c r="N967" t="s">
        <v>24</v>
      </c>
      <c r="O967" t="s">
        <v>25</v>
      </c>
      <c r="P967" s="8" t="s">
        <v>1282</v>
      </c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</row>
    <row r="968" spans="1:51" hidden="1" x14ac:dyDescent="0.2">
      <c r="A968" s="6" t="s">
        <v>17</v>
      </c>
      <c r="B968" t="s">
        <v>155</v>
      </c>
      <c r="C968" t="s">
        <v>156</v>
      </c>
      <c r="D968" t="s">
        <v>1283</v>
      </c>
      <c r="E968" s="2">
        <v>58.18</v>
      </c>
      <c r="F968" s="3">
        <f>DATE(2025,5,8)</f>
        <v>45785</v>
      </c>
      <c r="G968" s="3">
        <f>DATE(2025,5,8)</f>
        <v>45785</v>
      </c>
      <c r="H968">
        <v>2141365800</v>
      </c>
      <c r="I968" t="s">
        <v>158</v>
      </c>
      <c r="K968" t="s">
        <v>22</v>
      </c>
      <c r="L968" t="s">
        <v>23</v>
      </c>
      <c r="M968" t="s">
        <v>24</v>
      </c>
      <c r="N968" t="s">
        <v>24</v>
      </c>
      <c r="O968" t="s">
        <v>25</v>
      </c>
      <c r="P968" s="8" t="s">
        <v>1284</v>
      </c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</row>
    <row r="969" spans="1:51" hidden="1" x14ac:dyDescent="0.2">
      <c r="A969" s="6"/>
      <c r="E969" s="2"/>
      <c r="F969" s="3"/>
      <c r="G969" s="3"/>
      <c r="P969" s="8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</row>
    <row r="970" spans="1:51" hidden="1" x14ac:dyDescent="0.2">
      <c r="A970" s="6"/>
      <c r="E970" s="2"/>
      <c r="F970" s="3"/>
      <c r="G970" s="3"/>
      <c r="P970" s="8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</row>
    <row r="971" spans="1:51" hidden="1" x14ac:dyDescent="0.2">
      <c r="A971" s="6"/>
      <c r="E971" s="2"/>
      <c r="F971" s="3"/>
      <c r="G971" s="3"/>
      <c r="P971" s="8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</row>
    <row r="972" spans="1:51" hidden="1" x14ac:dyDescent="0.2">
      <c r="A972" s="6"/>
      <c r="E972" s="2"/>
      <c r="F972" s="3"/>
      <c r="G972" s="3"/>
      <c r="P972" s="8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</row>
    <row r="973" spans="1:51" hidden="1" x14ac:dyDescent="0.2">
      <c r="A973" s="6"/>
      <c r="E973" s="2"/>
      <c r="F973" s="3"/>
      <c r="G973" s="3"/>
      <c r="P973" s="8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</row>
    <row r="974" spans="1:51" hidden="1" x14ac:dyDescent="0.2">
      <c r="A974" s="6" t="s">
        <v>17</v>
      </c>
      <c r="B974" t="s">
        <v>1048</v>
      </c>
      <c r="C974" t="s">
        <v>1049</v>
      </c>
      <c r="D974" t="s">
        <v>1285</v>
      </c>
      <c r="E974" s="2">
        <v>2222.89</v>
      </c>
      <c r="F974" s="3">
        <f>DATE(2025,5,12)</f>
        <v>45789</v>
      </c>
      <c r="G974" s="3">
        <f>DATE(2025,5,12)</f>
        <v>45789</v>
      </c>
      <c r="H974">
        <v>2148420911</v>
      </c>
      <c r="I974" t="s">
        <v>21</v>
      </c>
      <c r="K974" t="s">
        <v>22</v>
      </c>
      <c r="L974" t="s">
        <v>23</v>
      </c>
      <c r="M974" t="s">
        <v>24</v>
      </c>
      <c r="N974" t="s">
        <v>24</v>
      </c>
      <c r="O974" t="s">
        <v>25</v>
      </c>
      <c r="P974" s="8" t="s">
        <v>1286</v>
      </c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</row>
    <row r="975" spans="1:51" hidden="1" x14ac:dyDescent="0.2">
      <c r="A975" s="6"/>
      <c r="E975" s="2"/>
      <c r="F975" s="3"/>
      <c r="G975" s="3"/>
      <c r="P975" s="8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</row>
    <row r="976" spans="1:51" hidden="1" x14ac:dyDescent="0.2">
      <c r="A976" s="6"/>
      <c r="E976" s="2"/>
      <c r="F976" s="3"/>
      <c r="G976" s="3"/>
      <c r="P976" s="8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</row>
    <row r="977" spans="1:51" hidden="1" x14ac:dyDescent="0.2">
      <c r="A977" s="6"/>
      <c r="E977" s="2"/>
      <c r="F977" s="3"/>
      <c r="G977" s="3"/>
      <c r="P977" s="8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</row>
    <row r="978" spans="1:51" hidden="1" x14ac:dyDescent="0.2">
      <c r="A978" s="6" t="s">
        <v>17</v>
      </c>
      <c r="B978" t="s">
        <v>173</v>
      </c>
      <c r="C978" t="s">
        <v>154</v>
      </c>
      <c r="D978" t="s">
        <v>1287</v>
      </c>
      <c r="E978" s="2">
        <v>52.21</v>
      </c>
      <c r="F978" s="3">
        <f>DATE(2025,5,12)</f>
        <v>45789</v>
      </c>
      <c r="G978" s="3">
        <f>DATE(2025,5,12)</f>
        <v>45789</v>
      </c>
      <c r="H978">
        <v>2153998313</v>
      </c>
      <c r="I978" t="s">
        <v>158</v>
      </c>
      <c r="K978" t="s">
        <v>22</v>
      </c>
      <c r="L978" t="s">
        <v>23</v>
      </c>
      <c r="M978" t="s">
        <v>24</v>
      </c>
      <c r="N978" t="s">
        <v>24</v>
      </c>
      <c r="O978" t="s">
        <v>25</v>
      </c>
      <c r="P978" s="8" t="s">
        <v>1288</v>
      </c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</row>
    <row r="979" spans="1:51" hidden="1" x14ac:dyDescent="0.2">
      <c r="A979" s="6" t="s">
        <v>17</v>
      </c>
      <c r="B979" t="s">
        <v>118</v>
      </c>
      <c r="C979" t="s">
        <v>119</v>
      </c>
      <c r="D979" t="s">
        <v>1289</v>
      </c>
      <c r="E979" s="2">
        <v>44.96</v>
      </c>
      <c r="F979" s="3">
        <f>DATE(2025,5,12)</f>
        <v>45789</v>
      </c>
      <c r="G979" s="3">
        <f>DATE(2025,5,12)</f>
        <v>45789</v>
      </c>
      <c r="H979">
        <v>2153998314</v>
      </c>
      <c r="I979" t="s">
        <v>158</v>
      </c>
      <c r="K979" t="s">
        <v>22</v>
      </c>
      <c r="L979" t="s">
        <v>23</v>
      </c>
      <c r="M979" t="s">
        <v>24</v>
      </c>
      <c r="N979" t="s">
        <v>24</v>
      </c>
      <c r="O979" t="s">
        <v>25</v>
      </c>
      <c r="P979" s="8" t="s">
        <v>1290</v>
      </c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</row>
    <row r="980" spans="1:51" hidden="1" x14ac:dyDescent="0.2">
      <c r="A980" s="6" t="s">
        <v>17</v>
      </c>
      <c r="B980" t="s">
        <v>118</v>
      </c>
      <c r="C980" t="s">
        <v>119</v>
      </c>
      <c r="D980" t="s">
        <v>1291</v>
      </c>
      <c r="E980" s="2">
        <v>16.559999999999999</v>
      </c>
      <c r="F980" s="3">
        <f>DATE(2025,5,10)</f>
        <v>45787</v>
      </c>
      <c r="G980" s="3">
        <f>DATE(2025,5,10)</f>
        <v>45787</v>
      </c>
      <c r="H980">
        <v>2153998315</v>
      </c>
      <c r="I980" t="s">
        <v>158</v>
      </c>
      <c r="K980" t="s">
        <v>22</v>
      </c>
      <c r="L980" t="s">
        <v>23</v>
      </c>
      <c r="M980" t="s">
        <v>24</v>
      </c>
      <c r="N980" t="s">
        <v>24</v>
      </c>
      <c r="O980" t="s">
        <v>25</v>
      </c>
      <c r="P980" s="8" t="s">
        <v>1292</v>
      </c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</row>
    <row r="981" spans="1:51" hidden="1" x14ac:dyDescent="0.2">
      <c r="A981" s="6" t="s">
        <v>17</v>
      </c>
      <c r="B981" t="s">
        <v>118</v>
      </c>
      <c r="C981" t="s">
        <v>119</v>
      </c>
      <c r="D981" t="s">
        <v>1293</v>
      </c>
      <c r="E981" s="2">
        <v>38.5</v>
      </c>
      <c r="F981" s="3">
        <f>DATE(2025,5,12)</f>
        <v>45789</v>
      </c>
      <c r="G981" s="3">
        <f>DATE(2025,5,12)</f>
        <v>45789</v>
      </c>
      <c r="H981">
        <v>2153998316</v>
      </c>
      <c r="I981" t="s">
        <v>158</v>
      </c>
      <c r="K981" t="s">
        <v>22</v>
      </c>
      <c r="L981" t="s">
        <v>23</v>
      </c>
      <c r="M981" t="s">
        <v>24</v>
      </c>
      <c r="N981" t="s">
        <v>24</v>
      </c>
      <c r="O981" t="s">
        <v>25</v>
      </c>
      <c r="P981" s="8" t="s">
        <v>1294</v>
      </c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</row>
    <row r="982" spans="1:51" hidden="1" x14ac:dyDescent="0.2">
      <c r="A982" s="6" t="s">
        <v>17</v>
      </c>
      <c r="B982" t="s">
        <v>589</v>
      </c>
      <c r="C982" t="s">
        <v>590</v>
      </c>
      <c r="D982" t="s">
        <v>1295</v>
      </c>
      <c r="E982" s="2">
        <v>64.61</v>
      </c>
      <c r="F982" s="3">
        <f>DATE(2025,5,10)</f>
        <v>45787</v>
      </c>
      <c r="G982" s="3">
        <f>DATE(2025,5,10)</f>
        <v>45787</v>
      </c>
      <c r="H982">
        <v>2153998317</v>
      </c>
      <c r="I982" t="s">
        <v>158</v>
      </c>
      <c r="K982" t="s">
        <v>22</v>
      </c>
      <c r="L982" t="s">
        <v>23</v>
      </c>
      <c r="M982" t="s">
        <v>24</v>
      </c>
      <c r="N982" t="s">
        <v>24</v>
      </c>
      <c r="O982" t="s">
        <v>25</v>
      </c>
      <c r="P982" s="8" t="s">
        <v>1296</v>
      </c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</row>
    <row r="983" spans="1:51" hidden="1" x14ac:dyDescent="0.2">
      <c r="A983" s="6" t="s">
        <v>17</v>
      </c>
      <c r="B983" t="s">
        <v>118</v>
      </c>
      <c r="C983" t="s">
        <v>119</v>
      </c>
      <c r="D983" t="s">
        <v>1297</v>
      </c>
      <c r="E983" s="2">
        <v>33.15</v>
      </c>
      <c r="F983" s="3">
        <f>DATE(2025,5,12)</f>
        <v>45789</v>
      </c>
      <c r="G983" s="3">
        <f>DATE(2025,5,12)</f>
        <v>45789</v>
      </c>
      <c r="H983">
        <v>2153998318</v>
      </c>
      <c r="I983" t="s">
        <v>158</v>
      </c>
      <c r="K983" t="s">
        <v>22</v>
      </c>
      <c r="L983" t="s">
        <v>23</v>
      </c>
      <c r="M983" t="s">
        <v>24</v>
      </c>
      <c r="N983" t="s">
        <v>24</v>
      </c>
      <c r="O983" t="s">
        <v>25</v>
      </c>
      <c r="P983" s="8" t="s">
        <v>1298</v>
      </c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</row>
    <row r="984" spans="1:51" hidden="1" x14ac:dyDescent="0.2">
      <c r="A984" s="6" t="s">
        <v>17</v>
      </c>
      <c r="B984" t="s">
        <v>825</v>
      </c>
      <c r="C984" t="s">
        <v>826</v>
      </c>
      <c r="D984" t="s">
        <v>1299</v>
      </c>
      <c r="E984" s="2">
        <v>69.3</v>
      </c>
      <c r="F984" s="3">
        <f>DATE(2025,5,10)</f>
        <v>45787</v>
      </c>
      <c r="G984" s="3">
        <f>DATE(2025,5,10)</f>
        <v>45787</v>
      </c>
      <c r="H984">
        <v>2153998319</v>
      </c>
      <c r="I984" t="s">
        <v>158</v>
      </c>
      <c r="K984" t="s">
        <v>22</v>
      </c>
      <c r="L984" t="s">
        <v>23</v>
      </c>
      <c r="M984" t="s">
        <v>24</v>
      </c>
      <c r="N984" t="s">
        <v>24</v>
      </c>
      <c r="O984" t="s">
        <v>25</v>
      </c>
      <c r="P984" s="8" t="s">
        <v>1300</v>
      </c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</row>
    <row r="985" spans="1:51" hidden="1" x14ac:dyDescent="0.2">
      <c r="A985" s="6" t="s">
        <v>17</v>
      </c>
      <c r="B985" t="s">
        <v>825</v>
      </c>
      <c r="C985" t="s">
        <v>826</v>
      </c>
      <c r="D985" t="s">
        <v>1301</v>
      </c>
      <c r="E985" s="2">
        <v>153.13</v>
      </c>
      <c r="F985" s="3">
        <f>DATE(2025,5,10)</f>
        <v>45787</v>
      </c>
      <c r="G985" s="3">
        <f>DATE(2025,5,10)</f>
        <v>45787</v>
      </c>
      <c r="H985">
        <v>2153998320</v>
      </c>
      <c r="I985" t="s">
        <v>158</v>
      </c>
      <c r="K985" t="s">
        <v>22</v>
      </c>
      <c r="L985" t="s">
        <v>23</v>
      </c>
      <c r="M985" t="s">
        <v>24</v>
      </c>
      <c r="N985" t="s">
        <v>24</v>
      </c>
      <c r="O985" t="s">
        <v>25</v>
      </c>
      <c r="P985" s="8" t="s">
        <v>1302</v>
      </c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</row>
    <row r="986" spans="1:51" hidden="1" x14ac:dyDescent="0.2">
      <c r="A986" s="6" t="s">
        <v>17</v>
      </c>
      <c r="B986" t="s">
        <v>118</v>
      </c>
      <c r="C986" t="s">
        <v>119</v>
      </c>
      <c r="D986" t="s">
        <v>1303</v>
      </c>
      <c r="E986" s="2">
        <v>179.99</v>
      </c>
      <c r="F986" s="3">
        <f t="shared" ref="F986:G991" si="85">DATE(2025,5,12)</f>
        <v>45789</v>
      </c>
      <c r="G986" s="3">
        <f t="shared" si="85"/>
        <v>45789</v>
      </c>
      <c r="H986">
        <v>2153998321</v>
      </c>
      <c r="I986" t="s">
        <v>158</v>
      </c>
      <c r="K986" t="s">
        <v>22</v>
      </c>
      <c r="L986" t="s">
        <v>23</v>
      </c>
      <c r="M986" t="s">
        <v>24</v>
      </c>
      <c r="N986" t="s">
        <v>24</v>
      </c>
      <c r="O986" t="s">
        <v>25</v>
      </c>
      <c r="P986" s="8" t="s">
        <v>1304</v>
      </c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</row>
    <row r="987" spans="1:51" hidden="1" x14ac:dyDescent="0.2">
      <c r="A987" s="6" t="s">
        <v>17</v>
      </c>
      <c r="B987" t="s">
        <v>118</v>
      </c>
      <c r="C987" t="s">
        <v>119</v>
      </c>
      <c r="D987" t="s">
        <v>1305</v>
      </c>
      <c r="E987" s="2">
        <v>51.8</v>
      </c>
      <c r="F987" s="3">
        <f t="shared" si="85"/>
        <v>45789</v>
      </c>
      <c r="G987" s="3">
        <f t="shared" si="85"/>
        <v>45789</v>
      </c>
      <c r="H987">
        <v>2153998322</v>
      </c>
      <c r="I987" t="s">
        <v>158</v>
      </c>
      <c r="K987" t="s">
        <v>22</v>
      </c>
      <c r="L987" t="s">
        <v>23</v>
      </c>
      <c r="M987" t="s">
        <v>24</v>
      </c>
      <c r="N987" t="s">
        <v>24</v>
      </c>
      <c r="O987" t="s">
        <v>25</v>
      </c>
      <c r="P987" s="8" t="s">
        <v>1306</v>
      </c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</row>
    <row r="988" spans="1:51" hidden="1" x14ac:dyDescent="0.2">
      <c r="A988" s="6" t="s">
        <v>17</v>
      </c>
      <c r="B988" t="s">
        <v>118</v>
      </c>
      <c r="C988" t="s">
        <v>119</v>
      </c>
      <c r="D988" t="s">
        <v>1307</v>
      </c>
      <c r="E988" s="2">
        <v>13.44</v>
      </c>
      <c r="F988" s="3">
        <f t="shared" si="85"/>
        <v>45789</v>
      </c>
      <c r="G988" s="3">
        <f t="shared" si="85"/>
        <v>45789</v>
      </c>
      <c r="H988">
        <v>2153998323</v>
      </c>
      <c r="I988" t="s">
        <v>158</v>
      </c>
      <c r="K988" t="s">
        <v>22</v>
      </c>
      <c r="L988" t="s">
        <v>23</v>
      </c>
      <c r="M988" t="s">
        <v>24</v>
      </c>
      <c r="N988" t="s">
        <v>24</v>
      </c>
      <c r="O988" t="s">
        <v>25</v>
      </c>
      <c r="P988" s="8" t="s">
        <v>1308</v>
      </c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</row>
    <row r="989" spans="1:51" hidden="1" x14ac:dyDescent="0.2">
      <c r="A989" s="6"/>
      <c r="E989" s="2"/>
      <c r="F989" s="3"/>
      <c r="G989" s="3"/>
      <c r="P989" s="8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</row>
    <row r="990" spans="1:51" hidden="1" x14ac:dyDescent="0.2">
      <c r="A990" s="6" t="s">
        <v>17</v>
      </c>
      <c r="B990" t="s">
        <v>18</v>
      </c>
      <c r="C990" t="s">
        <v>19</v>
      </c>
      <c r="D990" t="s">
        <v>1309</v>
      </c>
      <c r="E990" s="2">
        <v>20.7</v>
      </c>
      <c r="F990" s="3">
        <f t="shared" si="85"/>
        <v>45789</v>
      </c>
      <c r="G990" s="3">
        <f t="shared" si="85"/>
        <v>45789</v>
      </c>
      <c r="H990">
        <v>2153998325</v>
      </c>
      <c r="I990" t="s">
        <v>21</v>
      </c>
      <c r="K990" t="s">
        <v>22</v>
      </c>
      <c r="L990" t="s">
        <v>23</v>
      </c>
      <c r="M990" t="s">
        <v>24</v>
      </c>
      <c r="N990" t="s">
        <v>24</v>
      </c>
      <c r="O990" t="s">
        <v>25</v>
      </c>
      <c r="P990" s="8" t="s">
        <v>1310</v>
      </c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</row>
    <row r="991" spans="1:51" hidden="1" x14ac:dyDescent="0.2">
      <c r="A991" s="6" t="s">
        <v>17</v>
      </c>
      <c r="B991" t="s">
        <v>42</v>
      </c>
      <c r="C991" t="s">
        <v>43</v>
      </c>
      <c r="D991" t="s">
        <v>1311</v>
      </c>
      <c r="E991" s="2">
        <v>143.30000000000001</v>
      </c>
      <c r="F991" s="3">
        <f t="shared" si="85"/>
        <v>45789</v>
      </c>
      <c r="G991" s="3">
        <f t="shared" si="85"/>
        <v>45789</v>
      </c>
      <c r="H991">
        <v>2153998326</v>
      </c>
      <c r="I991" t="s">
        <v>21</v>
      </c>
      <c r="K991" t="s">
        <v>22</v>
      </c>
      <c r="L991" t="s">
        <v>23</v>
      </c>
      <c r="M991" t="s">
        <v>24</v>
      </c>
      <c r="N991" t="s">
        <v>24</v>
      </c>
      <c r="O991" t="s">
        <v>25</v>
      </c>
      <c r="P991" s="8" t="s">
        <v>1312</v>
      </c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</row>
    <row r="992" spans="1:51" hidden="1" x14ac:dyDescent="0.2">
      <c r="A992" s="6"/>
      <c r="E992" s="2"/>
      <c r="F992" s="3"/>
      <c r="G992" s="3"/>
      <c r="P992" s="8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</row>
    <row r="993" spans="1:51" hidden="1" x14ac:dyDescent="0.2">
      <c r="A993" s="6" t="s">
        <v>17</v>
      </c>
      <c r="B993" t="s">
        <v>155</v>
      </c>
      <c r="C993" t="s">
        <v>156</v>
      </c>
      <c r="D993" t="s">
        <v>1313</v>
      </c>
      <c r="E993" s="2">
        <v>500</v>
      </c>
      <c r="F993" s="3">
        <f>DATE(2025,5,13)</f>
        <v>45790</v>
      </c>
      <c r="G993" s="3">
        <f>DATE(2025,5,13)</f>
        <v>45790</v>
      </c>
      <c r="H993">
        <v>2153998328</v>
      </c>
      <c r="I993" t="s">
        <v>21</v>
      </c>
      <c r="K993" t="s">
        <v>22</v>
      </c>
      <c r="L993" t="s">
        <v>23</v>
      </c>
      <c r="M993" t="s">
        <v>24</v>
      </c>
      <c r="N993" t="s">
        <v>24</v>
      </c>
      <c r="O993" t="s">
        <v>25</v>
      </c>
      <c r="P993" s="8" t="s">
        <v>1314</v>
      </c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</row>
    <row r="994" spans="1:51" hidden="1" x14ac:dyDescent="0.2">
      <c r="A994" s="6"/>
      <c r="E994" s="2"/>
      <c r="F994" s="3"/>
      <c r="G994" s="3"/>
      <c r="P994" s="8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</row>
    <row r="995" spans="1:51" hidden="1" x14ac:dyDescent="0.2">
      <c r="A995" s="6" t="s">
        <v>17</v>
      </c>
      <c r="B995" t="s">
        <v>84</v>
      </c>
      <c r="C995" t="s">
        <v>85</v>
      </c>
      <c r="D995" t="s">
        <v>1315</v>
      </c>
      <c r="E995" s="2">
        <v>58</v>
      </c>
      <c r="F995" s="3">
        <f>DATE(2025,5,13)</f>
        <v>45790</v>
      </c>
      <c r="G995" s="3">
        <f>DATE(2025,5,13)</f>
        <v>45790</v>
      </c>
      <c r="H995">
        <v>2153998330</v>
      </c>
      <c r="I995" t="s">
        <v>21</v>
      </c>
      <c r="K995" t="s">
        <v>22</v>
      </c>
      <c r="L995" t="s">
        <v>23</v>
      </c>
      <c r="M995" t="s">
        <v>24</v>
      </c>
      <c r="N995" t="s">
        <v>24</v>
      </c>
      <c r="O995" t="s">
        <v>25</v>
      </c>
      <c r="P995" s="8" t="s">
        <v>1316</v>
      </c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</row>
    <row r="996" spans="1:51" hidden="1" x14ac:dyDescent="0.2">
      <c r="A996" s="6" t="s">
        <v>17</v>
      </c>
      <c r="B996" t="s">
        <v>118</v>
      </c>
      <c r="C996" t="s">
        <v>119</v>
      </c>
      <c r="D996" t="s">
        <v>1317</v>
      </c>
      <c r="E996" s="2">
        <v>107.9</v>
      </c>
      <c r="F996" s="3">
        <f t="shared" ref="F996:G996" si="86">DATE(2025,5,12)</f>
        <v>45789</v>
      </c>
      <c r="G996" s="3">
        <f t="shared" si="86"/>
        <v>45789</v>
      </c>
      <c r="H996">
        <v>2153998331</v>
      </c>
      <c r="I996" t="s">
        <v>21</v>
      </c>
      <c r="K996" t="s">
        <v>22</v>
      </c>
      <c r="L996" t="s">
        <v>23</v>
      </c>
      <c r="M996" t="s">
        <v>24</v>
      </c>
      <c r="N996" t="s">
        <v>24</v>
      </c>
      <c r="O996" t="s">
        <v>25</v>
      </c>
      <c r="P996" s="8" t="s">
        <v>1318</v>
      </c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</row>
    <row r="997" spans="1:51" hidden="1" x14ac:dyDescent="0.2">
      <c r="A997" s="6"/>
      <c r="E997" s="2"/>
      <c r="F997" s="3"/>
      <c r="G997" s="3"/>
      <c r="P997" s="8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</row>
    <row r="998" spans="1:51" hidden="1" x14ac:dyDescent="0.2">
      <c r="A998" s="6"/>
      <c r="E998" s="2"/>
      <c r="F998" s="3"/>
      <c r="G998" s="3"/>
      <c r="P998" s="8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</row>
    <row r="999" spans="1:51" hidden="1" x14ac:dyDescent="0.2">
      <c r="A999" s="6" t="s">
        <v>17</v>
      </c>
      <c r="B999" t="s">
        <v>155</v>
      </c>
      <c r="C999" t="s">
        <v>156</v>
      </c>
      <c r="D999" t="s">
        <v>1319</v>
      </c>
      <c r="E999" s="2">
        <v>300</v>
      </c>
      <c r="F999" s="3">
        <f>DATE(2025,5,13)</f>
        <v>45790</v>
      </c>
      <c r="G999" s="3">
        <f>DATE(2025,5,13)</f>
        <v>45790</v>
      </c>
      <c r="H999">
        <v>2153998334</v>
      </c>
      <c r="I999" t="s">
        <v>21</v>
      </c>
      <c r="K999" t="s">
        <v>22</v>
      </c>
      <c r="L999" t="s">
        <v>23</v>
      </c>
      <c r="M999" t="s">
        <v>24</v>
      </c>
      <c r="N999" t="s">
        <v>24</v>
      </c>
      <c r="O999" t="s">
        <v>25</v>
      </c>
      <c r="P999" s="8" t="s">
        <v>1320</v>
      </c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</row>
    <row r="1000" spans="1:51" hidden="1" x14ac:dyDescent="0.2">
      <c r="A1000" s="6" t="s">
        <v>17</v>
      </c>
      <c r="B1000" t="s">
        <v>90</v>
      </c>
      <c r="C1000" t="s">
        <v>91</v>
      </c>
      <c r="D1000" t="s">
        <v>1321</v>
      </c>
      <c r="E1000" s="2">
        <v>1000</v>
      </c>
      <c r="F1000" s="3">
        <f>DATE(2025,5,12)</f>
        <v>45789</v>
      </c>
      <c r="G1000" s="3">
        <f>DATE(2025,5,12)</f>
        <v>45789</v>
      </c>
      <c r="H1000">
        <v>2153998335</v>
      </c>
      <c r="I1000" t="s">
        <v>21</v>
      </c>
      <c r="K1000" t="s">
        <v>22</v>
      </c>
      <c r="L1000" t="s">
        <v>23</v>
      </c>
      <c r="M1000" t="s">
        <v>24</v>
      </c>
      <c r="N1000" t="s">
        <v>24</v>
      </c>
      <c r="O1000" t="s">
        <v>25</v>
      </c>
      <c r="P1000" s="8" t="s">
        <v>1322</v>
      </c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</row>
    <row r="1001" spans="1:51" hidden="1" x14ac:dyDescent="0.2">
      <c r="A1001" s="6"/>
      <c r="E1001" s="2"/>
      <c r="F1001" s="3"/>
      <c r="G1001" s="3"/>
      <c r="P1001" s="8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</row>
    <row r="1002" spans="1:51" hidden="1" x14ac:dyDescent="0.2">
      <c r="A1002" s="6"/>
      <c r="E1002" s="2"/>
      <c r="F1002" s="3"/>
      <c r="G1002" s="3"/>
      <c r="P1002" s="8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</row>
    <row r="1003" spans="1:51" hidden="1" x14ac:dyDescent="0.2">
      <c r="A1003" s="6" t="s">
        <v>17</v>
      </c>
      <c r="B1003" t="s">
        <v>565</v>
      </c>
      <c r="C1003" t="s">
        <v>566</v>
      </c>
      <c r="D1003" t="s">
        <v>1323</v>
      </c>
      <c r="E1003" s="2">
        <v>1395.63</v>
      </c>
      <c r="F1003" s="3">
        <f t="shared" ref="F1003:G1006" si="87">DATE(2025,5,12)</f>
        <v>45789</v>
      </c>
      <c r="G1003" s="3">
        <f t="shared" si="87"/>
        <v>45789</v>
      </c>
      <c r="H1003">
        <v>2153998338</v>
      </c>
      <c r="I1003" t="s">
        <v>21</v>
      </c>
      <c r="K1003" t="s">
        <v>22</v>
      </c>
      <c r="L1003" t="s">
        <v>23</v>
      </c>
      <c r="M1003" t="s">
        <v>24</v>
      </c>
      <c r="N1003" t="s">
        <v>24</v>
      </c>
      <c r="O1003" t="s">
        <v>25</v>
      </c>
      <c r="P1003" s="8" t="s">
        <v>1324</v>
      </c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</row>
    <row r="1004" spans="1:51" hidden="1" x14ac:dyDescent="0.2">
      <c r="A1004" s="6" t="s">
        <v>17</v>
      </c>
      <c r="B1004" t="s">
        <v>46</v>
      </c>
      <c r="C1004" t="s">
        <v>47</v>
      </c>
      <c r="D1004" t="s">
        <v>1325</v>
      </c>
      <c r="E1004" s="2">
        <v>324</v>
      </c>
      <c r="F1004" s="3">
        <f t="shared" si="87"/>
        <v>45789</v>
      </c>
      <c r="G1004" s="3">
        <f t="shared" si="87"/>
        <v>45789</v>
      </c>
      <c r="H1004">
        <v>2153998339</v>
      </c>
      <c r="I1004" t="s">
        <v>21</v>
      </c>
      <c r="K1004" t="s">
        <v>22</v>
      </c>
      <c r="L1004" t="s">
        <v>23</v>
      </c>
      <c r="M1004" t="s">
        <v>24</v>
      </c>
      <c r="N1004" t="s">
        <v>24</v>
      </c>
      <c r="O1004" t="s">
        <v>25</v>
      </c>
      <c r="P1004" s="8" t="s">
        <v>1326</v>
      </c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</row>
    <row r="1005" spans="1:51" hidden="1" x14ac:dyDescent="0.2">
      <c r="A1005" s="6"/>
      <c r="E1005" s="2"/>
      <c r="F1005" s="3"/>
      <c r="G1005" s="3"/>
      <c r="P1005" s="8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</row>
    <row r="1006" spans="1:51" hidden="1" x14ac:dyDescent="0.2">
      <c r="A1006" s="6" t="s">
        <v>17</v>
      </c>
      <c r="B1006" t="s">
        <v>1002</v>
      </c>
      <c r="C1006" t="s">
        <v>1003</v>
      </c>
      <c r="D1006" t="s">
        <v>1327</v>
      </c>
      <c r="E1006" s="2">
        <v>1794.62</v>
      </c>
      <c r="F1006" s="3">
        <f t="shared" si="87"/>
        <v>45789</v>
      </c>
      <c r="G1006" s="3">
        <f t="shared" si="87"/>
        <v>45789</v>
      </c>
      <c r="H1006">
        <v>2153998341</v>
      </c>
      <c r="I1006" t="s">
        <v>21</v>
      </c>
      <c r="K1006" t="s">
        <v>22</v>
      </c>
      <c r="L1006" t="s">
        <v>23</v>
      </c>
      <c r="M1006" t="s">
        <v>24</v>
      </c>
      <c r="N1006" t="s">
        <v>24</v>
      </c>
      <c r="O1006" t="s">
        <v>25</v>
      </c>
      <c r="P1006" s="8" t="s">
        <v>1328</v>
      </c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</row>
    <row r="1007" spans="1:51" hidden="1" x14ac:dyDescent="0.2">
      <c r="A1007" s="6" t="s">
        <v>17</v>
      </c>
      <c r="B1007" t="s">
        <v>118</v>
      </c>
      <c r="C1007" t="s">
        <v>119</v>
      </c>
      <c r="D1007" t="s">
        <v>1329</v>
      </c>
      <c r="E1007" s="2">
        <v>30</v>
      </c>
      <c r="F1007" s="3">
        <f>DATE(2025,5,13)</f>
        <v>45790</v>
      </c>
      <c r="G1007" s="3">
        <f>DATE(2025,5,13)</f>
        <v>45790</v>
      </c>
      <c r="H1007">
        <v>2153998342</v>
      </c>
      <c r="I1007" t="s">
        <v>21</v>
      </c>
      <c r="K1007" t="s">
        <v>22</v>
      </c>
      <c r="L1007" t="s">
        <v>23</v>
      </c>
      <c r="M1007" t="s">
        <v>24</v>
      </c>
      <c r="N1007" t="s">
        <v>24</v>
      </c>
      <c r="O1007" t="s">
        <v>25</v>
      </c>
      <c r="P1007" s="8" t="s">
        <v>1330</v>
      </c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</row>
    <row r="1008" spans="1:51" hidden="1" x14ac:dyDescent="0.2">
      <c r="A1008" s="6"/>
      <c r="E1008" s="2"/>
      <c r="F1008" s="3"/>
      <c r="G1008" s="3"/>
      <c r="P1008" s="8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  <c r="AX1008" s="11"/>
      <c r="AY1008" s="11"/>
    </row>
    <row r="1009" spans="1:51" hidden="1" x14ac:dyDescent="0.2">
      <c r="A1009" s="6"/>
      <c r="E1009" s="2"/>
      <c r="F1009" s="3"/>
      <c r="G1009" s="3"/>
      <c r="P1009" s="8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  <c r="AX1009" s="11"/>
      <c r="AY1009" s="11"/>
    </row>
    <row r="1010" spans="1:51" hidden="1" x14ac:dyDescent="0.2">
      <c r="A1010" s="6"/>
      <c r="E1010" s="2"/>
      <c r="F1010" s="3"/>
      <c r="G1010" s="3"/>
      <c r="P1010" s="8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1"/>
      <c r="AY1010" s="11"/>
    </row>
    <row r="1011" spans="1:51" hidden="1" x14ac:dyDescent="0.2">
      <c r="A1011" s="6" t="s">
        <v>17</v>
      </c>
      <c r="B1011" t="s">
        <v>18</v>
      </c>
      <c r="C1011" t="s">
        <v>19</v>
      </c>
      <c r="D1011" t="s">
        <v>1331</v>
      </c>
      <c r="E1011" s="2">
        <v>216</v>
      </c>
      <c r="F1011" s="3">
        <f t="shared" ref="F1011:G1011" si="88">DATE(2025,5,12)</f>
        <v>45789</v>
      </c>
      <c r="G1011" s="3">
        <f t="shared" si="88"/>
        <v>45789</v>
      </c>
      <c r="H1011">
        <v>2154044473</v>
      </c>
      <c r="I1011" t="s">
        <v>192</v>
      </c>
      <c r="K1011" t="s">
        <v>22</v>
      </c>
      <c r="L1011" t="s">
        <v>23</v>
      </c>
      <c r="M1011" t="s">
        <v>24</v>
      </c>
      <c r="N1011" t="s">
        <v>24</v>
      </c>
      <c r="O1011" t="s">
        <v>25</v>
      </c>
      <c r="P1011" s="8" t="s">
        <v>1332</v>
      </c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  <c r="AX1011" s="11"/>
      <c r="AY1011" s="11"/>
    </row>
    <row r="1012" spans="1:51" hidden="1" x14ac:dyDescent="0.2">
      <c r="A1012" s="6"/>
      <c r="E1012" s="2"/>
      <c r="F1012" s="3"/>
      <c r="G1012" s="3"/>
      <c r="P1012" s="8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  <c r="AW1012" s="11"/>
      <c r="AX1012" s="11"/>
      <c r="AY1012" s="11"/>
    </row>
    <row r="1013" spans="1:51" hidden="1" x14ac:dyDescent="0.2">
      <c r="A1013" s="6"/>
      <c r="E1013" s="2"/>
      <c r="F1013" s="3"/>
      <c r="G1013" s="3"/>
      <c r="P1013" s="8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  <c r="AX1013" s="11"/>
      <c r="AY1013" s="11"/>
    </row>
    <row r="1014" spans="1:51" hidden="1" x14ac:dyDescent="0.2">
      <c r="A1014" s="6" t="s">
        <v>17</v>
      </c>
      <c r="B1014" t="s">
        <v>118</v>
      </c>
      <c r="C1014" t="s">
        <v>119</v>
      </c>
      <c r="D1014" t="s">
        <v>1333</v>
      </c>
      <c r="E1014" s="2">
        <v>67.2</v>
      </c>
      <c r="F1014" s="3">
        <f t="shared" ref="F1014:G1018" si="89">DATE(2025,5,13)</f>
        <v>45790</v>
      </c>
      <c r="G1014" s="3">
        <f t="shared" si="89"/>
        <v>45790</v>
      </c>
      <c r="H1014">
        <v>2161632990</v>
      </c>
      <c r="I1014" t="s">
        <v>158</v>
      </c>
      <c r="K1014" t="s">
        <v>22</v>
      </c>
      <c r="L1014" t="s">
        <v>23</v>
      </c>
      <c r="M1014" t="s">
        <v>24</v>
      </c>
      <c r="N1014" t="s">
        <v>24</v>
      </c>
      <c r="O1014" t="s">
        <v>25</v>
      </c>
      <c r="P1014" s="8" t="s">
        <v>1334</v>
      </c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  <c r="AW1014" s="11"/>
      <c r="AX1014" s="11"/>
      <c r="AY1014" s="11"/>
    </row>
    <row r="1015" spans="1:51" hidden="1" x14ac:dyDescent="0.2">
      <c r="A1015" s="6" t="s">
        <v>17</v>
      </c>
      <c r="B1015" t="s">
        <v>42</v>
      </c>
      <c r="C1015" t="s">
        <v>43</v>
      </c>
      <c r="D1015" t="s">
        <v>1335</v>
      </c>
      <c r="E1015" s="2">
        <v>40</v>
      </c>
      <c r="F1015" s="3">
        <f t="shared" si="89"/>
        <v>45790</v>
      </c>
      <c r="G1015" s="3">
        <f t="shared" si="89"/>
        <v>45790</v>
      </c>
      <c r="H1015">
        <v>2161632991</v>
      </c>
      <c r="I1015" t="s">
        <v>158</v>
      </c>
      <c r="K1015" t="s">
        <v>22</v>
      </c>
      <c r="L1015" t="s">
        <v>23</v>
      </c>
      <c r="M1015" t="s">
        <v>24</v>
      </c>
      <c r="N1015" t="s">
        <v>24</v>
      </c>
      <c r="O1015" t="s">
        <v>25</v>
      </c>
      <c r="P1015" s="8" t="s">
        <v>1336</v>
      </c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  <c r="AX1015" s="11"/>
      <c r="AY1015" s="11"/>
    </row>
    <row r="1016" spans="1:51" hidden="1" x14ac:dyDescent="0.2">
      <c r="A1016" s="6" t="s">
        <v>17</v>
      </c>
      <c r="B1016" t="s">
        <v>173</v>
      </c>
      <c r="C1016" t="s">
        <v>154</v>
      </c>
      <c r="D1016" t="s">
        <v>1337</v>
      </c>
      <c r="E1016" s="2">
        <v>15.77</v>
      </c>
      <c r="F1016" s="3">
        <f t="shared" si="89"/>
        <v>45790</v>
      </c>
      <c r="G1016" s="3">
        <f t="shared" si="89"/>
        <v>45790</v>
      </c>
      <c r="H1016">
        <v>2161632992</v>
      </c>
      <c r="I1016" t="s">
        <v>158</v>
      </c>
      <c r="K1016" t="s">
        <v>22</v>
      </c>
      <c r="L1016" t="s">
        <v>23</v>
      </c>
      <c r="M1016" t="s">
        <v>24</v>
      </c>
      <c r="N1016" t="s">
        <v>24</v>
      </c>
      <c r="O1016" t="s">
        <v>25</v>
      </c>
      <c r="P1016" s="8" t="s">
        <v>1338</v>
      </c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  <c r="AW1016" s="11"/>
      <c r="AX1016" s="11"/>
      <c r="AY1016" s="11"/>
    </row>
    <row r="1017" spans="1:51" hidden="1" x14ac:dyDescent="0.2">
      <c r="A1017" s="6" t="s">
        <v>17</v>
      </c>
      <c r="B1017" t="s">
        <v>118</v>
      </c>
      <c r="C1017" t="s">
        <v>119</v>
      </c>
      <c r="D1017" t="s">
        <v>1339</v>
      </c>
      <c r="E1017" s="2">
        <v>53.76</v>
      </c>
      <c r="F1017" s="3">
        <f t="shared" si="89"/>
        <v>45790</v>
      </c>
      <c r="G1017" s="3">
        <f t="shared" si="89"/>
        <v>45790</v>
      </c>
      <c r="H1017">
        <v>2161632993</v>
      </c>
      <c r="I1017" t="s">
        <v>158</v>
      </c>
      <c r="K1017" t="s">
        <v>22</v>
      </c>
      <c r="L1017" t="s">
        <v>23</v>
      </c>
      <c r="M1017" t="s">
        <v>24</v>
      </c>
      <c r="N1017" t="s">
        <v>24</v>
      </c>
      <c r="O1017" t="s">
        <v>25</v>
      </c>
      <c r="P1017" s="8" t="s">
        <v>1340</v>
      </c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  <c r="AX1017" s="11"/>
      <c r="AY1017" s="11"/>
    </row>
    <row r="1018" spans="1:51" hidden="1" x14ac:dyDescent="0.2">
      <c r="A1018" s="6" t="s">
        <v>17</v>
      </c>
      <c r="B1018" t="s">
        <v>118</v>
      </c>
      <c r="C1018" t="s">
        <v>119</v>
      </c>
      <c r="D1018" t="s">
        <v>1341</v>
      </c>
      <c r="E1018" s="2">
        <v>20.82</v>
      </c>
      <c r="F1018" s="3">
        <f t="shared" si="89"/>
        <v>45790</v>
      </c>
      <c r="G1018" s="3">
        <f t="shared" si="89"/>
        <v>45790</v>
      </c>
      <c r="H1018">
        <v>2161632994</v>
      </c>
      <c r="I1018" t="s">
        <v>158</v>
      </c>
      <c r="K1018" t="s">
        <v>22</v>
      </c>
      <c r="L1018" t="s">
        <v>23</v>
      </c>
      <c r="M1018" t="s">
        <v>24</v>
      </c>
      <c r="N1018" t="s">
        <v>24</v>
      </c>
      <c r="O1018" t="s">
        <v>25</v>
      </c>
      <c r="P1018" s="8" t="s">
        <v>1342</v>
      </c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  <c r="AX1018" s="11"/>
      <c r="AY1018" s="11"/>
    </row>
    <row r="1019" spans="1:51" hidden="1" x14ac:dyDescent="0.2">
      <c r="A1019" s="6" t="s">
        <v>17</v>
      </c>
      <c r="B1019" t="s">
        <v>106</v>
      </c>
      <c r="C1019" t="s">
        <v>107</v>
      </c>
      <c r="D1019" t="s">
        <v>1343</v>
      </c>
      <c r="E1019" s="2">
        <v>516.38</v>
      </c>
      <c r="F1019" s="3">
        <f>DATE(2025,5,14)</f>
        <v>45791</v>
      </c>
      <c r="G1019" s="3">
        <f>DATE(2025,5,14)</f>
        <v>45791</v>
      </c>
      <c r="H1019">
        <v>2161632995</v>
      </c>
      <c r="I1019" t="s">
        <v>21</v>
      </c>
      <c r="K1019" t="s">
        <v>22</v>
      </c>
      <c r="L1019" t="s">
        <v>23</v>
      </c>
      <c r="M1019" t="s">
        <v>24</v>
      </c>
      <c r="N1019" t="s">
        <v>24</v>
      </c>
      <c r="O1019" t="s">
        <v>25</v>
      </c>
      <c r="P1019" s="8" t="s">
        <v>1344</v>
      </c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1"/>
      <c r="AY1019" s="11"/>
    </row>
    <row r="1020" spans="1:51" hidden="1" x14ac:dyDescent="0.2">
      <c r="A1020" s="6"/>
      <c r="E1020" s="2"/>
      <c r="F1020" s="3"/>
      <c r="G1020" s="3"/>
      <c r="P1020" s="8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  <c r="AW1020" s="11"/>
      <c r="AX1020" s="11"/>
      <c r="AY1020" s="11"/>
    </row>
    <row r="1021" spans="1:51" hidden="1" x14ac:dyDescent="0.2">
      <c r="A1021" s="6"/>
      <c r="E1021" s="2"/>
      <c r="F1021" s="3"/>
      <c r="G1021" s="3"/>
      <c r="P1021" s="8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  <c r="AW1021" s="11"/>
      <c r="AX1021" s="11"/>
      <c r="AY1021" s="11"/>
    </row>
    <row r="1022" spans="1:51" hidden="1" x14ac:dyDescent="0.2">
      <c r="A1022" s="6" t="s">
        <v>17</v>
      </c>
      <c r="B1022" t="s">
        <v>106</v>
      </c>
      <c r="C1022" t="s">
        <v>107</v>
      </c>
      <c r="D1022" t="s">
        <v>1345</v>
      </c>
      <c r="E1022" s="2">
        <v>347.43</v>
      </c>
      <c r="F1022" s="3">
        <f t="shared" ref="F1022:G1029" si="90">DATE(2025,5,14)</f>
        <v>45791</v>
      </c>
      <c r="G1022" s="3">
        <f t="shared" si="90"/>
        <v>45791</v>
      </c>
      <c r="H1022">
        <v>2161632998</v>
      </c>
      <c r="I1022" t="s">
        <v>21</v>
      </c>
      <c r="K1022" t="s">
        <v>22</v>
      </c>
      <c r="L1022" t="s">
        <v>23</v>
      </c>
      <c r="M1022" t="s">
        <v>24</v>
      </c>
      <c r="N1022" t="s">
        <v>24</v>
      </c>
      <c r="O1022" t="s">
        <v>25</v>
      </c>
      <c r="P1022" s="8" t="s">
        <v>1346</v>
      </c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1"/>
      <c r="AY1022" s="11"/>
    </row>
    <row r="1023" spans="1:51" hidden="1" x14ac:dyDescent="0.2">
      <c r="A1023" s="6" t="s">
        <v>17</v>
      </c>
      <c r="B1023" t="s">
        <v>35</v>
      </c>
      <c r="C1023" t="s">
        <v>35</v>
      </c>
      <c r="D1023" t="s">
        <v>1347</v>
      </c>
      <c r="E1023" s="2">
        <v>3.45</v>
      </c>
      <c r="F1023" s="3">
        <f t="shared" si="90"/>
        <v>45791</v>
      </c>
      <c r="G1023" s="3">
        <f t="shared" si="90"/>
        <v>45791</v>
      </c>
      <c r="H1023">
        <v>2161632999</v>
      </c>
      <c r="I1023" t="s">
        <v>21</v>
      </c>
      <c r="K1023" t="s">
        <v>22</v>
      </c>
      <c r="L1023" t="s">
        <v>23</v>
      </c>
      <c r="M1023" t="s">
        <v>24</v>
      </c>
      <c r="N1023" t="s">
        <v>24</v>
      </c>
      <c r="O1023" t="s">
        <v>25</v>
      </c>
      <c r="P1023" s="8" t="s">
        <v>1348</v>
      </c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  <c r="AX1023" s="11"/>
      <c r="AY1023" s="11"/>
    </row>
    <row r="1024" spans="1:51" hidden="1" x14ac:dyDescent="0.2">
      <c r="A1024" s="6"/>
      <c r="E1024" s="2"/>
      <c r="F1024" s="3"/>
      <c r="G1024" s="3"/>
      <c r="P1024" s="8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  <c r="AW1024" s="11"/>
      <c r="AX1024" s="11"/>
      <c r="AY1024" s="11"/>
    </row>
    <row r="1025" spans="1:51" hidden="1" x14ac:dyDescent="0.2">
      <c r="A1025" s="6"/>
      <c r="E1025" s="2"/>
      <c r="F1025" s="3"/>
      <c r="G1025" s="3"/>
      <c r="P1025" s="8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1"/>
      <c r="AY1025" s="11"/>
    </row>
    <row r="1026" spans="1:51" hidden="1" x14ac:dyDescent="0.2">
      <c r="A1026" s="6" t="s">
        <v>17</v>
      </c>
      <c r="B1026" t="s">
        <v>118</v>
      </c>
      <c r="C1026" t="s">
        <v>119</v>
      </c>
      <c r="D1026" t="s">
        <v>1349</v>
      </c>
      <c r="E1026" s="2">
        <v>239.99</v>
      </c>
      <c r="F1026" s="3">
        <f t="shared" si="90"/>
        <v>45791</v>
      </c>
      <c r="G1026" s="3">
        <f t="shared" si="90"/>
        <v>45791</v>
      </c>
      <c r="H1026">
        <v>2161672320</v>
      </c>
      <c r="I1026" t="s">
        <v>192</v>
      </c>
      <c r="K1026" t="s">
        <v>22</v>
      </c>
      <c r="L1026" t="s">
        <v>23</v>
      </c>
      <c r="M1026" t="s">
        <v>24</v>
      </c>
      <c r="N1026" t="s">
        <v>24</v>
      </c>
      <c r="O1026" t="s">
        <v>25</v>
      </c>
      <c r="P1026" s="8" t="s">
        <v>1350</v>
      </c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  <c r="AW1026" s="11"/>
      <c r="AX1026" s="11"/>
      <c r="AY1026" s="11"/>
    </row>
    <row r="1027" spans="1:51" hidden="1" x14ac:dyDescent="0.2">
      <c r="A1027" s="6"/>
      <c r="E1027" s="2"/>
      <c r="F1027" s="3"/>
      <c r="G1027" s="3"/>
      <c r="P1027" s="8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  <c r="AW1027" s="11"/>
      <c r="AX1027" s="11"/>
      <c r="AY1027" s="11"/>
    </row>
    <row r="1028" spans="1:51" hidden="1" x14ac:dyDescent="0.2">
      <c r="A1028" s="6" t="s">
        <v>17</v>
      </c>
      <c r="B1028" t="s">
        <v>35</v>
      </c>
      <c r="C1028" t="s">
        <v>35</v>
      </c>
      <c r="D1028" t="s">
        <v>1351</v>
      </c>
      <c r="E1028" s="2">
        <v>30.98</v>
      </c>
      <c r="F1028" s="3">
        <f t="shared" si="90"/>
        <v>45791</v>
      </c>
      <c r="G1028" s="3">
        <f t="shared" si="90"/>
        <v>45791</v>
      </c>
      <c r="H1028">
        <v>2161672322</v>
      </c>
      <c r="I1028" t="s">
        <v>192</v>
      </c>
      <c r="K1028" t="s">
        <v>22</v>
      </c>
      <c r="L1028" t="s">
        <v>23</v>
      </c>
      <c r="M1028" t="s">
        <v>24</v>
      </c>
      <c r="N1028" t="s">
        <v>24</v>
      </c>
      <c r="O1028" t="s">
        <v>25</v>
      </c>
      <c r="P1028" s="8" t="s">
        <v>1352</v>
      </c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1"/>
      <c r="AY1028" s="11"/>
    </row>
    <row r="1029" spans="1:51" hidden="1" x14ac:dyDescent="0.2">
      <c r="A1029" s="6" t="s">
        <v>17</v>
      </c>
      <c r="B1029" t="s">
        <v>118</v>
      </c>
      <c r="C1029" t="s">
        <v>119</v>
      </c>
      <c r="D1029" t="s">
        <v>1353</v>
      </c>
      <c r="E1029" s="2">
        <v>982.68</v>
      </c>
      <c r="F1029" s="3">
        <f t="shared" si="90"/>
        <v>45791</v>
      </c>
      <c r="G1029" s="3">
        <f t="shared" si="90"/>
        <v>45791</v>
      </c>
      <c r="H1029">
        <v>2167432948</v>
      </c>
      <c r="I1029" t="s">
        <v>158</v>
      </c>
      <c r="K1029" t="s">
        <v>22</v>
      </c>
      <c r="L1029" t="s">
        <v>23</v>
      </c>
      <c r="M1029" t="s">
        <v>24</v>
      </c>
      <c r="N1029" t="s">
        <v>24</v>
      </c>
      <c r="O1029" t="s">
        <v>25</v>
      </c>
      <c r="P1029" s="8" t="s">
        <v>1354</v>
      </c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  <c r="AX1029" s="11"/>
      <c r="AY1029" s="11"/>
    </row>
    <row r="1030" spans="1:51" hidden="1" x14ac:dyDescent="0.2">
      <c r="A1030" s="6" t="s">
        <v>17</v>
      </c>
      <c r="B1030" t="s">
        <v>173</v>
      </c>
      <c r="C1030" t="s">
        <v>154</v>
      </c>
      <c r="D1030" t="s">
        <v>1355</v>
      </c>
      <c r="E1030" s="2">
        <v>1.7</v>
      </c>
      <c r="F1030" s="3">
        <f>DATE(2025,5,13)</f>
        <v>45790</v>
      </c>
      <c r="G1030" s="3">
        <f>DATE(2025,5,13)</f>
        <v>45790</v>
      </c>
      <c r="H1030">
        <v>2167432949</v>
      </c>
      <c r="I1030" t="s">
        <v>158</v>
      </c>
      <c r="K1030" t="s">
        <v>22</v>
      </c>
      <c r="L1030" t="s">
        <v>23</v>
      </c>
      <c r="M1030" t="s">
        <v>24</v>
      </c>
      <c r="N1030" t="s">
        <v>24</v>
      </c>
      <c r="O1030" t="s">
        <v>25</v>
      </c>
      <c r="P1030" s="8" t="s">
        <v>1356</v>
      </c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  <c r="AW1030" s="11"/>
      <c r="AX1030" s="11"/>
      <c r="AY1030" s="11"/>
    </row>
    <row r="1031" spans="1:51" hidden="1" x14ac:dyDescent="0.2">
      <c r="A1031" s="6" t="s">
        <v>17</v>
      </c>
      <c r="B1031" t="s">
        <v>244</v>
      </c>
      <c r="C1031" t="s">
        <v>245</v>
      </c>
      <c r="D1031" t="s">
        <v>1357</v>
      </c>
      <c r="E1031" s="2">
        <v>960</v>
      </c>
      <c r="F1031" s="3">
        <f t="shared" ref="F1031:G1033" si="91">DATE(2025,5,15)</f>
        <v>45792</v>
      </c>
      <c r="G1031" s="3">
        <f t="shared" si="91"/>
        <v>45792</v>
      </c>
      <c r="H1031">
        <v>2167432950</v>
      </c>
      <c r="I1031" t="s">
        <v>21</v>
      </c>
      <c r="K1031" t="s">
        <v>22</v>
      </c>
      <c r="L1031" t="s">
        <v>23</v>
      </c>
      <c r="M1031" t="s">
        <v>24</v>
      </c>
      <c r="N1031" t="s">
        <v>24</v>
      </c>
      <c r="O1031" t="s">
        <v>25</v>
      </c>
      <c r="P1031" s="8" t="s">
        <v>1358</v>
      </c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1"/>
      <c r="AY1031" s="11"/>
    </row>
    <row r="1032" spans="1:51" hidden="1" x14ac:dyDescent="0.2">
      <c r="A1032" s="6" t="s">
        <v>17</v>
      </c>
      <c r="B1032" t="s">
        <v>54</v>
      </c>
      <c r="C1032" t="s">
        <v>55</v>
      </c>
      <c r="D1032" t="s">
        <v>1359</v>
      </c>
      <c r="E1032" s="2">
        <v>384</v>
      </c>
      <c r="F1032" s="3">
        <f t="shared" si="91"/>
        <v>45792</v>
      </c>
      <c r="G1032" s="3">
        <f t="shared" si="91"/>
        <v>45792</v>
      </c>
      <c r="H1032">
        <v>2167432951</v>
      </c>
      <c r="I1032" t="s">
        <v>21</v>
      </c>
      <c r="K1032" t="s">
        <v>22</v>
      </c>
      <c r="L1032" t="s">
        <v>23</v>
      </c>
      <c r="M1032" t="s">
        <v>24</v>
      </c>
      <c r="N1032" t="s">
        <v>24</v>
      </c>
      <c r="O1032" t="s">
        <v>25</v>
      </c>
      <c r="P1032" s="8" t="s">
        <v>1360</v>
      </c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11"/>
      <c r="AW1032" s="11"/>
      <c r="AX1032" s="11"/>
      <c r="AY1032" s="11"/>
    </row>
    <row r="1033" spans="1:51" hidden="1" x14ac:dyDescent="0.2">
      <c r="A1033" s="6" t="s">
        <v>17</v>
      </c>
      <c r="B1033" t="s">
        <v>878</v>
      </c>
      <c r="C1033" t="s">
        <v>879</v>
      </c>
      <c r="D1033" t="s">
        <v>1361</v>
      </c>
      <c r="E1033" s="2">
        <v>1153.5</v>
      </c>
      <c r="F1033" s="3">
        <f t="shared" si="91"/>
        <v>45792</v>
      </c>
      <c r="G1033" s="3">
        <f t="shared" si="91"/>
        <v>45792</v>
      </c>
      <c r="H1033">
        <v>2167432952</v>
      </c>
      <c r="I1033" t="s">
        <v>21</v>
      </c>
      <c r="K1033" t="s">
        <v>22</v>
      </c>
      <c r="L1033" t="s">
        <v>23</v>
      </c>
      <c r="M1033" t="s">
        <v>24</v>
      </c>
      <c r="N1033" t="s">
        <v>24</v>
      </c>
      <c r="O1033" t="s">
        <v>25</v>
      </c>
      <c r="P1033" s="8" t="s">
        <v>1362</v>
      </c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  <c r="AW1033" s="11"/>
      <c r="AX1033" s="11"/>
      <c r="AY1033" s="11"/>
    </row>
    <row r="1034" spans="1:51" hidden="1" x14ac:dyDescent="0.2">
      <c r="A1034" s="6"/>
      <c r="E1034" s="2"/>
      <c r="F1034" s="3"/>
      <c r="G1034" s="3"/>
      <c r="P1034" s="8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  <c r="AX1034" s="11"/>
      <c r="AY1034" s="11"/>
    </row>
    <row r="1035" spans="1:51" hidden="1" x14ac:dyDescent="0.2">
      <c r="A1035" s="6" t="s">
        <v>17</v>
      </c>
      <c r="B1035" t="s">
        <v>118</v>
      </c>
      <c r="C1035" t="s">
        <v>119</v>
      </c>
      <c r="D1035" t="s">
        <v>1363</v>
      </c>
      <c r="E1035" s="2">
        <v>79.13</v>
      </c>
      <c r="F1035" s="3">
        <f t="shared" ref="F1035:G1051" si="92">DATE(2025,5,15)</f>
        <v>45792</v>
      </c>
      <c r="G1035" s="3">
        <f t="shared" si="92"/>
        <v>45792</v>
      </c>
      <c r="H1035">
        <v>2167432954</v>
      </c>
      <c r="I1035" t="s">
        <v>21</v>
      </c>
      <c r="K1035" t="s">
        <v>22</v>
      </c>
      <c r="L1035" t="s">
        <v>23</v>
      </c>
      <c r="M1035" t="s">
        <v>24</v>
      </c>
      <c r="N1035" t="s">
        <v>24</v>
      </c>
      <c r="O1035" t="s">
        <v>25</v>
      </c>
      <c r="P1035" s="8" t="s">
        <v>1364</v>
      </c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  <c r="AX1035" s="11"/>
      <c r="AY1035" s="11"/>
    </row>
    <row r="1036" spans="1:51" hidden="1" x14ac:dyDescent="0.2">
      <c r="A1036" s="6" t="s">
        <v>17</v>
      </c>
      <c r="B1036" t="s">
        <v>31</v>
      </c>
      <c r="C1036" t="s">
        <v>32</v>
      </c>
      <c r="D1036" t="s">
        <v>1365</v>
      </c>
      <c r="E1036" s="2">
        <v>133.13</v>
      </c>
      <c r="F1036" s="3">
        <f t="shared" si="92"/>
        <v>45792</v>
      </c>
      <c r="G1036" s="3">
        <f t="shared" si="92"/>
        <v>45792</v>
      </c>
      <c r="H1036">
        <v>2167432955</v>
      </c>
      <c r="I1036" t="s">
        <v>21</v>
      </c>
      <c r="K1036" t="s">
        <v>22</v>
      </c>
      <c r="L1036" t="s">
        <v>23</v>
      </c>
      <c r="M1036" t="s">
        <v>24</v>
      </c>
      <c r="N1036" t="s">
        <v>24</v>
      </c>
      <c r="O1036" t="s">
        <v>25</v>
      </c>
      <c r="P1036" s="8" t="s">
        <v>1366</v>
      </c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  <c r="AW1036" s="11"/>
      <c r="AX1036" s="11"/>
      <c r="AY1036" s="11"/>
    </row>
    <row r="1037" spans="1:51" hidden="1" x14ac:dyDescent="0.2">
      <c r="A1037" s="6" t="s">
        <v>17</v>
      </c>
      <c r="B1037" t="s">
        <v>46</v>
      </c>
      <c r="C1037" t="s">
        <v>47</v>
      </c>
      <c r="D1037" t="s">
        <v>1367</v>
      </c>
      <c r="E1037" s="2">
        <v>398.4</v>
      </c>
      <c r="F1037" s="3">
        <f t="shared" si="92"/>
        <v>45792</v>
      </c>
      <c r="G1037" s="3">
        <f t="shared" si="92"/>
        <v>45792</v>
      </c>
      <c r="H1037">
        <v>2167432956</v>
      </c>
      <c r="I1037" t="s">
        <v>21</v>
      </c>
      <c r="K1037" t="s">
        <v>22</v>
      </c>
      <c r="L1037" t="s">
        <v>23</v>
      </c>
      <c r="M1037" t="s">
        <v>24</v>
      </c>
      <c r="N1037" t="s">
        <v>24</v>
      </c>
      <c r="O1037" t="s">
        <v>25</v>
      </c>
      <c r="P1037" s="8" t="s">
        <v>1368</v>
      </c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/>
      <c r="AX1037" s="11"/>
      <c r="AY1037" s="11"/>
    </row>
    <row r="1038" spans="1:51" hidden="1" x14ac:dyDescent="0.2">
      <c r="A1038" s="6"/>
      <c r="E1038" s="2"/>
      <c r="F1038" s="3"/>
      <c r="G1038" s="3"/>
      <c r="P1038" s="8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  <c r="AX1038" s="11"/>
      <c r="AY1038" s="11"/>
    </row>
    <row r="1039" spans="1:51" hidden="1" x14ac:dyDescent="0.2">
      <c r="A1039" s="6" t="s">
        <v>17</v>
      </c>
      <c r="B1039" t="s">
        <v>825</v>
      </c>
      <c r="C1039" t="s">
        <v>826</v>
      </c>
      <c r="D1039" t="s">
        <v>1369</v>
      </c>
      <c r="E1039" s="2">
        <v>803.59</v>
      </c>
      <c r="F1039" s="3">
        <f t="shared" si="92"/>
        <v>45792</v>
      </c>
      <c r="G1039" s="3">
        <f t="shared" si="92"/>
        <v>45792</v>
      </c>
      <c r="H1039">
        <v>2167432958</v>
      </c>
      <c r="I1039" t="s">
        <v>21</v>
      </c>
      <c r="K1039" t="s">
        <v>22</v>
      </c>
      <c r="L1039" t="s">
        <v>23</v>
      </c>
      <c r="M1039" t="s">
        <v>24</v>
      </c>
      <c r="N1039" t="s">
        <v>24</v>
      </c>
      <c r="O1039" t="s">
        <v>25</v>
      </c>
      <c r="P1039" s="8" t="s">
        <v>1370</v>
      </c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  <c r="AW1039" s="11"/>
      <c r="AX1039" s="11"/>
      <c r="AY1039" s="11"/>
    </row>
    <row r="1040" spans="1:51" hidden="1" x14ac:dyDescent="0.2">
      <c r="A1040" s="6" t="s">
        <v>17</v>
      </c>
      <c r="B1040" t="s">
        <v>244</v>
      </c>
      <c r="C1040" t="s">
        <v>245</v>
      </c>
      <c r="D1040" t="s">
        <v>1371</v>
      </c>
      <c r="E1040" s="2">
        <v>678</v>
      </c>
      <c r="F1040" s="3">
        <f t="shared" si="92"/>
        <v>45792</v>
      </c>
      <c r="G1040" s="3">
        <f t="shared" si="92"/>
        <v>45792</v>
      </c>
      <c r="H1040">
        <v>2167432959</v>
      </c>
      <c r="I1040" t="s">
        <v>21</v>
      </c>
      <c r="K1040" t="s">
        <v>22</v>
      </c>
      <c r="L1040" t="s">
        <v>23</v>
      </c>
      <c r="M1040" t="s">
        <v>24</v>
      </c>
      <c r="N1040" t="s">
        <v>24</v>
      </c>
      <c r="O1040" t="s">
        <v>25</v>
      </c>
      <c r="P1040" s="8" t="s">
        <v>1372</v>
      </c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  <c r="AW1040" s="11"/>
      <c r="AX1040" s="11"/>
      <c r="AY1040" s="11"/>
    </row>
    <row r="1041" spans="1:51" hidden="1" x14ac:dyDescent="0.2">
      <c r="A1041" s="6" t="s">
        <v>17</v>
      </c>
      <c r="B1041" t="s">
        <v>18</v>
      </c>
      <c r="C1041" t="s">
        <v>19</v>
      </c>
      <c r="D1041" t="s">
        <v>1373</v>
      </c>
      <c r="E1041" s="2">
        <v>681.6</v>
      </c>
      <c r="F1041" s="3">
        <f t="shared" si="92"/>
        <v>45792</v>
      </c>
      <c r="G1041" s="3">
        <f t="shared" si="92"/>
        <v>45792</v>
      </c>
      <c r="H1041">
        <v>2167432960</v>
      </c>
      <c r="I1041" t="s">
        <v>21</v>
      </c>
      <c r="K1041" t="s">
        <v>22</v>
      </c>
      <c r="L1041" t="s">
        <v>23</v>
      </c>
      <c r="M1041" t="s">
        <v>24</v>
      </c>
      <c r="N1041" t="s">
        <v>24</v>
      </c>
      <c r="O1041" t="s">
        <v>25</v>
      </c>
      <c r="P1041" s="8" t="s">
        <v>1374</v>
      </c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1"/>
      <c r="AY1041" s="11"/>
    </row>
    <row r="1042" spans="1:51" hidden="1" x14ac:dyDescent="0.2">
      <c r="A1042" s="6" t="s">
        <v>17</v>
      </c>
      <c r="B1042" t="s">
        <v>18</v>
      </c>
      <c r="C1042" t="s">
        <v>19</v>
      </c>
      <c r="D1042" t="s">
        <v>1375</v>
      </c>
      <c r="E1042" s="2">
        <v>289.44</v>
      </c>
      <c r="F1042" s="3">
        <f t="shared" si="92"/>
        <v>45792</v>
      </c>
      <c r="G1042" s="3">
        <f t="shared" si="92"/>
        <v>45792</v>
      </c>
      <c r="H1042">
        <v>2167432961</v>
      </c>
      <c r="I1042" t="s">
        <v>21</v>
      </c>
      <c r="K1042" t="s">
        <v>22</v>
      </c>
      <c r="L1042" t="s">
        <v>23</v>
      </c>
      <c r="M1042" t="s">
        <v>24</v>
      </c>
      <c r="N1042" t="s">
        <v>24</v>
      </c>
      <c r="O1042" t="s">
        <v>25</v>
      </c>
      <c r="P1042" s="8" t="s">
        <v>1376</v>
      </c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  <c r="AX1042" s="11"/>
      <c r="AY1042" s="11"/>
    </row>
    <row r="1043" spans="1:51" hidden="1" x14ac:dyDescent="0.2">
      <c r="A1043" s="6" t="s">
        <v>17</v>
      </c>
      <c r="B1043" t="s">
        <v>1002</v>
      </c>
      <c r="C1043" t="s">
        <v>1003</v>
      </c>
      <c r="D1043" t="s">
        <v>1377</v>
      </c>
      <c r="E1043" s="2">
        <v>336.33</v>
      </c>
      <c r="F1043" s="3">
        <f t="shared" si="92"/>
        <v>45792</v>
      </c>
      <c r="G1043" s="3">
        <f t="shared" si="92"/>
        <v>45792</v>
      </c>
      <c r="H1043">
        <v>2167432962</v>
      </c>
      <c r="I1043" t="s">
        <v>21</v>
      </c>
      <c r="K1043" t="s">
        <v>22</v>
      </c>
      <c r="L1043" t="s">
        <v>23</v>
      </c>
      <c r="M1043" t="s">
        <v>24</v>
      </c>
      <c r="N1043" t="s">
        <v>24</v>
      </c>
      <c r="O1043" t="s">
        <v>25</v>
      </c>
      <c r="P1043" s="8" t="s">
        <v>1378</v>
      </c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  <c r="AX1043" s="11"/>
      <c r="AY1043" s="11"/>
    </row>
    <row r="1044" spans="1:51" hidden="1" x14ac:dyDescent="0.2">
      <c r="A1044" s="6"/>
      <c r="E1044" s="2"/>
      <c r="F1044" s="3"/>
      <c r="G1044" s="3"/>
      <c r="P1044" s="8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11"/>
      <c r="AW1044" s="11"/>
      <c r="AX1044" s="11"/>
      <c r="AY1044" s="11"/>
    </row>
    <row r="1045" spans="1:51" hidden="1" x14ac:dyDescent="0.2">
      <c r="A1045" s="6" t="s">
        <v>17</v>
      </c>
      <c r="B1045" t="s">
        <v>118</v>
      </c>
      <c r="C1045" t="s">
        <v>119</v>
      </c>
      <c r="D1045" t="s">
        <v>1379</v>
      </c>
      <c r="E1045" s="2">
        <v>161.30000000000001</v>
      </c>
      <c r="F1045" s="3">
        <f t="shared" si="92"/>
        <v>45792</v>
      </c>
      <c r="G1045" s="3">
        <f t="shared" si="92"/>
        <v>45792</v>
      </c>
      <c r="H1045">
        <v>2167479819</v>
      </c>
      <c r="I1045" t="s">
        <v>192</v>
      </c>
      <c r="K1045" t="s">
        <v>22</v>
      </c>
      <c r="L1045" t="s">
        <v>23</v>
      </c>
      <c r="M1045" t="s">
        <v>24</v>
      </c>
      <c r="N1045" t="s">
        <v>24</v>
      </c>
      <c r="O1045" t="s">
        <v>25</v>
      </c>
      <c r="P1045" s="8" t="s">
        <v>1380</v>
      </c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  <c r="AW1045" s="11"/>
      <c r="AX1045" s="11"/>
      <c r="AY1045" s="11"/>
    </row>
    <row r="1046" spans="1:51" hidden="1" x14ac:dyDescent="0.2">
      <c r="A1046" s="6" t="s">
        <v>17</v>
      </c>
      <c r="B1046" t="s">
        <v>118</v>
      </c>
      <c r="C1046" t="s">
        <v>119</v>
      </c>
      <c r="D1046" t="s">
        <v>1381</v>
      </c>
      <c r="E1046" s="2">
        <v>107.5</v>
      </c>
      <c r="F1046" s="3">
        <f t="shared" si="92"/>
        <v>45792</v>
      </c>
      <c r="G1046" s="3">
        <f t="shared" si="92"/>
        <v>45792</v>
      </c>
      <c r="H1046">
        <v>2171632785</v>
      </c>
      <c r="I1046" t="s">
        <v>158</v>
      </c>
      <c r="K1046" t="s">
        <v>22</v>
      </c>
      <c r="L1046" t="s">
        <v>23</v>
      </c>
      <c r="M1046" t="s">
        <v>24</v>
      </c>
      <c r="N1046" t="s">
        <v>24</v>
      </c>
      <c r="O1046" t="s">
        <v>25</v>
      </c>
      <c r="P1046" s="8" t="s">
        <v>1382</v>
      </c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  <c r="AX1046" s="11"/>
      <c r="AY1046" s="11"/>
    </row>
    <row r="1047" spans="1:51" hidden="1" x14ac:dyDescent="0.2">
      <c r="A1047" s="6" t="s">
        <v>17</v>
      </c>
      <c r="B1047" t="s">
        <v>118</v>
      </c>
      <c r="C1047" t="s">
        <v>119</v>
      </c>
      <c r="D1047" t="s">
        <v>1383</v>
      </c>
      <c r="E1047" s="2">
        <v>6.99</v>
      </c>
      <c r="F1047" s="3">
        <f t="shared" si="92"/>
        <v>45792</v>
      </c>
      <c r="G1047" s="3">
        <f t="shared" si="92"/>
        <v>45792</v>
      </c>
      <c r="H1047">
        <v>2171632786</v>
      </c>
      <c r="I1047" t="s">
        <v>158</v>
      </c>
      <c r="K1047" t="s">
        <v>22</v>
      </c>
      <c r="L1047" t="s">
        <v>23</v>
      </c>
      <c r="M1047" t="s">
        <v>24</v>
      </c>
      <c r="N1047" t="s">
        <v>24</v>
      </c>
      <c r="O1047" t="s">
        <v>25</v>
      </c>
      <c r="P1047" s="8" t="s">
        <v>1384</v>
      </c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  <c r="AX1047" s="11"/>
      <c r="AY1047" s="11"/>
    </row>
    <row r="1048" spans="1:51" hidden="1" x14ac:dyDescent="0.2">
      <c r="A1048" s="6" t="s">
        <v>17</v>
      </c>
      <c r="B1048" t="s">
        <v>118</v>
      </c>
      <c r="C1048" t="s">
        <v>119</v>
      </c>
      <c r="D1048" t="s">
        <v>1385</v>
      </c>
      <c r="E1048" s="2">
        <v>22.49</v>
      </c>
      <c r="F1048" s="3">
        <f t="shared" si="92"/>
        <v>45792</v>
      </c>
      <c r="G1048" s="3">
        <f t="shared" si="92"/>
        <v>45792</v>
      </c>
      <c r="H1048">
        <v>2171632787</v>
      </c>
      <c r="I1048" t="s">
        <v>158</v>
      </c>
      <c r="K1048" t="s">
        <v>22</v>
      </c>
      <c r="L1048" t="s">
        <v>23</v>
      </c>
      <c r="M1048" t="s">
        <v>24</v>
      </c>
      <c r="N1048" t="s">
        <v>24</v>
      </c>
      <c r="O1048" t="s">
        <v>25</v>
      </c>
      <c r="P1048" s="8" t="s">
        <v>1386</v>
      </c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  <c r="AX1048" s="11"/>
      <c r="AY1048" s="11"/>
    </row>
    <row r="1049" spans="1:51" hidden="1" x14ac:dyDescent="0.2">
      <c r="A1049" s="6" t="s">
        <v>17</v>
      </c>
      <c r="B1049" t="s">
        <v>118</v>
      </c>
      <c r="C1049" t="s">
        <v>119</v>
      </c>
      <c r="D1049" t="s">
        <v>1387</v>
      </c>
      <c r="E1049" s="2">
        <v>22.49</v>
      </c>
      <c r="F1049" s="3">
        <f t="shared" si="92"/>
        <v>45792</v>
      </c>
      <c r="G1049" s="3">
        <f t="shared" si="92"/>
        <v>45792</v>
      </c>
      <c r="H1049">
        <v>2171632788</v>
      </c>
      <c r="I1049" t="s">
        <v>158</v>
      </c>
      <c r="K1049" t="s">
        <v>22</v>
      </c>
      <c r="L1049" t="s">
        <v>23</v>
      </c>
      <c r="M1049" t="s">
        <v>24</v>
      </c>
      <c r="N1049" t="s">
        <v>24</v>
      </c>
      <c r="O1049" t="s">
        <v>25</v>
      </c>
      <c r="P1049" s="8" t="s">
        <v>1388</v>
      </c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1"/>
      <c r="AY1049" s="11"/>
    </row>
    <row r="1050" spans="1:51" hidden="1" x14ac:dyDescent="0.2">
      <c r="A1050" s="6" t="s">
        <v>17</v>
      </c>
      <c r="B1050" t="s">
        <v>118</v>
      </c>
      <c r="C1050" t="s">
        <v>119</v>
      </c>
      <c r="D1050" t="s">
        <v>1389</v>
      </c>
      <c r="E1050" s="2">
        <v>4.9800000000000004</v>
      </c>
      <c r="F1050" s="3">
        <f t="shared" si="92"/>
        <v>45792</v>
      </c>
      <c r="G1050" s="3">
        <f t="shared" si="92"/>
        <v>45792</v>
      </c>
      <c r="H1050">
        <v>2171632789</v>
      </c>
      <c r="I1050" t="s">
        <v>158</v>
      </c>
      <c r="K1050" t="s">
        <v>22</v>
      </c>
      <c r="L1050" t="s">
        <v>23</v>
      </c>
      <c r="M1050" t="s">
        <v>24</v>
      </c>
      <c r="N1050" t="s">
        <v>24</v>
      </c>
      <c r="O1050" t="s">
        <v>25</v>
      </c>
      <c r="P1050" s="8" t="s">
        <v>1390</v>
      </c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  <c r="AX1050" s="11"/>
      <c r="AY1050" s="11"/>
    </row>
    <row r="1051" spans="1:51" hidden="1" x14ac:dyDescent="0.2">
      <c r="A1051" s="6" t="s">
        <v>17</v>
      </c>
      <c r="B1051" t="s">
        <v>825</v>
      </c>
      <c r="C1051" t="s">
        <v>826</v>
      </c>
      <c r="D1051" t="s">
        <v>1391</v>
      </c>
      <c r="E1051" s="2">
        <v>38.15</v>
      </c>
      <c r="F1051" s="3">
        <f t="shared" si="92"/>
        <v>45792</v>
      </c>
      <c r="G1051" s="3">
        <f t="shared" si="92"/>
        <v>45792</v>
      </c>
      <c r="H1051">
        <v>2171632790</v>
      </c>
      <c r="I1051" t="s">
        <v>158</v>
      </c>
      <c r="K1051" t="s">
        <v>22</v>
      </c>
      <c r="L1051" t="s">
        <v>23</v>
      </c>
      <c r="M1051" t="s">
        <v>24</v>
      </c>
      <c r="N1051" t="s">
        <v>24</v>
      </c>
      <c r="O1051" t="s">
        <v>25</v>
      </c>
      <c r="P1051" s="8" t="s">
        <v>1392</v>
      </c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11"/>
      <c r="AW1051" s="11"/>
      <c r="AX1051" s="11"/>
      <c r="AY1051" s="11"/>
    </row>
    <row r="1052" spans="1:51" hidden="1" x14ac:dyDescent="0.2">
      <c r="A1052" s="6" t="s">
        <v>17</v>
      </c>
      <c r="B1052" t="s">
        <v>565</v>
      </c>
      <c r="C1052" t="s">
        <v>566</v>
      </c>
      <c r="D1052" t="s">
        <v>1393</v>
      </c>
      <c r="E1052" s="2">
        <v>504.28</v>
      </c>
      <c r="F1052" s="3">
        <f t="shared" ref="F1052:G1057" si="93">DATE(2025,5,16)</f>
        <v>45793</v>
      </c>
      <c r="G1052" s="3">
        <f t="shared" si="93"/>
        <v>45793</v>
      </c>
      <c r="H1052">
        <v>2171632791</v>
      </c>
      <c r="I1052" t="s">
        <v>21</v>
      </c>
      <c r="K1052" t="s">
        <v>22</v>
      </c>
      <c r="L1052" t="s">
        <v>23</v>
      </c>
      <c r="M1052" t="s">
        <v>24</v>
      </c>
      <c r="N1052" t="s">
        <v>24</v>
      </c>
      <c r="O1052" t="s">
        <v>25</v>
      </c>
      <c r="P1052" s="8" t="s">
        <v>1394</v>
      </c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  <c r="AX1052" s="11"/>
      <c r="AY1052" s="11"/>
    </row>
    <row r="1053" spans="1:51" hidden="1" x14ac:dyDescent="0.2">
      <c r="A1053" s="6" t="s">
        <v>17</v>
      </c>
      <c r="B1053" t="s">
        <v>31</v>
      </c>
      <c r="C1053" t="s">
        <v>32</v>
      </c>
      <c r="D1053" t="s">
        <v>1395</v>
      </c>
      <c r="E1053" s="2">
        <v>139.19999999999999</v>
      </c>
      <c r="F1053" s="3">
        <f t="shared" si="93"/>
        <v>45793</v>
      </c>
      <c r="G1053" s="3">
        <f t="shared" si="93"/>
        <v>45793</v>
      </c>
      <c r="H1053">
        <v>2171632792</v>
      </c>
      <c r="I1053" t="s">
        <v>21</v>
      </c>
      <c r="K1053" t="s">
        <v>22</v>
      </c>
      <c r="L1053" t="s">
        <v>23</v>
      </c>
      <c r="M1053" t="s">
        <v>24</v>
      </c>
      <c r="N1053" t="s">
        <v>24</v>
      </c>
      <c r="O1053" t="s">
        <v>25</v>
      </c>
      <c r="P1053" s="8" t="s">
        <v>1396</v>
      </c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11"/>
      <c r="AW1053" s="11"/>
      <c r="AX1053" s="11"/>
      <c r="AY1053" s="11"/>
    </row>
    <row r="1054" spans="1:51" hidden="1" x14ac:dyDescent="0.2">
      <c r="A1054" s="6" t="s">
        <v>17</v>
      </c>
      <c r="B1054" t="s">
        <v>140</v>
      </c>
      <c r="C1054" t="s">
        <v>141</v>
      </c>
      <c r="D1054" t="s">
        <v>1397</v>
      </c>
      <c r="E1054" s="2">
        <v>14538</v>
      </c>
      <c r="F1054" s="3">
        <f t="shared" si="93"/>
        <v>45793</v>
      </c>
      <c r="G1054" s="3">
        <f t="shared" si="93"/>
        <v>45793</v>
      </c>
      <c r="H1054">
        <v>2171632793</v>
      </c>
      <c r="I1054" t="s">
        <v>21</v>
      </c>
      <c r="K1054" t="s">
        <v>22</v>
      </c>
      <c r="L1054" t="s">
        <v>23</v>
      </c>
      <c r="M1054" t="s">
        <v>24</v>
      </c>
      <c r="N1054" t="s">
        <v>24</v>
      </c>
      <c r="O1054" t="s">
        <v>25</v>
      </c>
      <c r="P1054" s="8" t="s">
        <v>1398</v>
      </c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  <c r="AW1054" s="11"/>
      <c r="AX1054" s="11"/>
      <c r="AY1054" s="11"/>
    </row>
    <row r="1055" spans="1:51" hidden="1" x14ac:dyDescent="0.2">
      <c r="A1055" s="6" t="s">
        <v>17</v>
      </c>
      <c r="B1055" t="s">
        <v>255</v>
      </c>
      <c r="C1055" t="s">
        <v>255</v>
      </c>
      <c r="D1055" t="s">
        <v>1399</v>
      </c>
      <c r="E1055" s="2">
        <v>240</v>
      </c>
      <c r="F1055" s="3">
        <f t="shared" si="93"/>
        <v>45793</v>
      </c>
      <c r="G1055" s="3">
        <f t="shared" si="93"/>
        <v>45793</v>
      </c>
      <c r="H1055">
        <v>2171632794</v>
      </c>
      <c r="I1055" t="s">
        <v>21</v>
      </c>
      <c r="K1055" t="s">
        <v>22</v>
      </c>
      <c r="L1055" t="s">
        <v>23</v>
      </c>
      <c r="M1055" t="s">
        <v>24</v>
      </c>
      <c r="N1055" t="s">
        <v>24</v>
      </c>
      <c r="O1055" t="s">
        <v>25</v>
      </c>
      <c r="P1055" s="8" t="s">
        <v>1400</v>
      </c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11"/>
      <c r="AW1055" s="11"/>
      <c r="AX1055" s="11"/>
      <c r="AY1055" s="11"/>
    </row>
    <row r="1056" spans="1:51" hidden="1" x14ac:dyDescent="0.2">
      <c r="A1056" s="6"/>
      <c r="E1056" s="2"/>
      <c r="F1056" s="3"/>
      <c r="G1056" s="3"/>
      <c r="P1056" s="8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s="11"/>
      <c r="AR1056" s="11"/>
      <c r="AS1056" s="11"/>
      <c r="AT1056" s="11"/>
      <c r="AU1056" s="11"/>
      <c r="AV1056" s="11"/>
      <c r="AW1056" s="11"/>
      <c r="AX1056" s="11"/>
      <c r="AY1056" s="11"/>
    </row>
    <row r="1057" spans="1:51" hidden="1" x14ac:dyDescent="0.2">
      <c r="A1057" s="6" t="s">
        <v>17</v>
      </c>
      <c r="B1057" t="s">
        <v>35</v>
      </c>
      <c r="C1057" t="s">
        <v>35</v>
      </c>
      <c r="D1057" t="s">
        <v>242</v>
      </c>
      <c r="E1057" s="2">
        <v>57</v>
      </c>
      <c r="F1057" s="3">
        <f t="shared" si="93"/>
        <v>45793</v>
      </c>
      <c r="G1057" s="3">
        <f t="shared" si="93"/>
        <v>45793</v>
      </c>
      <c r="H1057">
        <v>2171639755</v>
      </c>
      <c r="I1057" t="s">
        <v>192</v>
      </c>
      <c r="K1057" t="s">
        <v>22</v>
      </c>
      <c r="L1057" t="s">
        <v>23</v>
      </c>
      <c r="M1057" t="s">
        <v>24</v>
      </c>
      <c r="N1057" t="s">
        <v>24</v>
      </c>
      <c r="O1057" t="s">
        <v>25</v>
      </c>
      <c r="P1057" s="8" t="s">
        <v>1401</v>
      </c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11"/>
      <c r="AW1057" s="11"/>
      <c r="AX1057" s="11"/>
      <c r="AY1057" s="11"/>
    </row>
    <row r="1058" spans="1:51" hidden="1" x14ac:dyDescent="0.2">
      <c r="A1058" s="6"/>
      <c r="E1058" s="2"/>
      <c r="F1058" s="3"/>
      <c r="G1058" s="3"/>
      <c r="P1058" s="8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  <c r="AX1058" s="11"/>
      <c r="AY1058" s="11"/>
    </row>
    <row r="1059" spans="1:51" hidden="1" x14ac:dyDescent="0.2">
      <c r="A1059" s="6"/>
      <c r="E1059" s="2"/>
      <c r="F1059" s="3"/>
      <c r="G1059" s="3"/>
      <c r="P1059" s="8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  <c r="AW1059" s="11"/>
      <c r="AX1059" s="11"/>
      <c r="AY1059" s="11"/>
    </row>
    <row r="1060" spans="1:51" hidden="1" x14ac:dyDescent="0.2">
      <c r="A1060" s="6" t="s">
        <v>17</v>
      </c>
      <c r="B1060" t="s">
        <v>46</v>
      </c>
      <c r="C1060" t="s">
        <v>47</v>
      </c>
      <c r="D1060" t="s">
        <v>1402</v>
      </c>
      <c r="E1060" s="2">
        <v>150</v>
      </c>
      <c r="F1060" s="3">
        <f t="shared" ref="F1060:G1063" si="94">DATE(2025,5,19)</f>
        <v>45796</v>
      </c>
      <c r="G1060" s="3">
        <f t="shared" si="94"/>
        <v>45796</v>
      </c>
      <c r="H1060">
        <v>2179424816</v>
      </c>
      <c r="I1060" t="s">
        <v>21</v>
      </c>
      <c r="K1060" t="s">
        <v>22</v>
      </c>
      <c r="L1060" t="s">
        <v>23</v>
      </c>
      <c r="M1060" t="s">
        <v>24</v>
      </c>
      <c r="N1060" t="s">
        <v>24</v>
      </c>
      <c r="O1060" t="s">
        <v>25</v>
      </c>
      <c r="P1060" s="8" t="s">
        <v>1403</v>
      </c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  <c r="AX1060" s="11"/>
      <c r="AY1060" s="11"/>
    </row>
    <row r="1061" spans="1:51" hidden="1" x14ac:dyDescent="0.2">
      <c r="A1061" s="6" t="s">
        <v>17</v>
      </c>
      <c r="B1061" t="s">
        <v>1114</v>
      </c>
      <c r="C1061" t="s">
        <v>1115</v>
      </c>
      <c r="D1061" t="s">
        <v>1404</v>
      </c>
      <c r="E1061" s="2">
        <v>1888.25</v>
      </c>
      <c r="F1061" s="3">
        <f t="shared" si="94"/>
        <v>45796</v>
      </c>
      <c r="G1061" s="3">
        <f t="shared" si="94"/>
        <v>45796</v>
      </c>
      <c r="H1061">
        <v>2179424817</v>
      </c>
      <c r="I1061" t="s">
        <v>21</v>
      </c>
      <c r="K1061" t="s">
        <v>22</v>
      </c>
      <c r="L1061" t="s">
        <v>23</v>
      </c>
      <c r="M1061" t="s">
        <v>24</v>
      </c>
      <c r="N1061" t="s">
        <v>24</v>
      </c>
      <c r="O1061" t="s">
        <v>25</v>
      </c>
      <c r="P1061" s="8" t="s">
        <v>1405</v>
      </c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11"/>
      <c r="AY1061" s="11"/>
    </row>
    <row r="1062" spans="1:51" hidden="1" x14ac:dyDescent="0.2">
      <c r="A1062" s="6" t="s">
        <v>17</v>
      </c>
      <c r="B1062" t="s">
        <v>50</v>
      </c>
      <c r="C1062" t="s">
        <v>51</v>
      </c>
      <c r="D1062" t="s">
        <v>1406</v>
      </c>
      <c r="E1062" s="2">
        <v>251.28</v>
      </c>
      <c r="F1062" s="3">
        <f t="shared" si="94"/>
        <v>45796</v>
      </c>
      <c r="G1062" s="3">
        <f t="shared" si="94"/>
        <v>45796</v>
      </c>
      <c r="H1062">
        <v>2179424818</v>
      </c>
      <c r="I1062" t="s">
        <v>21</v>
      </c>
      <c r="K1062" t="s">
        <v>22</v>
      </c>
      <c r="L1062" t="s">
        <v>23</v>
      </c>
      <c r="M1062" t="s">
        <v>24</v>
      </c>
      <c r="N1062" t="s">
        <v>24</v>
      </c>
      <c r="O1062" t="s">
        <v>25</v>
      </c>
      <c r="P1062" s="8" t="s">
        <v>1407</v>
      </c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  <c r="AV1062" s="11"/>
      <c r="AW1062" s="11"/>
      <c r="AX1062" s="11"/>
      <c r="AY1062" s="11"/>
    </row>
    <row r="1063" spans="1:51" hidden="1" x14ac:dyDescent="0.2">
      <c r="A1063" s="6" t="s">
        <v>17</v>
      </c>
      <c r="B1063" t="s">
        <v>1114</v>
      </c>
      <c r="C1063" t="s">
        <v>1115</v>
      </c>
      <c r="D1063" t="s">
        <v>1408</v>
      </c>
      <c r="E1063" s="2">
        <v>1236.54</v>
      </c>
      <c r="F1063" s="3">
        <f t="shared" si="94"/>
        <v>45796</v>
      </c>
      <c r="G1063" s="3">
        <f t="shared" si="94"/>
        <v>45796</v>
      </c>
      <c r="H1063">
        <v>2179424819</v>
      </c>
      <c r="I1063" t="s">
        <v>21</v>
      </c>
      <c r="K1063" t="s">
        <v>22</v>
      </c>
      <c r="L1063" t="s">
        <v>23</v>
      </c>
      <c r="M1063" t="s">
        <v>24</v>
      </c>
      <c r="N1063" t="s">
        <v>24</v>
      </c>
      <c r="O1063" t="s">
        <v>25</v>
      </c>
      <c r="P1063" s="8" t="s">
        <v>1409</v>
      </c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  <c r="AV1063" s="11"/>
      <c r="AW1063" s="11"/>
      <c r="AX1063" s="11"/>
      <c r="AY1063" s="11"/>
    </row>
    <row r="1064" spans="1:51" hidden="1" x14ac:dyDescent="0.2">
      <c r="A1064" s="6"/>
      <c r="E1064" s="2"/>
      <c r="F1064" s="3"/>
      <c r="G1064" s="3"/>
      <c r="P1064" s="8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1"/>
      <c r="AY1064" s="11"/>
    </row>
    <row r="1065" spans="1:51" hidden="1" x14ac:dyDescent="0.2">
      <c r="A1065" s="6" t="s">
        <v>17</v>
      </c>
      <c r="B1065" t="s">
        <v>42</v>
      </c>
      <c r="C1065" t="s">
        <v>43</v>
      </c>
      <c r="D1065" t="s">
        <v>1410</v>
      </c>
      <c r="E1065" s="2">
        <v>19.989999999999998</v>
      </c>
      <c r="F1065" s="3">
        <f>DATE(2025,5,18)</f>
        <v>45795</v>
      </c>
      <c r="G1065" s="3">
        <f>DATE(2025,5,18)</f>
        <v>45795</v>
      </c>
      <c r="H1065">
        <v>2186192185</v>
      </c>
      <c r="I1065" t="s">
        <v>158</v>
      </c>
      <c r="K1065" t="s">
        <v>22</v>
      </c>
      <c r="L1065" t="s">
        <v>23</v>
      </c>
      <c r="M1065" t="s">
        <v>24</v>
      </c>
      <c r="N1065" t="s">
        <v>24</v>
      </c>
      <c r="O1065" t="s">
        <v>25</v>
      </c>
      <c r="P1065" s="8" t="s">
        <v>1411</v>
      </c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11"/>
      <c r="AW1065" s="11"/>
      <c r="AX1065" s="11"/>
      <c r="AY1065" s="11"/>
    </row>
    <row r="1066" spans="1:51" hidden="1" x14ac:dyDescent="0.2">
      <c r="A1066" s="6" t="s">
        <v>17</v>
      </c>
      <c r="B1066" t="s">
        <v>173</v>
      </c>
      <c r="C1066" t="s">
        <v>154</v>
      </c>
      <c r="D1066" t="s">
        <v>1412</v>
      </c>
      <c r="E1066" s="2">
        <v>104.35</v>
      </c>
      <c r="F1066" s="3">
        <f t="shared" ref="F1066:G1068" si="95">DATE(2025,5,19)</f>
        <v>45796</v>
      </c>
      <c r="G1066" s="3">
        <f t="shared" si="95"/>
        <v>45796</v>
      </c>
      <c r="H1066">
        <v>2186192186</v>
      </c>
      <c r="I1066" t="s">
        <v>158</v>
      </c>
      <c r="K1066" t="s">
        <v>22</v>
      </c>
      <c r="L1066" t="s">
        <v>23</v>
      </c>
      <c r="M1066" t="s">
        <v>24</v>
      </c>
      <c r="N1066" t="s">
        <v>24</v>
      </c>
      <c r="O1066" t="s">
        <v>25</v>
      </c>
      <c r="P1066" s="8" t="s">
        <v>1413</v>
      </c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  <c r="AV1066" s="11"/>
      <c r="AW1066" s="11"/>
      <c r="AX1066" s="11"/>
      <c r="AY1066" s="11"/>
    </row>
    <row r="1067" spans="1:51" hidden="1" x14ac:dyDescent="0.2">
      <c r="A1067" s="6" t="s">
        <v>17</v>
      </c>
      <c r="B1067" t="s">
        <v>155</v>
      </c>
      <c r="C1067" t="s">
        <v>156</v>
      </c>
      <c r="D1067" t="s">
        <v>1414</v>
      </c>
      <c r="E1067" s="2">
        <v>10.45</v>
      </c>
      <c r="F1067" s="3">
        <f t="shared" si="95"/>
        <v>45796</v>
      </c>
      <c r="G1067" s="3">
        <f t="shared" si="95"/>
        <v>45796</v>
      </c>
      <c r="H1067">
        <v>2186192187</v>
      </c>
      <c r="I1067" t="s">
        <v>158</v>
      </c>
      <c r="K1067" t="s">
        <v>22</v>
      </c>
      <c r="L1067" t="s">
        <v>23</v>
      </c>
      <c r="M1067" t="s">
        <v>24</v>
      </c>
      <c r="N1067" t="s">
        <v>24</v>
      </c>
      <c r="O1067" t="s">
        <v>25</v>
      </c>
      <c r="P1067" s="8" t="s">
        <v>1415</v>
      </c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  <c r="AW1067" s="11"/>
      <c r="AX1067" s="11"/>
      <c r="AY1067" s="11"/>
    </row>
    <row r="1068" spans="1:51" hidden="1" x14ac:dyDescent="0.2">
      <c r="A1068" s="6" t="s">
        <v>17</v>
      </c>
      <c r="B1068" t="s">
        <v>118</v>
      </c>
      <c r="C1068" t="s">
        <v>119</v>
      </c>
      <c r="D1068" t="s">
        <v>1416</v>
      </c>
      <c r="E1068" s="2">
        <v>23.74</v>
      </c>
      <c r="F1068" s="3">
        <f t="shared" si="95"/>
        <v>45796</v>
      </c>
      <c r="G1068" s="3">
        <f t="shared" si="95"/>
        <v>45796</v>
      </c>
      <c r="H1068">
        <v>2186192188</v>
      </c>
      <c r="I1068" t="s">
        <v>158</v>
      </c>
      <c r="K1068" t="s">
        <v>22</v>
      </c>
      <c r="L1068" t="s">
        <v>23</v>
      </c>
      <c r="M1068" t="s">
        <v>24</v>
      </c>
      <c r="N1068" t="s">
        <v>24</v>
      </c>
      <c r="O1068" t="s">
        <v>25</v>
      </c>
      <c r="P1068" s="8" t="s">
        <v>1417</v>
      </c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  <c r="AS1068" s="11"/>
      <c r="AT1068" s="11"/>
      <c r="AU1068" s="11"/>
      <c r="AV1068" s="11"/>
      <c r="AW1068" s="11"/>
      <c r="AX1068" s="11"/>
      <c r="AY1068" s="11"/>
    </row>
    <row r="1069" spans="1:51" hidden="1" x14ac:dyDescent="0.2">
      <c r="A1069" s="6" t="s">
        <v>17</v>
      </c>
      <c r="B1069" t="s">
        <v>118</v>
      </c>
      <c r="C1069" t="s">
        <v>119</v>
      </c>
      <c r="D1069" t="s">
        <v>1418</v>
      </c>
      <c r="E1069" s="2">
        <v>46.05</v>
      </c>
      <c r="F1069" s="3">
        <f>DATE(2025,5,20)</f>
        <v>45797</v>
      </c>
      <c r="G1069" s="3">
        <f>DATE(2025,5,20)</f>
        <v>45797</v>
      </c>
      <c r="H1069">
        <v>2186192189</v>
      </c>
      <c r="I1069" t="s">
        <v>158</v>
      </c>
      <c r="K1069" t="s">
        <v>22</v>
      </c>
      <c r="L1069" t="s">
        <v>23</v>
      </c>
      <c r="M1069" t="s">
        <v>24</v>
      </c>
      <c r="N1069" t="s">
        <v>24</v>
      </c>
      <c r="O1069" t="s">
        <v>25</v>
      </c>
      <c r="P1069" s="8" t="s">
        <v>1419</v>
      </c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  <c r="AV1069" s="11"/>
      <c r="AW1069" s="11"/>
      <c r="AX1069" s="11"/>
      <c r="AY1069" s="11"/>
    </row>
    <row r="1070" spans="1:51" hidden="1" x14ac:dyDescent="0.2">
      <c r="A1070" s="6" t="s">
        <v>17</v>
      </c>
      <c r="B1070" t="s">
        <v>173</v>
      </c>
      <c r="C1070" t="s">
        <v>154</v>
      </c>
      <c r="D1070" t="s">
        <v>1420</v>
      </c>
      <c r="E1070" s="2">
        <v>89.16</v>
      </c>
      <c r="F1070" s="3">
        <f>DATE(2025,5,15)</f>
        <v>45792</v>
      </c>
      <c r="G1070" s="3">
        <f>DATE(2025,5,15)</f>
        <v>45792</v>
      </c>
      <c r="H1070">
        <v>2186192190</v>
      </c>
      <c r="I1070" t="s">
        <v>158</v>
      </c>
      <c r="K1070" t="s">
        <v>22</v>
      </c>
      <c r="L1070" t="s">
        <v>23</v>
      </c>
      <c r="M1070" t="s">
        <v>24</v>
      </c>
      <c r="N1070" t="s">
        <v>24</v>
      </c>
      <c r="O1070" t="s">
        <v>25</v>
      </c>
      <c r="P1070" s="8" t="s">
        <v>1421</v>
      </c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11"/>
      <c r="AW1070" s="11"/>
      <c r="AX1070" s="11"/>
      <c r="AY1070" s="11"/>
    </row>
    <row r="1071" spans="1:51" hidden="1" x14ac:dyDescent="0.2">
      <c r="A1071" s="6" t="s">
        <v>17</v>
      </c>
      <c r="B1071" t="s">
        <v>118</v>
      </c>
      <c r="C1071" t="s">
        <v>119</v>
      </c>
      <c r="D1071" t="s">
        <v>1422</v>
      </c>
      <c r="E1071" s="2">
        <v>104</v>
      </c>
      <c r="F1071" s="3">
        <f>DATE(2025,5,19)</f>
        <v>45796</v>
      </c>
      <c r="G1071" s="3">
        <f>DATE(2025,5,19)</f>
        <v>45796</v>
      </c>
      <c r="H1071">
        <v>2186192191</v>
      </c>
      <c r="I1071" t="s">
        <v>158</v>
      </c>
      <c r="K1071" t="s">
        <v>22</v>
      </c>
      <c r="L1071" t="s">
        <v>23</v>
      </c>
      <c r="M1071" t="s">
        <v>24</v>
      </c>
      <c r="N1071" t="s">
        <v>24</v>
      </c>
      <c r="O1071" t="s">
        <v>25</v>
      </c>
      <c r="P1071" s="8" t="s">
        <v>1423</v>
      </c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  <c r="AV1071" s="11"/>
      <c r="AW1071" s="11"/>
      <c r="AX1071" s="11"/>
      <c r="AY1071" s="11"/>
    </row>
    <row r="1072" spans="1:51" hidden="1" x14ac:dyDescent="0.2">
      <c r="A1072" s="6" t="s">
        <v>17</v>
      </c>
      <c r="B1072" t="s">
        <v>118</v>
      </c>
      <c r="C1072" t="s">
        <v>119</v>
      </c>
      <c r="D1072" t="s">
        <v>1424</v>
      </c>
      <c r="E1072" s="2">
        <v>574.34</v>
      </c>
      <c r="F1072" s="3">
        <f>DATE(2025,5,19)</f>
        <v>45796</v>
      </c>
      <c r="G1072" s="3">
        <f>DATE(2025,5,19)</f>
        <v>45796</v>
      </c>
      <c r="H1072">
        <v>2186192192</v>
      </c>
      <c r="I1072" t="s">
        <v>158</v>
      </c>
      <c r="K1072" t="s">
        <v>22</v>
      </c>
      <c r="L1072" t="s">
        <v>23</v>
      </c>
      <c r="M1072" t="s">
        <v>24</v>
      </c>
      <c r="N1072" t="s">
        <v>24</v>
      </c>
      <c r="O1072" t="s">
        <v>25</v>
      </c>
      <c r="P1072" s="8" t="s">
        <v>1425</v>
      </c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  <c r="AV1072" s="11"/>
      <c r="AW1072" s="11"/>
      <c r="AX1072" s="11"/>
      <c r="AY1072" s="11"/>
    </row>
    <row r="1073" spans="1:51" hidden="1" x14ac:dyDescent="0.2">
      <c r="A1073" s="6" t="s">
        <v>17</v>
      </c>
      <c r="B1073" t="s">
        <v>155</v>
      </c>
      <c r="C1073" t="s">
        <v>156</v>
      </c>
      <c r="D1073" t="s">
        <v>1426</v>
      </c>
      <c r="E1073" s="2">
        <v>100.64</v>
      </c>
      <c r="F1073" s="3">
        <f>DATE(2025,5,20)</f>
        <v>45797</v>
      </c>
      <c r="G1073" s="3">
        <f>DATE(2025,5,20)</f>
        <v>45797</v>
      </c>
      <c r="H1073">
        <v>2186192193</v>
      </c>
      <c r="I1073" t="s">
        <v>21</v>
      </c>
      <c r="K1073" t="s">
        <v>22</v>
      </c>
      <c r="L1073" t="s">
        <v>23</v>
      </c>
      <c r="M1073" t="s">
        <v>24</v>
      </c>
      <c r="N1073" t="s">
        <v>24</v>
      </c>
      <c r="O1073" t="s">
        <v>25</v>
      </c>
      <c r="P1073" s="8" t="s">
        <v>1427</v>
      </c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</row>
    <row r="1074" spans="1:51" hidden="1" x14ac:dyDescent="0.2">
      <c r="A1074" s="6" t="s">
        <v>17</v>
      </c>
      <c r="B1074" t="s">
        <v>255</v>
      </c>
      <c r="C1074" t="s">
        <v>255</v>
      </c>
      <c r="D1074" t="s">
        <v>1428</v>
      </c>
      <c r="E1074" s="2">
        <v>1292.19</v>
      </c>
      <c r="F1074" s="3">
        <f>DATE(2025,5,19)</f>
        <v>45796</v>
      </c>
      <c r="G1074" s="3">
        <f>DATE(2025,5,19)</f>
        <v>45796</v>
      </c>
      <c r="H1074">
        <v>2186192194</v>
      </c>
      <c r="I1074" t="s">
        <v>21</v>
      </c>
      <c r="K1074" t="s">
        <v>22</v>
      </c>
      <c r="L1074" t="s">
        <v>23</v>
      </c>
      <c r="M1074" t="s">
        <v>24</v>
      </c>
      <c r="N1074" t="s">
        <v>24</v>
      </c>
      <c r="O1074" t="s">
        <v>25</v>
      </c>
      <c r="P1074" s="8" t="s">
        <v>1429</v>
      </c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  <c r="AV1074" s="11"/>
      <c r="AW1074" s="11"/>
      <c r="AX1074" s="11"/>
      <c r="AY1074" s="11"/>
    </row>
    <row r="1075" spans="1:51" hidden="1" x14ac:dyDescent="0.2">
      <c r="A1075" s="6" t="s">
        <v>17</v>
      </c>
      <c r="B1075" t="s">
        <v>565</v>
      </c>
      <c r="C1075" t="s">
        <v>566</v>
      </c>
      <c r="D1075" t="s">
        <v>1430</v>
      </c>
      <c r="E1075" s="2">
        <v>1223.2</v>
      </c>
      <c r="F1075" s="3">
        <f>DATE(2025,5,20)</f>
        <v>45797</v>
      </c>
      <c r="G1075" s="3">
        <f>DATE(2025,5,20)</f>
        <v>45797</v>
      </c>
      <c r="H1075">
        <v>2186192195</v>
      </c>
      <c r="I1075" t="s">
        <v>21</v>
      </c>
      <c r="K1075" t="s">
        <v>22</v>
      </c>
      <c r="L1075" t="s">
        <v>23</v>
      </c>
      <c r="M1075" t="s">
        <v>24</v>
      </c>
      <c r="N1075" t="s">
        <v>24</v>
      </c>
      <c r="O1075" t="s">
        <v>25</v>
      </c>
      <c r="P1075" s="8" t="s">
        <v>1431</v>
      </c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1"/>
      <c r="AP1075" s="11"/>
      <c r="AQ1075" s="11"/>
      <c r="AR1075" s="11"/>
      <c r="AS1075" s="11"/>
      <c r="AT1075" s="11"/>
      <c r="AU1075" s="11"/>
      <c r="AV1075" s="11"/>
      <c r="AW1075" s="11"/>
      <c r="AX1075" s="11"/>
      <c r="AY1075" s="11"/>
    </row>
    <row r="1076" spans="1:51" hidden="1" x14ac:dyDescent="0.2">
      <c r="A1076" s="6" t="s">
        <v>17</v>
      </c>
      <c r="B1076" t="s">
        <v>155</v>
      </c>
      <c r="C1076" t="s">
        <v>156</v>
      </c>
      <c r="D1076" t="s">
        <v>1432</v>
      </c>
      <c r="E1076" s="2">
        <v>458.65</v>
      </c>
      <c r="F1076" s="3">
        <f>DATE(2025,5,19)</f>
        <v>45796</v>
      </c>
      <c r="G1076" s="3">
        <f>DATE(2025,5,19)</f>
        <v>45796</v>
      </c>
      <c r="H1076">
        <v>2186192196</v>
      </c>
      <c r="I1076" t="s">
        <v>21</v>
      </c>
      <c r="K1076" t="s">
        <v>22</v>
      </c>
      <c r="L1076" t="s">
        <v>23</v>
      </c>
      <c r="M1076" t="s">
        <v>24</v>
      </c>
      <c r="N1076" t="s">
        <v>24</v>
      </c>
      <c r="O1076" t="s">
        <v>25</v>
      </c>
      <c r="P1076" s="8" t="s">
        <v>1433</v>
      </c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  <c r="AW1076" s="11"/>
      <c r="AX1076" s="11"/>
      <c r="AY1076" s="11"/>
    </row>
    <row r="1077" spans="1:51" hidden="1" x14ac:dyDescent="0.2">
      <c r="A1077" s="6" t="s">
        <v>17</v>
      </c>
      <c r="B1077" t="s">
        <v>90</v>
      </c>
      <c r="C1077" t="s">
        <v>91</v>
      </c>
      <c r="D1077" t="s">
        <v>1434</v>
      </c>
      <c r="E1077" s="2">
        <v>840</v>
      </c>
      <c r="F1077" s="3">
        <f>DATE(2025,5,19)</f>
        <v>45796</v>
      </c>
      <c r="G1077" s="3">
        <f>DATE(2025,5,19)</f>
        <v>45796</v>
      </c>
      <c r="H1077">
        <v>2186192197</v>
      </c>
      <c r="I1077" t="s">
        <v>21</v>
      </c>
      <c r="K1077" t="s">
        <v>22</v>
      </c>
      <c r="L1077" t="s">
        <v>23</v>
      </c>
      <c r="M1077" t="s">
        <v>24</v>
      </c>
      <c r="N1077" t="s">
        <v>24</v>
      </c>
      <c r="O1077" t="s">
        <v>25</v>
      </c>
      <c r="P1077" s="8" t="s">
        <v>1435</v>
      </c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11"/>
      <c r="AW1077" s="11"/>
      <c r="AX1077" s="11"/>
      <c r="AY1077" s="11"/>
    </row>
    <row r="1078" spans="1:51" hidden="1" x14ac:dyDescent="0.2">
      <c r="A1078" s="6" t="s">
        <v>17</v>
      </c>
      <c r="B1078" t="s">
        <v>1048</v>
      </c>
      <c r="C1078" t="s">
        <v>1049</v>
      </c>
      <c r="D1078" t="s">
        <v>1436</v>
      </c>
      <c r="E1078" s="2">
        <v>1053.6300000000001</v>
      </c>
      <c r="F1078" s="3">
        <f>DATE(2025,5,20)</f>
        <v>45797</v>
      </c>
      <c r="G1078" s="3">
        <f>DATE(2025,5,20)</f>
        <v>45797</v>
      </c>
      <c r="H1078">
        <v>2186192198</v>
      </c>
      <c r="I1078" t="s">
        <v>21</v>
      </c>
      <c r="K1078" t="s">
        <v>22</v>
      </c>
      <c r="L1078" t="s">
        <v>23</v>
      </c>
      <c r="M1078" t="s">
        <v>24</v>
      </c>
      <c r="N1078" t="s">
        <v>24</v>
      </c>
      <c r="O1078" t="s">
        <v>25</v>
      </c>
      <c r="P1078" s="8" t="s">
        <v>1437</v>
      </c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  <c r="AV1078" s="11"/>
      <c r="AW1078" s="11"/>
      <c r="AX1078" s="11"/>
      <c r="AY1078" s="11"/>
    </row>
    <row r="1079" spans="1:51" hidden="1" x14ac:dyDescent="0.2">
      <c r="A1079" s="6"/>
      <c r="E1079" s="2"/>
      <c r="F1079" s="3"/>
      <c r="G1079" s="3"/>
      <c r="P1079" s="8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  <c r="AV1079" s="11"/>
      <c r="AW1079" s="11"/>
      <c r="AX1079" s="11"/>
      <c r="AY1079" s="11"/>
    </row>
    <row r="1080" spans="1:51" hidden="1" x14ac:dyDescent="0.2">
      <c r="A1080" s="6" t="s">
        <v>17</v>
      </c>
      <c r="B1080" t="s">
        <v>589</v>
      </c>
      <c r="C1080" t="s">
        <v>590</v>
      </c>
      <c r="D1080" t="s">
        <v>1438</v>
      </c>
      <c r="E1080" s="2">
        <v>69.790000000000006</v>
      </c>
      <c r="F1080" s="3">
        <f t="shared" ref="F1080:G1082" si="96">DATE(2025,5,19)</f>
        <v>45796</v>
      </c>
      <c r="G1080" s="3">
        <f t="shared" si="96"/>
        <v>45796</v>
      </c>
      <c r="H1080">
        <v>2186192200</v>
      </c>
      <c r="I1080" t="s">
        <v>21</v>
      </c>
      <c r="K1080" t="s">
        <v>22</v>
      </c>
      <c r="L1080" t="s">
        <v>23</v>
      </c>
      <c r="M1080" t="s">
        <v>24</v>
      </c>
      <c r="N1080" t="s">
        <v>24</v>
      </c>
      <c r="O1080" t="s">
        <v>25</v>
      </c>
      <c r="P1080" s="8" t="s">
        <v>1439</v>
      </c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  <c r="AT1080" s="11"/>
      <c r="AU1080" s="11"/>
      <c r="AV1080" s="11"/>
      <c r="AW1080" s="11"/>
      <c r="AX1080" s="11"/>
      <c r="AY1080" s="11"/>
    </row>
    <row r="1081" spans="1:51" hidden="1" x14ac:dyDescent="0.2">
      <c r="A1081" s="6" t="s">
        <v>17</v>
      </c>
      <c r="B1081" t="s">
        <v>825</v>
      </c>
      <c r="C1081" t="s">
        <v>826</v>
      </c>
      <c r="D1081" t="s">
        <v>1440</v>
      </c>
      <c r="E1081" s="2">
        <v>682.12</v>
      </c>
      <c r="F1081" s="3">
        <f t="shared" si="96"/>
        <v>45796</v>
      </c>
      <c r="G1081" s="3">
        <f t="shared" si="96"/>
        <v>45796</v>
      </c>
      <c r="H1081">
        <v>2186192201</v>
      </c>
      <c r="I1081" t="s">
        <v>21</v>
      </c>
      <c r="K1081" t="s">
        <v>22</v>
      </c>
      <c r="L1081" t="s">
        <v>23</v>
      </c>
      <c r="M1081" t="s">
        <v>24</v>
      </c>
      <c r="N1081" t="s">
        <v>24</v>
      </c>
      <c r="O1081" t="s">
        <v>25</v>
      </c>
      <c r="P1081" s="8" t="s">
        <v>1441</v>
      </c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  <c r="AV1081" s="11"/>
      <c r="AW1081" s="11"/>
      <c r="AX1081" s="11"/>
      <c r="AY1081" s="11"/>
    </row>
    <row r="1082" spans="1:51" hidden="1" x14ac:dyDescent="0.2">
      <c r="A1082" s="6" t="s">
        <v>17</v>
      </c>
      <c r="B1082" t="s">
        <v>70</v>
      </c>
      <c r="C1082" t="s">
        <v>71</v>
      </c>
      <c r="D1082" t="s">
        <v>1442</v>
      </c>
      <c r="E1082" s="2">
        <v>780</v>
      </c>
      <c r="F1082" s="3">
        <f t="shared" si="96"/>
        <v>45796</v>
      </c>
      <c r="G1082" s="3">
        <f t="shared" si="96"/>
        <v>45796</v>
      </c>
      <c r="H1082">
        <v>2186192202</v>
      </c>
      <c r="I1082" t="s">
        <v>21</v>
      </c>
      <c r="K1082" t="s">
        <v>22</v>
      </c>
      <c r="L1082" t="s">
        <v>23</v>
      </c>
      <c r="M1082" t="s">
        <v>24</v>
      </c>
      <c r="N1082" t="s">
        <v>24</v>
      </c>
      <c r="O1082" t="s">
        <v>25</v>
      </c>
      <c r="P1082" s="8" t="s">
        <v>1443</v>
      </c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  <c r="AV1082" s="11"/>
      <c r="AW1082" s="11"/>
      <c r="AX1082" s="11"/>
      <c r="AY1082" s="11"/>
    </row>
    <row r="1083" spans="1:51" hidden="1" x14ac:dyDescent="0.2">
      <c r="A1083" s="6" t="s">
        <v>17</v>
      </c>
      <c r="B1083" t="s">
        <v>565</v>
      </c>
      <c r="C1083" t="s">
        <v>566</v>
      </c>
      <c r="D1083" t="s">
        <v>1444</v>
      </c>
      <c r="E1083" s="2">
        <v>2161.4699999999998</v>
      </c>
      <c r="F1083" s="3">
        <f>DATE(2025,5,20)</f>
        <v>45797</v>
      </c>
      <c r="G1083" s="3">
        <f>DATE(2025,5,20)</f>
        <v>45797</v>
      </c>
      <c r="H1083">
        <v>2186192203</v>
      </c>
      <c r="I1083" t="s">
        <v>21</v>
      </c>
      <c r="K1083" t="s">
        <v>22</v>
      </c>
      <c r="L1083" t="s">
        <v>23</v>
      </c>
      <c r="M1083" t="s">
        <v>24</v>
      </c>
      <c r="N1083" t="s">
        <v>24</v>
      </c>
      <c r="O1083" t="s">
        <v>25</v>
      </c>
      <c r="P1083" s="8" t="s">
        <v>1445</v>
      </c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11"/>
      <c r="AW1083" s="11"/>
      <c r="AX1083" s="11"/>
      <c r="AY1083" s="11"/>
    </row>
    <row r="1084" spans="1:51" hidden="1" x14ac:dyDescent="0.2">
      <c r="A1084" s="6" t="s">
        <v>17</v>
      </c>
      <c r="B1084" t="s">
        <v>825</v>
      </c>
      <c r="C1084" t="s">
        <v>826</v>
      </c>
      <c r="D1084" t="s">
        <v>1446</v>
      </c>
      <c r="E1084" s="2">
        <v>224.5</v>
      </c>
      <c r="F1084" s="3">
        <f>DATE(2025,5,19)</f>
        <v>45796</v>
      </c>
      <c r="G1084" s="3">
        <f>DATE(2025,5,19)</f>
        <v>45796</v>
      </c>
      <c r="H1084">
        <v>2186192204</v>
      </c>
      <c r="I1084" t="s">
        <v>21</v>
      </c>
      <c r="K1084" t="s">
        <v>22</v>
      </c>
      <c r="L1084" t="s">
        <v>23</v>
      </c>
      <c r="M1084" t="s">
        <v>24</v>
      </c>
      <c r="N1084" t="s">
        <v>24</v>
      </c>
      <c r="O1084" t="s">
        <v>25</v>
      </c>
      <c r="P1084" s="8" t="s">
        <v>1447</v>
      </c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  <c r="AS1084" s="11"/>
      <c r="AT1084" s="11"/>
      <c r="AU1084" s="11"/>
      <c r="AV1084" s="11"/>
      <c r="AW1084" s="11"/>
      <c r="AX1084" s="11"/>
      <c r="AY1084" s="11"/>
    </row>
    <row r="1085" spans="1:51" hidden="1" x14ac:dyDescent="0.2">
      <c r="A1085" s="6" t="s">
        <v>17</v>
      </c>
      <c r="B1085" t="s">
        <v>589</v>
      </c>
      <c r="C1085" t="s">
        <v>590</v>
      </c>
      <c r="D1085" t="s">
        <v>1448</v>
      </c>
      <c r="E1085" s="2">
        <v>218.81</v>
      </c>
      <c r="F1085" s="3">
        <f>DATE(2025,5,19)</f>
        <v>45796</v>
      </c>
      <c r="G1085" s="3">
        <f>DATE(2025,5,19)</f>
        <v>45796</v>
      </c>
      <c r="H1085">
        <v>2186192205</v>
      </c>
      <c r="I1085" t="s">
        <v>21</v>
      </c>
      <c r="K1085" t="s">
        <v>22</v>
      </c>
      <c r="L1085" t="s">
        <v>23</v>
      </c>
      <c r="M1085" t="s">
        <v>24</v>
      </c>
      <c r="N1085" t="s">
        <v>24</v>
      </c>
      <c r="O1085" t="s">
        <v>25</v>
      </c>
      <c r="P1085" s="8" t="s">
        <v>1449</v>
      </c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  <c r="AV1085" s="11"/>
      <c r="AW1085" s="11"/>
      <c r="AX1085" s="11"/>
      <c r="AY1085" s="11"/>
    </row>
    <row r="1086" spans="1:51" hidden="1" x14ac:dyDescent="0.2">
      <c r="A1086" s="6" t="s">
        <v>17</v>
      </c>
      <c r="B1086" t="s">
        <v>1002</v>
      </c>
      <c r="C1086" t="s">
        <v>1003</v>
      </c>
      <c r="D1086" t="s">
        <v>1450</v>
      </c>
      <c r="E1086" s="2">
        <v>1145.8699999999999</v>
      </c>
      <c r="F1086" s="3">
        <f>DATE(2025,5,20)</f>
        <v>45797</v>
      </c>
      <c r="G1086" s="3">
        <f>DATE(2025,5,20)</f>
        <v>45797</v>
      </c>
      <c r="H1086">
        <v>2186192206</v>
      </c>
      <c r="I1086" t="s">
        <v>21</v>
      </c>
      <c r="K1086" t="s">
        <v>22</v>
      </c>
      <c r="L1086" t="s">
        <v>23</v>
      </c>
      <c r="M1086" t="s">
        <v>24</v>
      </c>
      <c r="N1086" t="s">
        <v>24</v>
      </c>
      <c r="O1086" t="s">
        <v>25</v>
      </c>
      <c r="P1086" s="8" t="s">
        <v>1451</v>
      </c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  <c r="AV1086" s="11"/>
      <c r="AW1086" s="11"/>
      <c r="AX1086" s="11"/>
      <c r="AY1086" s="11"/>
    </row>
    <row r="1087" spans="1:51" hidden="1" x14ac:dyDescent="0.2">
      <c r="A1087" s="6" t="s">
        <v>17</v>
      </c>
      <c r="B1087" t="s">
        <v>878</v>
      </c>
      <c r="C1087" t="s">
        <v>879</v>
      </c>
      <c r="D1087" t="s">
        <v>1452</v>
      </c>
      <c r="E1087" s="2">
        <v>477.72</v>
      </c>
      <c r="F1087" s="3">
        <f>DATE(2025,5,20)</f>
        <v>45797</v>
      </c>
      <c r="G1087" s="3">
        <f>DATE(2025,5,20)</f>
        <v>45797</v>
      </c>
      <c r="H1087">
        <v>2186192207</v>
      </c>
      <c r="I1087" t="s">
        <v>21</v>
      </c>
      <c r="K1087" t="s">
        <v>22</v>
      </c>
      <c r="L1087" t="s">
        <v>23</v>
      </c>
      <c r="M1087" t="s">
        <v>24</v>
      </c>
      <c r="N1087" t="s">
        <v>24</v>
      </c>
      <c r="O1087" t="s">
        <v>25</v>
      </c>
      <c r="P1087" s="8" t="s">
        <v>1453</v>
      </c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  <c r="AS1087" s="11"/>
      <c r="AT1087" s="11"/>
      <c r="AU1087" s="11"/>
      <c r="AV1087" s="11"/>
      <c r="AW1087" s="11"/>
      <c r="AX1087" s="11"/>
      <c r="AY1087" s="11"/>
    </row>
    <row r="1088" spans="1:51" hidden="1" x14ac:dyDescent="0.2">
      <c r="A1088" s="6"/>
      <c r="E1088" s="2"/>
      <c r="F1088" s="3"/>
      <c r="G1088" s="3"/>
      <c r="P1088" s="8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  <c r="AV1088" s="11"/>
      <c r="AW1088" s="11"/>
      <c r="AX1088" s="11"/>
      <c r="AY1088" s="11"/>
    </row>
    <row r="1089" spans="1:51" hidden="1" x14ac:dyDescent="0.2">
      <c r="A1089" s="6"/>
      <c r="E1089" s="2"/>
      <c r="F1089" s="3"/>
      <c r="G1089" s="3"/>
      <c r="P1089" s="8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  <c r="AV1089" s="11"/>
      <c r="AW1089" s="11"/>
      <c r="AX1089" s="11"/>
      <c r="AY1089" s="11"/>
    </row>
    <row r="1090" spans="1:51" hidden="1" x14ac:dyDescent="0.2">
      <c r="A1090" s="6" t="s">
        <v>17</v>
      </c>
      <c r="B1090" t="s">
        <v>54</v>
      </c>
      <c r="C1090" t="s">
        <v>55</v>
      </c>
      <c r="D1090" t="s">
        <v>1454</v>
      </c>
      <c r="E1090" s="2">
        <v>720</v>
      </c>
      <c r="F1090" s="3">
        <f>DATE(2025,5,20)</f>
        <v>45797</v>
      </c>
      <c r="G1090" s="3">
        <f>DATE(2025,5,20)</f>
        <v>45797</v>
      </c>
      <c r="H1090">
        <v>2186192210</v>
      </c>
      <c r="I1090" t="s">
        <v>21</v>
      </c>
      <c r="K1090" t="s">
        <v>22</v>
      </c>
      <c r="L1090" t="s">
        <v>23</v>
      </c>
      <c r="M1090" t="s">
        <v>24</v>
      </c>
      <c r="N1090" t="s">
        <v>24</v>
      </c>
      <c r="O1090" t="s">
        <v>25</v>
      </c>
      <c r="P1090" s="8" t="s">
        <v>1455</v>
      </c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  <c r="AM1090" s="11"/>
      <c r="AN1090" s="11"/>
      <c r="AO1090" s="11"/>
      <c r="AP1090" s="11"/>
      <c r="AQ1090" s="11"/>
      <c r="AR1090" s="11"/>
      <c r="AS1090" s="11"/>
      <c r="AT1090" s="11"/>
      <c r="AU1090" s="11"/>
      <c r="AV1090" s="11"/>
      <c r="AW1090" s="11"/>
      <c r="AX1090" s="11"/>
      <c r="AY1090" s="11"/>
    </row>
    <row r="1091" spans="1:51" hidden="1" x14ac:dyDescent="0.2">
      <c r="A1091" s="6"/>
      <c r="E1091" s="2"/>
      <c r="F1091" s="3"/>
      <c r="G1091" s="3"/>
      <c r="P1091" s="8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  <c r="AW1091" s="11"/>
      <c r="AX1091" s="11"/>
      <c r="AY1091" s="11"/>
    </row>
    <row r="1092" spans="1:51" hidden="1" x14ac:dyDescent="0.2">
      <c r="A1092" s="6"/>
      <c r="E1092" s="2"/>
      <c r="F1092" s="3"/>
      <c r="G1092" s="3"/>
      <c r="P1092" s="8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  <c r="AV1092" s="11"/>
      <c r="AW1092" s="11"/>
      <c r="AX1092" s="11"/>
      <c r="AY1092" s="11"/>
    </row>
    <row r="1093" spans="1:51" hidden="1" x14ac:dyDescent="0.2">
      <c r="A1093" s="6"/>
      <c r="E1093" s="2"/>
      <c r="F1093" s="3"/>
      <c r="G1093" s="3"/>
      <c r="P1093" s="8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  <c r="AV1093" s="11"/>
      <c r="AW1093" s="11"/>
      <c r="AX1093" s="11"/>
      <c r="AY1093" s="11"/>
    </row>
    <row r="1094" spans="1:51" hidden="1" x14ac:dyDescent="0.2">
      <c r="A1094" s="6" t="s">
        <v>17</v>
      </c>
      <c r="B1094" t="s">
        <v>35</v>
      </c>
      <c r="C1094" t="s">
        <v>35</v>
      </c>
      <c r="D1094" t="s">
        <v>1456</v>
      </c>
      <c r="E1094" s="2">
        <v>2.1</v>
      </c>
      <c r="F1094" s="3">
        <f>DATE(2025,5,20)</f>
        <v>45797</v>
      </c>
      <c r="G1094" s="3">
        <f>DATE(2025,5,20)</f>
        <v>45797</v>
      </c>
      <c r="H1094">
        <v>2186192214</v>
      </c>
      <c r="I1094" t="s">
        <v>21</v>
      </c>
      <c r="K1094" t="s">
        <v>22</v>
      </c>
      <c r="L1094" t="s">
        <v>23</v>
      </c>
      <c r="M1094" t="s">
        <v>24</v>
      </c>
      <c r="N1094" t="s">
        <v>24</v>
      </c>
      <c r="O1094" t="s">
        <v>25</v>
      </c>
      <c r="P1094" s="8" t="s">
        <v>1457</v>
      </c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11"/>
      <c r="AW1094" s="11"/>
      <c r="AX1094" s="11"/>
      <c r="AY1094" s="11"/>
    </row>
    <row r="1095" spans="1:51" hidden="1" x14ac:dyDescent="0.2">
      <c r="A1095" s="6"/>
      <c r="E1095" s="2"/>
      <c r="F1095" s="3"/>
      <c r="G1095" s="3"/>
      <c r="P1095" s="8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  <c r="AV1095" s="11"/>
      <c r="AW1095" s="11"/>
      <c r="AX1095" s="11"/>
      <c r="AY1095" s="11"/>
    </row>
    <row r="1096" spans="1:51" hidden="1" x14ac:dyDescent="0.2">
      <c r="A1096" s="6"/>
      <c r="E1096" s="2"/>
      <c r="F1096" s="3"/>
      <c r="G1096" s="3"/>
      <c r="P1096" s="8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  <c r="AV1096" s="11"/>
      <c r="AW1096" s="11"/>
      <c r="AX1096" s="11"/>
      <c r="AY1096" s="11"/>
    </row>
    <row r="1097" spans="1:51" hidden="1" x14ac:dyDescent="0.2">
      <c r="A1097" s="6" t="s">
        <v>17</v>
      </c>
      <c r="B1097" t="s">
        <v>31</v>
      </c>
      <c r="C1097" t="s">
        <v>32</v>
      </c>
      <c r="D1097" t="s">
        <v>1458</v>
      </c>
      <c r="E1097" s="2">
        <v>27.99</v>
      </c>
      <c r="F1097" s="3">
        <f t="shared" ref="F1097:G1100" si="97">DATE(2025,5,19)</f>
        <v>45796</v>
      </c>
      <c r="G1097" s="3">
        <f t="shared" si="97"/>
        <v>45796</v>
      </c>
      <c r="H1097">
        <v>2186192217</v>
      </c>
      <c r="I1097" t="s">
        <v>21</v>
      </c>
      <c r="K1097" t="s">
        <v>22</v>
      </c>
      <c r="L1097" t="s">
        <v>23</v>
      </c>
      <c r="M1097" t="s">
        <v>24</v>
      </c>
      <c r="N1097" t="s">
        <v>24</v>
      </c>
      <c r="O1097" t="s">
        <v>25</v>
      </c>
      <c r="P1097" s="8" t="s">
        <v>1459</v>
      </c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  <c r="AW1097" s="11"/>
      <c r="AX1097" s="11"/>
      <c r="AY1097" s="11"/>
    </row>
    <row r="1098" spans="1:51" hidden="1" x14ac:dyDescent="0.2">
      <c r="A1098" s="6" t="s">
        <v>17</v>
      </c>
      <c r="B1098" t="s">
        <v>589</v>
      </c>
      <c r="C1098" t="s">
        <v>590</v>
      </c>
      <c r="D1098" t="s">
        <v>1460</v>
      </c>
      <c r="E1098" s="2">
        <v>652.91</v>
      </c>
      <c r="F1098" s="3">
        <f t="shared" si="97"/>
        <v>45796</v>
      </c>
      <c r="G1098" s="3">
        <f t="shared" si="97"/>
        <v>45796</v>
      </c>
      <c r="H1098">
        <v>2186192218</v>
      </c>
      <c r="I1098" t="s">
        <v>21</v>
      </c>
      <c r="K1098" t="s">
        <v>22</v>
      </c>
      <c r="L1098" t="s">
        <v>23</v>
      </c>
      <c r="M1098" t="s">
        <v>24</v>
      </c>
      <c r="N1098" t="s">
        <v>24</v>
      </c>
      <c r="O1098" t="s">
        <v>25</v>
      </c>
      <c r="P1098" s="8" t="s">
        <v>1461</v>
      </c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  <c r="AV1098" s="11"/>
      <c r="AW1098" s="11"/>
      <c r="AX1098" s="11"/>
      <c r="AY1098" s="11"/>
    </row>
    <row r="1099" spans="1:51" hidden="1" x14ac:dyDescent="0.2">
      <c r="A1099" s="6" t="s">
        <v>17</v>
      </c>
      <c r="B1099" t="s">
        <v>266</v>
      </c>
      <c r="C1099" t="s">
        <v>267</v>
      </c>
      <c r="D1099" t="s">
        <v>1462</v>
      </c>
      <c r="E1099" s="2">
        <v>532.24</v>
      </c>
      <c r="F1099" s="3">
        <f t="shared" si="97"/>
        <v>45796</v>
      </c>
      <c r="G1099" s="3">
        <f t="shared" si="97"/>
        <v>45796</v>
      </c>
      <c r="H1099">
        <v>2186192219</v>
      </c>
      <c r="I1099" t="s">
        <v>21</v>
      </c>
      <c r="K1099" t="s">
        <v>22</v>
      </c>
      <c r="L1099" t="s">
        <v>23</v>
      </c>
      <c r="M1099" t="s">
        <v>24</v>
      </c>
      <c r="N1099" t="s">
        <v>24</v>
      </c>
      <c r="O1099" t="s">
        <v>25</v>
      </c>
      <c r="P1099" s="8" t="s">
        <v>1463</v>
      </c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  <c r="AV1099" s="11"/>
      <c r="AW1099" s="11"/>
      <c r="AX1099" s="11"/>
      <c r="AY1099" s="11"/>
    </row>
    <row r="1100" spans="1:51" hidden="1" x14ac:dyDescent="0.2">
      <c r="A1100" s="6" t="s">
        <v>17</v>
      </c>
      <c r="B1100" t="s">
        <v>266</v>
      </c>
      <c r="C1100" t="s">
        <v>267</v>
      </c>
      <c r="D1100" t="s">
        <v>1464</v>
      </c>
      <c r="E1100" s="2">
        <v>300</v>
      </c>
      <c r="F1100" s="3">
        <f t="shared" si="97"/>
        <v>45796</v>
      </c>
      <c r="G1100" s="3">
        <f t="shared" si="97"/>
        <v>45796</v>
      </c>
      <c r="H1100">
        <v>2186192220</v>
      </c>
      <c r="I1100" t="s">
        <v>21</v>
      </c>
      <c r="K1100" t="s">
        <v>22</v>
      </c>
      <c r="L1100" t="s">
        <v>23</v>
      </c>
      <c r="M1100" t="s">
        <v>24</v>
      </c>
      <c r="N1100" t="s">
        <v>24</v>
      </c>
      <c r="O1100" t="s">
        <v>25</v>
      </c>
      <c r="P1100" s="8" t="s">
        <v>1465</v>
      </c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  <c r="AV1100" s="11"/>
      <c r="AW1100" s="11"/>
      <c r="AX1100" s="11"/>
      <c r="AY1100" s="11"/>
    </row>
    <row r="1101" spans="1:51" hidden="1" x14ac:dyDescent="0.2">
      <c r="A1101" s="6" t="s">
        <v>17</v>
      </c>
      <c r="B1101" t="s">
        <v>980</v>
      </c>
      <c r="C1101" t="s">
        <v>981</v>
      </c>
      <c r="D1101" t="s">
        <v>1466</v>
      </c>
      <c r="E1101" s="2">
        <v>128.77000000000001</v>
      </c>
      <c r="F1101" s="3">
        <f>DATE(2025,5,20)</f>
        <v>45797</v>
      </c>
      <c r="G1101" s="3">
        <f>DATE(2025,5,20)</f>
        <v>45797</v>
      </c>
      <c r="H1101">
        <v>2186192221</v>
      </c>
      <c r="I1101" t="s">
        <v>21</v>
      </c>
      <c r="K1101" t="s">
        <v>22</v>
      </c>
      <c r="L1101" t="s">
        <v>23</v>
      </c>
      <c r="M1101" t="s">
        <v>24</v>
      </c>
      <c r="N1101" t="s">
        <v>24</v>
      </c>
      <c r="O1101" t="s">
        <v>25</v>
      </c>
      <c r="P1101" s="8" t="s">
        <v>1467</v>
      </c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11"/>
      <c r="AW1101" s="11"/>
      <c r="AX1101" s="11"/>
      <c r="AY1101" s="11"/>
    </row>
    <row r="1102" spans="1:51" hidden="1" x14ac:dyDescent="0.2">
      <c r="A1102" s="6"/>
      <c r="E1102" s="2"/>
      <c r="F1102" s="3"/>
      <c r="G1102" s="3"/>
      <c r="P1102" s="8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  <c r="AV1102" s="11"/>
      <c r="AW1102" s="11"/>
      <c r="AX1102" s="11"/>
      <c r="AY1102" s="11"/>
    </row>
    <row r="1103" spans="1:51" hidden="1" x14ac:dyDescent="0.2">
      <c r="A1103" s="6"/>
      <c r="E1103" s="2"/>
      <c r="F1103" s="3"/>
      <c r="G1103" s="3"/>
      <c r="P1103" s="8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  <c r="AW1103" s="11"/>
      <c r="AX1103" s="11"/>
      <c r="AY1103" s="11"/>
    </row>
    <row r="1104" spans="1:51" hidden="1" x14ac:dyDescent="0.2">
      <c r="A1104" s="6"/>
      <c r="E1104" s="2"/>
      <c r="F1104" s="3"/>
      <c r="G1104" s="3"/>
      <c r="P1104" s="8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  <c r="AV1104" s="11"/>
      <c r="AW1104" s="11"/>
      <c r="AX1104" s="11"/>
      <c r="AY1104" s="11"/>
    </row>
    <row r="1105" spans="1:51" hidden="1" x14ac:dyDescent="0.2">
      <c r="A1105" s="6" t="s">
        <v>17</v>
      </c>
      <c r="B1105" t="s">
        <v>118</v>
      </c>
      <c r="C1105" t="s">
        <v>119</v>
      </c>
      <c r="D1105" t="s">
        <v>1468</v>
      </c>
      <c r="E1105" s="2">
        <v>65.98</v>
      </c>
      <c r="F1105" s="3">
        <f>DATE(2025,5,20)</f>
        <v>45797</v>
      </c>
      <c r="G1105" s="3">
        <f>DATE(2025,5,20)</f>
        <v>45797</v>
      </c>
      <c r="H1105">
        <v>2194235868</v>
      </c>
      <c r="I1105" t="s">
        <v>158</v>
      </c>
      <c r="K1105" t="s">
        <v>22</v>
      </c>
      <c r="L1105" t="s">
        <v>23</v>
      </c>
      <c r="M1105" t="s">
        <v>24</v>
      </c>
      <c r="N1105" t="s">
        <v>24</v>
      </c>
      <c r="O1105" t="s">
        <v>25</v>
      </c>
      <c r="P1105" s="8" t="s">
        <v>1469</v>
      </c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11"/>
      <c r="AW1105" s="11"/>
      <c r="AX1105" s="11"/>
      <c r="AY1105" s="11"/>
    </row>
    <row r="1106" spans="1:51" hidden="1" x14ac:dyDescent="0.2">
      <c r="A1106" s="6" t="s">
        <v>17</v>
      </c>
      <c r="B1106" t="s">
        <v>118</v>
      </c>
      <c r="C1106" t="s">
        <v>119</v>
      </c>
      <c r="D1106" t="s">
        <v>1470</v>
      </c>
      <c r="E1106" s="2">
        <v>32.99</v>
      </c>
      <c r="F1106" s="3">
        <f>DATE(2025,5,21)</f>
        <v>45798</v>
      </c>
      <c r="G1106" s="3">
        <f>DATE(2025,5,21)</f>
        <v>45798</v>
      </c>
      <c r="H1106">
        <v>2194235869</v>
      </c>
      <c r="I1106" t="s">
        <v>158</v>
      </c>
      <c r="K1106" t="s">
        <v>22</v>
      </c>
      <c r="L1106" t="s">
        <v>23</v>
      </c>
      <c r="M1106" t="s">
        <v>24</v>
      </c>
      <c r="N1106" t="s">
        <v>24</v>
      </c>
      <c r="O1106" t="s">
        <v>25</v>
      </c>
      <c r="P1106" s="8" t="s">
        <v>1471</v>
      </c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1"/>
      <c r="AY1106" s="11"/>
    </row>
    <row r="1107" spans="1:51" hidden="1" x14ac:dyDescent="0.2">
      <c r="A1107" s="6" t="s">
        <v>17</v>
      </c>
      <c r="B1107" t="s">
        <v>132</v>
      </c>
      <c r="C1107" t="s">
        <v>133</v>
      </c>
      <c r="D1107" t="s">
        <v>1472</v>
      </c>
      <c r="E1107" s="2">
        <v>77.92</v>
      </c>
      <c r="F1107" s="3">
        <f>DATE(2025,5,20)</f>
        <v>45797</v>
      </c>
      <c r="G1107" s="3">
        <f>DATE(2025,5,20)</f>
        <v>45797</v>
      </c>
      <c r="H1107">
        <v>2194235870</v>
      </c>
      <c r="I1107" t="s">
        <v>158</v>
      </c>
      <c r="K1107" t="s">
        <v>22</v>
      </c>
      <c r="L1107" t="s">
        <v>23</v>
      </c>
      <c r="M1107" t="s">
        <v>24</v>
      </c>
      <c r="N1107" t="s">
        <v>24</v>
      </c>
      <c r="O1107" t="s">
        <v>25</v>
      </c>
      <c r="P1107" s="8" t="s">
        <v>1473</v>
      </c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  <c r="AW1107" s="11"/>
      <c r="AX1107" s="11"/>
      <c r="AY1107" s="11"/>
    </row>
    <row r="1108" spans="1:51" hidden="1" x14ac:dyDescent="0.2">
      <c r="A1108" s="6" t="s">
        <v>17</v>
      </c>
      <c r="B1108" t="s">
        <v>35</v>
      </c>
      <c r="C1108" t="s">
        <v>35</v>
      </c>
      <c r="D1108" t="s">
        <v>1474</v>
      </c>
      <c r="E1108" s="2">
        <v>4.3499999999999996</v>
      </c>
      <c r="F1108" s="3">
        <f t="shared" ref="F1108:G1110" si="98">DATE(2025,5,21)</f>
        <v>45798</v>
      </c>
      <c r="G1108" s="3">
        <f t="shared" si="98"/>
        <v>45798</v>
      </c>
      <c r="H1108">
        <v>2194235872</v>
      </c>
      <c r="I1108" t="s">
        <v>21</v>
      </c>
      <c r="K1108" t="s">
        <v>22</v>
      </c>
      <c r="L1108" t="s">
        <v>23</v>
      </c>
      <c r="M1108" t="s">
        <v>24</v>
      </c>
      <c r="N1108" t="s">
        <v>24</v>
      </c>
      <c r="O1108" t="s">
        <v>25</v>
      </c>
      <c r="P1108" s="8" t="s">
        <v>1475</v>
      </c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  <c r="AV1108" s="11"/>
      <c r="AW1108" s="11"/>
      <c r="AX1108" s="11"/>
      <c r="AY1108" s="11"/>
    </row>
    <row r="1109" spans="1:51" hidden="1" x14ac:dyDescent="0.2">
      <c r="A1109" s="6"/>
      <c r="E1109" s="2"/>
      <c r="F1109" s="3"/>
      <c r="G1109" s="3"/>
      <c r="P1109" s="8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  <c r="AW1109" s="11"/>
      <c r="AX1109" s="11"/>
      <c r="AY1109" s="11"/>
    </row>
    <row r="1110" spans="1:51" hidden="1" x14ac:dyDescent="0.2">
      <c r="A1110" s="6" t="s">
        <v>17</v>
      </c>
      <c r="B1110" t="s">
        <v>287</v>
      </c>
      <c r="C1110" t="s">
        <v>288</v>
      </c>
      <c r="D1110" t="s">
        <v>1476</v>
      </c>
      <c r="E1110" s="2">
        <v>692</v>
      </c>
      <c r="F1110" s="3">
        <f t="shared" si="98"/>
        <v>45798</v>
      </c>
      <c r="G1110" s="3">
        <f t="shared" si="98"/>
        <v>45798</v>
      </c>
      <c r="H1110">
        <v>2194235874</v>
      </c>
      <c r="I1110" t="s">
        <v>21</v>
      </c>
      <c r="K1110" t="s">
        <v>22</v>
      </c>
      <c r="L1110" t="s">
        <v>23</v>
      </c>
      <c r="M1110" t="s">
        <v>24</v>
      </c>
      <c r="N1110" t="s">
        <v>24</v>
      </c>
      <c r="O1110" t="s">
        <v>25</v>
      </c>
      <c r="P1110" s="8" t="s">
        <v>1477</v>
      </c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s="11"/>
      <c r="AR1110" s="11"/>
      <c r="AS1110" s="11"/>
      <c r="AT1110" s="11"/>
      <c r="AU1110" s="11"/>
      <c r="AV1110" s="11"/>
      <c r="AW1110" s="11"/>
      <c r="AX1110" s="11"/>
      <c r="AY1110" s="11"/>
    </row>
    <row r="1111" spans="1:51" hidden="1" x14ac:dyDescent="0.2">
      <c r="A1111" s="6"/>
      <c r="E1111" s="2"/>
      <c r="F1111" s="3"/>
      <c r="G1111" s="3"/>
      <c r="P1111" s="8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  <c r="AV1111" s="11"/>
      <c r="AW1111" s="11"/>
      <c r="AX1111" s="11"/>
      <c r="AY1111" s="11"/>
    </row>
    <row r="1112" spans="1:51" hidden="1" x14ac:dyDescent="0.2">
      <c r="A1112" s="6" t="s">
        <v>17</v>
      </c>
      <c r="B1112" t="s">
        <v>90</v>
      </c>
      <c r="C1112" t="s">
        <v>91</v>
      </c>
      <c r="D1112" t="s">
        <v>1478</v>
      </c>
      <c r="E1112" s="2">
        <v>600</v>
      </c>
      <c r="F1112" s="3">
        <f t="shared" ref="F1112:G1113" si="99">DATE(2025,5,21)</f>
        <v>45798</v>
      </c>
      <c r="G1112" s="3">
        <f t="shared" si="99"/>
        <v>45798</v>
      </c>
      <c r="H1112">
        <v>2194235876</v>
      </c>
      <c r="I1112" t="s">
        <v>21</v>
      </c>
      <c r="K1112" t="s">
        <v>22</v>
      </c>
      <c r="L1112" t="s">
        <v>23</v>
      </c>
      <c r="M1112" t="s">
        <v>24</v>
      </c>
      <c r="N1112" t="s">
        <v>24</v>
      </c>
      <c r="O1112" t="s">
        <v>25</v>
      </c>
      <c r="P1112" s="8" t="s">
        <v>1479</v>
      </c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11"/>
      <c r="AW1112" s="11"/>
      <c r="AX1112" s="11"/>
      <c r="AY1112" s="11"/>
    </row>
    <row r="1113" spans="1:51" hidden="1" x14ac:dyDescent="0.2">
      <c r="A1113" s="6" t="s">
        <v>17</v>
      </c>
      <c r="B1113" t="s">
        <v>60</v>
      </c>
      <c r="C1113" t="s">
        <v>61</v>
      </c>
      <c r="D1113" t="s">
        <v>1480</v>
      </c>
      <c r="E1113" s="2">
        <v>27</v>
      </c>
      <c r="F1113" s="3">
        <f t="shared" si="99"/>
        <v>45798</v>
      </c>
      <c r="G1113" s="3">
        <f t="shared" si="99"/>
        <v>45798</v>
      </c>
      <c r="H1113">
        <v>2194235877</v>
      </c>
      <c r="I1113" t="s">
        <v>21</v>
      </c>
      <c r="K1113" t="s">
        <v>22</v>
      </c>
      <c r="L1113" t="s">
        <v>23</v>
      </c>
      <c r="M1113" t="s">
        <v>24</v>
      </c>
      <c r="N1113" t="s">
        <v>24</v>
      </c>
      <c r="O1113" t="s">
        <v>25</v>
      </c>
      <c r="P1113" s="8" t="s">
        <v>1481</v>
      </c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  <c r="AV1113" s="11"/>
      <c r="AW1113" s="11"/>
      <c r="AX1113" s="11"/>
      <c r="AY1113" s="11"/>
    </row>
    <row r="1114" spans="1:51" hidden="1" x14ac:dyDescent="0.2">
      <c r="A1114" s="6"/>
      <c r="E1114" s="2"/>
      <c r="F1114" s="3"/>
      <c r="G1114" s="3"/>
      <c r="P1114" s="8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  <c r="AS1114" s="11"/>
      <c r="AT1114" s="11"/>
      <c r="AU1114" s="11"/>
      <c r="AV1114" s="11"/>
      <c r="AW1114" s="11"/>
      <c r="AX1114" s="11"/>
      <c r="AY1114" s="11"/>
    </row>
    <row r="1115" spans="1:51" hidden="1" x14ac:dyDescent="0.2">
      <c r="A1115" s="6"/>
      <c r="E1115" s="2"/>
      <c r="F1115" s="3"/>
      <c r="G1115" s="3"/>
      <c r="P1115" s="8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  <c r="AW1115" s="11"/>
      <c r="AX1115" s="11"/>
      <c r="AY1115" s="11"/>
    </row>
    <row r="1116" spans="1:51" hidden="1" x14ac:dyDescent="0.2">
      <c r="A1116" s="6"/>
      <c r="E1116" s="2"/>
      <c r="F1116" s="3"/>
      <c r="G1116" s="3"/>
      <c r="P1116" s="8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  <c r="AV1116" s="11"/>
      <c r="AW1116" s="11"/>
      <c r="AX1116" s="11"/>
      <c r="AY1116" s="11"/>
    </row>
    <row r="1117" spans="1:51" hidden="1" x14ac:dyDescent="0.2">
      <c r="A1117" s="6"/>
      <c r="E1117" s="2"/>
      <c r="F1117" s="3"/>
      <c r="G1117" s="3"/>
      <c r="P1117" s="8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  <c r="AV1117" s="11"/>
      <c r="AW1117" s="11"/>
      <c r="AX1117" s="11"/>
      <c r="AY1117" s="11"/>
    </row>
    <row r="1118" spans="1:51" hidden="1" x14ac:dyDescent="0.2">
      <c r="A1118" s="6" t="s">
        <v>17</v>
      </c>
      <c r="B1118" t="s">
        <v>155</v>
      </c>
      <c r="C1118" t="s">
        <v>156</v>
      </c>
      <c r="D1118" t="s">
        <v>1482</v>
      </c>
      <c r="E1118" s="2">
        <v>7.99</v>
      </c>
      <c r="F1118" s="3">
        <f>DATE(2025,5,21)</f>
        <v>45798</v>
      </c>
      <c r="G1118" s="3">
        <f>DATE(2025,5,21)</f>
        <v>45798</v>
      </c>
      <c r="H1118">
        <v>2201580859</v>
      </c>
      <c r="I1118" t="s">
        <v>158</v>
      </c>
      <c r="K1118" t="s">
        <v>22</v>
      </c>
      <c r="L1118" t="s">
        <v>23</v>
      </c>
      <c r="M1118" t="s">
        <v>24</v>
      </c>
      <c r="N1118" t="s">
        <v>24</v>
      </c>
      <c r="O1118" t="s">
        <v>25</v>
      </c>
      <c r="P1118" s="8" t="s">
        <v>1483</v>
      </c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  <c r="AV1118" s="11"/>
      <c r="AW1118" s="11"/>
      <c r="AX1118" s="11"/>
      <c r="AY1118" s="11"/>
    </row>
    <row r="1119" spans="1:51" hidden="1" x14ac:dyDescent="0.2">
      <c r="A1119" s="6"/>
      <c r="E1119" s="2"/>
      <c r="F1119" s="3"/>
      <c r="G1119" s="3"/>
      <c r="P1119" s="8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  <c r="AV1119" s="11"/>
      <c r="AW1119" s="11"/>
      <c r="AX1119" s="11"/>
      <c r="AY1119" s="11"/>
    </row>
    <row r="1120" spans="1:51" hidden="1" x14ac:dyDescent="0.2">
      <c r="A1120" s="6"/>
      <c r="E1120" s="2"/>
      <c r="F1120" s="3"/>
      <c r="G1120" s="3"/>
      <c r="P1120" s="8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s="11"/>
      <c r="AR1120" s="11"/>
      <c r="AS1120" s="11"/>
      <c r="AT1120" s="11"/>
      <c r="AU1120" s="11"/>
      <c r="AV1120" s="11"/>
      <c r="AW1120" s="11"/>
      <c r="AX1120" s="11"/>
      <c r="AY1120" s="11"/>
    </row>
    <row r="1121" spans="1:51" hidden="1" x14ac:dyDescent="0.2">
      <c r="A1121" s="6"/>
      <c r="E1121" s="2"/>
      <c r="F1121" s="3"/>
      <c r="G1121" s="3"/>
      <c r="P1121" s="8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1"/>
      <c r="AM1121" s="11"/>
      <c r="AN1121" s="11"/>
      <c r="AO1121" s="11"/>
      <c r="AP1121" s="11"/>
      <c r="AQ1121" s="11"/>
      <c r="AR1121" s="11"/>
      <c r="AS1121" s="11"/>
      <c r="AT1121" s="11"/>
      <c r="AU1121" s="11"/>
      <c r="AV1121" s="11"/>
      <c r="AW1121" s="11"/>
      <c r="AX1121" s="11"/>
      <c r="AY1121" s="11"/>
    </row>
    <row r="1122" spans="1:51" hidden="1" x14ac:dyDescent="0.2">
      <c r="A1122" s="6"/>
      <c r="E1122" s="2"/>
      <c r="F1122" s="3"/>
      <c r="G1122" s="3"/>
      <c r="P1122" s="8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s="11"/>
      <c r="AR1122" s="11"/>
      <c r="AS1122" s="11"/>
      <c r="AT1122" s="11"/>
      <c r="AU1122" s="11"/>
      <c r="AV1122" s="11"/>
      <c r="AW1122" s="11"/>
      <c r="AX1122" s="11"/>
      <c r="AY1122" s="11"/>
    </row>
    <row r="1123" spans="1:51" hidden="1" x14ac:dyDescent="0.2">
      <c r="A1123" s="6"/>
      <c r="E1123" s="2"/>
      <c r="F1123" s="3"/>
      <c r="G1123" s="3"/>
      <c r="P1123" s="8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11"/>
      <c r="AM1123" s="11"/>
      <c r="AN1123" s="11"/>
      <c r="AO1123" s="11"/>
      <c r="AP1123" s="11"/>
      <c r="AQ1123" s="11"/>
      <c r="AR1123" s="11"/>
      <c r="AS1123" s="11"/>
      <c r="AT1123" s="11"/>
      <c r="AU1123" s="11"/>
      <c r="AV1123" s="11"/>
      <c r="AW1123" s="11"/>
      <c r="AX1123" s="11"/>
      <c r="AY1123" s="11"/>
    </row>
    <row r="1124" spans="1:51" hidden="1" x14ac:dyDescent="0.2">
      <c r="A1124" s="6" t="s">
        <v>17</v>
      </c>
      <c r="B1124" t="s">
        <v>42</v>
      </c>
      <c r="C1124" t="s">
        <v>43</v>
      </c>
      <c r="D1124" t="s">
        <v>1484</v>
      </c>
      <c r="E1124" s="2">
        <v>2509.06</v>
      </c>
      <c r="F1124" s="3">
        <f t="shared" ref="F1124:G1127" si="100">DATE(2025,5,23)</f>
        <v>45800</v>
      </c>
      <c r="G1124" s="3">
        <f t="shared" si="100"/>
        <v>45800</v>
      </c>
      <c r="H1124">
        <v>2205795193</v>
      </c>
      <c r="I1124" t="s">
        <v>21</v>
      </c>
      <c r="K1124" t="s">
        <v>22</v>
      </c>
      <c r="L1124" t="s">
        <v>23</v>
      </c>
      <c r="M1124" t="s">
        <v>24</v>
      </c>
      <c r="N1124" t="s">
        <v>24</v>
      </c>
      <c r="O1124" t="s">
        <v>25</v>
      </c>
      <c r="P1124" s="8" t="s">
        <v>1485</v>
      </c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11"/>
      <c r="AW1124" s="11"/>
      <c r="AX1124" s="11"/>
      <c r="AY1124" s="11"/>
    </row>
    <row r="1125" spans="1:51" hidden="1" x14ac:dyDescent="0.2">
      <c r="A1125" s="6"/>
      <c r="E1125" s="2"/>
      <c r="F1125" s="3"/>
      <c r="G1125" s="3"/>
      <c r="P1125" s="8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  <c r="AV1125" s="11"/>
      <c r="AW1125" s="11"/>
      <c r="AX1125" s="11"/>
      <c r="AY1125" s="11"/>
    </row>
    <row r="1126" spans="1:51" hidden="1" x14ac:dyDescent="0.2">
      <c r="A1126" s="6" t="s">
        <v>17</v>
      </c>
      <c r="B1126" t="s">
        <v>31</v>
      </c>
      <c r="C1126" t="s">
        <v>32</v>
      </c>
      <c r="D1126" t="s">
        <v>1486</v>
      </c>
      <c r="E1126" s="2">
        <v>80.400000000000006</v>
      </c>
      <c r="F1126" s="3">
        <f t="shared" si="100"/>
        <v>45800</v>
      </c>
      <c r="G1126" s="3">
        <f t="shared" si="100"/>
        <v>45800</v>
      </c>
      <c r="H1126">
        <v>2205795195</v>
      </c>
      <c r="I1126" t="s">
        <v>21</v>
      </c>
      <c r="K1126" t="s">
        <v>22</v>
      </c>
      <c r="L1126" t="s">
        <v>23</v>
      </c>
      <c r="M1126" t="s">
        <v>24</v>
      </c>
      <c r="N1126" t="s">
        <v>24</v>
      </c>
      <c r="O1126" t="s">
        <v>25</v>
      </c>
      <c r="P1126" s="8" t="s">
        <v>1487</v>
      </c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11"/>
      <c r="AT1126" s="11"/>
      <c r="AU1126" s="11"/>
      <c r="AV1126" s="11"/>
      <c r="AW1126" s="11"/>
      <c r="AX1126" s="11"/>
      <c r="AY1126" s="11"/>
    </row>
    <row r="1127" spans="1:51" hidden="1" x14ac:dyDescent="0.2">
      <c r="A1127" s="6" t="s">
        <v>17</v>
      </c>
      <c r="B1127" t="s">
        <v>31</v>
      </c>
      <c r="C1127" t="s">
        <v>32</v>
      </c>
      <c r="D1127" t="s">
        <v>1488</v>
      </c>
      <c r="E1127" s="2">
        <v>51.99</v>
      </c>
      <c r="F1127" s="3">
        <f t="shared" si="100"/>
        <v>45800</v>
      </c>
      <c r="G1127" s="3">
        <f t="shared" si="100"/>
        <v>45800</v>
      </c>
      <c r="H1127">
        <v>2205795196</v>
      </c>
      <c r="I1127" t="s">
        <v>21</v>
      </c>
      <c r="K1127" t="s">
        <v>22</v>
      </c>
      <c r="L1127" t="s">
        <v>23</v>
      </c>
      <c r="M1127" t="s">
        <v>24</v>
      </c>
      <c r="N1127" t="s">
        <v>24</v>
      </c>
      <c r="O1127" t="s">
        <v>25</v>
      </c>
      <c r="P1127" s="8" t="s">
        <v>1489</v>
      </c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1"/>
      <c r="AY1127" s="11"/>
    </row>
    <row r="1128" spans="1:51" hidden="1" x14ac:dyDescent="0.2">
      <c r="A1128" s="6" t="s">
        <v>17</v>
      </c>
      <c r="B1128" t="s">
        <v>35</v>
      </c>
      <c r="C1128" t="s">
        <v>35</v>
      </c>
      <c r="D1128" t="s">
        <v>1490</v>
      </c>
      <c r="E1128" s="2">
        <v>12</v>
      </c>
      <c r="F1128" s="3">
        <f>DATE(2025,5,24)</f>
        <v>45801</v>
      </c>
      <c r="G1128" s="3">
        <f>DATE(2025,5,24)</f>
        <v>45801</v>
      </c>
      <c r="H1128">
        <v>2205795197</v>
      </c>
      <c r="I1128" t="s">
        <v>21</v>
      </c>
      <c r="K1128" t="s">
        <v>22</v>
      </c>
      <c r="L1128" t="s">
        <v>23</v>
      </c>
      <c r="M1128" t="s">
        <v>24</v>
      </c>
      <c r="N1128" t="s">
        <v>24</v>
      </c>
      <c r="O1128" t="s">
        <v>25</v>
      </c>
      <c r="P1128" s="8" t="s">
        <v>1491</v>
      </c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s="11"/>
      <c r="AR1128" s="11"/>
      <c r="AS1128" s="11"/>
      <c r="AT1128" s="11"/>
      <c r="AU1128" s="11"/>
      <c r="AV1128" s="11"/>
      <c r="AW1128" s="11"/>
      <c r="AX1128" s="11"/>
      <c r="AY1128" s="11"/>
    </row>
    <row r="1129" spans="1:51" hidden="1" x14ac:dyDescent="0.2">
      <c r="A1129" s="6"/>
      <c r="E1129" s="2"/>
      <c r="F1129" s="3"/>
      <c r="G1129" s="3"/>
      <c r="P1129" s="8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  <c r="AS1129" s="11"/>
      <c r="AT1129" s="11"/>
      <c r="AU1129" s="11"/>
      <c r="AV1129" s="11"/>
      <c r="AW1129" s="11"/>
      <c r="AX1129" s="11"/>
      <c r="AY1129" s="11"/>
    </row>
    <row r="1130" spans="1:51" hidden="1" x14ac:dyDescent="0.2">
      <c r="A1130" s="6"/>
      <c r="E1130" s="2"/>
      <c r="F1130" s="3"/>
      <c r="G1130" s="3"/>
      <c r="P1130" s="8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  <c r="AV1130" s="11"/>
      <c r="AW1130" s="11"/>
      <c r="AX1130" s="11"/>
      <c r="AY1130" s="11"/>
    </row>
    <row r="1131" spans="1:51" hidden="1" x14ac:dyDescent="0.2">
      <c r="A1131" s="6"/>
      <c r="E1131" s="2"/>
      <c r="F1131" s="3"/>
      <c r="G1131" s="3"/>
      <c r="P1131" s="8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  <c r="AV1131" s="11"/>
      <c r="AW1131" s="11"/>
      <c r="AX1131" s="11"/>
      <c r="AY1131" s="11"/>
    </row>
    <row r="1132" spans="1:51" hidden="1" x14ac:dyDescent="0.2">
      <c r="A1132" s="6"/>
      <c r="E1132" s="2"/>
      <c r="F1132" s="3"/>
      <c r="G1132" s="3"/>
      <c r="P1132" s="8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s="11"/>
      <c r="AR1132" s="11"/>
      <c r="AS1132" s="11"/>
      <c r="AT1132" s="11"/>
      <c r="AU1132" s="11"/>
      <c r="AV1132" s="11"/>
      <c r="AW1132" s="11"/>
      <c r="AX1132" s="11"/>
      <c r="AY1132" s="11"/>
    </row>
    <row r="1133" spans="1:51" hidden="1" x14ac:dyDescent="0.2">
      <c r="A1133" s="6" t="s">
        <v>17</v>
      </c>
      <c r="B1133" t="s">
        <v>132</v>
      </c>
      <c r="C1133" t="s">
        <v>133</v>
      </c>
      <c r="D1133" t="s">
        <v>1492</v>
      </c>
      <c r="E1133" s="2">
        <v>49.8</v>
      </c>
      <c r="F1133" s="3">
        <f>DATE(2025,5,22)</f>
        <v>45799</v>
      </c>
      <c r="G1133" s="3">
        <f>DATE(2025,5,22)</f>
        <v>45799</v>
      </c>
      <c r="H1133">
        <v>2208536022</v>
      </c>
      <c r="I1133" t="s">
        <v>158</v>
      </c>
      <c r="K1133" t="s">
        <v>22</v>
      </c>
      <c r="L1133" t="s">
        <v>23</v>
      </c>
      <c r="M1133" t="s">
        <v>24</v>
      </c>
      <c r="N1133" t="s">
        <v>24</v>
      </c>
      <c r="O1133" t="s">
        <v>25</v>
      </c>
      <c r="P1133" s="8" t="s">
        <v>1493</v>
      </c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  <c r="AV1133" s="11"/>
      <c r="AW1133" s="11"/>
      <c r="AX1133" s="11"/>
      <c r="AY1133" s="11"/>
    </row>
    <row r="1134" spans="1:51" hidden="1" x14ac:dyDescent="0.2">
      <c r="A1134" s="6" t="s">
        <v>17</v>
      </c>
      <c r="B1134" t="s">
        <v>118</v>
      </c>
      <c r="C1134" t="s">
        <v>119</v>
      </c>
      <c r="D1134" t="s">
        <v>1494</v>
      </c>
      <c r="E1134" s="2">
        <v>512</v>
      </c>
      <c r="F1134" s="3">
        <f>DATE(2025,5,23)</f>
        <v>45800</v>
      </c>
      <c r="G1134" s="3">
        <f>DATE(2025,5,23)</f>
        <v>45800</v>
      </c>
      <c r="H1134">
        <v>2208536023</v>
      </c>
      <c r="I1134" t="s">
        <v>158</v>
      </c>
      <c r="K1134" t="s">
        <v>22</v>
      </c>
      <c r="L1134" t="s">
        <v>23</v>
      </c>
      <c r="M1134" t="s">
        <v>24</v>
      </c>
      <c r="N1134" t="s">
        <v>24</v>
      </c>
      <c r="O1134" t="s">
        <v>25</v>
      </c>
      <c r="P1134" s="8" t="s">
        <v>1495</v>
      </c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  <c r="AV1134" s="11"/>
      <c r="AW1134" s="11"/>
      <c r="AX1134" s="11"/>
      <c r="AY1134" s="11"/>
    </row>
    <row r="1135" spans="1:51" hidden="1" x14ac:dyDescent="0.2">
      <c r="A1135" s="6"/>
      <c r="E1135" s="2"/>
      <c r="F1135" s="3"/>
      <c r="G1135" s="3"/>
      <c r="P1135" s="8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11"/>
      <c r="AT1135" s="11"/>
      <c r="AU1135" s="11"/>
      <c r="AV1135" s="11"/>
      <c r="AW1135" s="11"/>
      <c r="AX1135" s="11"/>
      <c r="AY1135" s="11"/>
    </row>
    <row r="1136" spans="1:51" hidden="1" x14ac:dyDescent="0.2">
      <c r="A1136" s="6"/>
      <c r="E1136" s="2"/>
      <c r="F1136" s="3"/>
      <c r="G1136" s="3"/>
      <c r="P1136" s="8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  <c r="AV1136" s="11"/>
      <c r="AW1136" s="11"/>
      <c r="AX1136" s="11"/>
      <c r="AY1136" s="11"/>
    </row>
    <row r="1137" spans="1:51" hidden="1" x14ac:dyDescent="0.2">
      <c r="A1137" s="6" t="s">
        <v>17</v>
      </c>
      <c r="B1137" t="s">
        <v>1002</v>
      </c>
      <c r="C1137" t="s">
        <v>1003</v>
      </c>
      <c r="D1137" t="s">
        <v>1496</v>
      </c>
      <c r="E1137" s="2">
        <v>1135.22</v>
      </c>
      <c r="F1137" s="3">
        <f>DATE(2025,5,26)</f>
        <v>45803</v>
      </c>
      <c r="G1137" s="3">
        <f>DATE(2025,5,26)</f>
        <v>45803</v>
      </c>
      <c r="H1137">
        <v>2221684320</v>
      </c>
      <c r="I1137" t="s">
        <v>21</v>
      </c>
      <c r="K1137" t="s">
        <v>22</v>
      </c>
      <c r="L1137" t="s">
        <v>23</v>
      </c>
      <c r="M1137" t="s">
        <v>24</v>
      </c>
      <c r="N1137" t="s">
        <v>24</v>
      </c>
      <c r="O1137" t="s">
        <v>25</v>
      </c>
      <c r="P1137" s="8" t="s">
        <v>1497</v>
      </c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11"/>
      <c r="AW1137" s="11"/>
      <c r="AX1137" s="11"/>
      <c r="AY1137" s="11"/>
    </row>
    <row r="1138" spans="1:51" hidden="1" x14ac:dyDescent="0.2">
      <c r="A1138" s="6" t="s">
        <v>17</v>
      </c>
      <c r="B1138" t="s">
        <v>35</v>
      </c>
      <c r="C1138" t="s">
        <v>35</v>
      </c>
      <c r="D1138" t="s">
        <v>1498</v>
      </c>
      <c r="E1138" s="2">
        <v>2.17</v>
      </c>
      <c r="F1138" s="3">
        <f>DATE(2025,5,27)</f>
        <v>45804</v>
      </c>
      <c r="G1138" s="3">
        <f>DATE(2025,5,27)</f>
        <v>45804</v>
      </c>
      <c r="H1138">
        <v>2221684321</v>
      </c>
      <c r="I1138" t="s">
        <v>21</v>
      </c>
      <c r="K1138" t="s">
        <v>22</v>
      </c>
      <c r="L1138" t="s">
        <v>23</v>
      </c>
      <c r="M1138" t="s">
        <v>24</v>
      </c>
      <c r="N1138" t="s">
        <v>24</v>
      </c>
      <c r="O1138" t="s">
        <v>25</v>
      </c>
      <c r="P1138" s="8" t="s">
        <v>1499</v>
      </c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  <c r="AV1138" s="11"/>
      <c r="AW1138" s="11"/>
      <c r="AX1138" s="11"/>
      <c r="AY1138" s="11"/>
    </row>
    <row r="1139" spans="1:51" hidden="1" x14ac:dyDescent="0.2">
      <c r="A1139" s="6"/>
      <c r="E1139" s="2"/>
      <c r="F1139" s="3"/>
      <c r="G1139" s="3"/>
      <c r="P1139" s="8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1"/>
      <c r="AY1139" s="11"/>
    </row>
    <row r="1140" spans="1:51" hidden="1" x14ac:dyDescent="0.2">
      <c r="A1140" s="6" t="s">
        <v>17</v>
      </c>
      <c r="B1140" t="s">
        <v>309</v>
      </c>
      <c r="C1140" t="s">
        <v>310</v>
      </c>
      <c r="D1140" t="s">
        <v>1500</v>
      </c>
      <c r="E1140" s="2">
        <v>2973.46</v>
      </c>
      <c r="F1140" s="3">
        <f>DATE(2025,5,26)</f>
        <v>45803</v>
      </c>
      <c r="G1140" s="3">
        <f>DATE(2025,5,26)</f>
        <v>45803</v>
      </c>
      <c r="H1140">
        <v>2221684323</v>
      </c>
      <c r="I1140" t="s">
        <v>21</v>
      </c>
      <c r="K1140" t="s">
        <v>22</v>
      </c>
      <c r="L1140" t="s">
        <v>23</v>
      </c>
      <c r="M1140" t="s">
        <v>24</v>
      </c>
      <c r="N1140" t="s">
        <v>24</v>
      </c>
      <c r="O1140" t="s">
        <v>25</v>
      </c>
      <c r="P1140" s="8" t="s">
        <v>1501</v>
      </c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11"/>
      <c r="AW1140" s="11"/>
      <c r="AX1140" s="11"/>
      <c r="AY1140" s="11"/>
    </row>
    <row r="1141" spans="1:51" hidden="1" x14ac:dyDescent="0.2">
      <c r="A1141" s="6" t="s">
        <v>17</v>
      </c>
      <c r="B1141" t="s">
        <v>565</v>
      </c>
      <c r="C1141" t="s">
        <v>566</v>
      </c>
      <c r="D1141" t="s">
        <v>1502</v>
      </c>
      <c r="E1141" s="2">
        <v>357.02</v>
      </c>
      <c r="F1141" s="3">
        <f>DATE(2025,5,26)</f>
        <v>45803</v>
      </c>
      <c r="G1141" s="3">
        <f>DATE(2025,5,26)</f>
        <v>45803</v>
      </c>
      <c r="H1141">
        <v>2221684324</v>
      </c>
      <c r="I1141" t="s">
        <v>21</v>
      </c>
      <c r="K1141" t="s">
        <v>22</v>
      </c>
      <c r="L1141" t="s">
        <v>23</v>
      </c>
      <c r="M1141" t="s">
        <v>24</v>
      </c>
      <c r="N1141" t="s">
        <v>24</v>
      </c>
      <c r="O1141" t="s">
        <v>25</v>
      </c>
      <c r="P1141" s="8" t="s">
        <v>1503</v>
      </c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  <c r="AV1141" s="11"/>
      <c r="AW1141" s="11"/>
      <c r="AX1141" s="11"/>
      <c r="AY1141" s="11"/>
    </row>
    <row r="1142" spans="1:51" hidden="1" x14ac:dyDescent="0.2">
      <c r="A1142" s="6"/>
      <c r="E1142" s="2"/>
      <c r="F1142" s="3"/>
      <c r="G1142" s="3"/>
      <c r="P1142" s="8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11"/>
      <c r="AW1142" s="11"/>
      <c r="AX1142" s="11"/>
      <c r="AY1142" s="11"/>
    </row>
    <row r="1143" spans="1:51" hidden="1" x14ac:dyDescent="0.2">
      <c r="A1143" s="6" t="s">
        <v>17</v>
      </c>
      <c r="B1143" t="s">
        <v>46</v>
      </c>
      <c r="C1143" t="s">
        <v>47</v>
      </c>
      <c r="D1143" t="s">
        <v>1504</v>
      </c>
      <c r="E1143" s="2">
        <v>720</v>
      </c>
      <c r="F1143" s="3">
        <f>DATE(2025,5,26)</f>
        <v>45803</v>
      </c>
      <c r="G1143" s="3">
        <f>DATE(2025,5,26)</f>
        <v>45803</v>
      </c>
      <c r="H1143">
        <v>2221684326</v>
      </c>
      <c r="I1143" t="s">
        <v>21</v>
      </c>
      <c r="K1143" t="s">
        <v>22</v>
      </c>
      <c r="L1143" t="s">
        <v>23</v>
      </c>
      <c r="M1143" t="s">
        <v>24</v>
      </c>
      <c r="N1143" t="s">
        <v>24</v>
      </c>
      <c r="O1143" t="s">
        <v>25</v>
      </c>
      <c r="P1143" s="8" t="s">
        <v>1505</v>
      </c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11"/>
      <c r="AW1143" s="11"/>
      <c r="AX1143" s="11"/>
      <c r="AY1143" s="11"/>
    </row>
    <row r="1144" spans="1:51" hidden="1" x14ac:dyDescent="0.2">
      <c r="A1144" s="6" t="s">
        <v>17</v>
      </c>
      <c r="B1144" t="s">
        <v>31</v>
      </c>
      <c r="C1144" t="s">
        <v>32</v>
      </c>
      <c r="D1144" t="s">
        <v>1506</v>
      </c>
      <c r="E1144" s="2">
        <v>70.209999999999994</v>
      </c>
      <c r="F1144" s="3">
        <f>DATE(2025,5,26)</f>
        <v>45803</v>
      </c>
      <c r="G1144" s="3">
        <f>DATE(2025,5,26)</f>
        <v>45803</v>
      </c>
      <c r="H1144">
        <v>2221684327</v>
      </c>
      <c r="I1144" t="s">
        <v>21</v>
      </c>
      <c r="K1144" t="s">
        <v>22</v>
      </c>
      <c r="L1144" t="s">
        <v>23</v>
      </c>
      <c r="M1144" t="s">
        <v>24</v>
      </c>
      <c r="N1144" t="s">
        <v>24</v>
      </c>
      <c r="O1144" t="s">
        <v>25</v>
      </c>
      <c r="P1144" s="8" t="s">
        <v>1507</v>
      </c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11"/>
      <c r="AL1144" s="11"/>
      <c r="AM1144" s="11"/>
      <c r="AN1144" s="11"/>
      <c r="AO1144" s="11"/>
      <c r="AP1144" s="11"/>
      <c r="AQ1144" s="11"/>
      <c r="AR1144" s="11"/>
      <c r="AS1144" s="11"/>
      <c r="AT1144" s="11"/>
      <c r="AU1144" s="11"/>
      <c r="AV1144" s="11"/>
      <c r="AW1144" s="11"/>
      <c r="AX1144" s="11"/>
      <c r="AY1144" s="11"/>
    </row>
    <row r="1145" spans="1:51" hidden="1" x14ac:dyDescent="0.2">
      <c r="A1145" s="6"/>
      <c r="E1145" s="2"/>
      <c r="F1145" s="3"/>
      <c r="G1145" s="3"/>
      <c r="P1145" s="8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  <c r="AV1145" s="11"/>
      <c r="AW1145" s="11"/>
      <c r="AX1145" s="11"/>
      <c r="AY1145" s="11"/>
    </row>
    <row r="1146" spans="1:51" hidden="1" x14ac:dyDescent="0.2">
      <c r="A1146" s="6"/>
      <c r="E1146" s="2"/>
      <c r="F1146" s="3"/>
      <c r="G1146" s="3"/>
      <c r="P1146" s="8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  <c r="AS1146" s="11"/>
      <c r="AT1146" s="11"/>
      <c r="AU1146" s="11"/>
      <c r="AV1146" s="11"/>
      <c r="AW1146" s="11"/>
      <c r="AX1146" s="11"/>
      <c r="AY1146" s="11"/>
    </row>
    <row r="1147" spans="1:51" hidden="1" x14ac:dyDescent="0.2">
      <c r="A1147" s="6" t="s">
        <v>17</v>
      </c>
      <c r="B1147" t="s">
        <v>118</v>
      </c>
      <c r="C1147" t="s">
        <v>119</v>
      </c>
      <c r="D1147" t="s">
        <v>1508</v>
      </c>
      <c r="E1147" s="2">
        <v>189.98</v>
      </c>
      <c r="F1147" s="3">
        <f>DATE(2025,5,26)</f>
        <v>45803</v>
      </c>
      <c r="G1147" s="3">
        <f>DATE(2025,5,26)</f>
        <v>45803</v>
      </c>
      <c r="H1147">
        <v>2221717054</v>
      </c>
      <c r="I1147" t="s">
        <v>192</v>
      </c>
      <c r="K1147" t="s">
        <v>22</v>
      </c>
      <c r="L1147" t="s">
        <v>23</v>
      </c>
      <c r="M1147" t="s">
        <v>24</v>
      </c>
      <c r="N1147" t="s">
        <v>24</v>
      </c>
      <c r="O1147" t="s">
        <v>25</v>
      </c>
      <c r="P1147" s="8" t="s">
        <v>1509</v>
      </c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s="11"/>
      <c r="AR1147" s="11"/>
      <c r="AS1147" s="11"/>
      <c r="AT1147" s="11"/>
      <c r="AU1147" s="11"/>
      <c r="AV1147" s="11"/>
      <c r="AW1147" s="11"/>
      <c r="AX1147" s="11"/>
      <c r="AY1147" s="11"/>
    </row>
    <row r="1148" spans="1:51" hidden="1" x14ac:dyDescent="0.2">
      <c r="A1148" s="6" t="s">
        <v>17</v>
      </c>
      <c r="B1148" t="s">
        <v>589</v>
      </c>
      <c r="C1148" t="s">
        <v>590</v>
      </c>
      <c r="D1148" t="s">
        <v>1510</v>
      </c>
      <c r="E1148" s="2">
        <v>52.84</v>
      </c>
      <c r="F1148" s="3">
        <f t="shared" ref="F1148:G1148" si="101">DATE(2025,5,27)</f>
        <v>45804</v>
      </c>
      <c r="G1148" s="3">
        <f t="shared" si="101"/>
        <v>45804</v>
      </c>
      <c r="H1148">
        <v>2221717055</v>
      </c>
      <c r="I1148" t="s">
        <v>192</v>
      </c>
      <c r="K1148" t="s">
        <v>22</v>
      </c>
      <c r="L1148" t="s">
        <v>23</v>
      </c>
      <c r="M1148" t="s">
        <v>24</v>
      </c>
      <c r="N1148" t="s">
        <v>24</v>
      </c>
      <c r="O1148" t="s">
        <v>25</v>
      </c>
      <c r="P1148" s="8" t="s">
        <v>1511</v>
      </c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  <c r="AV1148" s="11"/>
      <c r="AW1148" s="11"/>
      <c r="AX1148" s="11"/>
      <c r="AY1148" s="11"/>
    </row>
    <row r="1149" spans="1:51" hidden="1" x14ac:dyDescent="0.2">
      <c r="A1149" s="6"/>
      <c r="E1149" s="2"/>
      <c r="F1149" s="3"/>
      <c r="G1149" s="3"/>
      <c r="P1149" s="8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s="11"/>
      <c r="AR1149" s="11"/>
      <c r="AS1149" s="11"/>
      <c r="AT1149" s="11"/>
      <c r="AU1149" s="11"/>
      <c r="AV1149" s="11"/>
      <c r="AW1149" s="11"/>
      <c r="AX1149" s="11"/>
      <c r="AY1149" s="11"/>
    </row>
    <row r="1150" spans="1:51" hidden="1" x14ac:dyDescent="0.2">
      <c r="A1150" s="6"/>
      <c r="E1150" s="2"/>
      <c r="F1150" s="3"/>
      <c r="G1150" s="3"/>
      <c r="P1150" s="8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  <c r="AS1150" s="11"/>
      <c r="AT1150" s="11"/>
      <c r="AU1150" s="11"/>
      <c r="AV1150" s="11"/>
      <c r="AW1150" s="11"/>
      <c r="AX1150" s="11"/>
      <c r="AY1150" s="11"/>
    </row>
    <row r="1151" spans="1:51" hidden="1" x14ac:dyDescent="0.2">
      <c r="A1151" s="6"/>
      <c r="E1151" s="2"/>
      <c r="F1151" s="3"/>
      <c r="G1151" s="3"/>
      <c r="P1151" s="8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11"/>
      <c r="AW1151" s="11"/>
      <c r="AX1151" s="11"/>
      <c r="AY1151" s="11"/>
    </row>
    <row r="1152" spans="1:51" hidden="1" x14ac:dyDescent="0.2">
      <c r="A1152" s="6" t="s">
        <v>17</v>
      </c>
      <c r="B1152" t="s">
        <v>90</v>
      </c>
      <c r="C1152" t="s">
        <v>91</v>
      </c>
      <c r="D1152" t="s">
        <v>1512</v>
      </c>
      <c r="E1152" s="2">
        <v>200</v>
      </c>
      <c r="F1152" s="3">
        <f t="shared" ref="F1152:G1152" si="102">DATE(2025,5,28)</f>
        <v>45805</v>
      </c>
      <c r="G1152" s="3">
        <f t="shared" si="102"/>
        <v>45805</v>
      </c>
      <c r="H1152">
        <v>2230761400</v>
      </c>
      <c r="I1152" t="s">
        <v>21</v>
      </c>
      <c r="K1152" t="s">
        <v>22</v>
      </c>
      <c r="L1152" t="s">
        <v>23</v>
      </c>
      <c r="M1152" t="s">
        <v>24</v>
      </c>
      <c r="N1152" t="s">
        <v>24</v>
      </c>
      <c r="O1152" t="s">
        <v>25</v>
      </c>
      <c r="P1152" s="8" t="s">
        <v>1513</v>
      </c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  <c r="AT1152" s="11"/>
      <c r="AU1152" s="11"/>
      <c r="AV1152" s="11"/>
      <c r="AW1152" s="11"/>
      <c r="AX1152" s="11"/>
      <c r="AY1152" s="11"/>
    </row>
    <row r="1153" spans="1:51" hidden="1" x14ac:dyDescent="0.2">
      <c r="A1153" s="6"/>
      <c r="E1153" s="2"/>
      <c r="F1153" s="3"/>
      <c r="G1153" s="3"/>
      <c r="P1153" s="8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11"/>
      <c r="AL1153" s="11"/>
      <c r="AM1153" s="11"/>
      <c r="AN1153" s="11"/>
      <c r="AO1153" s="11"/>
      <c r="AP1153" s="11"/>
      <c r="AQ1153" s="11"/>
      <c r="AR1153" s="11"/>
      <c r="AS1153" s="11"/>
      <c r="AT1153" s="11"/>
      <c r="AU1153" s="11"/>
      <c r="AV1153" s="11"/>
      <c r="AW1153" s="11"/>
      <c r="AX1153" s="11"/>
      <c r="AY1153" s="11"/>
    </row>
    <row r="1154" spans="1:51" hidden="1" x14ac:dyDescent="0.2">
      <c r="A1154" s="6"/>
      <c r="E1154" s="2"/>
      <c r="F1154" s="3"/>
      <c r="G1154" s="3"/>
      <c r="P1154" s="8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11"/>
      <c r="AW1154" s="11"/>
      <c r="AX1154" s="11"/>
      <c r="AY1154" s="11"/>
    </row>
    <row r="1155" spans="1:51" hidden="1" x14ac:dyDescent="0.2">
      <c r="A1155" s="6"/>
      <c r="E1155" s="2"/>
      <c r="F1155" s="3"/>
      <c r="G1155" s="3"/>
      <c r="P1155" s="8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s="11"/>
      <c r="AR1155" s="11"/>
      <c r="AS1155" s="11"/>
      <c r="AT1155" s="11"/>
      <c r="AU1155" s="11"/>
      <c r="AV1155" s="11"/>
      <c r="AW1155" s="11"/>
      <c r="AX1155" s="11"/>
      <c r="AY1155" s="11"/>
    </row>
    <row r="1156" spans="1:51" hidden="1" x14ac:dyDescent="0.2">
      <c r="A1156" s="6"/>
      <c r="E1156" s="2"/>
      <c r="F1156" s="3"/>
      <c r="G1156" s="3"/>
      <c r="P1156" s="8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11"/>
      <c r="AL1156" s="11"/>
      <c r="AM1156" s="11"/>
      <c r="AN1156" s="11"/>
      <c r="AO1156" s="11"/>
      <c r="AP1156" s="11"/>
      <c r="AQ1156" s="11"/>
      <c r="AR1156" s="11"/>
      <c r="AS1156" s="11"/>
      <c r="AT1156" s="11"/>
      <c r="AU1156" s="11"/>
      <c r="AV1156" s="11"/>
      <c r="AW1156" s="11"/>
      <c r="AX1156" s="11"/>
      <c r="AY1156" s="11"/>
    </row>
    <row r="1157" spans="1:51" hidden="1" x14ac:dyDescent="0.2">
      <c r="A1157" s="6"/>
      <c r="E1157" s="2"/>
      <c r="F1157" s="3"/>
      <c r="G1157" s="3"/>
      <c r="P1157" s="8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  <c r="AV1157" s="11"/>
      <c r="AW1157" s="11"/>
      <c r="AX1157" s="11"/>
      <c r="AY1157" s="11"/>
    </row>
    <row r="1158" spans="1:51" hidden="1" x14ac:dyDescent="0.2">
      <c r="A1158" s="6" t="s">
        <v>17</v>
      </c>
      <c r="B1158" t="s">
        <v>35</v>
      </c>
      <c r="C1158" t="s">
        <v>35</v>
      </c>
      <c r="D1158" t="s">
        <v>1514</v>
      </c>
      <c r="E1158" s="2">
        <v>2.17</v>
      </c>
      <c r="F1158" s="3">
        <f t="shared" ref="F1158:G1164" si="103">DATE(2025,5,30)</f>
        <v>45807</v>
      </c>
      <c r="G1158" s="3">
        <f t="shared" si="103"/>
        <v>45807</v>
      </c>
      <c r="H1158">
        <v>2236713052</v>
      </c>
      <c r="I1158" t="s">
        <v>21</v>
      </c>
      <c r="K1158" t="s">
        <v>22</v>
      </c>
      <c r="L1158" t="s">
        <v>23</v>
      </c>
      <c r="M1158" t="s">
        <v>24</v>
      </c>
      <c r="N1158" t="s">
        <v>24</v>
      </c>
      <c r="O1158" t="s">
        <v>25</v>
      </c>
      <c r="P1158" s="8" t="s">
        <v>1515</v>
      </c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  <c r="AV1158" s="11"/>
      <c r="AW1158" s="11"/>
      <c r="AX1158" s="11"/>
      <c r="AY1158" s="11"/>
    </row>
    <row r="1159" spans="1:51" hidden="1" x14ac:dyDescent="0.2">
      <c r="A1159" s="6" t="s">
        <v>17</v>
      </c>
      <c r="B1159" t="s">
        <v>1048</v>
      </c>
      <c r="C1159" t="s">
        <v>1049</v>
      </c>
      <c r="D1159" t="s">
        <v>1516</v>
      </c>
      <c r="E1159" s="2">
        <v>2800.99</v>
      </c>
      <c r="F1159" s="3">
        <f t="shared" si="103"/>
        <v>45807</v>
      </c>
      <c r="G1159" s="3">
        <f t="shared" si="103"/>
        <v>45807</v>
      </c>
      <c r="H1159">
        <v>2236713053</v>
      </c>
      <c r="I1159" t="s">
        <v>21</v>
      </c>
      <c r="K1159" t="s">
        <v>22</v>
      </c>
      <c r="L1159" t="s">
        <v>23</v>
      </c>
      <c r="M1159" t="s">
        <v>24</v>
      </c>
      <c r="N1159" t="s">
        <v>24</v>
      </c>
      <c r="O1159" t="s">
        <v>25</v>
      </c>
      <c r="P1159" s="8" t="s">
        <v>1517</v>
      </c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  <c r="AS1159" s="11"/>
      <c r="AT1159" s="11"/>
      <c r="AU1159" s="11"/>
      <c r="AV1159" s="11"/>
      <c r="AW1159" s="11"/>
      <c r="AX1159" s="11"/>
      <c r="AY1159" s="11"/>
    </row>
    <row r="1160" spans="1:51" hidden="1" x14ac:dyDescent="0.2">
      <c r="A1160" s="6" t="s">
        <v>17</v>
      </c>
      <c r="B1160" t="s">
        <v>565</v>
      </c>
      <c r="C1160" t="s">
        <v>566</v>
      </c>
      <c r="D1160" t="s">
        <v>1518</v>
      </c>
      <c r="E1160" s="2">
        <v>497.48</v>
      </c>
      <c r="F1160" s="3">
        <f t="shared" si="103"/>
        <v>45807</v>
      </c>
      <c r="G1160" s="3">
        <f t="shared" si="103"/>
        <v>45807</v>
      </c>
      <c r="H1160">
        <v>2241377142</v>
      </c>
      <c r="I1160" t="s">
        <v>21</v>
      </c>
      <c r="K1160" t="s">
        <v>22</v>
      </c>
      <c r="L1160" t="s">
        <v>23</v>
      </c>
      <c r="M1160" t="s">
        <v>24</v>
      </c>
      <c r="N1160" t="s">
        <v>24</v>
      </c>
      <c r="O1160" t="s">
        <v>25</v>
      </c>
      <c r="P1160" s="8" t="s">
        <v>1519</v>
      </c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11"/>
      <c r="AW1160" s="11"/>
      <c r="AX1160" s="11"/>
      <c r="AY1160" s="11"/>
    </row>
    <row r="1161" spans="1:51" hidden="1" x14ac:dyDescent="0.2">
      <c r="A1161" s="6"/>
      <c r="E1161" s="2"/>
      <c r="F1161" s="3"/>
      <c r="G1161" s="3"/>
      <c r="P1161" s="8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  <c r="AS1161" s="11"/>
      <c r="AT1161" s="11"/>
      <c r="AU1161" s="11"/>
      <c r="AV1161" s="11"/>
      <c r="AW1161" s="11"/>
      <c r="AX1161" s="11"/>
      <c r="AY1161" s="11"/>
    </row>
    <row r="1162" spans="1:51" hidden="1" x14ac:dyDescent="0.2">
      <c r="A1162" s="6" t="s">
        <v>17</v>
      </c>
      <c r="B1162" t="s">
        <v>980</v>
      </c>
      <c r="C1162" t="s">
        <v>981</v>
      </c>
      <c r="D1162" t="s">
        <v>1520</v>
      </c>
      <c r="E1162" s="2">
        <v>150.56</v>
      </c>
      <c r="F1162" s="3">
        <f t="shared" si="103"/>
        <v>45807</v>
      </c>
      <c r="G1162" s="3">
        <f t="shared" si="103"/>
        <v>45807</v>
      </c>
      <c r="H1162">
        <v>2241377144</v>
      </c>
      <c r="I1162" t="s">
        <v>21</v>
      </c>
      <c r="K1162" t="s">
        <v>22</v>
      </c>
      <c r="L1162" t="s">
        <v>23</v>
      </c>
      <c r="M1162" t="s">
        <v>24</v>
      </c>
      <c r="N1162" t="s">
        <v>24</v>
      </c>
      <c r="O1162" t="s">
        <v>25</v>
      </c>
      <c r="P1162" s="8" t="s">
        <v>1521</v>
      </c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  <c r="AS1162" s="11"/>
      <c r="AT1162" s="11"/>
      <c r="AU1162" s="11"/>
      <c r="AV1162" s="11"/>
      <c r="AW1162" s="11"/>
      <c r="AX1162" s="11"/>
      <c r="AY1162" s="11"/>
    </row>
    <row r="1163" spans="1:51" hidden="1" x14ac:dyDescent="0.2">
      <c r="A1163" s="6" t="s">
        <v>17</v>
      </c>
      <c r="B1163" t="s">
        <v>70</v>
      </c>
      <c r="C1163" t="s">
        <v>71</v>
      </c>
      <c r="D1163" t="s">
        <v>1522</v>
      </c>
      <c r="E1163" s="2">
        <v>175.67</v>
      </c>
      <c r="F1163" s="3">
        <f t="shared" si="103"/>
        <v>45807</v>
      </c>
      <c r="G1163" s="3">
        <f t="shared" si="103"/>
        <v>45807</v>
      </c>
      <c r="H1163">
        <v>2241377145</v>
      </c>
      <c r="I1163" t="s">
        <v>21</v>
      </c>
      <c r="K1163" t="s">
        <v>22</v>
      </c>
      <c r="L1163" t="s">
        <v>23</v>
      </c>
      <c r="M1163" t="s">
        <v>24</v>
      </c>
      <c r="N1163" t="s">
        <v>24</v>
      </c>
      <c r="O1163" t="s">
        <v>25</v>
      </c>
      <c r="P1163" s="8" t="s">
        <v>1523</v>
      </c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11"/>
      <c r="AW1163" s="11"/>
      <c r="AX1163" s="11"/>
      <c r="AY1163" s="11"/>
    </row>
    <row r="1164" spans="1:51" x14ac:dyDescent="0.2">
      <c r="A1164" s="6" t="s">
        <v>17</v>
      </c>
      <c r="B1164" t="s">
        <v>342</v>
      </c>
      <c r="C1164" t="s">
        <v>342</v>
      </c>
      <c r="D1164" t="s">
        <v>359</v>
      </c>
      <c r="E1164" s="2">
        <v>4434.5</v>
      </c>
      <c r="F1164" s="3">
        <f t="shared" si="103"/>
        <v>45807</v>
      </c>
      <c r="G1164" s="3">
        <f t="shared" si="103"/>
        <v>45807</v>
      </c>
      <c r="H1164">
        <v>2241377146</v>
      </c>
      <c r="I1164" t="s">
        <v>21</v>
      </c>
      <c r="K1164" t="s">
        <v>22</v>
      </c>
      <c r="L1164" t="s">
        <v>23</v>
      </c>
      <c r="M1164" t="s">
        <v>24</v>
      </c>
      <c r="N1164" t="s">
        <v>25</v>
      </c>
      <c r="O1164" t="s">
        <v>25</v>
      </c>
      <c r="P1164" s="8" t="s">
        <v>1524</v>
      </c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11"/>
      <c r="AL1164" s="11"/>
      <c r="AM1164" s="11"/>
      <c r="AN1164" s="11"/>
      <c r="AO1164" s="11"/>
      <c r="AP1164" s="11"/>
      <c r="AQ1164" s="11"/>
      <c r="AR1164" s="11"/>
      <c r="AS1164" s="11"/>
      <c r="AT1164" s="11"/>
      <c r="AU1164" s="11"/>
      <c r="AV1164" s="11"/>
      <c r="AW1164" s="11"/>
      <c r="AX1164" s="11"/>
      <c r="AY1164" s="11"/>
    </row>
    <row r="1165" spans="1:51" hidden="1" x14ac:dyDescent="0.2">
      <c r="A1165" s="6" t="s">
        <v>17</v>
      </c>
      <c r="B1165" t="s">
        <v>27</v>
      </c>
      <c r="C1165" t="s">
        <v>28</v>
      </c>
      <c r="D1165" t="s">
        <v>1525</v>
      </c>
      <c r="E1165" s="2">
        <v>1313.46</v>
      </c>
      <c r="F1165" s="3">
        <f>DATE(2025,5,31)</f>
        <v>45808</v>
      </c>
      <c r="G1165" s="3">
        <f>DATE(2025,5,31)</f>
        <v>45808</v>
      </c>
      <c r="H1165">
        <v>2241377147</v>
      </c>
      <c r="I1165" t="s">
        <v>21</v>
      </c>
      <c r="K1165" t="s">
        <v>22</v>
      </c>
      <c r="L1165" t="s">
        <v>23</v>
      </c>
      <c r="M1165" t="s">
        <v>24</v>
      </c>
      <c r="N1165" t="s">
        <v>24</v>
      </c>
      <c r="O1165" t="s">
        <v>25</v>
      </c>
      <c r="P1165" s="8" t="s">
        <v>1526</v>
      </c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  <c r="AS1165" s="11"/>
      <c r="AT1165" s="11"/>
      <c r="AU1165" s="11"/>
      <c r="AV1165" s="11"/>
      <c r="AW1165" s="11"/>
      <c r="AX1165" s="11"/>
      <c r="AY1165" s="11"/>
    </row>
    <row r="1166" spans="1:51" hidden="1" x14ac:dyDescent="0.2">
      <c r="A1166" s="6" t="s">
        <v>17</v>
      </c>
      <c r="B1166" t="s">
        <v>1002</v>
      </c>
      <c r="C1166" t="s">
        <v>1003</v>
      </c>
      <c r="D1166" t="s">
        <v>1527</v>
      </c>
      <c r="E1166" s="2">
        <v>2809.25</v>
      </c>
      <c r="F1166" s="3">
        <f t="shared" ref="F1166:G1168" si="104">DATE(2025,5,30)</f>
        <v>45807</v>
      </c>
      <c r="G1166" s="3">
        <f t="shared" si="104"/>
        <v>45807</v>
      </c>
      <c r="H1166">
        <v>2241377148</v>
      </c>
      <c r="I1166" t="s">
        <v>21</v>
      </c>
      <c r="K1166" t="s">
        <v>22</v>
      </c>
      <c r="L1166" t="s">
        <v>23</v>
      </c>
      <c r="M1166" t="s">
        <v>24</v>
      </c>
      <c r="N1166" t="s">
        <v>24</v>
      </c>
      <c r="O1166" t="s">
        <v>25</v>
      </c>
      <c r="P1166" s="8" t="s">
        <v>1528</v>
      </c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  <c r="AV1166" s="11"/>
      <c r="AW1166" s="11"/>
      <c r="AX1166" s="11"/>
      <c r="AY1166" s="11"/>
    </row>
    <row r="1167" spans="1:51" hidden="1" x14ac:dyDescent="0.2">
      <c r="A1167" s="6" t="s">
        <v>17</v>
      </c>
      <c r="B1167" t="s">
        <v>118</v>
      </c>
      <c r="C1167" t="s">
        <v>119</v>
      </c>
      <c r="D1167" t="s">
        <v>1529</v>
      </c>
      <c r="E1167" s="2">
        <v>616.70000000000005</v>
      </c>
      <c r="F1167" s="3">
        <f t="shared" si="104"/>
        <v>45807</v>
      </c>
      <c r="G1167" s="3">
        <f t="shared" si="104"/>
        <v>45807</v>
      </c>
      <c r="H1167">
        <v>2241377149</v>
      </c>
      <c r="I1167" t="s">
        <v>21</v>
      </c>
      <c r="K1167" t="s">
        <v>22</v>
      </c>
      <c r="L1167" t="s">
        <v>23</v>
      </c>
      <c r="M1167" t="s">
        <v>24</v>
      </c>
      <c r="N1167" t="s">
        <v>24</v>
      </c>
      <c r="O1167" t="s">
        <v>25</v>
      </c>
      <c r="P1167" s="8" t="s">
        <v>1530</v>
      </c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  <c r="AV1167" s="11"/>
      <c r="AW1167" s="11"/>
      <c r="AX1167" s="11"/>
      <c r="AY1167" s="11"/>
    </row>
    <row r="1168" spans="1:51" hidden="1" x14ac:dyDescent="0.2">
      <c r="A1168" s="6" t="s">
        <v>17</v>
      </c>
      <c r="B1168" t="s">
        <v>60</v>
      </c>
      <c r="C1168" t="s">
        <v>61</v>
      </c>
      <c r="D1168" t="s">
        <v>1531</v>
      </c>
      <c r="E1168" s="2">
        <v>703.52</v>
      </c>
      <c r="F1168" s="3">
        <f t="shared" si="104"/>
        <v>45807</v>
      </c>
      <c r="G1168" s="3">
        <f t="shared" si="104"/>
        <v>45807</v>
      </c>
      <c r="H1168">
        <v>2241377150</v>
      </c>
      <c r="I1168" t="s">
        <v>21</v>
      </c>
      <c r="K1168" t="s">
        <v>22</v>
      </c>
      <c r="L1168" t="s">
        <v>23</v>
      </c>
      <c r="M1168" t="s">
        <v>24</v>
      </c>
      <c r="N1168" t="s">
        <v>24</v>
      </c>
      <c r="O1168" t="s">
        <v>25</v>
      </c>
      <c r="P1168" s="8" t="s">
        <v>1532</v>
      </c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s="11"/>
      <c r="AR1168" s="11"/>
      <c r="AS1168" s="11"/>
      <c r="AT1168" s="11"/>
      <c r="AU1168" s="11"/>
      <c r="AV1168" s="11"/>
      <c r="AW1168" s="11"/>
      <c r="AX1168" s="11"/>
      <c r="AY1168" s="11"/>
    </row>
    <row r="1169" spans="1:51" hidden="1" x14ac:dyDescent="0.2">
      <c r="A1169" s="6"/>
      <c r="E1169" s="2"/>
      <c r="F1169" s="3"/>
      <c r="G1169" s="3"/>
      <c r="P1169" s="8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1"/>
      <c r="AH1169" s="11"/>
      <c r="AI1169" s="11"/>
      <c r="AJ1169" s="11"/>
      <c r="AK1169" s="11"/>
      <c r="AL1169" s="11"/>
      <c r="AM1169" s="11"/>
      <c r="AN1169" s="11"/>
      <c r="AO1169" s="11"/>
      <c r="AP1169" s="11"/>
      <c r="AQ1169" s="11"/>
      <c r="AR1169" s="11"/>
      <c r="AS1169" s="11"/>
      <c r="AT1169" s="11"/>
      <c r="AU1169" s="11"/>
      <c r="AV1169" s="11"/>
      <c r="AW1169" s="11"/>
      <c r="AX1169" s="11"/>
      <c r="AY1169" s="11"/>
    </row>
    <row r="1170" spans="1:51" hidden="1" x14ac:dyDescent="0.2">
      <c r="A1170" s="6" t="s">
        <v>17</v>
      </c>
      <c r="B1170" t="s">
        <v>90</v>
      </c>
      <c r="C1170" t="s">
        <v>91</v>
      </c>
      <c r="D1170" t="s">
        <v>1533</v>
      </c>
      <c r="E1170" s="2">
        <v>200</v>
      </c>
      <c r="F1170" s="3">
        <f>DATE(2025,5,31)</f>
        <v>45808</v>
      </c>
      <c r="G1170" s="3">
        <f>DATE(2025,5,31)</f>
        <v>45808</v>
      </c>
      <c r="H1170">
        <v>2244431061</v>
      </c>
      <c r="I1170" t="s">
        <v>21</v>
      </c>
      <c r="K1170" t="s">
        <v>22</v>
      </c>
      <c r="L1170" t="s">
        <v>23</v>
      </c>
      <c r="M1170" t="s">
        <v>24</v>
      </c>
      <c r="N1170" t="s">
        <v>24</v>
      </c>
      <c r="O1170" t="s">
        <v>25</v>
      </c>
      <c r="P1170" s="8" t="s">
        <v>1534</v>
      </c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  <c r="AT1170" s="11"/>
      <c r="AU1170" s="11"/>
      <c r="AV1170" s="11"/>
      <c r="AW1170" s="11"/>
      <c r="AX1170" s="11"/>
      <c r="AY1170" s="11"/>
    </row>
    <row r="1171" spans="1:51" hidden="1" x14ac:dyDescent="0.2">
      <c r="A1171" s="6" t="s">
        <v>17</v>
      </c>
      <c r="B1171" t="s">
        <v>50</v>
      </c>
      <c r="C1171" t="s">
        <v>51</v>
      </c>
      <c r="D1171" t="s">
        <v>1535</v>
      </c>
      <c r="E1171" s="2">
        <v>1417.81</v>
      </c>
      <c r="F1171" s="3">
        <f t="shared" ref="F1171:G1188" si="105">DATE(2025,6,2)</f>
        <v>45810</v>
      </c>
      <c r="G1171" s="3">
        <f t="shared" si="105"/>
        <v>45810</v>
      </c>
      <c r="H1171">
        <v>2249761378</v>
      </c>
      <c r="I1171" t="s">
        <v>21</v>
      </c>
      <c r="K1171" t="s">
        <v>22</v>
      </c>
      <c r="L1171" t="s">
        <v>23</v>
      </c>
      <c r="M1171" t="s">
        <v>24</v>
      </c>
      <c r="N1171" t="s">
        <v>24</v>
      </c>
      <c r="O1171" t="s">
        <v>25</v>
      </c>
      <c r="P1171" s="8" t="s">
        <v>1536</v>
      </c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  <c r="AS1171" s="11"/>
      <c r="AT1171" s="11"/>
      <c r="AU1171" s="11"/>
      <c r="AV1171" s="11"/>
      <c r="AW1171" s="11"/>
      <c r="AX1171" s="11"/>
      <c r="AY1171" s="11"/>
    </row>
    <row r="1172" spans="1:51" hidden="1" x14ac:dyDescent="0.2">
      <c r="A1172" s="6" t="s">
        <v>17</v>
      </c>
      <c r="B1172" t="s">
        <v>118</v>
      </c>
      <c r="C1172" t="s">
        <v>119</v>
      </c>
      <c r="D1172" t="s">
        <v>1537</v>
      </c>
      <c r="E1172" s="2">
        <v>108.47</v>
      </c>
      <c r="F1172" s="3">
        <f t="shared" si="105"/>
        <v>45810</v>
      </c>
      <c r="G1172" s="3">
        <f t="shared" si="105"/>
        <v>45810</v>
      </c>
      <c r="H1172">
        <v>2249761379</v>
      </c>
      <c r="I1172" t="s">
        <v>21</v>
      </c>
      <c r="K1172" t="s">
        <v>22</v>
      </c>
      <c r="L1172" t="s">
        <v>23</v>
      </c>
      <c r="M1172" t="s">
        <v>24</v>
      </c>
      <c r="N1172" t="s">
        <v>24</v>
      </c>
      <c r="O1172" t="s">
        <v>25</v>
      </c>
      <c r="P1172" s="8" t="s">
        <v>1538</v>
      </c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  <c r="AV1172" s="11"/>
      <c r="AW1172" s="11"/>
      <c r="AX1172" s="11"/>
      <c r="AY1172" s="11"/>
    </row>
    <row r="1173" spans="1:51" hidden="1" x14ac:dyDescent="0.2">
      <c r="A1173" s="6" t="s">
        <v>17</v>
      </c>
      <c r="B1173" t="s">
        <v>35</v>
      </c>
      <c r="C1173" t="s">
        <v>35</v>
      </c>
      <c r="D1173" t="s">
        <v>1539</v>
      </c>
      <c r="E1173" s="2">
        <v>2.17</v>
      </c>
      <c r="F1173" s="3">
        <f t="shared" si="105"/>
        <v>45810</v>
      </c>
      <c r="G1173" s="3">
        <f t="shared" si="105"/>
        <v>45810</v>
      </c>
      <c r="H1173">
        <v>2249761380</v>
      </c>
      <c r="I1173" t="s">
        <v>21</v>
      </c>
      <c r="K1173" t="s">
        <v>22</v>
      </c>
      <c r="L1173" t="s">
        <v>23</v>
      </c>
      <c r="M1173" t="s">
        <v>24</v>
      </c>
      <c r="N1173" t="s">
        <v>24</v>
      </c>
      <c r="O1173" t="s">
        <v>25</v>
      </c>
      <c r="P1173" s="8" t="s">
        <v>1540</v>
      </c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  <c r="AV1173" s="11"/>
      <c r="AW1173" s="11"/>
      <c r="AX1173" s="11"/>
      <c r="AY1173" s="11"/>
    </row>
    <row r="1174" spans="1:51" hidden="1" x14ac:dyDescent="0.2">
      <c r="A1174" s="6" t="s">
        <v>17</v>
      </c>
      <c r="B1174" t="s">
        <v>244</v>
      </c>
      <c r="C1174" t="s">
        <v>245</v>
      </c>
      <c r="D1174" t="s">
        <v>1541</v>
      </c>
      <c r="E1174" s="2">
        <v>974.86</v>
      </c>
      <c r="F1174" s="3">
        <f t="shared" si="105"/>
        <v>45810</v>
      </c>
      <c r="G1174" s="3">
        <f t="shared" si="105"/>
        <v>45810</v>
      </c>
      <c r="H1174">
        <v>2249761381</v>
      </c>
      <c r="I1174" t="s">
        <v>21</v>
      </c>
      <c r="K1174" t="s">
        <v>22</v>
      </c>
      <c r="L1174" t="s">
        <v>23</v>
      </c>
      <c r="M1174" t="s">
        <v>24</v>
      </c>
      <c r="N1174" t="s">
        <v>24</v>
      </c>
      <c r="O1174" t="s">
        <v>25</v>
      </c>
      <c r="P1174" s="8" t="s">
        <v>1542</v>
      </c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  <c r="AV1174" s="11"/>
      <c r="AW1174" s="11"/>
      <c r="AX1174" s="11"/>
      <c r="AY1174" s="11"/>
    </row>
    <row r="1175" spans="1:51" hidden="1" x14ac:dyDescent="0.2">
      <c r="A1175" s="6" t="s">
        <v>17</v>
      </c>
      <c r="B1175" t="s">
        <v>50</v>
      </c>
      <c r="C1175" t="s">
        <v>51</v>
      </c>
      <c r="D1175" t="s">
        <v>1543</v>
      </c>
      <c r="E1175" s="2">
        <v>1205.1600000000001</v>
      </c>
      <c r="F1175" s="3">
        <f t="shared" si="105"/>
        <v>45810</v>
      </c>
      <c r="G1175" s="3">
        <f t="shared" si="105"/>
        <v>45810</v>
      </c>
      <c r="H1175">
        <v>2249761382</v>
      </c>
      <c r="I1175" t="s">
        <v>21</v>
      </c>
      <c r="K1175" t="s">
        <v>22</v>
      </c>
      <c r="L1175" t="s">
        <v>23</v>
      </c>
      <c r="M1175" t="s">
        <v>24</v>
      </c>
      <c r="N1175" t="s">
        <v>24</v>
      </c>
      <c r="O1175" t="s">
        <v>25</v>
      </c>
      <c r="P1175" s="8" t="s">
        <v>1544</v>
      </c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11"/>
      <c r="AW1175" s="11"/>
      <c r="AX1175" s="11"/>
      <c r="AY1175" s="11"/>
    </row>
    <row r="1176" spans="1:51" hidden="1" x14ac:dyDescent="0.2">
      <c r="A1176" s="6" t="s">
        <v>17</v>
      </c>
      <c r="B1176" t="s">
        <v>825</v>
      </c>
      <c r="C1176" t="s">
        <v>826</v>
      </c>
      <c r="D1176" t="s">
        <v>1545</v>
      </c>
      <c r="E1176" s="2">
        <v>2764.56</v>
      </c>
      <c r="F1176" s="3">
        <f t="shared" si="105"/>
        <v>45810</v>
      </c>
      <c r="G1176" s="3">
        <f t="shared" si="105"/>
        <v>45810</v>
      </c>
      <c r="H1176">
        <v>2249761383</v>
      </c>
      <c r="I1176" t="s">
        <v>21</v>
      </c>
      <c r="K1176" t="s">
        <v>22</v>
      </c>
      <c r="L1176" t="s">
        <v>23</v>
      </c>
      <c r="M1176" t="s">
        <v>24</v>
      </c>
      <c r="N1176" t="s">
        <v>24</v>
      </c>
      <c r="O1176" t="s">
        <v>25</v>
      </c>
      <c r="P1176" s="8" t="s">
        <v>1546</v>
      </c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1"/>
      <c r="AM1176" s="11"/>
      <c r="AN1176" s="11"/>
      <c r="AO1176" s="11"/>
      <c r="AP1176" s="11"/>
      <c r="AQ1176" s="11"/>
      <c r="AR1176" s="11"/>
      <c r="AS1176" s="11"/>
      <c r="AT1176" s="11"/>
      <c r="AU1176" s="11"/>
      <c r="AV1176" s="11"/>
      <c r="AW1176" s="11"/>
      <c r="AX1176" s="11"/>
      <c r="AY1176" s="11"/>
    </row>
    <row r="1177" spans="1:51" hidden="1" x14ac:dyDescent="0.2">
      <c r="A1177" s="6" t="s">
        <v>17</v>
      </c>
      <c r="B1177" t="s">
        <v>50</v>
      </c>
      <c r="C1177" t="s">
        <v>51</v>
      </c>
      <c r="D1177" t="s">
        <v>1547</v>
      </c>
      <c r="E1177" s="2">
        <v>302.74</v>
      </c>
      <c r="F1177" s="3">
        <f t="shared" si="105"/>
        <v>45810</v>
      </c>
      <c r="G1177" s="3">
        <f t="shared" si="105"/>
        <v>45810</v>
      </c>
      <c r="H1177">
        <v>2249761384</v>
      </c>
      <c r="I1177" t="s">
        <v>21</v>
      </c>
      <c r="K1177" t="s">
        <v>22</v>
      </c>
      <c r="L1177" t="s">
        <v>23</v>
      </c>
      <c r="M1177" t="s">
        <v>24</v>
      </c>
      <c r="N1177" t="s">
        <v>24</v>
      </c>
      <c r="O1177" t="s">
        <v>25</v>
      </c>
      <c r="P1177" s="8" t="s">
        <v>1548</v>
      </c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  <c r="AS1177" s="11"/>
      <c r="AT1177" s="11"/>
      <c r="AU1177" s="11"/>
      <c r="AV1177" s="11"/>
      <c r="AW1177" s="11"/>
      <c r="AX1177" s="11"/>
      <c r="AY1177" s="11"/>
    </row>
    <row r="1178" spans="1:51" hidden="1" x14ac:dyDescent="0.2">
      <c r="A1178" s="6" t="s">
        <v>17</v>
      </c>
      <c r="B1178" t="s">
        <v>878</v>
      </c>
      <c r="C1178" t="s">
        <v>879</v>
      </c>
      <c r="D1178" t="s">
        <v>1549</v>
      </c>
      <c r="E1178" s="2">
        <v>1409.18</v>
      </c>
      <c r="F1178" s="3">
        <f t="shared" si="105"/>
        <v>45810</v>
      </c>
      <c r="G1178" s="3">
        <f t="shared" si="105"/>
        <v>45810</v>
      </c>
      <c r="H1178">
        <v>2249761385</v>
      </c>
      <c r="I1178" t="s">
        <v>21</v>
      </c>
      <c r="K1178" t="s">
        <v>22</v>
      </c>
      <c r="L1178" t="s">
        <v>23</v>
      </c>
      <c r="M1178" t="s">
        <v>24</v>
      </c>
      <c r="N1178" t="s">
        <v>24</v>
      </c>
      <c r="O1178" t="s">
        <v>25</v>
      </c>
      <c r="P1178" s="8" t="s">
        <v>1550</v>
      </c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  <c r="AW1178" s="11"/>
      <c r="AX1178" s="11"/>
      <c r="AY1178" s="11"/>
    </row>
    <row r="1179" spans="1:51" x14ac:dyDescent="0.2">
      <c r="A1179" s="6" t="s">
        <v>17</v>
      </c>
      <c r="B1179" t="s">
        <v>342</v>
      </c>
      <c r="C1179" t="s">
        <v>342</v>
      </c>
      <c r="D1179" t="s">
        <v>1551</v>
      </c>
      <c r="E1179" s="2">
        <v>960</v>
      </c>
      <c r="F1179" s="3">
        <f t="shared" si="105"/>
        <v>45810</v>
      </c>
      <c r="G1179" s="3">
        <f t="shared" si="105"/>
        <v>45810</v>
      </c>
      <c r="H1179">
        <v>2249761386</v>
      </c>
      <c r="I1179" t="s">
        <v>21</v>
      </c>
      <c r="K1179" t="s">
        <v>22</v>
      </c>
      <c r="L1179" t="s">
        <v>23</v>
      </c>
      <c r="M1179" t="s">
        <v>24</v>
      </c>
      <c r="N1179" t="s">
        <v>24</v>
      </c>
      <c r="O1179" t="s">
        <v>25</v>
      </c>
      <c r="P1179" s="8" t="s">
        <v>1552</v>
      </c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  <c r="AV1179" s="11"/>
      <c r="AW1179" s="11"/>
      <c r="AX1179" s="11"/>
      <c r="AY1179" s="11"/>
    </row>
    <row r="1180" spans="1:51" hidden="1" x14ac:dyDescent="0.2">
      <c r="A1180" s="6" t="s">
        <v>17</v>
      </c>
      <c r="B1180" t="s">
        <v>54</v>
      </c>
      <c r="C1180" t="s">
        <v>55</v>
      </c>
      <c r="D1180" t="s">
        <v>1553</v>
      </c>
      <c r="E1180" s="2">
        <v>1238.3800000000001</v>
      </c>
      <c r="F1180" s="3">
        <f t="shared" si="105"/>
        <v>45810</v>
      </c>
      <c r="G1180" s="3">
        <f t="shared" si="105"/>
        <v>45810</v>
      </c>
      <c r="H1180">
        <v>2249761387</v>
      </c>
      <c r="I1180" t="s">
        <v>21</v>
      </c>
      <c r="K1180" t="s">
        <v>22</v>
      </c>
      <c r="L1180" t="s">
        <v>23</v>
      </c>
      <c r="M1180" t="s">
        <v>24</v>
      </c>
      <c r="N1180" t="s">
        <v>24</v>
      </c>
      <c r="O1180" t="s">
        <v>25</v>
      </c>
      <c r="P1180" s="8" t="s">
        <v>1554</v>
      </c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11"/>
      <c r="AM1180" s="11"/>
      <c r="AN1180" s="11"/>
      <c r="AO1180" s="11"/>
      <c r="AP1180" s="11"/>
      <c r="AQ1180" s="11"/>
      <c r="AR1180" s="11"/>
      <c r="AS1180" s="11"/>
      <c r="AT1180" s="11"/>
      <c r="AU1180" s="11"/>
      <c r="AV1180" s="11"/>
      <c r="AW1180" s="11"/>
      <c r="AX1180" s="11"/>
      <c r="AY1180" s="11"/>
    </row>
    <row r="1181" spans="1:51" x14ac:dyDescent="0.2">
      <c r="A1181" s="6" t="s">
        <v>17</v>
      </c>
      <c r="B1181" t="s">
        <v>342</v>
      </c>
      <c r="C1181" t="s">
        <v>342</v>
      </c>
      <c r="D1181" t="s">
        <v>1555</v>
      </c>
      <c r="E1181" s="2">
        <v>3500</v>
      </c>
      <c r="F1181" s="3">
        <f t="shared" si="105"/>
        <v>45810</v>
      </c>
      <c r="G1181" s="3">
        <f t="shared" si="105"/>
        <v>45810</v>
      </c>
      <c r="H1181">
        <v>2249761388</v>
      </c>
      <c r="I1181" t="s">
        <v>21</v>
      </c>
      <c r="K1181" t="s">
        <v>22</v>
      </c>
      <c r="L1181" t="s">
        <v>23</v>
      </c>
      <c r="M1181" t="s">
        <v>24</v>
      </c>
      <c r="N1181" t="s">
        <v>24</v>
      </c>
      <c r="O1181" t="s">
        <v>25</v>
      </c>
      <c r="P1181" s="8" t="s">
        <v>1556</v>
      </c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  <c r="AV1181" s="11"/>
      <c r="AW1181" s="11"/>
      <c r="AX1181" s="11"/>
      <c r="AY1181" s="11"/>
    </row>
    <row r="1182" spans="1:51" hidden="1" x14ac:dyDescent="0.2">
      <c r="A1182" s="6" t="s">
        <v>17</v>
      </c>
      <c r="B1182" t="s">
        <v>266</v>
      </c>
      <c r="C1182" t="s">
        <v>267</v>
      </c>
      <c r="D1182" t="s">
        <v>1557</v>
      </c>
      <c r="E1182" s="2">
        <v>2002.13</v>
      </c>
      <c r="F1182" s="3">
        <f t="shared" si="105"/>
        <v>45810</v>
      </c>
      <c r="G1182" s="3">
        <f t="shared" si="105"/>
        <v>45810</v>
      </c>
      <c r="H1182">
        <v>2249761389</v>
      </c>
      <c r="I1182" t="s">
        <v>21</v>
      </c>
      <c r="K1182" t="s">
        <v>22</v>
      </c>
      <c r="L1182" t="s">
        <v>23</v>
      </c>
      <c r="M1182" t="s">
        <v>24</v>
      </c>
      <c r="N1182" t="s">
        <v>24</v>
      </c>
      <c r="O1182" t="s">
        <v>25</v>
      </c>
      <c r="P1182" s="8" t="s">
        <v>1558</v>
      </c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s="11"/>
      <c r="AR1182" s="11"/>
      <c r="AS1182" s="11"/>
      <c r="AT1182" s="11"/>
      <c r="AU1182" s="11"/>
      <c r="AV1182" s="11"/>
      <c r="AW1182" s="11"/>
      <c r="AX1182" s="11"/>
      <c r="AY1182" s="11"/>
    </row>
    <row r="1183" spans="1:51" x14ac:dyDescent="0.2">
      <c r="A1183" s="6" t="s">
        <v>17</v>
      </c>
      <c r="B1183" t="s">
        <v>342</v>
      </c>
      <c r="C1183" t="s">
        <v>342</v>
      </c>
      <c r="D1183" t="s">
        <v>1559</v>
      </c>
      <c r="E1183" s="2">
        <v>550</v>
      </c>
      <c r="F1183" s="3">
        <f t="shared" si="105"/>
        <v>45810</v>
      </c>
      <c r="G1183" s="3">
        <f t="shared" si="105"/>
        <v>45810</v>
      </c>
      <c r="H1183">
        <v>2249761390</v>
      </c>
      <c r="I1183" t="s">
        <v>21</v>
      </c>
      <c r="K1183" t="s">
        <v>22</v>
      </c>
      <c r="L1183" t="s">
        <v>23</v>
      </c>
      <c r="M1183" t="s">
        <v>24</v>
      </c>
      <c r="N1183" t="s">
        <v>24</v>
      </c>
      <c r="O1183" t="s">
        <v>25</v>
      </c>
      <c r="P1183" s="8" t="s">
        <v>1560</v>
      </c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11"/>
      <c r="AG1183" s="11"/>
      <c r="AH1183" s="11"/>
      <c r="AI1183" s="11"/>
      <c r="AJ1183" s="11"/>
      <c r="AK1183" s="11"/>
      <c r="AL1183" s="11"/>
      <c r="AM1183" s="11"/>
      <c r="AN1183" s="11"/>
      <c r="AO1183" s="11"/>
      <c r="AP1183" s="11"/>
      <c r="AQ1183" s="11"/>
      <c r="AR1183" s="11"/>
      <c r="AS1183" s="11"/>
      <c r="AT1183" s="11"/>
      <c r="AU1183" s="11"/>
      <c r="AV1183" s="11"/>
      <c r="AW1183" s="11"/>
      <c r="AX1183" s="11"/>
      <c r="AY1183" s="11"/>
    </row>
    <row r="1184" spans="1:51" hidden="1" x14ac:dyDescent="0.2">
      <c r="A1184" s="6" t="s">
        <v>17</v>
      </c>
      <c r="B1184" t="s">
        <v>50</v>
      </c>
      <c r="C1184" t="s">
        <v>51</v>
      </c>
      <c r="D1184" t="s">
        <v>1561</v>
      </c>
      <c r="E1184" s="2">
        <v>1229</v>
      </c>
      <c r="F1184" s="3">
        <f t="shared" si="105"/>
        <v>45810</v>
      </c>
      <c r="G1184" s="3">
        <f t="shared" si="105"/>
        <v>45810</v>
      </c>
      <c r="H1184">
        <v>2249761391</v>
      </c>
      <c r="I1184" t="s">
        <v>21</v>
      </c>
      <c r="K1184" t="s">
        <v>22</v>
      </c>
      <c r="L1184" t="s">
        <v>23</v>
      </c>
      <c r="M1184" t="s">
        <v>24</v>
      </c>
      <c r="N1184" t="s">
        <v>24</v>
      </c>
      <c r="O1184" t="s">
        <v>25</v>
      </c>
      <c r="P1184" s="8" t="s">
        <v>1562</v>
      </c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11"/>
      <c r="AG1184" s="11"/>
      <c r="AH1184" s="11"/>
      <c r="AI1184" s="11"/>
      <c r="AJ1184" s="11"/>
      <c r="AK1184" s="11"/>
      <c r="AL1184" s="11"/>
      <c r="AM1184" s="11"/>
      <c r="AN1184" s="11"/>
      <c r="AO1184" s="11"/>
      <c r="AP1184" s="11"/>
      <c r="AQ1184" s="11"/>
      <c r="AR1184" s="11"/>
      <c r="AS1184" s="11"/>
      <c r="AT1184" s="11"/>
      <c r="AU1184" s="11"/>
      <c r="AV1184" s="11"/>
      <c r="AW1184" s="11"/>
      <c r="AX1184" s="11"/>
      <c r="AY1184" s="11"/>
    </row>
    <row r="1185" spans="1:51" x14ac:dyDescent="0.2">
      <c r="A1185" s="6" t="s">
        <v>17</v>
      </c>
      <c r="B1185" t="s">
        <v>342</v>
      </c>
      <c r="C1185" t="s">
        <v>342</v>
      </c>
      <c r="D1185" t="s">
        <v>1563</v>
      </c>
      <c r="E1185" s="2">
        <v>1026.69</v>
      </c>
      <c r="F1185" s="3">
        <f t="shared" si="105"/>
        <v>45810</v>
      </c>
      <c r="G1185" s="3">
        <f t="shared" si="105"/>
        <v>45810</v>
      </c>
      <c r="H1185">
        <v>2249761392</v>
      </c>
      <c r="I1185" t="s">
        <v>21</v>
      </c>
      <c r="K1185" t="s">
        <v>22</v>
      </c>
      <c r="L1185" t="s">
        <v>23</v>
      </c>
      <c r="M1185" t="s">
        <v>24</v>
      </c>
      <c r="N1185" t="s">
        <v>24</v>
      </c>
      <c r="O1185" t="s">
        <v>25</v>
      </c>
      <c r="P1185" s="8" t="s">
        <v>1564</v>
      </c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11"/>
      <c r="AG1185" s="11"/>
      <c r="AH1185" s="11"/>
      <c r="AI1185" s="11"/>
      <c r="AJ1185" s="11"/>
      <c r="AK1185" s="11"/>
      <c r="AL1185" s="11"/>
      <c r="AM1185" s="11"/>
      <c r="AN1185" s="11"/>
      <c r="AO1185" s="11"/>
      <c r="AP1185" s="11"/>
      <c r="AQ1185" s="11"/>
      <c r="AR1185" s="11"/>
      <c r="AS1185" s="11"/>
      <c r="AT1185" s="11"/>
      <c r="AU1185" s="11"/>
      <c r="AV1185" s="11"/>
      <c r="AW1185" s="11"/>
      <c r="AX1185" s="11"/>
      <c r="AY1185" s="11"/>
    </row>
    <row r="1186" spans="1:51" hidden="1" x14ac:dyDescent="0.2">
      <c r="A1186" s="6" t="s">
        <v>17</v>
      </c>
      <c r="B1186" t="s">
        <v>60</v>
      </c>
      <c r="C1186" t="s">
        <v>61</v>
      </c>
      <c r="D1186" t="s">
        <v>1565</v>
      </c>
      <c r="E1186" s="2">
        <v>2082.8200000000002</v>
      </c>
      <c r="F1186" s="3">
        <f t="shared" si="105"/>
        <v>45810</v>
      </c>
      <c r="G1186" s="3">
        <f t="shared" si="105"/>
        <v>45810</v>
      </c>
      <c r="H1186">
        <v>2249761393</v>
      </c>
      <c r="I1186" t="s">
        <v>21</v>
      </c>
      <c r="K1186" t="s">
        <v>22</v>
      </c>
      <c r="L1186" t="s">
        <v>23</v>
      </c>
      <c r="M1186" t="s">
        <v>24</v>
      </c>
      <c r="N1186" t="s">
        <v>24</v>
      </c>
      <c r="O1186" t="s">
        <v>25</v>
      </c>
      <c r="P1186" s="8" t="s">
        <v>1566</v>
      </c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11"/>
      <c r="AL1186" s="11"/>
      <c r="AM1186" s="11"/>
      <c r="AN1186" s="11"/>
      <c r="AO1186" s="11"/>
      <c r="AP1186" s="11"/>
      <c r="AQ1186" s="11"/>
      <c r="AR1186" s="11"/>
      <c r="AS1186" s="11"/>
      <c r="AT1186" s="11"/>
      <c r="AU1186" s="11"/>
      <c r="AV1186" s="11"/>
      <c r="AW1186" s="11"/>
      <c r="AX1186" s="11"/>
      <c r="AY1186" s="11"/>
    </row>
    <row r="1187" spans="1:51" hidden="1" x14ac:dyDescent="0.2">
      <c r="A1187" s="6"/>
      <c r="E1187" s="2"/>
      <c r="F1187" s="3"/>
      <c r="G1187" s="3"/>
      <c r="P1187" s="8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11"/>
      <c r="AG1187" s="11"/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  <c r="AV1187" s="11"/>
      <c r="AW1187" s="11"/>
      <c r="AX1187" s="11"/>
      <c r="AY1187" s="11"/>
    </row>
    <row r="1188" spans="1:51" hidden="1" x14ac:dyDescent="0.2">
      <c r="A1188" s="6" t="s">
        <v>17</v>
      </c>
      <c r="B1188" t="s">
        <v>118</v>
      </c>
      <c r="C1188" t="s">
        <v>119</v>
      </c>
      <c r="D1188" t="s">
        <v>1567</v>
      </c>
      <c r="E1188" s="2">
        <v>899.15</v>
      </c>
      <c r="F1188" s="3">
        <f t="shared" si="105"/>
        <v>45810</v>
      </c>
      <c r="G1188" s="3">
        <f t="shared" si="105"/>
        <v>45810</v>
      </c>
      <c r="H1188">
        <v>2249761395</v>
      </c>
      <c r="I1188" t="s">
        <v>21</v>
      </c>
      <c r="K1188" t="s">
        <v>22</v>
      </c>
      <c r="L1188" t="s">
        <v>23</v>
      </c>
      <c r="M1188" t="s">
        <v>24</v>
      </c>
      <c r="N1188" t="s">
        <v>24</v>
      </c>
      <c r="O1188" t="s">
        <v>25</v>
      </c>
      <c r="P1188" s="8" t="s">
        <v>1568</v>
      </c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  <c r="AT1188" s="11"/>
      <c r="AU1188" s="11"/>
      <c r="AV1188" s="11"/>
      <c r="AW1188" s="11"/>
      <c r="AX1188" s="11"/>
      <c r="AY1188" s="11"/>
    </row>
    <row r="1189" spans="1:51" hidden="1" x14ac:dyDescent="0.2">
      <c r="A1189" s="6"/>
      <c r="E1189" s="2"/>
      <c r="F1189" s="3"/>
      <c r="G1189" s="3"/>
      <c r="P1189" s="8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11"/>
      <c r="AG1189" s="11"/>
      <c r="AH1189" s="11"/>
      <c r="AI1189" s="11"/>
      <c r="AJ1189" s="11"/>
      <c r="AK1189" s="11"/>
      <c r="AL1189" s="11"/>
      <c r="AM1189" s="11"/>
      <c r="AN1189" s="11"/>
      <c r="AO1189" s="11"/>
      <c r="AP1189" s="11"/>
      <c r="AQ1189" s="11"/>
      <c r="AR1189" s="11"/>
      <c r="AS1189" s="11"/>
      <c r="AT1189" s="11"/>
      <c r="AU1189" s="11"/>
      <c r="AV1189" s="11"/>
      <c r="AW1189" s="11"/>
      <c r="AX1189" s="11"/>
      <c r="AY1189" s="11"/>
    </row>
    <row r="1190" spans="1:51" hidden="1" x14ac:dyDescent="0.2">
      <c r="A1190" s="6" t="s">
        <v>17</v>
      </c>
      <c r="B1190" t="s">
        <v>173</v>
      </c>
      <c r="C1190" t="s">
        <v>154</v>
      </c>
      <c r="D1190" t="s">
        <v>1569</v>
      </c>
      <c r="E1190" s="2">
        <v>135.57</v>
      </c>
      <c r="F1190" s="3">
        <f>DATE(2025,6,2)</f>
        <v>45810</v>
      </c>
      <c r="G1190" s="3">
        <f>DATE(2025,6,2)</f>
        <v>45810</v>
      </c>
      <c r="H1190">
        <v>2256543173</v>
      </c>
      <c r="I1190" t="s">
        <v>158</v>
      </c>
      <c r="K1190" t="s">
        <v>22</v>
      </c>
      <c r="L1190" t="s">
        <v>23</v>
      </c>
      <c r="M1190" t="s">
        <v>24</v>
      </c>
      <c r="N1190" t="s">
        <v>24</v>
      </c>
      <c r="O1190" t="s">
        <v>25</v>
      </c>
      <c r="P1190" s="8" t="s">
        <v>1570</v>
      </c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1"/>
      <c r="AH1190" s="11"/>
      <c r="AI1190" s="11"/>
      <c r="AJ1190" s="11"/>
      <c r="AK1190" s="11"/>
      <c r="AL1190" s="11"/>
      <c r="AM1190" s="11"/>
      <c r="AN1190" s="11"/>
      <c r="AO1190" s="11"/>
      <c r="AP1190" s="11"/>
      <c r="AQ1190" s="11"/>
      <c r="AR1190" s="11"/>
      <c r="AS1190" s="11"/>
      <c r="AT1190" s="11"/>
      <c r="AU1190" s="11"/>
      <c r="AV1190" s="11"/>
      <c r="AW1190" s="11"/>
      <c r="AX1190" s="11"/>
      <c r="AY1190" s="11"/>
    </row>
    <row r="1191" spans="1:51" hidden="1" x14ac:dyDescent="0.2">
      <c r="A1191" s="6" t="s">
        <v>17</v>
      </c>
      <c r="B1191" t="s">
        <v>155</v>
      </c>
      <c r="C1191" t="s">
        <v>156</v>
      </c>
      <c r="D1191" t="s">
        <v>1571</v>
      </c>
      <c r="E1191" s="2">
        <v>25.06</v>
      </c>
      <c r="F1191" s="3">
        <f>DATE(2025,6,1)</f>
        <v>45809</v>
      </c>
      <c r="G1191" s="3">
        <f>DATE(2025,6,1)</f>
        <v>45809</v>
      </c>
      <c r="H1191">
        <v>2256543174</v>
      </c>
      <c r="I1191" t="s">
        <v>158</v>
      </c>
      <c r="K1191" t="s">
        <v>22</v>
      </c>
      <c r="L1191" t="s">
        <v>23</v>
      </c>
      <c r="M1191" t="s">
        <v>24</v>
      </c>
      <c r="N1191" t="s">
        <v>24</v>
      </c>
      <c r="O1191" t="s">
        <v>25</v>
      </c>
      <c r="P1191" s="8" t="s">
        <v>1572</v>
      </c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1"/>
      <c r="AJ1191" s="11"/>
      <c r="AK1191" s="11"/>
      <c r="AL1191" s="11"/>
      <c r="AM1191" s="11"/>
      <c r="AN1191" s="11"/>
      <c r="AO1191" s="11"/>
      <c r="AP1191" s="11"/>
      <c r="AQ1191" s="11"/>
      <c r="AR1191" s="11"/>
      <c r="AS1191" s="11"/>
      <c r="AT1191" s="11"/>
      <c r="AU1191" s="11"/>
      <c r="AV1191" s="11"/>
      <c r="AW1191" s="11"/>
      <c r="AX1191" s="11"/>
      <c r="AY1191" s="11"/>
    </row>
    <row r="1192" spans="1:51" hidden="1" x14ac:dyDescent="0.2">
      <c r="A1192" s="6" t="s">
        <v>17</v>
      </c>
      <c r="B1192" t="s">
        <v>18</v>
      </c>
      <c r="C1192" t="s">
        <v>19</v>
      </c>
      <c r="D1192" t="s">
        <v>1573</v>
      </c>
      <c r="E1192" s="2">
        <v>144.72</v>
      </c>
      <c r="F1192" s="3">
        <f t="shared" ref="F1192:G1194" si="106">DATE(2025,6,3)</f>
        <v>45811</v>
      </c>
      <c r="G1192" s="3">
        <f t="shared" si="106"/>
        <v>45811</v>
      </c>
      <c r="H1192">
        <v>2256543175</v>
      </c>
      <c r="I1192" t="s">
        <v>21</v>
      </c>
      <c r="K1192" t="s">
        <v>22</v>
      </c>
      <c r="L1192" t="s">
        <v>23</v>
      </c>
      <c r="M1192" t="s">
        <v>24</v>
      </c>
      <c r="N1192" t="s">
        <v>24</v>
      </c>
      <c r="O1192" t="s">
        <v>25</v>
      </c>
      <c r="P1192" s="8" t="s">
        <v>1574</v>
      </c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11"/>
      <c r="AG1192" s="11"/>
      <c r="AH1192" s="11"/>
      <c r="AI1192" s="11"/>
      <c r="AJ1192" s="11"/>
      <c r="AK1192" s="11"/>
      <c r="AL1192" s="11"/>
      <c r="AM1192" s="11"/>
      <c r="AN1192" s="11"/>
      <c r="AO1192" s="11"/>
      <c r="AP1192" s="11"/>
      <c r="AQ1192" s="11"/>
      <c r="AR1192" s="11"/>
      <c r="AS1192" s="11"/>
      <c r="AT1192" s="11"/>
      <c r="AU1192" s="11"/>
      <c r="AV1192" s="11"/>
      <c r="AW1192" s="11"/>
      <c r="AX1192" s="11"/>
      <c r="AY1192" s="11"/>
    </row>
    <row r="1193" spans="1:51" hidden="1" x14ac:dyDescent="0.2">
      <c r="A1193" s="6" t="s">
        <v>17</v>
      </c>
      <c r="B1193" t="s">
        <v>155</v>
      </c>
      <c r="C1193" t="s">
        <v>156</v>
      </c>
      <c r="D1193" t="s">
        <v>1575</v>
      </c>
      <c r="E1193" s="2">
        <v>2667.18</v>
      </c>
      <c r="F1193" s="3">
        <f t="shared" si="106"/>
        <v>45811</v>
      </c>
      <c r="G1193" s="3">
        <f t="shared" si="106"/>
        <v>45811</v>
      </c>
      <c r="H1193">
        <v>2256543176</v>
      </c>
      <c r="I1193" t="s">
        <v>21</v>
      </c>
      <c r="K1193" t="s">
        <v>22</v>
      </c>
      <c r="L1193" t="s">
        <v>23</v>
      </c>
      <c r="M1193" t="s">
        <v>24</v>
      </c>
      <c r="N1193" t="s">
        <v>24</v>
      </c>
      <c r="O1193" t="s">
        <v>25</v>
      </c>
      <c r="P1193" s="8" t="s">
        <v>1576</v>
      </c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s="11"/>
      <c r="AR1193" s="11"/>
      <c r="AS1193" s="11"/>
      <c r="AT1193" s="11"/>
      <c r="AU1193" s="11"/>
      <c r="AV1193" s="11"/>
      <c r="AW1193" s="11"/>
      <c r="AX1193" s="11"/>
      <c r="AY1193" s="11"/>
    </row>
    <row r="1194" spans="1:51" hidden="1" x14ac:dyDescent="0.2">
      <c r="A1194" s="6" t="s">
        <v>17</v>
      </c>
      <c r="B1194" t="s">
        <v>90</v>
      </c>
      <c r="C1194" t="s">
        <v>91</v>
      </c>
      <c r="D1194" t="s">
        <v>1577</v>
      </c>
      <c r="E1194" s="2">
        <v>543.89</v>
      </c>
      <c r="F1194" s="3">
        <f t="shared" si="106"/>
        <v>45811</v>
      </c>
      <c r="G1194" s="3">
        <f t="shared" si="106"/>
        <v>45811</v>
      </c>
      <c r="H1194">
        <v>2256543177</v>
      </c>
      <c r="I1194" t="s">
        <v>21</v>
      </c>
      <c r="K1194" t="s">
        <v>22</v>
      </c>
      <c r="L1194" t="s">
        <v>23</v>
      </c>
      <c r="M1194" t="s">
        <v>24</v>
      </c>
      <c r="N1194" t="s">
        <v>24</v>
      </c>
      <c r="O1194" t="s">
        <v>25</v>
      </c>
      <c r="P1194" s="8" t="s">
        <v>1578</v>
      </c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11"/>
      <c r="AG1194" s="11"/>
      <c r="AH1194" s="11"/>
      <c r="AI1194" s="11"/>
      <c r="AJ1194" s="11"/>
      <c r="AK1194" s="11"/>
      <c r="AL1194" s="11"/>
      <c r="AM1194" s="11"/>
      <c r="AN1194" s="11"/>
      <c r="AO1194" s="11"/>
      <c r="AP1194" s="11"/>
      <c r="AQ1194" s="11"/>
      <c r="AR1194" s="11"/>
      <c r="AS1194" s="11"/>
      <c r="AT1194" s="11"/>
      <c r="AU1194" s="11"/>
      <c r="AV1194" s="11"/>
      <c r="AW1194" s="11"/>
      <c r="AX1194" s="11"/>
      <c r="AY1194" s="11"/>
    </row>
    <row r="1195" spans="1:51" hidden="1" x14ac:dyDescent="0.2">
      <c r="A1195" s="6" t="s">
        <v>17</v>
      </c>
      <c r="B1195" t="s">
        <v>42</v>
      </c>
      <c r="C1195" t="s">
        <v>43</v>
      </c>
      <c r="D1195" t="s">
        <v>1579</v>
      </c>
      <c r="E1195" s="2">
        <v>102.16</v>
      </c>
      <c r="F1195" s="3">
        <f t="shared" ref="F1195:G1197" si="107">DATE(2025,6,2)</f>
        <v>45810</v>
      </c>
      <c r="G1195" s="3">
        <f t="shared" si="107"/>
        <v>45810</v>
      </c>
      <c r="H1195">
        <v>2256543178</v>
      </c>
      <c r="I1195" t="s">
        <v>21</v>
      </c>
      <c r="K1195" t="s">
        <v>22</v>
      </c>
      <c r="L1195" t="s">
        <v>23</v>
      </c>
      <c r="M1195" t="s">
        <v>24</v>
      </c>
      <c r="N1195" t="s">
        <v>24</v>
      </c>
      <c r="O1195" t="s">
        <v>25</v>
      </c>
      <c r="P1195" s="8" t="s">
        <v>1580</v>
      </c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11"/>
      <c r="AG1195" s="11"/>
      <c r="AH1195" s="11"/>
      <c r="AI1195" s="11"/>
      <c r="AJ1195" s="11"/>
      <c r="AK1195" s="11"/>
      <c r="AL1195" s="11"/>
      <c r="AM1195" s="11"/>
      <c r="AN1195" s="11"/>
      <c r="AO1195" s="11"/>
      <c r="AP1195" s="11"/>
      <c r="AQ1195" s="11"/>
      <c r="AR1195" s="11"/>
      <c r="AS1195" s="11"/>
      <c r="AT1195" s="11"/>
      <c r="AU1195" s="11"/>
      <c r="AV1195" s="11"/>
      <c r="AW1195" s="11"/>
      <c r="AX1195" s="11"/>
      <c r="AY1195" s="11"/>
    </row>
    <row r="1196" spans="1:51" hidden="1" x14ac:dyDescent="0.2">
      <c r="A1196" s="6"/>
      <c r="E1196" s="2"/>
      <c r="F1196" s="3"/>
      <c r="G1196" s="3"/>
      <c r="P1196" s="8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1"/>
      <c r="AW1196" s="11"/>
      <c r="AX1196" s="11"/>
      <c r="AY1196" s="11"/>
    </row>
    <row r="1197" spans="1:51" hidden="1" x14ac:dyDescent="0.2">
      <c r="A1197" s="6" t="s">
        <v>17</v>
      </c>
      <c r="B1197" t="s">
        <v>244</v>
      </c>
      <c r="C1197" t="s">
        <v>245</v>
      </c>
      <c r="D1197" t="s">
        <v>1581</v>
      </c>
      <c r="E1197" s="2">
        <v>629.04</v>
      </c>
      <c r="F1197" s="3">
        <f t="shared" si="107"/>
        <v>45810</v>
      </c>
      <c r="G1197" s="3">
        <f t="shared" si="107"/>
        <v>45810</v>
      </c>
      <c r="H1197">
        <v>2256543180</v>
      </c>
      <c r="I1197" t="s">
        <v>21</v>
      </c>
      <c r="K1197" t="s">
        <v>22</v>
      </c>
      <c r="L1197" t="s">
        <v>23</v>
      </c>
      <c r="M1197" t="s">
        <v>24</v>
      </c>
      <c r="N1197" t="s">
        <v>24</v>
      </c>
      <c r="O1197" t="s">
        <v>25</v>
      </c>
      <c r="P1197" s="8" t="s">
        <v>1582</v>
      </c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11"/>
      <c r="AL1197" s="11"/>
      <c r="AM1197" s="11"/>
      <c r="AN1197" s="11"/>
      <c r="AO1197" s="11"/>
      <c r="AP1197" s="11"/>
      <c r="AQ1197" s="11"/>
      <c r="AR1197" s="11"/>
      <c r="AS1197" s="11"/>
      <c r="AT1197" s="11"/>
      <c r="AU1197" s="11"/>
      <c r="AV1197" s="11"/>
      <c r="AW1197" s="11"/>
      <c r="AX1197" s="11"/>
      <c r="AY1197" s="11"/>
    </row>
    <row r="1198" spans="1:51" hidden="1" x14ac:dyDescent="0.2">
      <c r="A1198" s="6" t="s">
        <v>17</v>
      </c>
      <c r="B1198" t="s">
        <v>878</v>
      </c>
      <c r="C1198" t="s">
        <v>879</v>
      </c>
      <c r="D1198" t="s">
        <v>1583</v>
      </c>
      <c r="E1198" s="2">
        <v>1794.9</v>
      </c>
      <c r="F1198" s="3">
        <f t="shared" ref="F1198:G1203" si="108">DATE(2025,6,3)</f>
        <v>45811</v>
      </c>
      <c r="G1198" s="3">
        <f t="shared" si="108"/>
        <v>45811</v>
      </c>
      <c r="H1198">
        <v>2256543181</v>
      </c>
      <c r="I1198" t="s">
        <v>21</v>
      </c>
      <c r="K1198" t="s">
        <v>22</v>
      </c>
      <c r="L1198" t="s">
        <v>23</v>
      </c>
      <c r="M1198" t="s">
        <v>24</v>
      </c>
      <c r="N1198" t="s">
        <v>24</v>
      </c>
      <c r="O1198" t="s">
        <v>25</v>
      </c>
      <c r="P1198" s="8" t="s">
        <v>1584</v>
      </c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11"/>
      <c r="AG1198" s="11"/>
      <c r="AH1198" s="11"/>
      <c r="AI1198" s="11"/>
      <c r="AJ1198" s="11"/>
      <c r="AK1198" s="11"/>
      <c r="AL1198" s="11"/>
      <c r="AM1198" s="11"/>
      <c r="AN1198" s="11"/>
      <c r="AO1198" s="11"/>
      <c r="AP1198" s="11"/>
      <c r="AQ1198" s="11"/>
      <c r="AR1198" s="11"/>
      <c r="AS1198" s="11"/>
      <c r="AT1198" s="11"/>
      <c r="AU1198" s="11"/>
      <c r="AV1198" s="11"/>
      <c r="AW1198" s="11"/>
      <c r="AX1198" s="11"/>
      <c r="AY1198" s="11"/>
    </row>
    <row r="1199" spans="1:51" hidden="1" x14ac:dyDescent="0.2">
      <c r="A1199" s="6"/>
      <c r="E1199" s="2"/>
      <c r="F1199" s="3"/>
      <c r="G1199" s="3"/>
      <c r="P1199" s="8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11"/>
      <c r="AL1199" s="11"/>
      <c r="AM1199" s="11"/>
      <c r="AN1199" s="11"/>
      <c r="AO1199" s="11"/>
      <c r="AP1199" s="11"/>
      <c r="AQ1199" s="11"/>
      <c r="AR1199" s="11"/>
      <c r="AS1199" s="11"/>
      <c r="AT1199" s="11"/>
      <c r="AU1199" s="11"/>
      <c r="AV1199" s="11"/>
      <c r="AW1199" s="11"/>
      <c r="AX1199" s="11"/>
      <c r="AY1199" s="11"/>
    </row>
    <row r="1200" spans="1:51" hidden="1" x14ac:dyDescent="0.2">
      <c r="A1200" s="6" t="s">
        <v>17</v>
      </c>
      <c r="B1200" t="s">
        <v>42</v>
      </c>
      <c r="C1200" t="s">
        <v>43</v>
      </c>
      <c r="D1200" t="s">
        <v>1585</v>
      </c>
      <c r="E1200" s="2">
        <v>89</v>
      </c>
      <c r="F1200" s="3">
        <f t="shared" si="108"/>
        <v>45811</v>
      </c>
      <c r="G1200" s="3">
        <f t="shared" si="108"/>
        <v>45811</v>
      </c>
      <c r="H1200">
        <v>2256543183</v>
      </c>
      <c r="I1200" t="s">
        <v>21</v>
      </c>
      <c r="K1200" t="s">
        <v>22</v>
      </c>
      <c r="L1200" t="s">
        <v>23</v>
      </c>
      <c r="M1200" t="s">
        <v>24</v>
      </c>
      <c r="N1200" t="s">
        <v>24</v>
      </c>
      <c r="O1200" t="s">
        <v>25</v>
      </c>
      <c r="P1200" s="8" t="s">
        <v>1586</v>
      </c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1"/>
      <c r="AH1200" s="11"/>
      <c r="AI1200" s="11"/>
      <c r="AJ1200" s="11"/>
      <c r="AK1200" s="11"/>
      <c r="AL1200" s="11"/>
      <c r="AM1200" s="11"/>
      <c r="AN1200" s="11"/>
      <c r="AO1200" s="11"/>
      <c r="AP1200" s="11"/>
      <c r="AQ1200" s="11"/>
      <c r="AR1200" s="11"/>
      <c r="AS1200" s="11"/>
      <c r="AT1200" s="11"/>
      <c r="AU1200" s="11"/>
      <c r="AV1200" s="11"/>
      <c r="AW1200" s="11"/>
      <c r="AX1200" s="11"/>
      <c r="AY1200" s="11"/>
    </row>
    <row r="1201" spans="1:51" hidden="1" x14ac:dyDescent="0.2">
      <c r="A1201" s="6" t="s">
        <v>17</v>
      </c>
      <c r="B1201" t="s">
        <v>50</v>
      </c>
      <c r="C1201" t="s">
        <v>51</v>
      </c>
      <c r="D1201" t="s">
        <v>1587</v>
      </c>
      <c r="E1201" s="2">
        <v>299.25</v>
      </c>
      <c r="F1201" s="3">
        <f t="shared" si="108"/>
        <v>45811</v>
      </c>
      <c r="G1201" s="3">
        <f t="shared" si="108"/>
        <v>45811</v>
      </c>
      <c r="H1201">
        <v>2256543184</v>
      </c>
      <c r="I1201" t="s">
        <v>21</v>
      </c>
      <c r="K1201" t="s">
        <v>22</v>
      </c>
      <c r="L1201" t="s">
        <v>23</v>
      </c>
      <c r="M1201" t="s">
        <v>24</v>
      </c>
      <c r="N1201" t="s">
        <v>24</v>
      </c>
      <c r="O1201" t="s">
        <v>25</v>
      </c>
      <c r="P1201" s="8" t="s">
        <v>1588</v>
      </c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11"/>
      <c r="AG1201" s="11"/>
      <c r="AH1201" s="11"/>
      <c r="AI1201" s="11"/>
      <c r="AJ1201" s="11"/>
      <c r="AK1201" s="11"/>
      <c r="AL1201" s="11"/>
      <c r="AM1201" s="11"/>
      <c r="AN1201" s="11"/>
      <c r="AO1201" s="11"/>
      <c r="AP1201" s="11"/>
      <c r="AQ1201" s="11"/>
      <c r="AR1201" s="11"/>
      <c r="AS1201" s="11"/>
      <c r="AT1201" s="11"/>
      <c r="AU1201" s="11"/>
      <c r="AV1201" s="11"/>
      <c r="AW1201" s="11"/>
      <c r="AX1201" s="11"/>
      <c r="AY1201" s="11"/>
    </row>
    <row r="1202" spans="1:51" hidden="1" x14ac:dyDescent="0.2">
      <c r="A1202" s="6" t="s">
        <v>17</v>
      </c>
      <c r="B1202" t="s">
        <v>244</v>
      </c>
      <c r="C1202" t="s">
        <v>245</v>
      </c>
      <c r="D1202" t="s">
        <v>1589</v>
      </c>
      <c r="E1202" s="2">
        <v>68</v>
      </c>
      <c r="F1202" s="3">
        <f t="shared" si="108"/>
        <v>45811</v>
      </c>
      <c r="G1202" s="3">
        <f t="shared" si="108"/>
        <v>45811</v>
      </c>
      <c r="H1202">
        <v>2256543185</v>
      </c>
      <c r="I1202" t="s">
        <v>21</v>
      </c>
      <c r="K1202" t="s">
        <v>22</v>
      </c>
      <c r="L1202" t="s">
        <v>23</v>
      </c>
      <c r="M1202" t="s">
        <v>24</v>
      </c>
      <c r="N1202" t="s">
        <v>24</v>
      </c>
      <c r="O1202" t="s">
        <v>25</v>
      </c>
      <c r="P1202" s="8" t="s">
        <v>1590</v>
      </c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11"/>
      <c r="AW1202" s="11"/>
      <c r="AX1202" s="11"/>
      <c r="AY1202" s="11"/>
    </row>
    <row r="1203" spans="1:51" hidden="1" x14ac:dyDescent="0.2">
      <c r="A1203" s="6" t="s">
        <v>17</v>
      </c>
      <c r="B1203" t="s">
        <v>90</v>
      </c>
      <c r="C1203" t="s">
        <v>91</v>
      </c>
      <c r="D1203" t="s">
        <v>1591</v>
      </c>
      <c r="E1203" s="2">
        <v>1063.69</v>
      </c>
      <c r="F1203" s="3">
        <f t="shared" si="108"/>
        <v>45811</v>
      </c>
      <c r="G1203" s="3">
        <f t="shared" si="108"/>
        <v>45811</v>
      </c>
      <c r="H1203">
        <v>2256543186</v>
      </c>
      <c r="I1203" t="s">
        <v>21</v>
      </c>
      <c r="K1203" t="s">
        <v>22</v>
      </c>
      <c r="L1203" t="s">
        <v>23</v>
      </c>
      <c r="M1203" t="s">
        <v>24</v>
      </c>
      <c r="N1203" t="s">
        <v>24</v>
      </c>
      <c r="O1203" t="s">
        <v>25</v>
      </c>
      <c r="P1203" s="8" t="s">
        <v>1592</v>
      </c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11"/>
      <c r="AG1203" s="11"/>
      <c r="AH1203" s="11"/>
      <c r="AI1203" s="11"/>
      <c r="AJ1203" s="11"/>
      <c r="AK1203" s="11"/>
      <c r="AL1203" s="11"/>
      <c r="AM1203" s="11"/>
      <c r="AN1203" s="11"/>
      <c r="AO1203" s="11"/>
      <c r="AP1203" s="11"/>
      <c r="AQ1203" s="11"/>
      <c r="AR1203" s="11"/>
      <c r="AS1203" s="11"/>
      <c r="AT1203" s="11"/>
      <c r="AU1203" s="11"/>
      <c r="AV1203" s="11"/>
      <c r="AW1203" s="11"/>
      <c r="AX1203" s="11"/>
      <c r="AY1203" s="11"/>
    </row>
    <row r="1204" spans="1:51" hidden="1" x14ac:dyDescent="0.2">
      <c r="A1204" s="6" t="s">
        <v>17</v>
      </c>
      <c r="B1204" t="s">
        <v>565</v>
      </c>
      <c r="C1204" t="s">
        <v>566</v>
      </c>
      <c r="D1204" t="s">
        <v>1593</v>
      </c>
      <c r="E1204" s="2">
        <v>1299.55</v>
      </c>
      <c r="F1204" s="3">
        <f t="shared" ref="F1204:G1204" si="109">DATE(2025,6,2)</f>
        <v>45810</v>
      </c>
      <c r="G1204" s="3">
        <f t="shared" si="109"/>
        <v>45810</v>
      </c>
      <c r="H1204">
        <v>2256543187</v>
      </c>
      <c r="I1204" t="s">
        <v>21</v>
      </c>
      <c r="K1204" t="s">
        <v>22</v>
      </c>
      <c r="L1204" t="s">
        <v>23</v>
      </c>
      <c r="M1204" t="s">
        <v>24</v>
      </c>
      <c r="N1204" t="s">
        <v>24</v>
      </c>
      <c r="O1204" t="s">
        <v>25</v>
      </c>
      <c r="P1204" s="8" t="s">
        <v>1594</v>
      </c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11"/>
      <c r="AG1204" s="11"/>
      <c r="AH1204" s="11"/>
      <c r="AI1204" s="11"/>
      <c r="AJ1204" s="11"/>
      <c r="AK1204" s="11"/>
      <c r="AL1204" s="11"/>
      <c r="AM1204" s="11"/>
      <c r="AN1204" s="11"/>
      <c r="AO1204" s="11"/>
      <c r="AP1204" s="11"/>
      <c r="AQ1204" s="11"/>
      <c r="AR1204" s="11"/>
      <c r="AS1204" s="11"/>
      <c r="AT1204" s="11"/>
      <c r="AU1204" s="11"/>
      <c r="AV1204" s="11"/>
      <c r="AW1204" s="11"/>
      <c r="AX1204" s="11"/>
      <c r="AY1204" s="11"/>
    </row>
    <row r="1205" spans="1:51" hidden="1" x14ac:dyDescent="0.2">
      <c r="A1205" s="6"/>
      <c r="E1205" s="2"/>
      <c r="F1205" s="3"/>
      <c r="G1205" s="3"/>
      <c r="P1205" s="8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  <c r="AJ1205" s="11"/>
      <c r="AK1205" s="11"/>
      <c r="AL1205" s="11"/>
      <c r="AM1205" s="11"/>
      <c r="AN1205" s="11"/>
      <c r="AO1205" s="11"/>
      <c r="AP1205" s="11"/>
      <c r="AQ1205" s="11"/>
      <c r="AR1205" s="11"/>
      <c r="AS1205" s="11"/>
      <c r="AT1205" s="11"/>
      <c r="AU1205" s="11"/>
      <c r="AV1205" s="11"/>
      <c r="AW1205" s="11"/>
      <c r="AX1205" s="11"/>
      <c r="AY1205" s="11"/>
    </row>
    <row r="1206" spans="1:51" hidden="1" x14ac:dyDescent="0.2">
      <c r="A1206" s="6"/>
      <c r="E1206" s="2"/>
      <c r="F1206" s="3"/>
      <c r="G1206" s="3"/>
      <c r="P1206" s="8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  <c r="AT1206" s="11"/>
      <c r="AU1206" s="11"/>
      <c r="AV1206" s="11"/>
      <c r="AW1206" s="11"/>
      <c r="AX1206" s="11"/>
      <c r="AY1206" s="11"/>
    </row>
    <row r="1207" spans="1:51" hidden="1" x14ac:dyDescent="0.2">
      <c r="A1207" s="6" t="s">
        <v>17</v>
      </c>
      <c r="B1207" t="s">
        <v>244</v>
      </c>
      <c r="C1207" t="s">
        <v>245</v>
      </c>
      <c r="D1207" t="s">
        <v>1595</v>
      </c>
      <c r="E1207" s="2">
        <v>1354</v>
      </c>
      <c r="F1207" s="3">
        <f>DATE(2025,6,3)</f>
        <v>45811</v>
      </c>
      <c r="G1207" s="3">
        <f>DATE(2025,6,3)</f>
        <v>45811</v>
      </c>
      <c r="H1207">
        <v>2256543190</v>
      </c>
      <c r="I1207" t="s">
        <v>21</v>
      </c>
      <c r="K1207" t="s">
        <v>22</v>
      </c>
      <c r="L1207" t="s">
        <v>23</v>
      </c>
      <c r="M1207" t="s">
        <v>24</v>
      </c>
      <c r="N1207" t="s">
        <v>24</v>
      </c>
      <c r="O1207" t="s">
        <v>25</v>
      </c>
      <c r="P1207" s="8" t="s">
        <v>1596</v>
      </c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11"/>
      <c r="AG1207" s="11"/>
      <c r="AH1207" s="11"/>
      <c r="AI1207" s="11"/>
      <c r="AJ1207" s="11"/>
      <c r="AK1207" s="11"/>
      <c r="AL1207" s="11"/>
      <c r="AM1207" s="11"/>
      <c r="AN1207" s="11"/>
      <c r="AO1207" s="11"/>
      <c r="AP1207" s="11"/>
      <c r="AQ1207" s="11"/>
      <c r="AR1207" s="11"/>
      <c r="AS1207" s="11"/>
      <c r="AT1207" s="11"/>
      <c r="AU1207" s="11"/>
      <c r="AV1207" s="11"/>
      <c r="AW1207" s="11"/>
      <c r="AX1207" s="11"/>
      <c r="AY1207" s="11"/>
    </row>
    <row r="1208" spans="1:51" hidden="1" x14ac:dyDescent="0.2">
      <c r="A1208" s="6" t="s">
        <v>17</v>
      </c>
      <c r="B1208" t="s">
        <v>144</v>
      </c>
      <c r="C1208" t="s">
        <v>145</v>
      </c>
      <c r="D1208" t="s">
        <v>1597</v>
      </c>
      <c r="E1208" s="2">
        <v>12066.25</v>
      </c>
      <c r="F1208" s="3">
        <f>DATE(2025,6,2)</f>
        <v>45810</v>
      </c>
      <c r="G1208" s="3">
        <f>DATE(2025,6,2)</f>
        <v>45810</v>
      </c>
      <c r="H1208">
        <v>2256543191</v>
      </c>
      <c r="I1208" t="s">
        <v>21</v>
      </c>
      <c r="K1208" t="s">
        <v>22</v>
      </c>
      <c r="L1208" t="s">
        <v>23</v>
      </c>
      <c r="M1208" t="s">
        <v>24</v>
      </c>
      <c r="N1208" t="s">
        <v>24</v>
      </c>
      <c r="O1208" t="s">
        <v>25</v>
      </c>
      <c r="P1208" s="8" t="s">
        <v>1598</v>
      </c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1"/>
      <c r="AH1208" s="11"/>
      <c r="AI1208" s="11"/>
      <c r="AJ1208" s="11"/>
      <c r="AK1208" s="11"/>
      <c r="AL1208" s="11"/>
      <c r="AM1208" s="11"/>
      <c r="AN1208" s="11"/>
      <c r="AO1208" s="11"/>
      <c r="AP1208" s="11"/>
      <c r="AQ1208" s="11"/>
      <c r="AR1208" s="11"/>
      <c r="AS1208" s="11"/>
      <c r="AT1208" s="11"/>
      <c r="AU1208" s="11"/>
      <c r="AV1208" s="11"/>
      <c r="AW1208" s="11"/>
      <c r="AX1208" s="11"/>
      <c r="AY1208" s="11"/>
    </row>
    <row r="1209" spans="1:51" hidden="1" x14ac:dyDescent="0.2">
      <c r="A1209" s="6" t="s">
        <v>17</v>
      </c>
      <c r="B1209" t="s">
        <v>90</v>
      </c>
      <c r="C1209" t="s">
        <v>91</v>
      </c>
      <c r="D1209" t="s">
        <v>1599</v>
      </c>
      <c r="E1209" s="2">
        <v>27994.67</v>
      </c>
      <c r="F1209" s="3">
        <f t="shared" ref="F1209:G1212" si="110">DATE(2025,6,3)</f>
        <v>45811</v>
      </c>
      <c r="G1209" s="3">
        <f t="shared" si="110"/>
        <v>45811</v>
      </c>
      <c r="H1209">
        <v>2256543192</v>
      </c>
      <c r="I1209" t="s">
        <v>21</v>
      </c>
      <c r="K1209" t="s">
        <v>22</v>
      </c>
      <c r="L1209" t="s">
        <v>23</v>
      </c>
      <c r="M1209" t="s">
        <v>24</v>
      </c>
      <c r="N1209" t="s">
        <v>24</v>
      </c>
      <c r="O1209" t="s">
        <v>25</v>
      </c>
      <c r="P1209" s="8" t="s">
        <v>1600</v>
      </c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1"/>
      <c r="AJ1209" s="11"/>
      <c r="AK1209" s="11"/>
      <c r="AL1209" s="11"/>
      <c r="AM1209" s="11"/>
      <c r="AN1209" s="11"/>
      <c r="AO1209" s="11"/>
      <c r="AP1209" s="11"/>
      <c r="AQ1209" s="11"/>
      <c r="AR1209" s="11"/>
      <c r="AS1209" s="11"/>
      <c r="AT1209" s="11"/>
      <c r="AU1209" s="11"/>
      <c r="AV1209" s="11"/>
      <c r="AW1209" s="11"/>
      <c r="AX1209" s="11"/>
      <c r="AY1209" s="11"/>
    </row>
    <row r="1210" spans="1:51" hidden="1" x14ac:dyDescent="0.2">
      <c r="A1210" s="6" t="s">
        <v>17</v>
      </c>
      <c r="B1210" t="s">
        <v>118</v>
      </c>
      <c r="C1210" t="s">
        <v>119</v>
      </c>
      <c r="D1210" t="s">
        <v>1601</v>
      </c>
      <c r="E1210" s="2">
        <v>255.6</v>
      </c>
      <c r="F1210" s="3">
        <f t="shared" si="110"/>
        <v>45811</v>
      </c>
      <c r="G1210" s="3">
        <f t="shared" si="110"/>
        <v>45811</v>
      </c>
      <c r="H1210">
        <v>2256543193</v>
      </c>
      <c r="I1210" t="s">
        <v>21</v>
      </c>
      <c r="K1210" t="s">
        <v>22</v>
      </c>
      <c r="L1210" t="s">
        <v>23</v>
      </c>
      <c r="M1210" t="s">
        <v>24</v>
      </c>
      <c r="N1210" t="s">
        <v>24</v>
      </c>
      <c r="O1210" t="s">
        <v>25</v>
      </c>
      <c r="P1210" s="8" t="s">
        <v>1602</v>
      </c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1"/>
      <c r="AH1210" s="11"/>
      <c r="AI1210" s="11"/>
      <c r="AJ1210" s="11"/>
      <c r="AK1210" s="11"/>
      <c r="AL1210" s="11"/>
      <c r="AM1210" s="11"/>
      <c r="AN1210" s="11"/>
      <c r="AO1210" s="11"/>
      <c r="AP1210" s="11"/>
      <c r="AQ1210" s="11"/>
      <c r="AR1210" s="11"/>
      <c r="AS1210" s="11"/>
      <c r="AT1210" s="11"/>
      <c r="AU1210" s="11"/>
      <c r="AV1210" s="11"/>
      <c r="AW1210" s="11"/>
      <c r="AX1210" s="11"/>
      <c r="AY1210" s="11"/>
    </row>
    <row r="1211" spans="1:51" hidden="1" x14ac:dyDescent="0.2">
      <c r="A1211" s="6" t="s">
        <v>17</v>
      </c>
      <c r="B1211" t="s">
        <v>244</v>
      </c>
      <c r="C1211" t="s">
        <v>245</v>
      </c>
      <c r="D1211" t="s">
        <v>1603</v>
      </c>
      <c r="E1211" s="2">
        <v>1394.4</v>
      </c>
      <c r="F1211" s="3">
        <f t="shared" si="110"/>
        <v>45811</v>
      </c>
      <c r="G1211" s="3">
        <f t="shared" si="110"/>
        <v>45811</v>
      </c>
      <c r="H1211">
        <v>2256543194</v>
      </c>
      <c r="I1211" t="s">
        <v>21</v>
      </c>
      <c r="K1211" t="s">
        <v>22</v>
      </c>
      <c r="L1211" t="s">
        <v>23</v>
      </c>
      <c r="M1211" t="s">
        <v>24</v>
      </c>
      <c r="N1211" t="s">
        <v>24</v>
      </c>
      <c r="O1211" t="s">
        <v>25</v>
      </c>
      <c r="P1211" s="8" t="s">
        <v>1604</v>
      </c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  <c r="AV1211" s="11"/>
      <c r="AW1211" s="11"/>
      <c r="AX1211" s="11"/>
      <c r="AY1211" s="11"/>
    </row>
    <row r="1212" spans="1:51" hidden="1" x14ac:dyDescent="0.2">
      <c r="A1212" s="6" t="s">
        <v>17</v>
      </c>
      <c r="B1212" t="s">
        <v>35</v>
      </c>
      <c r="C1212" t="s">
        <v>35</v>
      </c>
      <c r="D1212" t="s">
        <v>1605</v>
      </c>
      <c r="E1212" s="2">
        <v>12.92</v>
      </c>
      <c r="F1212" s="3">
        <f t="shared" si="110"/>
        <v>45811</v>
      </c>
      <c r="G1212" s="3">
        <f t="shared" si="110"/>
        <v>45811</v>
      </c>
      <c r="H1212">
        <v>2256543195</v>
      </c>
      <c r="I1212" t="s">
        <v>21</v>
      </c>
      <c r="K1212" t="s">
        <v>22</v>
      </c>
      <c r="L1212" t="s">
        <v>23</v>
      </c>
      <c r="M1212" t="s">
        <v>24</v>
      </c>
      <c r="N1212" t="s">
        <v>24</v>
      </c>
      <c r="O1212" t="s">
        <v>25</v>
      </c>
      <c r="P1212" s="8" t="s">
        <v>1606</v>
      </c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1"/>
      <c r="AH1212" s="11"/>
      <c r="AI1212" s="11"/>
      <c r="AJ1212" s="11"/>
      <c r="AK1212" s="11"/>
      <c r="AL1212" s="11"/>
      <c r="AM1212" s="11"/>
      <c r="AN1212" s="11"/>
      <c r="AO1212" s="11"/>
      <c r="AP1212" s="11"/>
      <c r="AQ1212" s="11"/>
      <c r="AR1212" s="11"/>
      <c r="AS1212" s="11"/>
      <c r="AT1212" s="11"/>
      <c r="AU1212" s="11"/>
      <c r="AV1212" s="11"/>
      <c r="AW1212" s="11"/>
      <c r="AX1212" s="11"/>
      <c r="AY1212" s="11"/>
    </row>
    <row r="1213" spans="1:51" hidden="1" x14ac:dyDescent="0.2">
      <c r="A1213" s="6"/>
      <c r="E1213" s="2"/>
      <c r="F1213" s="3"/>
      <c r="G1213" s="3"/>
      <c r="P1213" s="8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11"/>
      <c r="AG1213" s="11"/>
      <c r="AH1213" s="11"/>
      <c r="AI1213" s="11"/>
      <c r="AJ1213" s="11"/>
      <c r="AK1213" s="11"/>
      <c r="AL1213" s="11"/>
      <c r="AM1213" s="11"/>
      <c r="AN1213" s="11"/>
      <c r="AO1213" s="11"/>
      <c r="AP1213" s="11"/>
      <c r="AQ1213" s="11"/>
      <c r="AR1213" s="11"/>
      <c r="AS1213" s="11"/>
      <c r="AT1213" s="11"/>
      <c r="AU1213" s="11"/>
      <c r="AV1213" s="11"/>
      <c r="AW1213" s="11"/>
      <c r="AX1213" s="11"/>
      <c r="AY1213" s="11"/>
    </row>
    <row r="1214" spans="1:51" hidden="1" x14ac:dyDescent="0.2">
      <c r="A1214" s="6"/>
      <c r="E1214" s="2"/>
      <c r="F1214" s="3"/>
      <c r="G1214" s="3"/>
      <c r="P1214" s="8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11"/>
      <c r="AG1214" s="11"/>
      <c r="AH1214" s="11"/>
      <c r="AI1214" s="11"/>
      <c r="AJ1214" s="11"/>
      <c r="AK1214" s="11"/>
      <c r="AL1214" s="11"/>
      <c r="AM1214" s="11"/>
      <c r="AN1214" s="11"/>
      <c r="AO1214" s="11"/>
      <c r="AP1214" s="11"/>
      <c r="AQ1214" s="11"/>
      <c r="AR1214" s="11"/>
      <c r="AS1214" s="11"/>
      <c r="AT1214" s="11"/>
      <c r="AU1214" s="11"/>
      <c r="AV1214" s="11"/>
      <c r="AW1214" s="11"/>
      <c r="AX1214" s="11"/>
      <c r="AY1214" s="11"/>
    </row>
    <row r="1215" spans="1:51" hidden="1" x14ac:dyDescent="0.2">
      <c r="A1215" s="6"/>
      <c r="E1215" s="2"/>
      <c r="F1215" s="3"/>
      <c r="G1215" s="3"/>
      <c r="P1215" s="8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11"/>
      <c r="AL1215" s="11"/>
      <c r="AM1215" s="11"/>
      <c r="AN1215" s="11"/>
      <c r="AO1215" s="11"/>
      <c r="AP1215" s="11"/>
      <c r="AQ1215" s="11"/>
      <c r="AR1215" s="11"/>
      <c r="AS1215" s="11"/>
      <c r="AT1215" s="11"/>
      <c r="AU1215" s="11"/>
      <c r="AV1215" s="11"/>
      <c r="AW1215" s="11"/>
      <c r="AX1215" s="11"/>
      <c r="AY1215" s="11"/>
    </row>
    <row r="1216" spans="1:51" hidden="1" x14ac:dyDescent="0.2">
      <c r="A1216" s="6"/>
      <c r="E1216" s="2"/>
      <c r="F1216" s="3"/>
      <c r="G1216" s="3"/>
      <c r="P1216" s="8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1"/>
      <c r="AH1216" s="11"/>
      <c r="AI1216" s="11"/>
      <c r="AJ1216" s="11"/>
      <c r="AK1216" s="11"/>
      <c r="AL1216" s="11"/>
      <c r="AM1216" s="11"/>
      <c r="AN1216" s="11"/>
      <c r="AO1216" s="11"/>
      <c r="AP1216" s="11"/>
      <c r="AQ1216" s="11"/>
      <c r="AR1216" s="11"/>
      <c r="AS1216" s="11"/>
      <c r="AT1216" s="11"/>
      <c r="AU1216" s="11"/>
      <c r="AV1216" s="11"/>
      <c r="AW1216" s="11"/>
      <c r="AX1216" s="11"/>
      <c r="AY1216" s="11"/>
    </row>
    <row r="1217" spans="1:51" hidden="1" x14ac:dyDescent="0.2">
      <c r="A1217" s="6" t="s">
        <v>17</v>
      </c>
      <c r="B1217" t="s">
        <v>244</v>
      </c>
      <c r="C1217" t="s">
        <v>245</v>
      </c>
      <c r="D1217" t="s">
        <v>1607</v>
      </c>
      <c r="E1217" s="2">
        <v>4023</v>
      </c>
      <c r="F1217" s="3">
        <f>DATE(2025,6,3)</f>
        <v>45811</v>
      </c>
      <c r="G1217" s="3">
        <f>DATE(2025,6,3)</f>
        <v>45811</v>
      </c>
      <c r="H1217">
        <v>2256543200</v>
      </c>
      <c r="I1217" t="s">
        <v>21</v>
      </c>
      <c r="K1217" t="s">
        <v>22</v>
      </c>
      <c r="L1217" t="s">
        <v>23</v>
      </c>
      <c r="M1217" t="s">
        <v>24</v>
      </c>
      <c r="N1217" t="s">
        <v>24</v>
      </c>
      <c r="O1217" t="s">
        <v>25</v>
      </c>
      <c r="P1217" s="8" t="s">
        <v>1608</v>
      </c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1"/>
      <c r="AH1217" s="11"/>
      <c r="AI1217" s="11"/>
      <c r="AJ1217" s="11"/>
      <c r="AK1217" s="11"/>
      <c r="AL1217" s="11"/>
      <c r="AM1217" s="11"/>
      <c r="AN1217" s="11"/>
      <c r="AO1217" s="11"/>
      <c r="AP1217" s="11"/>
      <c r="AQ1217" s="11"/>
      <c r="AR1217" s="11"/>
      <c r="AS1217" s="11"/>
      <c r="AT1217" s="11"/>
      <c r="AU1217" s="11"/>
      <c r="AV1217" s="11"/>
      <c r="AW1217" s="11"/>
      <c r="AX1217" s="11"/>
      <c r="AY1217" s="11"/>
    </row>
    <row r="1218" spans="1:51" hidden="1" x14ac:dyDescent="0.2">
      <c r="A1218" s="6" t="s">
        <v>17</v>
      </c>
      <c r="B1218" t="s">
        <v>27</v>
      </c>
      <c r="C1218" t="s">
        <v>28</v>
      </c>
      <c r="D1218" t="s">
        <v>1609</v>
      </c>
      <c r="E1218" s="2">
        <v>3829.92</v>
      </c>
      <c r="F1218" s="3">
        <f>DATE(2025,6,3)</f>
        <v>45811</v>
      </c>
      <c r="G1218" s="3">
        <f>DATE(2025,6,3)</f>
        <v>45811</v>
      </c>
      <c r="H1218">
        <v>2256543201</v>
      </c>
      <c r="I1218" t="s">
        <v>21</v>
      </c>
      <c r="K1218" t="s">
        <v>22</v>
      </c>
      <c r="L1218" t="s">
        <v>23</v>
      </c>
      <c r="M1218" t="s">
        <v>24</v>
      </c>
      <c r="N1218" t="s">
        <v>24</v>
      </c>
      <c r="O1218" t="s">
        <v>25</v>
      </c>
      <c r="P1218" s="8" t="s">
        <v>1610</v>
      </c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11"/>
      <c r="AG1218" s="11"/>
      <c r="AH1218" s="11"/>
      <c r="AI1218" s="11"/>
      <c r="AJ1218" s="11"/>
      <c r="AK1218" s="11"/>
      <c r="AL1218" s="11"/>
      <c r="AM1218" s="11"/>
      <c r="AN1218" s="11"/>
      <c r="AO1218" s="11"/>
      <c r="AP1218" s="11"/>
      <c r="AQ1218" s="11"/>
      <c r="AR1218" s="11"/>
      <c r="AS1218" s="11"/>
      <c r="AT1218" s="11"/>
      <c r="AU1218" s="11"/>
      <c r="AV1218" s="11"/>
      <c r="AW1218" s="11"/>
      <c r="AX1218" s="11"/>
      <c r="AY1218" s="11"/>
    </row>
    <row r="1219" spans="1:51" hidden="1" x14ac:dyDescent="0.2">
      <c r="A1219" s="6"/>
      <c r="E1219" s="2"/>
      <c r="F1219" s="3"/>
      <c r="G1219" s="3"/>
      <c r="P1219" s="8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11"/>
      <c r="AG1219" s="11"/>
      <c r="AH1219" s="11"/>
      <c r="AI1219" s="11"/>
      <c r="AJ1219" s="11"/>
      <c r="AK1219" s="11"/>
      <c r="AL1219" s="11"/>
      <c r="AM1219" s="11"/>
      <c r="AN1219" s="11"/>
      <c r="AO1219" s="11"/>
      <c r="AP1219" s="11"/>
      <c r="AQ1219" s="11"/>
      <c r="AR1219" s="11"/>
      <c r="AS1219" s="11"/>
      <c r="AT1219" s="11"/>
      <c r="AU1219" s="11"/>
      <c r="AV1219" s="11"/>
      <c r="AW1219" s="11"/>
      <c r="AX1219" s="11"/>
      <c r="AY1219" s="11"/>
    </row>
    <row r="1220" spans="1:51" hidden="1" x14ac:dyDescent="0.2">
      <c r="A1220" s="6"/>
      <c r="E1220" s="2"/>
      <c r="F1220" s="3"/>
      <c r="G1220" s="3"/>
      <c r="P1220" s="8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11"/>
      <c r="AG1220" s="11"/>
      <c r="AH1220" s="11"/>
      <c r="AI1220" s="11"/>
      <c r="AJ1220" s="11"/>
      <c r="AK1220" s="11"/>
      <c r="AL1220" s="11"/>
      <c r="AM1220" s="11"/>
      <c r="AN1220" s="11"/>
      <c r="AO1220" s="11"/>
      <c r="AP1220" s="11"/>
      <c r="AQ1220" s="11"/>
      <c r="AR1220" s="11"/>
      <c r="AS1220" s="11"/>
      <c r="AT1220" s="11"/>
      <c r="AU1220" s="11"/>
      <c r="AV1220" s="11"/>
      <c r="AW1220" s="11"/>
      <c r="AX1220" s="11"/>
      <c r="AY1220" s="11"/>
    </row>
    <row r="1221" spans="1:51" hidden="1" x14ac:dyDescent="0.2">
      <c r="A1221" s="6" t="s">
        <v>17</v>
      </c>
      <c r="B1221" t="s">
        <v>35</v>
      </c>
      <c r="C1221" t="s">
        <v>35</v>
      </c>
      <c r="D1221" t="s">
        <v>204</v>
      </c>
      <c r="E1221" s="2">
        <v>12</v>
      </c>
      <c r="F1221" s="3">
        <f>DATE(2025,6,2)</f>
        <v>45810</v>
      </c>
      <c r="G1221" s="3">
        <f>DATE(2025,6,2)</f>
        <v>45810</v>
      </c>
      <c r="H1221">
        <v>2256574576</v>
      </c>
      <c r="I1221" t="s">
        <v>192</v>
      </c>
      <c r="K1221" t="s">
        <v>22</v>
      </c>
      <c r="L1221" t="s">
        <v>23</v>
      </c>
      <c r="M1221" t="s">
        <v>24</v>
      </c>
      <c r="N1221" t="s">
        <v>24</v>
      </c>
      <c r="O1221" t="s">
        <v>25</v>
      </c>
      <c r="P1221" s="8" t="s">
        <v>1611</v>
      </c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11"/>
      <c r="AG1221" s="11"/>
      <c r="AH1221" s="11"/>
      <c r="AI1221" s="11"/>
      <c r="AJ1221" s="11"/>
      <c r="AK1221" s="11"/>
      <c r="AL1221" s="11"/>
      <c r="AM1221" s="11"/>
      <c r="AN1221" s="11"/>
      <c r="AO1221" s="11"/>
      <c r="AP1221" s="11"/>
      <c r="AQ1221" s="11"/>
      <c r="AR1221" s="11"/>
      <c r="AS1221" s="11"/>
      <c r="AT1221" s="11"/>
      <c r="AU1221" s="11"/>
      <c r="AV1221" s="11"/>
      <c r="AW1221" s="11"/>
      <c r="AX1221" s="11"/>
      <c r="AY1221" s="11"/>
    </row>
    <row r="1222" spans="1:51" hidden="1" x14ac:dyDescent="0.2">
      <c r="A1222" s="6"/>
      <c r="E1222" s="2"/>
      <c r="F1222" s="3"/>
      <c r="G1222" s="3"/>
      <c r="P1222" s="8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1"/>
      <c r="AH1222" s="11"/>
      <c r="AI1222" s="11"/>
      <c r="AJ1222" s="11"/>
      <c r="AK1222" s="11"/>
      <c r="AL1222" s="11"/>
      <c r="AM1222" s="11"/>
      <c r="AN1222" s="11"/>
      <c r="AO1222" s="11"/>
      <c r="AP1222" s="11"/>
      <c r="AQ1222" s="11"/>
      <c r="AR1222" s="11"/>
      <c r="AS1222" s="11"/>
      <c r="AT1222" s="11"/>
      <c r="AU1222" s="11"/>
      <c r="AV1222" s="11"/>
      <c r="AW1222" s="11"/>
      <c r="AX1222" s="11"/>
      <c r="AY1222" s="11"/>
    </row>
    <row r="1223" spans="1:51" hidden="1" x14ac:dyDescent="0.2">
      <c r="A1223" s="6"/>
      <c r="E1223" s="2"/>
      <c r="F1223" s="3"/>
      <c r="G1223" s="3"/>
      <c r="P1223" s="8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11"/>
      <c r="AG1223" s="11"/>
      <c r="AH1223" s="11"/>
      <c r="AI1223" s="11"/>
      <c r="AJ1223" s="11"/>
      <c r="AK1223" s="11"/>
      <c r="AL1223" s="11"/>
      <c r="AM1223" s="11"/>
      <c r="AN1223" s="11"/>
      <c r="AO1223" s="11"/>
      <c r="AP1223" s="11"/>
      <c r="AQ1223" s="11"/>
      <c r="AR1223" s="11"/>
      <c r="AS1223" s="11"/>
      <c r="AT1223" s="11"/>
      <c r="AU1223" s="11"/>
      <c r="AV1223" s="11"/>
      <c r="AW1223" s="11"/>
      <c r="AX1223" s="11"/>
      <c r="AY1223" s="11"/>
    </row>
    <row r="1224" spans="1:51" hidden="1" x14ac:dyDescent="0.2">
      <c r="A1224" s="6"/>
      <c r="E1224" s="2"/>
      <c r="F1224" s="3"/>
      <c r="G1224" s="3"/>
      <c r="P1224" s="8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  <c r="AT1224" s="11"/>
      <c r="AU1224" s="11"/>
      <c r="AV1224" s="11"/>
      <c r="AW1224" s="11"/>
      <c r="AX1224" s="11"/>
      <c r="AY1224" s="11"/>
    </row>
    <row r="1225" spans="1:51" hidden="1" x14ac:dyDescent="0.2">
      <c r="A1225" s="6" t="s">
        <v>17</v>
      </c>
      <c r="B1225" t="s">
        <v>173</v>
      </c>
      <c r="C1225" t="s">
        <v>154</v>
      </c>
      <c r="D1225" t="s">
        <v>1612</v>
      </c>
      <c r="E1225" s="2">
        <v>9.93</v>
      </c>
      <c r="F1225" s="3">
        <f>DATE(2025,6,3)</f>
        <v>45811</v>
      </c>
      <c r="G1225" s="3">
        <f>DATE(2025,6,3)</f>
        <v>45811</v>
      </c>
      <c r="H1225">
        <v>2265994767</v>
      </c>
      <c r="I1225" t="s">
        <v>158</v>
      </c>
      <c r="K1225" t="s">
        <v>22</v>
      </c>
      <c r="L1225" t="s">
        <v>23</v>
      </c>
      <c r="M1225" t="s">
        <v>24</v>
      </c>
      <c r="N1225" t="s">
        <v>24</v>
      </c>
      <c r="O1225" t="s">
        <v>25</v>
      </c>
      <c r="P1225" s="8" t="s">
        <v>1613</v>
      </c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11"/>
      <c r="AL1225" s="11"/>
      <c r="AM1225" s="11"/>
      <c r="AN1225" s="11"/>
      <c r="AO1225" s="11"/>
      <c r="AP1225" s="11"/>
      <c r="AQ1225" s="11"/>
      <c r="AR1225" s="11"/>
      <c r="AS1225" s="11"/>
      <c r="AT1225" s="11"/>
      <c r="AU1225" s="11"/>
      <c r="AV1225" s="11"/>
      <c r="AW1225" s="11"/>
      <c r="AX1225" s="11"/>
      <c r="AY1225" s="11"/>
    </row>
    <row r="1226" spans="1:51" hidden="1" x14ac:dyDescent="0.2">
      <c r="A1226" s="6" t="s">
        <v>17</v>
      </c>
      <c r="B1226" t="s">
        <v>118</v>
      </c>
      <c r="C1226" t="s">
        <v>119</v>
      </c>
      <c r="D1226" t="s">
        <v>1614</v>
      </c>
      <c r="E1226" s="2">
        <v>67.5</v>
      </c>
      <c r="F1226" s="3">
        <f>DATE(2025,6,3)</f>
        <v>45811</v>
      </c>
      <c r="G1226" s="3">
        <f>DATE(2025,6,3)</f>
        <v>45811</v>
      </c>
      <c r="H1226">
        <v>2265994768</v>
      </c>
      <c r="I1226" t="s">
        <v>158</v>
      </c>
      <c r="K1226" t="s">
        <v>22</v>
      </c>
      <c r="L1226" t="s">
        <v>23</v>
      </c>
      <c r="M1226" t="s">
        <v>24</v>
      </c>
      <c r="N1226" t="s">
        <v>24</v>
      </c>
      <c r="O1226" t="s">
        <v>25</v>
      </c>
      <c r="P1226" s="8" t="s">
        <v>1615</v>
      </c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11"/>
      <c r="AL1226" s="11"/>
      <c r="AM1226" s="11"/>
      <c r="AN1226" s="11"/>
      <c r="AO1226" s="11"/>
      <c r="AP1226" s="11"/>
      <c r="AQ1226" s="11"/>
      <c r="AR1226" s="11"/>
      <c r="AS1226" s="11"/>
      <c r="AT1226" s="11"/>
      <c r="AU1226" s="11"/>
      <c r="AV1226" s="11"/>
      <c r="AW1226" s="11"/>
      <c r="AX1226" s="11"/>
      <c r="AY1226" s="11"/>
    </row>
    <row r="1227" spans="1:51" hidden="1" x14ac:dyDescent="0.2">
      <c r="A1227" s="6"/>
      <c r="E1227" s="2"/>
      <c r="F1227" s="3"/>
      <c r="G1227" s="3"/>
      <c r="P1227" s="8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11"/>
      <c r="AL1227" s="11"/>
      <c r="AM1227" s="11"/>
      <c r="AN1227" s="11"/>
      <c r="AO1227" s="11"/>
      <c r="AP1227" s="11"/>
      <c r="AQ1227" s="11"/>
      <c r="AR1227" s="11"/>
      <c r="AS1227" s="11"/>
      <c r="AT1227" s="11"/>
      <c r="AU1227" s="11"/>
      <c r="AV1227" s="11"/>
      <c r="AW1227" s="11"/>
      <c r="AX1227" s="11"/>
      <c r="AY1227" s="11"/>
    </row>
    <row r="1228" spans="1:51" hidden="1" x14ac:dyDescent="0.2">
      <c r="A1228" s="6" t="s">
        <v>17</v>
      </c>
      <c r="B1228" t="s">
        <v>90</v>
      </c>
      <c r="C1228" t="s">
        <v>91</v>
      </c>
      <c r="D1228" t="s">
        <v>1616</v>
      </c>
      <c r="E1228" s="2">
        <v>400</v>
      </c>
      <c r="F1228" s="3">
        <f t="shared" ref="F1228:G1230" si="111">DATE(2025,6,4)</f>
        <v>45812</v>
      </c>
      <c r="G1228" s="3">
        <f t="shared" si="111"/>
        <v>45812</v>
      </c>
      <c r="H1228">
        <v>2265994804</v>
      </c>
      <c r="I1228" t="s">
        <v>21</v>
      </c>
      <c r="K1228" t="s">
        <v>22</v>
      </c>
      <c r="L1228" t="s">
        <v>23</v>
      </c>
      <c r="M1228" t="s">
        <v>24</v>
      </c>
      <c r="N1228" t="s">
        <v>24</v>
      </c>
      <c r="O1228" t="s">
        <v>25</v>
      </c>
      <c r="P1228" s="8" t="s">
        <v>1617</v>
      </c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1"/>
      <c r="AF1228" s="11"/>
      <c r="AG1228" s="11"/>
      <c r="AH1228" s="11"/>
      <c r="AI1228" s="11"/>
      <c r="AJ1228" s="11"/>
      <c r="AK1228" s="11"/>
      <c r="AL1228" s="11"/>
      <c r="AM1228" s="11"/>
      <c r="AN1228" s="11"/>
      <c r="AO1228" s="11"/>
      <c r="AP1228" s="11"/>
      <c r="AQ1228" s="11"/>
      <c r="AR1228" s="11"/>
      <c r="AS1228" s="11"/>
      <c r="AT1228" s="11"/>
      <c r="AU1228" s="11"/>
      <c r="AV1228" s="11"/>
      <c r="AW1228" s="11"/>
      <c r="AX1228" s="11"/>
      <c r="AY1228" s="11"/>
    </row>
    <row r="1229" spans="1:51" hidden="1" x14ac:dyDescent="0.2">
      <c r="A1229" s="6" t="s">
        <v>17</v>
      </c>
      <c r="B1229" t="s">
        <v>35</v>
      </c>
      <c r="C1229" t="s">
        <v>35</v>
      </c>
      <c r="D1229" t="s">
        <v>1618</v>
      </c>
      <c r="E1229" s="2">
        <v>2</v>
      </c>
      <c r="F1229" s="3">
        <f t="shared" si="111"/>
        <v>45812</v>
      </c>
      <c r="G1229" s="3">
        <f t="shared" si="111"/>
        <v>45812</v>
      </c>
      <c r="H1229">
        <v>2265994805</v>
      </c>
      <c r="I1229" t="s">
        <v>21</v>
      </c>
      <c r="K1229" t="s">
        <v>22</v>
      </c>
      <c r="L1229" t="s">
        <v>23</v>
      </c>
      <c r="M1229" t="s">
        <v>24</v>
      </c>
      <c r="N1229" t="s">
        <v>24</v>
      </c>
      <c r="O1229" t="s">
        <v>25</v>
      </c>
      <c r="P1229" s="8" t="s">
        <v>1619</v>
      </c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  <c r="AV1229" s="11"/>
      <c r="AW1229" s="11"/>
      <c r="AX1229" s="11"/>
      <c r="AY1229" s="11"/>
    </row>
    <row r="1230" spans="1:51" hidden="1" x14ac:dyDescent="0.2">
      <c r="A1230" s="6" t="s">
        <v>17</v>
      </c>
      <c r="B1230" t="s">
        <v>90</v>
      </c>
      <c r="C1230" t="s">
        <v>91</v>
      </c>
      <c r="D1230" t="s">
        <v>1620</v>
      </c>
      <c r="E1230" s="2">
        <v>1376.57</v>
      </c>
      <c r="F1230" s="3">
        <f t="shared" si="111"/>
        <v>45812</v>
      </c>
      <c r="G1230" s="3">
        <f t="shared" si="111"/>
        <v>45812</v>
      </c>
      <c r="H1230">
        <v>2265994806</v>
      </c>
      <c r="I1230" t="s">
        <v>21</v>
      </c>
      <c r="K1230" t="s">
        <v>22</v>
      </c>
      <c r="L1230" t="s">
        <v>23</v>
      </c>
      <c r="M1230" t="s">
        <v>24</v>
      </c>
      <c r="N1230" t="s">
        <v>24</v>
      </c>
      <c r="O1230" t="s">
        <v>25</v>
      </c>
      <c r="P1230" s="8" t="s">
        <v>1621</v>
      </c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11"/>
      <c r="AL1230" s="11"/>
      <c r="AM1230" s="11"/>
      <c r="AN1230" s="11"/>
      <c r="AO1230" s="11"/>
      <c r="AP1230" s="11"/>
      <c r="AQ1230" s="11"/>
      <c r="AR1230" s="11"/>
      <c r="AS1230" s="11"/>
      <c r="AT1230" s="11"/>
      <c r="AU1230" s="11"/>
      <c r="AV1230" s="11"/>
      <c r="AW1230" s="11"/>
      <c r="AX1230" s="11"/>
      <c r="AY1230" s="11"/>
    </row>
    <row r="1231" spans="1:51" hidden="1" x14ac:dyDescent="0.2">
      <c r="A1231" s="6"/>
      <c r="E1231" s="2"/>
      <c r="F1231" s="3"/>
      <c r="G1231" s="3"/>
      <c r="P1231" s="8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1"/>
      <c r="AH1231" s="11"/>
      <c r="AI1231" s="11"/>
      <c r="AJ1231" s="11"/>
      <c r="AK1231" s="11"/>
      <c r="AL1231" s="11"/>
      <c r="AM1231" s="11"/>
      <c r="AN1231" s="11"/>
      <c r="AO1231" s="11"/>
      <c r="AP1231" s="11"/>
      <c r="AQ1231" s="11"/>
      <c r="AR1231" s="11"/>
      <c r="AS1231" s="11"/>
      <c r="AT1231" s="11"/>
      <c r="AU1231" s="11"/>
      <c r="AV1231" s="11"/>
      <c r="AW1231" s="11"/>
      <c r="AX1231" s="11"/>
      <c r="AY1231" s="11"/>
    </row>
    <row r="1232" spans="1:51" hidden="1" x14ac:dyDescent="0.2">
      <c r="A1232" s="6"/>
      <c r="E1232" s="2"/>
      <c r="F1232" s="3"/>
      <c r="G1232" s="3"/>
      <c r="P1232" s="8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11"/>
      <c r="AL1232" s="11"/>
      <c r="AM1232" s="11"/>
      <c r="AN1232" s="11"/>
      <c r="AO1232" s="11"/>
      <c r="AP1232" s="11"/>
      <c r="AQ1232" s="11"/>
      <c r="AR1232" s="11"/>
      <c r="AS1232" s="11"/>
      <c r="AT1232" s="11"/>
      <c r="AU1232" s="11"/>
      <c r="AV1232" s="11"/>
      <c r="AW1232" s="11"/>
      <c r="AX1232" s="11"/>
      <c r="AY1232" s="11"/>
    </row>
    <row r="1233" spans="1:51" hidden="1" x14ac:dyDescent="0.2">
      <c r="A1233" s="6" t="s">
        <v>17</v>
      </c>
      <c r="B1233" t="s">
        <v>198</v>
      </c>
      <c r="C1233" t="s">
        <v>199</v>
      </c>
      <c r="D1233" t="s">
        <v>1622</v>
      </c>
      <c r="E1233" s="2">
        <v>228.14</v>
      </c>
      <c r="F1233" s="3">
        <f>DATE(2025,6,5)</f>
        <v>45813</v>
      </c>
      <c r="G1233" s="3">
        <f>DATE(2025,6,5)</f>
        <v>45813</v>
      </c>
      <c r="H1233">
        <v>2266045244</v>
      </c>
      <c r="I1233" t="s">
        <v>192</v>
      </c>
      <c r="K1233" t="s">
        <v>22</v>
      </c>
      <c r="L1233" t="s">
        <v>23</v>
      </c>
      <c r="M1233" t="s">
        <v>24</v>
      </c>
      <c r="N1233" t="s">
        <v>24</v>
      </c>
      <c r="O1233" t="s">
        <v>25</v>
      </c>
      <c r="P1233" s="8" t="s">
        <v>1623</v>
      </c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1"/>
      <c r="AH1233" s="11"/>
      <c r="AI1233" s="11"/>
      <c r="AJ1233" s="11"/>
      <c r="AK1233" s="11"/>
      <c r="AL1233" s="11"/>
      <c r="AM1233" s="11"/>
      <c r="AN1233" s="11"/>
      <c r="AO1233" s="11"/>
      <c r="AP1233" s="11"/>
      <c r="AQ1233" s="11"/>
      <c r="AR1233" s="11"/>
      <c r="AS1233" s="11"/>
      <c r="AT1233" s="11"/>
      <c r="AU1233" s="11"/>
      <c r="AV1233" s="11"/>
      <c r="AW1233" s="11"/>
      <c r="AX1233" s="11"/>
      <c r="AY1233" s="11"/>
    </row>
    <row r="1234" spans="1:51" hidden="1" x14ac:dyDescent="0.2">
      <c r="A1234" s="6"/>
      <c r="E1234" s="2"/>
      <c r="F1234" s="3"/>
      <c r="G1234" s="3"/>
      <c r="P1234" s="8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11"/>
      <c r="AG1234" s="11"/>
      <c r="AH1234" s="11"/>
      <c r="AI1234" s="11"/>
      <c r="AJ1234" s="11"/>
      <c r="AK1234" s="11"/>
      <c r="AL1234" s="11"/>
      <c r="AM1234" s="11"/>
      <c r="AN1234" s="11"/>
      <c r="AO1234" s="11"/>
      <c r="AP1234" s="11"/>
      <c r="AQ1234" s="11"/>
      <c r="AR1234" s="11"/>
      <c r="AS1234" s="11"/>
      <c r="AT1234" s="11"/>
      <c r="AU1234" s="11"/>
      <c r="AV1234" s="11"/>
      <c r="AW1234" s="11"/>
      <c r="AX1234" s="11"/>
      <c r="AY1234" s="11"/>
    </row>
    <row r="1235" spans="1:51" hidden="1" x14ac:dyDescent="0.2">
      <c r="A1235" s="6"/>
      <c r="E1235" s="2"/>
      <c r="F1235" s="3"/>
      <c r="G1235" s="3"/>
      <c r="P1235" s="8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11"/>
      <c r="AT1235" s="11"/>
      <c r="AU1235" s="11"/>
      <c r="AV1235" s="11"/>
      <c r="AW1235" s="11"/>
      <c r="AX1235" s="11"/>
      <c r="AY1235" s="11"/>
    </row>
    <row r="1236" spans="1:51" hidden="1" x14ac:dyDescent="0.2">
      <c r="A1236" s="6" t="s">
        <v>17</v>
      </c>
      <c r="B1236" t="s">
        <v>244</v>
      </c>
      <c r="C1236" t="s">
        <v>245</v>
      </c>
      <c r="D1236" t="s">
        <v>1624</v>
      </c>
      <c r="E1236" s="2">
        <v>18.600000000000001</v>
      </c>
      <c r="F1236" s="3">
        <f t="shared" ref="F1236:G1236" si="112">DATE(2025,6,4)</f>
        <v>45812</v>
      </c>
      <c r="G1236" s="3">
        <f t="shared" si="112"/>
        <v>45812</v>
      </c>
      <c r="H1236">
        <v>2266045247</v>
      </c>
      <c r="I1236" t="s">
        <v>192</v>
      </c>
      <c r="K1236" t="s">
        <v>22</v>
      </c>
      <c r="L1236" t="s">
        <v>23</v>
      </c>
      <c r="M1236" t="s">
        <v>24</v>
      </c>
      <c r="N1236" t="s">
        <v>24</v>
      </c>
      <c r="O1236" t="s">
        <v>25</v>
      </c>
      <c r="P1236" s="8" t="s">
        <v>1625</v>
      </c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11"/>
      <c r="AG1236" s="11"/>
      <c r="AH1236" s="11"/>
      <c r="AI1236" s="11"/>
      <c r="AJ1236" s="11"/>
      <c r="AK1236" s="11"/>
      <c r="AL1236" s="11"/>
      <c r="AM1236" s="11"/>
      <c r="AN1236" s="11"/>
      <c r="AO1236" s="11"/>
      <c r="AP1236" s="11"/>
      <c r="AQ1236" s="11"/>
      <c r="AR1236" s="11"/>
      <c r="AS1236" s="11"/>
      <c r="AT1236" s="11"/>
      <c r="AU1236" s="11"/>
      <c r="AV1236" s="11"/>
      <c r="AW1236" s="11"/>
      <c r="AX1236" s="11"/>
      <c r="AY1236" s="11"/>
    </row>
    <row r="1237" spans="1:51" hidden="1" x14ac:dyDescent="0.2">
      <c r="A1237" s="6" t="s">
        <v>17</v>
      </c>
      <c r="B1237" t="s">
        <v>198</v>
      </c>
      <c r="C1237" t="s">
        <v>199</v>
      </c>
      <c r="D1237" t="s">
        <v>1626</v>
      </c>
      <c r="E1237" s="2">
        <v>3624.72</v>
      </c>
      <c r="F1237" s="3">
        <f>DATE(2025,6,5)</f>
        <v>45813</v>
      </c>
      <c r="G1237" s="3">
        <f>DATE(2025,6,5)</f>
        <v>45813</v>
      </c>
      <c r="H1237">
        <v>2266045248</v>
      </c>
      <c r="I1237" t="s">
        <v>192</v>
      </c>
      <c r="K1237" t="s">
        <v>22</v>
      </c>
      <c r="L1237" t="s">
        <v>23</v>
      </c>
      <c r="M1237" t="s">
        <v>24</v>
      </c>
      <c r="N1237" t="s">
        <v>24</v>
      </c>
      <c r="O1237" t="s">
        <v>25</v>
      </c>
      <c r="P1237" s="8" t="s">
        <v>1627</v>
      </c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11"/>
      <c r="AG1237" s="11"/>
      <c r="AH1237" s="11"/>
      <c r="AI1237" s="11"/>
      <c r="AJ1237" s="11"/>
      <c r="AK1237" s="11"/>
      <c r="AL1237" s="11"/>
      <c r="AM1237" s="11"/>
      <c r="AN1237" s="11"/>
      <c r="AO1237" s="11"/>
      <c r="AP1237" s="11"/>
      <c r="AQ1237" s="11"/>
      <c r="AR1237" s="11"/>
      <c r="AS1237" s="11"/>
      <c r="AT1237" s="11"/>
      <c r="AU1237" s="11"/>
      <c r="AV1237" s="11"/>
      <c r="AW1237" s="11"/>
      <c r="AX1237" s="11"/>
      <c r="AY1237" s="11"/>
    </row>
    <row r="1238" spans="1:51" hidden="1" x14ac:dyDescent="0.2">
      <c r="A1238" s="6"/>
      <c r="E1238" s="2"/>
      <c r="F1238" s="3"/>
      <c r="G1238" s="3"/>
      <c r="P1238" s="8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  <c r="AS1238" s="11"/>
      <c r="AT1238" s="11"/>
      <c r="AU1238" s="11"/>
      <c r="AV1238" s="11"/>
      <c r="AW1238" s="11"/>
      <c r="AX1238" s="11"/>
      <c r="AY1238" s="11"/>
    </row>
    <row r="1239" spans="1:51" hidden="1" x14ac:dyDescent="0.2">
      <c r="A1239" s="6" t="s">
        <v>17</v>
      </c>
      <c r="B1239" t="s">
        <v>18</v>
      </c>
      <c r="C1239" t="s">
        <v>19</v>
      </c>
      <c r="D1239" t="s">
        <v>1628</v>
      </c>
      <c r="E1239" s="2">
        <v>1382.65</v>
      </c>
      <c r="F1239" s="3">
        <f t="shared" ref="F1239:G1240" si="113">DATE(2025,6,5)</f>
        <v>45813</v>
      </c>
      <c r="G1239" s="3">
        <f t="shared" si="113"/>
        <v>45813</v>
      </c>
      <c r="H1239">
        <v>2273087867</v>
      </c>
      <c r="I1239" t="s">
        <v>21</v>
      </c>
      <c r="K1239" t="s">
        <v>22</v>
      </c>
      <c r="L1239" t="s">
        <v>23</v>
      </c>
      <c r="M1239" t="s">
        <v>24</v>
      </c>
      <c r="N1239" t="s">
        <v>24</v>
      </c>
      <c r="O1239" t="s">
        <v>25</v>
      </c>
      <c r="P1239" s="8" t="s">
        <v>1629</v>
      </c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1"/>
      <c r="AH1239" s="11"/>
      <c r="AI1239" s="11"/>
      <c r="AJ1239" s="11"/>
      <c r="AK1239" s="11"/>
      <c r="AL1239" s="11"/>
      <c r="AM1239" s="11"/>
      <c r="AN1239" s="11"/>
      <c r="AO1239" s="11"/>
      <c r="AP1239" s="11"/>
      <c r="AQ1239" s="11"/>
      <c r="AR1239" s="11"/>
      <c r="AS1239" s="11"/>
      <c r="AT1239" s="11"/>
      <c r="AU1239" s="11"/>
      <c r="AV1239" s="11"/>
      <c r="AW1239" s="11"/>
      <c r="AX1239" s="11"/>
      <c r="AY1239" s="11"/>
    </row>
    <row r="1240" spans="1:51" hidden="1" x14ac:dyDescent="0.2">
      <c r="A1240" s="6" t="s">
        <v>17</v>
      </c>
      <c r="B1240" t="s">
        <v>84</v>
      </c>
      <c r="C1240" t="s">
        <v>85</v>
      </c>
      <c r="D1240" t="s">
        <v>1630</v>
      </c>
      <c r="E1240" s="2">
        <v>1503.29</v>
      </c>
      <c r="F1240" s="3">
        <f t="shared" si="113"/>
        <v>45813</v>
      </c>
      <c r="G1240" s="3">
        <f t="shared" si="113"/>
        <v>45813</v>
      </c>
      <c r="H1240">
        <v>2273087868</v>
      </c>
      <c r="I1240" t="s">
        <v>21</v>
      </c>
      <c r="K1240" t="s">
        <v>22</v>
      </c>
      <c r="L1240" t="s">
        <v>23</v>
      </c>
      <c r="M1240" t="s">
        <v>24</v>
      </c>
      <c r="N1240" t="s">
        <v>24</v>
      </c>
      <c r="O1240" t="s">
        <v>25</v>
      </c>
      <c r="P1240" s="8" t="s">
        <v>1631</v>
      </c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11"/>
      <c r="AG1240" s="11"/>
      <c r="AH1240" s="11"/>
      <c r="AI1240" s="11"/>
      <c r="AJ1240" s="11"/>
      <c r="AK1240" s="11"/>
      <c r="AL1240" s="11"/>
      <c r="AM1240" s="11"/>
      <c r="AN1240" s="11"/>
      <c r="AO1240" s="11"/>
      <c r="AP1240" s="11"/>
      <c r="AQ1240" s="11"/>
      <c r="AR1240" s="11"/>
      <c r="AS1240" s="11"/>
      <c r="AT1240" s="11"/>
      <c r="AU1240" s="11"/>
      <c r="AV1240" s="11"/>
      <c r="AW1240" s="11"/>
      <c r="AX1240" s="11"/>
      <c r="AY1240" s="11"/>
    </row>
    <row r="1241" spans="1:51" hidden="1" x14ac:dyDescent="0.2">
      <c r="A1241" s="6"/>
      <c r="E1241" s="2"/>
      <c r="F1241" s="3"/>
      <c r="G1241" s="3"/>
      <c r="P1241" s="8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1"/>
      <c r="AH1241" s="11"/>
      <c r="AI1241" s="11"/>
      <c r="AJ1241" s="11"/>
      <c r="AK1241" s="11"/>
      <c r="AL1241" s="11"/>
      <c r="AM1241" s="11"/>
      <c r="AN1241" s="11"/>
      <c r="AO1241" s="11"/>
      <c r="AP1241" s="11"/>
      <c r="AQ1241" s="11"/>
      <c r="AR1241" s="11"/>
      <c r="AS1241" s="11"/>
      <c r="AT1241" s="11"/>
      <c r="AU1241" s="11"/>
      <c r="AV1241" s="11"/>
      <c r="AW1241" s="11"/>
      <c r="AX1241" s="11"/>
      <c r="AY1241" s="11"/>
    </row>
    <row r="1242" spans="1:51" hidden="1" x14ac:dyDescent="0.2">
      <c r="A1242" s="6" t="s">
        <v>17</v>
      </c>
      <c r="B1242" t="s">
        <v>90</v>
      </c>
      <c r="C1242" t="s">
        <v>91</v>
      </c>
      <c r="D1242" t="s">
        <v>1632</v>
      </c>
      <c r="E1242" s="2">
        <v>1000</v>
      </c>
      <c r="F1242" s="3">
        <f>DATE(2025,6,6)</f>
        <v>45814</v>
      </c>
      <c r="G1242" s="3">
        <f>DATE(2025,6,6)</f>
        <v>45814</v>
      </c>
      <c r="H1242">
        <v>2273087870</v>
      </c>
      <c r="I1242" t="s">
        <v>21</v>
      </c>
      <c r="K1242" t="s">
        <v>22</v>
      </c>
      <c r="L1242" t="s">
        <v>23</v>
      </c>
      <c r="M1242" t="s">
        <v>24</v>
      </c>
      <c r="N1242" t="s">
        <v>24</v>
      </c>
      <c r="O1242" t="s">
        <v>25</v>
      </c>
      <c r="P1242" s="8" t="s">
        <v>1633</v>
      </c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  <c r="AT1242" s="11"/>
      <c r="AU1242" s="11"/>
      <c r="AV1242" s="11"/>
      <c r="AW1242" s="11"/>
      <c r="AX1242" s="11"/>
      <c r="AY1242" s="11"/>
    </row>
    <row r="1243" spans="1:51" hidden="1" x14ac:dyDescent="0.2">
      <c r="A1243" s="6" t="s">
        <v>17</v>
      </c>
      <c r="B1243" t="s">
        <v>84</v>
      </c>
      <c r="C1243" t="s">
        <v>85</v>
      </c>
      <c r="D1243" t="s">
        <v>1634</v>
      </c>
      <c r="E1243" s="2">
        <v>539.58000000000004</v>
      </c>
      <c r="F1243" s="3">
        <f t="shared" ref="F1243:G1245" si="114">DATE(2025,6,5)</f>
        <v>45813</v>
      </c>
      <c r="G1243" s="3">
        <f t="shared" si="114"/>
        <v>45813</v>
      </c>
      <c r="H1243">
        <v>2273087871</v>
      </c>
      <c r="I1243" t="s">
        <v>21</v>
      </c>
      <c r="K1243" t="s">
        <v>22</v>
      </c>
      <c r="L1243" t="s">
        <v>23</v>
      </c>
      <c r="M1243" t="s">
        <v>24</v>
      </c>
      <c r="N1243" t="s">
        <v>24</v>
      </c>
      <c r="O1243" t="s">
        <v>25</v>
      </c>
      <c r="P1243" s="8" t="s">
        <v>1635</v>
      </c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1"/>
      <c r="AF1243" s="11"/>
      <c r="AG1243" s="11"/>
      <c r="AH1243" s="11"/>
      <c r="AI1243" s="11"/>
      <c r="AJ1243" s="11"/>
      <c r="AK1243" s="11"/>
      <c r="AL1243" s="11"/>
      <c r="AM1243" s="11"/>
      <c r="AN1243" s="11"/>
      <c r="AO1243" s="11"/>
      <c r="AP1243" s="11"/>
      <c r="AQ1243" s="11"/>
      <c r="AR1243" s="11"/>
      <c r="AS1243" s="11"/>
      <c r="AT1243" s="11"/>
      <c r="AU1243" s="11"/>
      <c r="AV1243" s="11"/>
      <c r="AW1243" s="11"/>
      <c r="AX1243" s="11"/>
      <c r="AY1243" s="11"/>
    </row>
    <row r="1244" spans="1:51" hidden="1" x14ac:dyDescent="0.2">
      <c r="A1244" s="6" t="s">
        <v>17</v>
      </c>
      <c r="B1244" t="s">
        <v>1002</v>
      </c>
      <c r="C1244" t="s">
        <v>1003</v>
      </c>
      <c r="D1244" t="s">
        <v>1636</v>
      </c>
      <c r="E1244" s="2">
        <v>117.5</v>
      </c>
      <c r="F1244" s="3">
        <f t="shared" si="114"/>
        <v>45813</v>
      </c>
      <c r="G1244" s="3">
        <f t="shared" si="114"/>
        <v>45813</v>
      </c>
      <c r="H1244">
        <v>2273087872</v>
      </c>
      <c r="I1244" t="s">
        <v>21</v>
      </c>
      <c r="K1244" t="s">
        <v>22</v>
      </c>
      <c r="L1244" t="s">
        <v>23</v>
      </c>
      <c r="M1244" t="s">
        <v>24</v>
      </c>
      <c r="N1244" t="s">
        <v>24</v>
      </c>
      <c r="O1244" t="s">
        <v>25</v>
      </c>
      <c r="P1244" s="8" t="s">
        <v>1637</v>
      </c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11"/>
      <c r="AG1244" s="11"/>
      <c r="AH1244" s="11"/>
      <c r="AI1244" s="11"/>
      <c r="AJ1244" s="11"/>
      <c r="AK1244" s="11"/>
      <c r="AL1244" s="11"/>
      <c r="AM1244" s="11"/>
      <c r="AN1244" s="11"/>
      <c r="AO1244" s="11"/>
      <c r="AP1244" s="11"/>
      <c r="AQ1244" s="11"/>
      <c r="AR1244" s="11"/>
      <c r="AS1244" s="11"/>
      <c r="AT1244" s="11"/>
      <c r="AU1244" s="11"/>
      <c r="AV1244" s="11"/>
      <c r="AW1244" s="11"/>
      <c r="AX1244" s="11"/>
      <c r="AY1244" s="11"/>
    </row>
    <row r="1245" spans="1:51" hidden="1" x14ac:dyDescent="0.2">
      <c r="A1245" s="6" t="s">
        <v>17</v>
      </c>
      <c r="B1245" t="s">
        <v>18</v>
      </c>
      <c r="C1245" t="s">
        <v>19</v>
      </c>
      <c r="D1245" t="s">
        <v>1638</v>
      </c>
      <c r="E1245" s="2">
        <v>553.63</v>
      </c>
      <c r="F1245" s="3">
        <f t="shared" si="114"/>
        <v>45813</v>
      </c>
      <c r="G1245" s="3">
        <f t="shared" si="114"/>
        <v>45813</v>
      </c>
      <c r="H1245">
        <v>2273087873</v>
      </c>
      <c r="I1245" t="s">
        <v>21</v>
      </c>
      <c r="K1245" t="s">
        <v>22</v>
      </c>
      <c r="L1245" t="s">
        <v>23</v>
      </c>
      <c r="M1245" t="s">
        <v>24</v>
      </c>
      <c r="N1245" t="s">
        <v>24</v>
      </c>
      <c r="O1245" t="s">
        <v>25</v>
      </c>
      <c r="P1245" s="8" t="s">
        <v>1639</v>
      </c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1"/>
      <c r="AJ1245" s="11"/>
      <c r="AK1245" s="11"/>
      <c r="AL1245" s="11"/>
      <c r="AM1245" s="11"/>
      <c r="AN1245" s="11"/>
      <c r="AO1245" s="11"/>
      <c r="AP1245" s="11"/>
      <c r="AQ1245" s="11"/>
      <c r="AR1245" s="11"/>
      <c r="AS1245" s="11"/>
      <c r="AT1245" s="11"/>
      <c r="AU1245" s="11"/>
      <c r="AV1245" s="11"/>
      <c r="AW1245" s="11"/>
      <c r="AX1245" s="11"/>
      <c r="AY1245" s="11"/>
    </row>
    <row r="1246" spans="1:51" hidden="1" x14ac:dyDescent="0.2">
      <c r="A1246" s="6"/>
      <c r="E1246" s="2"/>
      <c r="F1246" s="3"/>
      <c r="G1246" s="3"/>
      <c r="P1246" s="8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11"/>
      <c r="AG1246" s="11"/>
      <c r="AH1246" s="11"/>
      <c r="AI1246" s="11"/>
      <c r="AJ1246" s="11"/>
      <c r="AK1246" s="11"/>
      <c r="AL1246" s="11"/>
      <c r="AM1246" s="11"/>
      <c r="AN1246" s="11"/>
      <c r="AO1246" s="11"/>
      <c r="AP1246" s="11"/>
      <c r="AQ1246" s="11"/>
      <c r="AR1246" s="11"/>
      <c r="AS1246" s="11"/>
      <c r="AT1246" s="11"/>
      <c r="AU1246" s="11"/>
      <c r="AV1246" s="11"/>
      <c r="AW1246" s="11"/>
      <c r="AX1246" s="11"/>
      <c r="AY1246" s="11"/>
    </row>
    <row r="1247" spans="1:51" hidden="1" x14ac:dyDescent="0.2">
      <c r="A1247" s="6"/>
      <c r="E1247" s="2"/>
      <c r="F1247" s="3"/>
      <c r="G1247" s="3"/>
      <c r="P1247" s="8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1"/>
      <c r="AH1247" s="11"/>
      <c r="AI1247" s="11"/>
      <c r="AJ1247" s="11"/>
      <c r="AK1247" s="11"/>
      <c r="AL1247" s="11"/>
      <c r="AM1247" s="11"/>
      <c r="AN1247" s="11"/>
      <c r="AO1247" s="11"/>
      <c r="AP1247" s="11"/>
      <c r="AQ1247" s="11"/>
      <c r="AR1247" s="11"/>
      <c r="AS1247" s="11"/>
      <c r="AT1247" s="11"/>
      <c r="AU1247" s="11"/>
      <c r="AV1247" s="11"/>
      <c r="AW1247" s="11"/>
      <c r="AX1247" s="11"/>
      <c r="AY1247" s="11"/>
    </row>
    <row r="1248" spans="1:51" hidden="1" x14ac:dyDescent="0.2">
      <c r="A1248" s="6"/>
      <c r="E1248" s="2"/>
      <c r="F1248" s="3"/>
      <c r="G1248" s="3"/>
      <c r="P1248" s="8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11"/>
      <c r="AG1248" s="11"/>
      <c r="AH1248" s="11"/>
      <c r="AI1248" s="11"/>
      <c r="AJ1248" s="11"/>
      <c r="AK1248" s="11"/>
      <c r="AL1248" s="11"/>
      <c r="AM1248" s="11"/>
      <c r="AN1248" s="11"/>
      <c r="AO1248" s="11"/>
      <c r="AP1248" s="11"/>
      <c r="AQ1248" s="11"/>
      <c r="AR1248" s="11"/>
      <c r="AS1248" s="11"/>
      <c r="AT1248" s="11"/>
      <c r="AU1248" s="11"/>
      <c r="AV1248" s="11"/>
      <c r="AW1248" s="11"/>
      <c r="AX1248" s="11"/>
      <c r="AY1248" s="11"/>
    </row>
    <row r="1249" spans="1:51" hidden="1" x14ac:dyDescent="0.2">
      <c r="A1249" s="6" t="s">
        <v>17</v>
      </c>
      <c r="B1249" t="s">
        <v>980</v>
      </c>
      <c r="C1249" t="s">
        <v>981</v>
      </c>
      <c r="D1249" t="s">
        <v>1640</v>
      </c>
      <c r="E1249" s="2">
        <v>56.35</v>
      </c>
      <c r="F1249" s="3">
        <f t="shared" ref="F1249:G1251" si="115">DATE(2025,6,6)</f>
        <v>45814</v>
      </c>
      <c r="G1249" s="3">
        <f t="shared" si="115"/>
        <v>45814</v>
      </c>
      <c r="H1249">
        <v>2277434436</v>
      </c>
      <c r="I1249" t="s">
        <v>21</v>
      </c>
      <c r="K1249" t="s">
        <v>22</v>
      </c>
      <c r="L1249" t="s">
        <v>23</v>
      </c>
      <c r="M1249" t="s">
        <v>24</v>
      </c>
      <c r="N1249" t="s">
        <v>24</v>
      </c>
      <c r="O1249" t="s">
        <v>25</v>
      </c>
      <c r="P1249" s="8" t="s">
        <v>1641</v>
      </c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1"/>
      <c r="AH1249" s="11"/>
      <c r="AI1249" s="11"/>
      <c r="AJ1249" s="11"/>
      <c r="AK1249" s="11"/>
      <c r="AL1249" s="11"/>
      <c r="AM1249" s="11"/>
      <c r="AN1249" s="11"/>
      <c r="AO1249" s="11"/>
      <c r="AP1249" s="11"/>
      <c r="AQ1249" s="11"/>
      <c r="AR1249" s="11"/>
      <c r="AS1249" s="11"/>
      <c r="AT1249" s="11"/>
      <c r="AU1249" s="11"/>
      <c r="AV1249" s="11"/>
      <c r="AW1249" s="11"/>
      <c r="AX1249" s="11"/>
      <c r="AY1249" s="11"/>
    </row>
    <row r="1250" spans="1:51" hidden="1" x14ac:dyDescent="0.2">
      <c r="A1250" s="6" t="s">
        <v>17</v>
      </c>
      <c r="B1250" t="s">
        <v>50</v>
      </c>
      <c r="C1250" t="s">
        <v>51</v>
      </c>
      <c r="D1250" t="s">
        <v>1642</v>
      </c>
      <c r="E1250" s="2">
        <v>205.2</v>
      </c>
      <c r="F1250" s="3">
        <f t="shared" si="115"/>
        <v>45814</v>
      </c>
      <c r="G1250" s="3">
        <f t="shared" si="115"/>
        <v>45814</v>
      </c>
      <c r="H1250">
        <v>2277434437</v>
      </c>
      <c r="I1250" t="s">
        <v>21</v>
      </c>
      <c r="K1250" t="s">
        <v>22</v>
      </c>
      <c r="L1250" t="s">
        <v>23</v>
      </c>
      <c r="M1250" t="s">
        <v>24</v>
      </c>
      <c r="N1250" t="s">
        <v>24</v>
      </c>
      <c r="O1250" t="s">
        <v>25</v>
      </c>
      <c r="P1250" s="8" t="s">
        <v>1643</v>
      </c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/>
      <c r="AS1250" s="11"/>
      <c r="AT1250" s="11"/>
      <c r="AU1250" s="11"/>
      <c r="AV1250" s="11"/>
      <c r="AW1250" s="11"/>
      <c r="AX1250" s="11"/>
      <c r="AY1250" s="11"/>
    </row>
    <row r="1251" spans="1:51" x14ac:dyDescent="0.2">
      <c r="A1251" s="6" t="s">
        <v>17</v>
      </c>
      <c r="B1251" t="s">
        <v>342</v>
      </c>
      <c r="C1251" t="s">
        <v>342</v>
      </c>
      <c r="D1251" t="s">
        <v>1644</v>
      </c>
      <c r="E1251" s="2">
        <v>113.87</v>
      </c>
      <c r="F1251" s="3">
        <f t="shared" si="115"/>
        <v>45814</v>
      </c>
      <c r="G1251" s="3">
        <f t="shared" si="115"/>
        <v>45814</v>
      </c>
      <c r="H1251">
        <v>2277434438</v>
      </c>
      <c r="I1251" t="s">
        <v>21</v>
      </c>
      <c r="K1251" t="s">
        <v>22</v>
      </c>
      <c r="L1251" t="s">
        <v>23</v>
      </c>
      <c r="M1251" t="s">
        <v>24</v>
      </c>
      <c r="N1251" t="s">
        <v>24</v>
      </c>
      <c r="O1251" t="s">
        <v>25</v>
      </c>
      <c r="P1251" s="8" t="s">
        <v>1645</v>
      </c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11"/>
      <c r="AG1251" s="11"/>
      <c r="AH1251" s="11"/>
      <c r="AI1251" s="11"/>
      <c r="AJ1251" s="11"/>
      <c r="AK1251" s="11"/>
      <c r="AL1251" s="11"/>
      <c r="AM1251" s="11"/>
      <c r="AN1251" s="11"/>
      <c r="AO1251" s="11"/>
      <c r="AP1251" s="11"/>
      <c r="AQ1251" s="11"/>
      <c r="AR1251" s="11"/>
      <c r="AS1251" s="11"/>
      <c r="AT1251" s="11"/>
      <c r="AU1251" s="11"/>
      <c r="AV1251" s="11"/>
      <c r="AW1251" s="11"/>
      <c r="AX1251" s="11"/>
      <c r="AY1251" s="11"/>
    </row>
    <row r="1252" spans="1:51" hidden="1" x14ac:dyDescent="0.2">
      <c r="A1252" s="6" t="s">
        <v>17</v>
      </c>
      <c r="B1252" t="s">
        <v>118</v>
      </c>
      <c r="C1252" t="s">
        <v>119</v>
      </c>
      <c r="D1252" t="s">
        <v>1646</v>
      </c>
      <c r="E1252" s="2">
        <v>49.07</v>
      </c>
      <c r="F1252" s="3">
        <f>DATE(2025,6,3)</f>
        <v>45811</v>
      </c>
      <c r="G1252" s="3">
        <f>DATE(2025,6,3)</f>
        <v>45811</v>
      </c>
      <c r="H1252">
        <v>2277435143</v>
      </c>
      <c r="I1252" t="s">
        <v>158</v>
      </c>
      <c r="K1252" t="s">
        <v>22</v>
      </c>
      <c r="L1252" t="s">
        <v>23</v>
      </c>
      <c r="M1252" t="s">
        <v>24</v>
      </c>
      <c r="N1252" t="s">
        <v>24</v>
      </c>
      <c r="O1252" t="s">
        <v>25</v>
      </c>
      <c r="P1252" s="8" t="s">
        <v>1647</v>
      </c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11"/>
      <c r="AG1252" s="11"/>
      <c r="AH1252" s="11"/>
      <c r="AI1252" s="11"/>
      <c r="AJ1252" s="11"/>
      <c r="AK1252" s="11"/>
      <c r="AL1252" s="11"/>
      <c r="AM1252" s="11"/>
      <c r="AN1252" s="11"/>
      <c r="AO1252" s="11"/>
      <c r="AP1252" s="11"/>
      <c r="AQ1252" s="11"/>
      <c r="AR1252" s="11"/>
      <c r="AS1252" s="11"/>
      <c r="AT1252" s="11"/>
      <c r="AU1252" s="11"/>
      <c r="AV1252" s="11"/>
      <c r="AW1252" s="11"/>
      <c r="AX1252" s="11"/>
      <c r="AY1252" s="11"/>
    </row>
    <row r="1253" spans="1:51" hidden="1" x14ac:dyDescent="0.2">
      <c r="A1253" s="6" t="s">
        <v>17</v>
      </c>
      <c r="B1253" t="s">
        <v>118</v>
      </c>
      <c r="C1253" t="s">
        <v>119</v>
      </c>
      <c r="D1253" t="s">
        <v>1648</v>
      </c>
      <c r="E1253" s="2">
        <v>146.79</v>
      </c>
      <c r="F1253" s="3">
        <f>DATE(2025,6,2)</f>
        <v>45810</v>
      </c>
      <c r="G1253" s="3">
        <f>DATE(2025,6,2)</f>
        <v>45810</v>
      </c>
      <c r="H1253">
        <v>2277435145</v>
      </c>
      <c r="I1253" t="s">
        <v>158</v>
      </c>
      <c r="K1253" t="s">
        <v>22</v>
      </c>
      <c r="L1253" t="s">
        <v>23</v>
      </c>
      <c r="M1253" t="s">
        <v>24</v>
      </c>
      <c r="N1253" t="s">
        <v>24</v>
      </c>
      <c r="O1253" t="s">
        <v>25</v>
      </c>
      <c r="P1253" s="8" t="s">
        <v>1649</v>
      </c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1"/>
      <c r="AH1253" s="11"/>
      <c r="AI1253" s="11"/>
      <c r="AJ1253" s="11"/>
      <c r="AK1253" s="11"/>
      <c r="AL1253" s="11"/>
      <c r="AM1253" s="11"/>
      <c r="AN1253" s="11"/>
      <c r="AO1253" s="11"/>
      <c r="AP1253" s="11"/>
      <c r="AQ1253" s="11"/>
      <c r="AR1253" s="11"/>
      <c r="AS1253" s="11"/>
      <c r="AT1253" s="11"/>
      <c r="AU1253" s="11"/>
      <c r="AV1253" s="11"/>
      <c r="AW1253" s="11"/>
      <c r="AX1253" s="11"/>
      <c r="AY1253" s="11"/>
    </row>
    <row r="1254" spans="1:51" hidden="1" x14ac:dyDescent="0.2">
      <c r="A1254" s="6"/>
      <c r="E1254" s="2"/>
      <c r="F1254" s="3"/>
      <c r="G1254" s="3"/>
      <c r="P1254" s="8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11"/>
      <c r="AG1254" s="11"/>
      <c r="AH1254" s="11"/>
      <c r="AI1254" s="11"/>
      <c r="AJ1254" s="11"/>
      <c r="AK1254" s="11"/>
      <c r="AL1254" s="11"/>
      <c r="AM1254" s="11"/>
      <c r="AN1254" s="11"/>
      <c r="AO1254" s="11"/>
      <c r="AP1254" s="11"/>
      <c r="AQ1254" s="11"/>
      <c r="AR1254" s="11"/>
      <c r="AS1254" s="11"/>
      <c r="AT1254" s="11"/>
      <c r="AU1254" s="11"/>
      <c r="AV1254" s="11"/>
      <c r="AW1254" s="11"/>
      <c r="AX1254" s="11"/>
      <c r="AY1254" s="11"/>
    </row>
    <row r="1255" spans="1:51" hidden="1" x14ac:dyDescent="0.2">
      <c r="A1255" s="6"/>
      <c r="E1255" s="2"/>
      <c r="F1255" s="3"/>
      <c r="G1255" s="3"/>
      <c r="P1255" s="8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1"/>
      <c r="AH1255" s="11"/>
      <c r="AI1255" s="11"/>
      <c r="AJ1255" s="11"/>
      <c r="AK1255" s="11"/>
      <c r="AL1255" s="11"/>
      <c r="AM1255" s="11"/>
      <c r="AN1255" s="11"/>
      <c r="AO1255" s="11"/>
      <c r="AP1255" s="11"/>
      <c r="AQ1255" s="11"/>
      <c r="AR1255" s="11"/>
      <c r="AS1255" s="11"/>
      <c r="AT1255" s="11"/>
      <c r="AU1255" s="11"/>
      <c r="AV1255" s="11"/>
      <c r="AW1255" s="11"/>
      <c r="AX1255" s="11"/>
      <c r="AY1255" s="11"/>
    </row>
    <row r="1256" spans="1:51" hidden="1" x14ac:dyDescent="0.2">
      <c r="A1256" s="6"/>
      <c r="E1256" s="2"/>
      <c r="F1256" s="3"/>
      <c r="G1256" s="3"/>
      <c r="P1256" s="8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11"/>
      <c r="AG1256" s="11"/>
      <c r="AH1256" s="11"/>
      <c r="AI1256" s="11"/>
      <c r="AJ1256" s="11"/>
      <c r="AK1256" s="11"/>
      <c r="AL1256" s="11"/>
      <c r="AM1256" s="11"/>
      <c r="AN1256" s="11"/>
      <c r="AO1256" s="11"/>
      <c r="AP1256" s="11"/>
      <c r="AQ1256" s="11"/>
      <c r="AR1256" s="11"/>
      <c r="AS1256" s="11"/>
      <c r="AT1256" s="11"/>
      <c r="AU1256" s="11"/>
      <c r="AV1256" s="11"/>
      <c r="AW1256" s="11"/>
      <c r="AX1256" s="11"/>
      <c r="AY1256" s="11"/>
    </row>
    <row r="1257" spans="1:51" hidden="1" x14ac:dyDescent="0.2">
      <c r="A1257" s="6"/>
      <c r="E1257" s="2"/>
      <c r="F1257" s="3"/>
      <c r="G1257" s="3"/>
      <c r="P1257" s="8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11"/>
      <c r="AG1257" s="11"/>
      <c r="AH1257" s="11"/>
      <c r="AI1257" s="11"/>
      <c r="AJ1257" s="11"/>
      <c r="AK1257" s="11"/>
      <c r="AL1257" s="11"/>
      <c r="AM1257" s="11"/>
      <c r="AN1257" s="11"/>
      <c r="AO1257" s="11"/>
      <c r="AP1257" s="11"/>
      <c r="AQ1257" s="11"/>
      <c r="AR1257" s="11"/>
      <c r="AS1257" s="11"/>
      <c r="AT1257" s="11"/>
      <c r="AU1257" s="11"/>
      <c r="AV1257" s="11"/>
      <c r="AW1257" s="11"/>
      <c r="AX1257" s="11"/>
      <c r="AY1257" s="11"/>
    </row>
    <row r="1258" spans="1:51" hidden="1" x14ac:dyDescent="0.2">
      <c r="A1258" s="6"/>
      <c r="E1258" s="2"/>
      <c r="F1258" s="3"/>
      <c r="G1258" s="3"/>
      <c r="P1258" s="8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11"/>
      <c r="AG1258" s="11"/>
      <c r="AH1258" s="11"/>
      <c r="AI1258" s="11"/>
      <c r="AJ1258" s="11"/>
      <c r="AK1258" s="11"/>
      <c r="AL1258" s="11"/>
      <c r="AM1258" s="11"/>
      <c r="AN1258" s="11"/>
      <c r="AO1258" s="11"/>
      <c r="AP1258" s="11"/>
      <c r="AQ1258" s="11"/>
      <c r="AR1258" s="11"/>
      <c r="AS1258" s="11"/>
      <c r="AT1258" s="11"/>
      <c r="AU1258" s="11"/>
      <c r="AV1258" s="11"/>
      <c r="AW1258" s="11"/>
      <c r="AX1258" s="11"/>
      <c r="AY1258" s="11"/>
    </row>
    <row r="1259" spans="1:51" hidden="1" x14ac:dyDescent="0.2">
      <c r="A1259" s="6"/>
      <c r="E1259" s="2"/>
      <c r="F1259" s="3"/>
      <c r="G1259" s="3"/>
      <c r="P1259" s="8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s="11"/>
      <c r="AR1259" s="11"/>
      <c r="AS1259" s="11"/>
      <c r="AT1259" s="11"/>
      <c r="AU1259" s="11"/>
      <c r="AV1259" s="11"/>
      <c r="AW1259" s="11"/>
      <c r="AX1259" s="11"/>
      <c r="AY1259" s="11"/>
    </row>
    <row r="1260" spans="1:51" hidden="1" x14ac:dyDescent="0.2">
      <c r="A1260" s="6" t="s">
        <v>17</v>
      </c>
      <c r="B1260" t="s">
        <v>42</v>
      </c>
      <c r="C1260" t="s">
        <v>43</v>
      </c>
      <c r="D1260" t="s">
        <v>1650</v>
      </c>
      <c r="E1260" s="2">
        <v>14</v>
      </c>
      <c r="F1260" s="3">
        <f>DATE(2025,6,7)</f>
        <v>45815</v>
      </c>
      <c r="G1260" s="3">
        <f>DATE(2025,6,7)</f>
        <v>45815</v>
      </c>
      <c r="H1260">
        <v>2292917347</v>
      </c>
      <c r="I1260" t="s">
        <v>158</v>
      </c>
      <c r="K1260" t="s">
        <v>22</v>
      </c>
      <c r="L1260" t="s">
        <v>23</v>
      </c>
      <c r="M1260" t="s">
        <v>24</v>
      </c>
      <c r="N1260" t="s">
        <v>24</v>
      </c>
      <c r="O1260" t="s">
        <v>25</v>
      </c>
      <c r="P1260" s="8" t="s">
        <v>1651</v>
      </c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  <c r="AT1260" s="11"/>
      <c r="AU1260" s="11"/>
      <c r="AV1260" s="11"/>
      <c r="AW1260" s="11"/>
      <c r="AX1260" s="11"/>
      <c r="AY1260" s="11"/>
    </row>
    <row r="1261" spans="1:51" hidden="1" x14ac:dyDescent="0.2">
      <c r="A1261" s="6" t="s">
        <v>17</v>
      </c>
      <c r="B1261" t="s">
        <v>173</v>
      </c>
      <c r="C1261" t="s">
        <v>154</v>
      </c>
      <c r="D1261" t="s">
        <v>1652</v>
      </c>
      <c r="E1261" s="2">
        <v>56.54</v>
      </c>
      <c r="F1261" s="3">
        <f>DATE(2025,6,7)</f>
        <v>45815</v>
      </c>
      <c r="G1261" s="3">
        <f>DATE(2025,6,7)</f>
        <v>45815</v>
      </c>
      <c r="H1261">
        <v>2292917348</v>
      </c>
      <c r="I1261" t="s">
        <v>158</v>
      </c>
      <c r="K1261" t="s">
        <v>22</v>
      </c>
      <c r="L1261" t="s">
        <v>23</v>
      </c>
      <c r="M1261" t="s">
        <v>24</v>
      </c>
      <c r="N1261" t="s">
        <v>24</v>
      </c>
      <c r="O1261" t="s">
        <v>25</v>
      </c>
      <c r="P1261" s="8" t="s">
        <v>1653</v>
      </c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11"/>
      <c r="AG1261" s="11"/>
      <c r="AH1261" s="11"/>
      <c r="AI1261" s="11"/>
      <c r="AJ1261" s="11"/>
      <c r="AK1261" s="11"/>
      <c r="AL1261" s="11"/>
      <c r="AM1261" s="11"/>
      <c r="AN1261" s="11"/>
      <c r="AO1261" s="11"/>
      <c r="AP1261" s="11"/>
      <c r="AQ1261" s="11"/>
      <c r="AR1261" s="11"/>
      <c r="AS1261" s="11"/>
      <c r="AT1261" s="11"/>
      <c r="AU1261" s="11"/>
      <c r="AV1261" s="11"/>
      <c r="AW1261" s="11"/>
      <c r="AX1261" s="11"/>
      <c r="AY1261" s="11"/>
    </row>
    <row r="1262" spans="1:51" hidden="1" x14ac:dyDescent="0.2">
      <c r="A1262" s="6" t="s">
        <v>17</v>
      </c>
      <c r="B1262" t="s">
        <v>1002</v>
      </c>
      <c r="C1262" t="s">
        <v>1003</v>
      </c>
      <c r="D1262" t="s">
        <v>1654</v>
      </c>
      <c r="E1262" s="2">
        <v>2272.2800000000002</v>
      </c>
      <c r="F1262" s="3">
        <f>DATE(2025,6,9)</f>
        <v>45817</v>
      </c>
      <c r="G1262" s="3">
        <f>DATE(2025,6,9)</f>
        <v>45817</v>
      </c>
      <c r="H1262">
        <v>2292917349</v>
      </c>
      <c r="I1262" t="s">
        <v>21</v>
      </c>
      <c r="K1262" t="s">
        <v>22</v>
      </c>
      <c r="L1262" t="s">
        <v>23</v>
      </c>
      <c r="M1262" t="s">
        <v>24</v>
      </c>
      <c r="N1262" t="s">
        <v>24</v>
      </c>
      <c r="O1262" t="s">
        <v>25</v>
      </c>
      <c r="P1262" s="8" t="s">
        <v>1655</v>
      </c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11"/>
      <c r="AG1262" s="11"/>
      <c r="AH1262" s="11"/>
      <c r="AI1262" s="11"/>
      <c r="AJ1262" s="11"/>
      <c r="AK1262" s="11"/>
      <c r="AL1262" s="11"/>
      <c r="AM1262" s="11"/>
      <c r="AN1262" s="11"/>
      <c r="AO1262" s="11"/>
      <c r="AP1262" s="11"/>
      <c r="AQ1262" s="11"/>
      <c r="AR1262" s="11"/>
      <c r="AS1262" s="11"/>
      <c r="AT1262" s="11"/>
      <c r="AU1262" s="11"/>
      <c r="AV1262" s="11"/>
      <c r="AW1262" s="11"/>
      <c r="AX1262" s="11"/>
      <c r="AY1262" s="11"/>
    </row>
    <row r="1263" spans="1:51" hidden="1" x14ac:dyDescent="0.2">
      <c r="A1263" s="6" t="s">
        <v>17</v>
      </c>
      <c r="B1263" t="s">
        <v>589</v>
      </c>
      <c r="C1263" t="s">
        <v>590</v>
      </c>
      <c r="D1263" t="s">
        <v>1656</v>
      </c>
      <c r="E1263" s="2">
        <v>79.430000000000007</v>
      </c>
      <c r="F1263" s="3">
        <f>DATE(2025,6,7)</f>
        <v>45815</v>
      </c>
      <c r="G1263" s="3">
        <f>DATE(2025,6,7)</f>
        <v>45815</v>
      </c>
      <c r="H1263">
        <v>2292917350</v>
      </c>
      <c r="I1263" t="s">
        <v>158</v>
      </c>
      <c r="K1263" t="s">
        <v>22</v>
      </c>
      <c r="L1263" t="s">
        <v>23</v>
      </c>
      <c r="M1263" t="s">
        <v>24</v>
      </c>
      <c r="N1263" t="s">
        <v>24</v>
      </c>
      <c r="O1263" t="s">
        <v>25</v>
      </c>
      <c r="P1263" s="8" t="s">
        <v>1657</v>
      </c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1"/>
      <c r="AJ1263" s="11"/>
      <c r="AK1263" s="11"/>
      <c r="AL1263" s="11"/>
      <c r="AM1263" s="11"/>
      <c r="AN1263" s="11"/>
      <c r="AO1263" s="11"/>
      <c r="AP1263" s="11"/>
      <c r="AQ1263" s="11"/>
      <c r="AR1263" s="11"/>
      <c r="AS1263" s="11"/>
      <c r="AT1263" s="11"/>
      <c r="AU1263" s="11"/>
      <c r="AV1263" s="11"/>
      <c r="AW1263" s="11"/>
      <c r="AX1263" s="11"/>
      <c r="AY1263" s="11"/>
    </row>
    <row r="1264" spans="1:51" hidden="1" x14ac:dyDescent="0.2">
      <c r="A1264" s="6" t="s">
        <v>17</v>
      </c>
      <c r="B1264" t="s">
        <v>266</v>
      </c>
      <c r="C1264" t="s">
        <v>267</v>
      </c>
      <c r="D1264" t="s">
        <v>1658</v>
      </c>
      <c r="E1264" s="2">
        <v>70</v>
      </c>
      <c r="F1264" s="3">
        <f>DATE(2025,6,10)</f>
        <v>45818</v>
      </c>
      <c r="G1264" s="3">
        <f>DATE(2025,6,10)</f>
        <v>45818</v>
      </c>
      <c r="H1264">
        <v>2292917351</v>
      </c>
      <c r="I1264" t="s">
        <v>21</v>
      </c>
      <c r="K1264" t="s">
        <v>22</v>
      </c>
      <c r="L1264" t="s">
        <v>23</v>
      </c>
      <c r="M1264" t="s">
        <v>24</v>
      </c>
      <c r="N1264" t="s">
        <v>24</v>
      </c>
      <c r="O1264" t="s">
        <v>25</v>
      </c>
      <c r="P1264" s="8" t="s">
        <v>1659</v>
      </c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11"/>
      <c r="AG1264" s="11"/>
      <c r="AH1264" s="11"/>
      <c r="AI1264" s="11"/>
      <c r="AJ1264" s="11"/>
      <c r="AK1264" s="11"/>
      <c r="AL1264" s="11"/>
      <c r="AM1264" s="11"/>
      <c r="AN1264" s="11"/>
      <c r="AO1264" s="11"/>
      <c r="AP1264" s="11"/>
      <c r="AQ1264" s="11"/>
      <c r="AR1264" s="11"/>
      <c r="AS1264" s="11"/>
      <c r="AT1264" s="11"/>
      <c r="AU1264" s="11"/>
      <c r="AV1264" s="11"/>
      <c r="AW1264" s="11"/>
      <c r="AX1264" s="11"/>
      <c r="AY1264" s="11"/>
    </row>
    <row r="1265" spans="1:51" hidden="1" x14ac:dyDescent="0.2">
      <c r="A1265" s="6" t="s">
        <v>17</v>
      </c>
      <c r="B1265" t="s">
        <v>118</v>
      </c>
      <c r="C1265" t="s">
        <v>119</v>
      </c>
      <c r="D1265" t="s">
        <v>1660</v>
      </c>
      <c r="E1265" s="2">
        <v>11.97</v>
      </c>
      <c r="F1265" s="3">
        <f>DATE(2025,6,9)</f>
        <v>45817</v>
      </c>
      <c r="G1265" s="3">
        <f>DATE(2025,6,9)</f>
        <v>45817</v>
      </c>
      <c r="H1265">
        <v>2292917352</v>
      </c>
      <c r="I1265" t="s">
        <v>158</v>
      </c>
      <c r="K1265" t="s">
        <v>22</v>
      </c>
      <c r="L1265" t="s">
        <v>23</v>
      </c>
      <c r="M1265" t="s">
        <v>24</v>
      </c>
      <c r="N1265" t="s">
        <v>24</v>
      </c>
      <c r="O1265" t="s">
        <v>25</v>
      </c>
      <c r="P1265" s="8" t="s">
        <v>1661</v>
      </c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1"/>
      <c r="AH1265" s="11"/>
      <c r="AI1265" s="11"/>
      <c r="AJ1265" s="11"/>
      <c r="AK1265" s="11"/>
      <c r="AL1265" s="11"/>
      <c r="AM1265" s="11"/>
      <c r="AN1265" s="11"/>
      <c r="AO1265" s="11"/>
      <c r="AP1265" s="11"/>
      <c r="AQ1265" s="11"/>
      <c r="AR1265" s="11"/>
      <c r="AS1265" s="11"/>
      <c r="AT1265" s="11"/>
      <c r="AU1265" s="11"/>
      <c r="AV1265" s="11"/>
      <c r="AW1265" s="11"/>
      <c r="AX1265" s="11"/>
      <c r="AY1265" s="11"/>
    </row>
    <row r="1266" spans="1:51" hidden="1" x14ac:dyDescent="0.2">
      <c r="A1266" s="6" t="s">
        <v>17</v>
      </c>
      <c r="B1266" t="s">
        <v>35</v>
      </c>
      <c r="C1266" t="s">
        <v>35</v>
      </c>
      <c r="D1266" t="s">
        <v>1662</v>
      </c>
      <c r="E1266" s="2">
        <v>2.52</v>
      </c>
      <c r="F1266" s="3">
        <f>DATE(2025,6,10)</f>
        <v>45818</v>
      </c>
      <c r="G1266" s="3">
        <f>DATE(2025,6,10)</f>
        <v>45818</v>
      </c>
      <c r="H1266">
        <v>2292917353</v>
      </c>
      <c r="I1266" t="s">
        <v>21</v>
      </c>
      <c r="K1266" t="s">
        <v>22</v>
      </c>
      <c r="L1266" t="s">
        <v>23</v>
      </c>
      <c r="M1266" t="s">
        <v>24</v>
      </c>
      <c r="N1266" t="s">
        <v>24</v>
      </c>
      <c r="O1266" t="s">
        <v>25</v>
      </c>
      <c r="P1266" s="8" t="s">
        <v>1663</v>
      </c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11"/>
      <c r="AG1266" s="11"/>
      <c r="AH1266" s="11"/>
      <c r="AI1266" s="11"/>
      <c r="AJ1266" s="11"/>
      <c r="AK1266" s="11"/>
      <c r="AL1266" s="11"/>
      <c r="AM1266" s="11"/>
      <c r="AN1266" s="11"/>
      <c r="AO1266" s="11"/>
      <c r="AP1266" s="11"/>
      <c r="AQ1266" s="11"/>
      <c r="AR1266" s="11"/>
      <c r="AS1266" s="11"/>
      <c r="AT1266" s="11"/>
      <c r="AU1266" s="11"/>
      <c r="AV1266" s="11"/>
      <c r="AW1266" s="11"/>
      <c r="AX1266" s="11"/>
      <c r="AY1266" s="11"/>
    </row>
    <row r="1267" spans="1:51" hidden="1" x14ac:dyDescent="0.2">
      <c r="A1267" s="6" t="s">
        <v>17</v>
      </c>
      <c r="B1267" t="s">
        <v>589</v>
      </c>
      <c r="C1267" t="s">
        <v>590</v>
      </c>
      <c r="D1267" t="s">
        <v>1664</v>
      </c>
      <c r="E1267" s="2">
        <v>648.21</v>
      </c>
      <c r="F1267" s="3">
        <f>DATE(2025,6,10)</f>
        <v>45818</v>
      </c>
      <c r="G1267" s="3">
        <f>DATE(2025,6,10)</f>
        <v>45818</v>
      </c>
      <c r="H1267">
        <v>2292917354</v>
      </c>
      <c r="I1267" t="s">
        <v>21</v>
      </c>
      <c r="K1267" t="s">
        <v>22</v>
      </c>
      <c r="L1267" t="s">
        <v>23</v>
      </c>
      <c r="M1267" t="s">
        <v>24</v>
      </c>
      <c r="N1267" t="s">
        <v>24</v>
      </c>
      <c r="O1267" t="s">
        <v>25</v>
      </c>
      <c r="P1267" s="8" t="s">
        <v>1665</v>
      </c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11"/>
      <c r="AG1267" s="11"/>
      <c r="AH1267" s="11"/>
      <c r="AI1267" s="11"/>
      <c r="AJ1267" s="11"/>
      <c r="AK1267" s="11"/>
      <c r="AL1267" s="11"/>
      <c r="AM1267" s="11"/>
      <c r="AN1267" s="11"/>
      <c r="AO1267" s="11"/>
      <c r="AP1267" s="11"/>
      <c r="AQ1267" s="11"/>
      <c r="AR1267" s="11"/>
      <c r="AS1267" s="11"/>
      <c r="AT1267" s="11"/>
      <c r="AU1267" s="11"/>
      <c r="AV1267" s="11"/>
      <c r="AW1267" s="11"/>
      <c r="AX1267" s="11"/>
      <c r="AY1267" s="11"/>
    </row>
    <row r="1268" spans="1:51" hidden="1" x14ac:dyDescent="0.2">
      <c r="A1268" s="6"/>
      <c r="E1268" s="2"/>
      <c r="F1268" s="3"/>
      <c r="G1268" s="3"/>
      <c r="P1268" s="8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11"/>
      <c r="AG1268" s="11"/>
      <c r="AH1268" s="11"/>
      <c r="AI1268" s="11"/>
      <c r="AJ1268" s="11"/>
      <c r="AK1268" s="11"/>
      <c r="AL1268" s="11"/>
      <c r="AM1268" s="11"/>
      <c r="AN1268" s="11"/>
      <c r="AO1268" s="11"/>
      <c r="AP1268" s="11"/>
      <c r="AQ1268" s="11"/>
      <c r="AR1268" s="11"/>
      <c r="AS1268" s="11"/>
      <c r="AT1268" s="11"/>
      <c r="AU1268" s="11"/>
      <c r="AV1268" s="11"/>
      <c r="AW1268" s="11"/>
      <c r="AX1268" s="11"/>
      <c r="AY1268" s="11"/>
    </row>
    <row r="1269" spans="1:51" hidden="1" x14ac:dyDescent="0.2">
      <c r="A1269" s="6" t="s">
        <v>17</v>
      </c>
      <c r="B1269" t="s">
        <v>42</v>
      </c>
      <c r="C1269" t="s">
        <v>43</v>
      </c>
      <c r="D1269" t="s">
        <v>1666</v>
      </c>
      <c r="E1269" s="2">
        <v>143.30000000000001</v>
      </c>
      <c r="F1269" s="3">
        <f>DATE(2025,6,10)</f>
        <v>45818</v>
      </c>
      <c r="G1269" s="3">
        <f>DATE(2025,6,10)</f>
        <v>45818</v>
      </c>
      <c r="H1269">
        <v>2292917356</v>
      </c>
      <c r="I1269" t="s">
        <v>21</v>
      </c>
      <c r="K1269" t="s">
        <v>22</v>
      </c>
      <c r="L1269" t="s">
        <v>23</v>
      </c>
      <c r="M1269" t="s">
        <v>24</v>
      </c>
      <c r="N1269" t="s">
        <v>24</v>
      </c>
      <c r="O1269" t="s">
        <v>25</v>
      </c>
      <c r="P1269" s="8" t="s">
        <v>1667</v>
      </c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1"/>
      <c r="AH1269" s="11"/>
      <c r="AI1269" s="11"/>
      <c r="AJ1269" s="11"/>
      <c r="AK1269" s="11"/>
      <c r="AL1269" s="11"/>
      <c r="AM1269" s="11"/>
      <c r="AN1269" s="11"/>
      <c r="AO1269" s="11"/>
      <c r="AP1269" s="11"/>
      <c r="AQ1269" s="11"/>
      <c r="AR1269" s="11"/>
      <c r="AS1269" s="11"/>
      <c r="AT1269" s="11"/>
      <c r="AU1269" s="11"/>
      <c r="AV1269" s="11"/>
      <c r="AW1269" s="11"/>
      <c r="AX1269" s="11"/>
      <c r="AY1269" s="11"/>
    </row>
    <row r="1270" spans="1:51" hidden="1" x14ac:dyDescent="0.2">
      <c r="A1270" s="6" t="s">
        <v>17</v>
      </c>
      <c r="B1270" t="s">
        <v>50</v>
      </c>
      <c r="C1270" t="s">
        <v>51</v>
      </c>
      <c r="D1270" t="s">
        <v>1668</v>
      </c>
      <c r="E1270" s="2">
        <v>39.18</v>
      </c>
      <c r="F1270" s="3">
        <f>DATE(2025,6,10)</f>
        <v>45818</v>
      </c>
      <c r="G1270" s="3">
        <f>DATE(2025,6,10)</f>
        <v>45818</v>
      </c>
      <c r="H1270">
        <v>2292917357</v>
      </c>
      <c r="I1270" t="s">
        <v>21</v>
      </c>
      <c r="K1270" t="s">
        <v>22</v>
      </c>
      <c r="L1270" t="s">
        <v>23</v>
      </c>
      <c r="M1270" t="s">
        <v>24</v>
      </c>
      <c r="N1270" t="s">
        <v>24</v>
      </c>
      <c r="O1270" t="s">
        <v>25</v>
      </c>
      <c r="P1270" s="8" t="s">
        <v>1669</v>
      </c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11"/>
      <c r="AG1270" s="11"/>
      <c r="AH1270" s="11"/>
      <c r="AI1270" s="11"/>
      <c r="AJ1270" s="11"/>
      <c r="AK1270" s="11"/>
      <c r="AL1270" s="11"/>
      <c r="AM1270" s="11"/>
      <c r="AN1270" s="11"/>
      <c r="AO1270" s="11"/>
      <c r="AP1270" s="11"/>
      <c r="AQ1270" s="11"/>
      <c r="AR1270" s="11"/>
      <c r="AS1270" s="11"/>
      <c r="AT1270" s="11"/>
      <c r="AU1270" s="11"/>
      <c r="AV1270" s="11"/>
      <c r="AW1270" s="11"/>
      <c r="AX1270" s="11"/>
      <c r="AY1270" s="11"/>
    </row>
    <row r="1271" spans="1:51" hidden="1" x14ac:dyDescent="0.2">
      <c r="A1271" s="6"/>
      <c r="E1271" s="2"/>
      <c r="F1271" s="3"/>
      <c r="G1271" s="3"/>
      <c r="P1271" s="8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11"/>
      <c r="AL1271" s="11"/>
      <c r="AM1271" s="11"/>
      <c r="AN1271" s="11"/>
      <c r="AO1271" s="11"/>
      <c r="AP1271" s="11"/>
      <c r="AQ1271" s="11"/>
      <c r="AR1271" s="11"/>
      <c r="AS1271" s="11"/>
      <c r="AT1271" s="11"/>
      <c r="AU1271" s="11"/>
      <c r="AV1271" s="11"/>
      <c r="AW1271" s="11"/>
      <c r="AX1271" s="11"/>
      <c r="AY1271" s="11"/>
    </row>
    <row r="1272" spans="1:51" hidden="1" x14ac:dyDescent="0.2">
      <c r="A1272" s="6" t="s">
        <v>17</v>
      </c>
      <c r="B1272" t="s">
        <v>31</v>
      </c>
      <c r="C1272" t="s">
        <v>32</v>
      </c>
      <c r="D1272" t="s">
        <v>1670</v>
      </c>
      <c r="E1272" s="2">
        <v>56.51</v>
      </c>
      <c r="F1272" s="3">
        <f t="shared" ref="F1272:G1275" si="116">DATE(2025,6,10)</f>
        <v>45818</v>
      </c>
      <c r="G1272" s="3">
        <f t="shared" si="116"/>
        <v>45818</v>
      </c>
      <c r="H1272">
        <v>2292917359</v>
      </c>
      <c r="I1272" t="s">
        <v>21</v>
      </c>
      <c r="K1272" t="s">
        <v>22</v>
      </c>
      <c r="L1272" t="s">
        <v>23</v>
      </c>
      <c r="M1272" t="s">
        <v>24</v>
      </c>
      <c r="N1272" t="s">
        <v>24</v>
      </c>
      <c r="O1272" t="s">
        <v>25</v>
      </c>
      <c r="P1272" s="8" t="s">
        <v>1671</v>
      </c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11"/>
      <c r="AG1272" s="11"/>
      <c r="AH1272" s="11"/>
      <c r="AI1272" s="11"/>
      <c r="AJ1272" s="11"/>
      <c r="AK1272" s="11"/>
      <c r="AL1272" s="11"/>
      <c r="AM1272" s="11"/>
      <c r="AN1272" s="11"/>
      <c r="AO1272" s="11"/>
      <c r="AP1272" s="11"/>
      <c r="AQ1272" s="11"/>
      <c r="AR1272" s="11"/>
      <c r="AS1272" s="11"/>
      <c r="AT1272" s="11"/>
      <c r="AU1272" s="11"/>
      <c r="AV1272" s="11"/>
      <c r="AW1272" s="11"/>
      <c r="AX1272" s="11"/>
      <c r="AY1272" s="11"/>
    </row>
    <row r="1273" spans="1:51" hidden="1" x14ac:dyDescent="0.2">
      <c r="A1273" s="6" t="s">
        <v>17</v>
      </c>
      <c r="B1273" t="s">
        <v>64</v>
      </c>
      <c r="C1273" t="s">
        <v>65</v>
      </c>
      <c r="D1273" t="s">
        <v>1672</v>
      </c>
      <c r="E1273" s="2">
        <v>1113.6300000000001</v>
      </c>
      <c r="F1273" s="3">
        <f t="shared" si="116"/>
        <v>45818</v>
      </c>
      <c r="G1273" s="3">
        <f t="shared" si="116"/>
        <v>45818</v>
      </c>
      <c r="H1273">
        <v>2292917360</v>
      </c>
      <c r="I1273" t="s">
        <v>21</v>
      </c>
      <c r="K1273" t="s">
        <v>22</v>
      </c>
      <c r="L1273" t="s">
        <v>23</v>
      </c>
      <c r="M1273" t="s">
        <v>24</v>
      </c>
      <c r="N1273" t="s">
        <v>24</v>
      </c>
      <c r="O1273" t="s">
        <v>25</v>
      </c>
      <c r="P1273" s="8" t="s">
        <v>1673</v>
      </c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1"/>
      <c r="AH1273" s="11"/>
      <c r="AI1273" s="11"/>
      <c r="AJ1273" s="11"/>
      <c r="AK1273" s="11"/>
      <c r="AL1273" s="11"/>
      <c r="AM1273" s="11"/>
      <c r="AN1273" s="11"/>
      <c r="AO1273" s="11"/>
      <c r="AP1273" s="11"/>
      <c r="AQ1273" s="11"/>
      <c r="AR1273" s="11"/>
      <c r="AS1273" s="11"/>
      <c r="AT1273" s="11"/>
      <c r="AU1273" s="11"/>
      <c r="AV1273" s="11"/>
      <c r="AW1273" s="11"/>
      <c r="AX1273" s="11"/>
      <c r="AY1273" s="11"/>
    </row>
    <row r="1274" spans="1:51" hidden="1" x14ac:dyDescent="0.2">
      <c r="A1274" s="6"/>
      <c r="E1274" s="2"/>
      <c r="F1274" s="3"/>
      <c r="G1274" s="3"/>
      <c r="P1274" s="8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11"/>
      <c r="AG1274" s="11"/>
      <c r="AH1274" s="11"/>
      <c r="AI1274" s="11"/>
      <c r="AJ1274" s="11"/>
      <c r="AK1274" s="11"/>
      <c r="AL1274" s="11"/>
      <c r="AM1274" s="11"/>
      <c r="AN1274" s="11"/>
      <c r="AO1274" s="11"/>
      <c r="AP1274" s="11"/>
      <c r="AQ1274" s="11"/>
      <c r="AR1274" s="11"/>
      <c r="AS1274" s="11"/>
      <c r="AT1274" s="11"/>
      <c r="AU1274" s="11"/>
      <c r="AV1274" s="11"/>
      <c r="AW1274" s="11"/>
      <c r="AX1274" s="11"/>
      <c r="AY1274" s="11"/>
    </row>
    <row r="1275" spans="1:51" hidden="1" x14ac:dyDescent="0.2">
      <c r="A1275" s="6" t="s">
        <v>17</v>
      </c>
      <c r="B1275" t="s">
        <v>46</v>
      </c>
      <c r="C1275" t="s">
        <v>47</v>
      </c>
      <c r="D1275" t="s">
        <v>1674</v>
      </c>
      <c r="E1275" s="2">
        <v>324</v>
      </c>
      <c r="F1275" s="3">
        <f t="shared" si="116"/>
        <v>45818</v>
      </c>
      <c r="G1275" s="3">
        <f t="shared" si="116"/>
        <v>45818</v>
      </c>
      <c r="H1275">
        <v>2292917362</v>
      </c>
      <c r="I1275" t="s">
        <v>21</v>
      </c>
      <c r="K1275" t="s">
        <v>22</v>
      </c>
      <c r="L1275" t="s">
        <v>23</v>
      </c>
      <c r="M1275" t="s">
        <v>24</v>
      </c>
      <c r="N1275" t="s">
        <v>24</v>
      </c>
      <c r="O1275" t="s">
        <v>25</v>
      </c>
      <c r="P1275" s="8" t="s">
        <v>1675</v>
      </c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11"/>
      <c r="AG1275" s="11"/>
      <c r="AH1275" s="11"/>
      <c r="AI1275" s="11"/>
      <c r="AJ1275" s="11"/>
      <c r="AK1275" s="11"/>
      <c r="AL1275" s="11"/>
      <c r="AM1275" s="11"/>
      <c r="AN1275" s="11"/>
      <c r="AO1275" s="11"/>
      <c r="AP1275" s="11"/>
      <c r="AQ1275" s="11"/>
      <c r="AR1275" s="11"/>
      <c r="AS1275" s="11"/>
      <c r="AT1275" s="11"/>
      <c r="AU1275" s="11"/>
      <c r="AV1275" s="11"/>
      <c r="AW1275" s="11"/>
      <c r="AX1275" s="11"/>
      <c r="AY1275" s="11"/>
    </row>
    <row r="1276" spans="1:51" hidden="1" x14ac:dyDescent="0.2">
      <c r="A1276" s="6" t="s">
        <v>17</v>
      </c>
      <c r="B1276" t="s">
        <v>27</v>
      </c>
      <c r="C1276" t="s">
        <v>28</v>
      </c>
      <c r="D1276" t="s">
        <v>1676</v>
      </c>
      <c r="E1276" s="2">
        <v>1156.0999999999999</v>
      </c>
      <c r="F1276" s="3">
        <f>DATE(2025,6,11)</f>
        <v>45819</v>
      </c>
      <c r="G1276" s="3">
        <f>DATE(2025,6,11)</f>
        <v>45819</v>
      </c>
      <c r="H1276">
        <v>2292917363</v>
      </c>
      <c r="I1276" t="s">
        <v>21</v>
      </c>
      <c r="K1276" t="s">
        <v>22</v>
      </c>
      <c r="L1276" t="s">
        <v>23</v>
      </c>
      <c r="M1276" t="s">
        <v>24</v>
      </c>
      <c r="N1276" t="s">
        <v>24</v>
      </c>
      <c r="O1276" t="s">
        <v>25</v>
      </c>
      <c r="P1276" s="8" t="s">
        <v>1677</v>
      </c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11"/>
      <c r="AG1276" s="11"/>
      <c r="AH1276" s="11"/>
      <c r="AI1276" s="11"/>
      <c r="AJ1276" s="11"/>
      <c r="AK1276" s="11"/>
      <c r="AL1276" s="11"/>
      <c r="AM1276" s="11"/>
      <c r="AN1276" s="11"/>
      <c r="AO1276" s="11"/>
      <c r="AP1276" s="11"/>
      <c r="AQ1276" s="11"/>
      <c r="AR1276" s="11"/>
      <c r="AS1276" s="11"/>
      <c r="AT1276" s="11"/>
      <c r="AU1276" s="11"/>
      <c r="AV1276" s="11"/>
      <c r="AW1276" s="11"/>
      <c r="AX1276" s="11"/>
      <c r="AY1276" s="11"/>
    </row>
    <row r="1277" spans="1:51" hidden="1" x14ac:dyDescent="0.2">
      <c r="A1277" s="6" t="s">
        <v>17</v>
      </c>
      <c r="B1277" t="s">
        <v>46</v>
      </c>
      <c r="C1277" t="s">
        <v>47</v>
      </c>
      <c r="D1277" t="s">
        <v>1678</v>
      </c>
      <c r="E1277" s="2">
        <v>150</v>
      </c>
      <c r="F1277" s="3">
        <f>DATE(2025,6,10)</f>
        <v>45818</v>
      </c>
      <c r="G1277" s="3">
        <f>DATE(2025,6,10)</f>
        <v>45818</v>
      </c>
      <c r="H1277">
        <v>2292917364</v>
      </c>
      <c r="I1277" t="s">
        <v>21</v>
      </c>
      <c r="K1277" t="s">
        <v>22</v>
      </c>
      <c r="L1277" t="s">
        <v>23</v>
      </c>
      <c r="M1277" t="s">
        <v>24</v>
      </c>
      <c r="N1277" t="s">
        <v>24</v>
      </c>
      <c r="O1277" t="s">
        <v>25</v>
      </c>
      <c r="P1277" s="8" t="s">
        <v>1679</v>
      </c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1"/>
      <c r="AH1277" s="11"/>
      <c r="AI1277" s="11"/>
      <c r="AJ1277" s="11"/>
      <c r="AK1277" s="11"/>
      <c r="AL1277" s="11"/>
      <c r="AM1277" s="11"/>
      <c r="AN1277" s="11"/>
      <c r="AO1277" s="11"/>
      <c r="AP1277" s="11"/>
      <c r="AQ1277" s="11"/>
      <c r="AR1277" s="11"/>
      <c r="AS1277" s="11"/>
      <c r="AT1277" s="11"/>
      <c r="AU1277" s="11"/>
      <c r="AV1277" s="11"/>
      <c r="AW1277" s="11"/>
      <c r="AX1277" s="11"/>
      <c r="AY1277" s="11"/>
    </row>
    <row r="1278" spans="1:51" hidden="1" x14ac:dyDescent="0.2">
      <c r="A1278" s="6"/>
      <c r="E1278" s="2"/>
      <c r="F1278" s="3"/>
      <c r="G1278" s="3"/>
      <c r="P1278" s="8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1"/>
      <c r="AH1278" s="11"/>
      <c r="AI1278" s="11"/>
      <c r="AJ1278" s="11"/>
      <c r="AK1278" s="11"/>
      <c r="AL1278" s="11"/>
      <c r="AM1278" s="11"/>
      <c r="AN1278" s="11"/>
      <c r="AO1278" s="11"/>
      <c r="AP1278" s="11"/>
      <c r="AQ1278" s="11"/>
      <c r="AR1278" s="11"/>
      <c r="AS1278" s="11"/>
      <c r="AT1278" s="11"/>
      <c r="AU1278" s="11"/>
      <c r="AV1278" s="11"/>
      <c r="AW1278" s="11"/>
      <c r="AX1278" s="11"/>
      <c r="AY1278" s="11"/>
    </row>
    <row r="1279" spans="1:51" hidden="1" x14ac:dyDescent="0.2">
      <c r="A1279" s="6" t="s">
        <v>17</v>
      </c>
      <c r="B1279" t="s">
        <v>27</v>
      </c>
      <c r="C1279" t="s">
        <v>28</v>
      </c>
      <c r="D1279" t="s">
        <v>1680</v>
      </c>
      <c r="E1279" s="2">
        <v>871.08</v>
      </c>
      <c r="F1279" s="3">
        <f>DATE(2025,6,11)</f>
        <v>45819</v>
      </c>
      <c r="G1279" s="3">
        <f>DATE(2025,6,11)</f>
        <v>45819</v>
      </c>
      <c r="H1279">
        <v>2292917366</v>
      </c>
      <c r="I1279" t="s">
        <v>21</v>
      </c>
      <c r="K1279" t="s">
        <v>22</v>
      </c>
      <c r="L1279" t="s">
        <v>23</v>
      </c>
      <c r="M1279" t="s">
        <v>24</v>
      </c>
      <c r="N1279" t="s">
        <v>24</v>
      </c>
      <c r="O1279" t="s">
        <v>25</v>
      </c>
      <c r="P1279" s="8" t="s">
        <v>1681</v>
      </c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11"/>
      <c r="AG1279" s="11"/>
      <c r="AH1279" s="11"/>
      <c r="AI1279" s="11"/>
      <c r="AJ1279" s="11"/>
      <c r="AK1279" s="11"/>
      <c r="AL1279" s="11"/>
      <c r="AM1279" s="11"/>
      <c r="AN1279" s="11"/>
      <c r="AO1279" s="11"/>
      <c r="AP1279" s="11"/>
      <c r="AQ1279" s="11"/>
      <c r="AR1279" s="11"/>
      <c r="AS1279" s="11"/>
      <c r="AT1279" s="11"/>
      <c r="AU1279" s="11"/>
      <c r="AV1279" s="11"/>
      <c r="AW1279" s="11"/>
      <c r="AX1279" s="11"/>
      <c r="AY1279" s="11"/>
    </row>
    <row r="1280" spans="1:51" hidden="1" x14ac:dyDescent="0.2">
      <c r="A1280" s="6" t="s">
        <v>17</v>
      </c>
      <c r="B1280" t="s">
        <v>825</v>
      </c>
      <c r="C1280" t="s">
        <v>826</v>
      </c>
      <c r="D1280" t="s">
        <v>1682</v>
      </c>
      <c r="E1280" s="2">
        <v>1502.5</v>
      </c>
      <c r="F1280" s="3">
        <f>DATE(2025,6,10)</f>
        <v>45818</v>
      </c>
      <c r="G1280" s="3">
        <f>DATE(2025,6,10)</f>
        <v>45818</v>
      </c>
      <c r="H1280">
        <v>2292917367</v>
      </c>
      <c r="I1280" t="s">
        <v>21</v>
      </c>
      <c r="K1280" t="s">
        <v>22</v>
      </c>
      <c r="L1280" t="s">
        <v>23</v>
      </c>
      <c r="M1280" t="s">
        <v>24</v>
      </c>
      <c r="N1280" t="s">
        <v>24</v>
      </c>
      <c r="O1280" t="s">
        <v>25</v>
      </c>
      <c r="P1280" s="8" t="s">
        <v>1683</v>
      </c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11"/>
      <c r="AG1280" s="11"/>
      <c r="AH1280" s="11"/>
      <c r="AI1280" s="11"/>
      <c r="AJ1280" s="11"/>
      <c r="AK1280" s="11"/>
      <c r="AL1280" s="11"/>
      <c r="AM1280" s="11"/>
      <c r="AN1280" s="11"/>
      <c r="AO1280" s="11"/>
      <c r="AP1280" s="11"/>
      <c r="AQ1280" s="11"/>
      <c r="AR1280" s="11"/>
      <c r="AS1280" s="11"/>
      <c r="AT1280" s="11"/>
      <c r="AU1280" s="11"/>
      <c r="AV1280" s="11"/>
      <c r="AW1280" s="11"/>
      <c r="AX1280" s="11"/>
      <c r="AY1280" s="11"/>
    </row>
    <row r="1281" spans="1:51" hidden="1" x14ac:dyDescent="0.2">
      <c r="A1281" s="6" t="s">
        <v>17</v>
      </c>
      <c r="B1281" t="s">
        <v>42</v>
      </c>
      <c r="C1281" t="s">
        <v>43</v>
      </c>
      <c r="D1281" t="s">
        <v>44</v>
      </c>
      <c r="E1281" s="2">
        <v>500</v>
      </c>
      <c r="F1281" s="3">
        <f>DATE(2025,6,10)</f>
        <v>45818</v>
      </c>
      <c r="G1281" s="3">
        <f>DATE(2025,6,10)</f>
        <v>45818</v>
      </c>
      <c r="H1281">
        <v>2292917368</v>
      </c>
      <c r="I1281" t="s">
        <v>21</v>
      </c>
      <c r="K1281" t="s">
        <v>22</v>
      </c>
      <c r="L1281" t="s">
        <v>23</v>
      </c>
      <c r="M1281" t="s">
        <v>24</v>
      </c>
      <c r="N1281" t="s">
        <v>24</v>
      </c>
      <c r="O1281" t="s">
        <v>25</v>
      </c>
      <c r="P1281" s="8" t="s">
        <v>1684</v>
      </c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1"/>
      <c r="AF1281" s="11"/>
      <c r="AG1281" s="11"/>
      <c r="AH1281" s="11"/>
      <c r="AI1281" s="11"/>
      <c r="AJ1281" s="11"/>
      <c r="AK1281" s="11"/>
      <c r="AL1281" s="11"/>
      <c r="AM1281" s="11"/>
      <c r="AN1281" s="11"/>
      <c r="AO1281" s="11"/>
      <c r="AP1281" s="11"/>
      <c r="AQ1281" s="11"/>
      <c r="AR1281" s="11"/>
      <c r="AS1281" s="11"/>
      <c r="AT1281" s="11"/>
      <c r="AU1281" s="11"/>
      <c r="AV1281" s="11"/>
      <c r="AW1281" s="11"/>
      <c r="AX1281" s="11"/>
      <c r="AY1281" s="11"/>
    </row>
    <row r="1282" spans="1:51" hidden="1" x14ac:dyDescent="0.2">
      <c r="A1282" s="6" t="s">
        <v>17</v>
      </c>
      <c r="B1282" t="s">
        <v>118</v>
      </c>
      <c r="C1282" t="s">
        <v>119</v>
      </c>
      <c r="D1282" t="s">
        <v>1685</v>
      </c>
      <c r="E1282" s="2">
        <v>30</v>
      </c>
      <c r="F1282" s="3">
        <f>DATE(2025,6,11)</f>
        <v>45819</v>
      </c>
      <c r="G1282" s="3">
        <f>DATE(2025,6,11)</f>
        <v>45819</v>
      </c>
      <c r="H1282">
        <v>2292917369</v>
      </c>
      <c r="I1282" t="s">
        <v>21</v>
      </c>
      <c r="K1282" t="s">
        <v>22</v>
      </c>
      <c r="L1282" t="s">
        <v>23</v>
      </c>
      <c r="M1282" t="s">
        <v>24</v>
      </c>
      <c r="N1282" t="s">
        <v>24</v>
      </c>
      <c r="O1282" t="s">
        <v>25</v>
      </c>
      <c r="P1282" s="8" t="s">
        <v>1686</v>
      </c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1"/>
      <c r="AF1282" s="11"/>
      <c r="AG1282" s="11"/>
      <c r="AH1282" s="11"/>
      <c r="AI1282" s="11"/>
      <c r="AJ1282" s="11"/>
      <c r="AK1282" s="11"/>
      <c r="AL1282" s="11"/>
      <c r="AM1282" s="11"/>
      <c r="AN1282" s="11"/>
      <c r="AO1282" s="11"/>
      <c r="AP1282" s="11"/>
      <c r="AQ1282" s="11"/>
      <c r="AR1282" s="11"/>
      <c r="AS1282" s="11"/>
      <c r="AT1282" s="11"/>
      <c r="AU1282" s="11"/>
      <c r="AV1282" s="11"/>
      <c r="AW1282" s="11"/>
      <c r="AX1282" s="11"/>
      <c r="AY1282" s="11"/>
    </row>
    <row r="1283" spans="1:51" hidden="1" x14ac:dyDescent="0.2">
      <c r="A1283" s="6" t="s">
        <v>17</v>
      </c>
      <c r="B1283" t="s">
        <v>18</v>
      </c>
      <c r="C1283" t="s">
        <v>19</v>
      </c>
      <c r="D1283" t="s">
        <v>1687</v>
      </c>
      <c r="E1283" s="2">
        <v>46.04</v>
      </c>
      <c r="F1283" s="3">
        <f t="shared" ref="F1283:G1287" si="117">DATE(2025,6,10)</f>
        <v>45818</v>
      </c>
      <c r="G1283" s="3">
        <f t="shared" si="117"/>
        <v>45818</v>
      </c>
      <c r="H1283">
        <v>2292917370</v>
      </c>
      <c r="I1283" t="s">
        <v>21</v>
      </c>
      <c r="K1283" t="s">
        <v>22</v>
      </c>
      <c r="L1283" t="s">
        <v>23</v>
      </c>
      <c r="M1283" t="s">
        <v>24</v>
      </c>
      <c r="N1283" t="s">
        <v>24</v>
      </c>
      <c r="O1283" t="s">
        <v>25</v>
      </c>
      <c r="P1283" s="8" t="s">
        <v>1688</v>
      </c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11"/>
      <c r="AG1283" s="11"/>
      <c r="AH1283" s="11"/>
      <c r="AI1283" s="11"/>
      <c r="AJ1283" s="11"/>
      <c r="AK1283" s="11"/>
      <c r="AL1283" s="11"/>
      <c r="AM1283" s="11"/>
      <c r="AN1283" s="11"/>
      <c r="AO1283" s="11"/>
      <c r="AP1283" s="11"/>
      <c r="AQ1283" s="11"/>
      <c r="AR1283" s="11"/>
      <c r="AS1283" s="11"/>
      <c r="AT1283" s="11"/>
      <c r="AU1283" s="11"/>
      <c r="AV1283" s="11"/>
      <c r="AW1283" s="11"/>
      <c r="AX1283" s="11"/>
      <c r="AY1283" s="11"/>
    </row>
    <row r="1284" spans="1:51" hidden="1" x14ac:dyDescent="0.2">
      <c r="A1284" s="6" t="s">
        <v>17</v>
      </c>
      <c r="B1284" t="s">
        <v>565</v>
      </c>
      <c r="C1284" t="s">
        <v>566</v>
      </c>
      <c r="D1284" t="s">
        <v>1689</v>
      </c>
      <c r="E1284" s="2">
        <v>1023.05</v>
      </c>
      <c r="F1284" s="3">
        <f t="shared" si="117"/>
        <v>45818</v>
      </c>
      <c r="G1284" s="3">
        <f t="shared" si="117"/>
        <v>45818</v>
      </c>
      <c r="H1284">
        <v>2292917371</v>
      </c>
      <c r="I1284" t="s">
        <v>21</v>
      </c>
      <c r="K1284" t="s">
        <v>22</v>
      </c>
      <c r="L1284" t="s">
        <v>23</v>
      </c>
      <c r="M1284" t="s">
        <v>24</v>
      </c>
      <c r="N1284" t="s">
        <v>24</v>
      </c>
      <c r="O1284" t="s">
        <v>25</v>
      </c>
      <c r="P1284" s="8" t="s">
        <v>1690</v>
      </c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11"/>
      <c r="AG1284" s="11"/>
      <c r="AH1284" s="11"/>
      <c r="AI1284" s="11"/>
      <c r="AJ1284" s="11"/>
      <c r="AK1284" s="11"/>
      <c r="AL1284" s="11"/>
      <c r="AM1284" s="11"/>
      <c r="AN1284" s="11"/>
      <c r="AO1284" s="11"/>
      <c r="AP1284" s="11"/>
      <c r="AQ1284" s="11"/>
      <c r="AR1284" s="11"/>
      <c r="AS1284" s="11"/>
      <c r="AT1284" s="11"/>
      <c r="AU1284" s="11"/>
      <c r="AV1284" s="11"/>
      <c r="AW1284" s="11"/>
      <c r="AX1284" s="11"/>
      <c r="AY1284" s="11"/>
    </row>
    <row r="1285" spans="1:51" hidden="1" x14ac:dyDescent="0.2">
      <c r="A1285" s="6" t="s">
        <v>17</v>
      </c>
      <c r="B1285" t="s">
        <v>46</v>
      </c>
      <c r="C1285" t="s">
        <v>47</v>
      </c>
      <c r="D1285" t="s">
        <v>1691</v>
      </c>
      <c r="E1285" s="2">
        <v>34.6</v>
      </c>
      <c r="F1285" s="3">
        <f t="shared" si="117"/>
        <v>45818</v>
      </c>
      <c r="G1285" s="3">
        <f t="shared" si="117"/>
        <v>45818</v>
      </c>
      <c r="H1285">
        <v>2292917372</v>
      </c>
      <c r="I1285" t="s">
        <v>21</v>
      </c>
      <c r="K1285" t="s">
        <v>22</v>
      </c>
      <c r="L1285" t="s">
        <v>23</v>
      </c>
      <c r="M1285" t="s">
        <v>24</v>
      </c>
      <c r="N1285" t="s">
        <v>24</v>
      </c>
      <c r="O1285" t="s">
        <v>25</v>
      </c>
      <c r="P1285" s="8" t="s">
        <v>1692</v>
      </c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11"/>
      <c r="AG1285" s="11"/>
      <c r="AH1285" s="11"/>
      <c r="AI1285" s="11"/>
      <c r="AJ1285" s="11"/>
      <c r="AK1285" s="11"/>
      <c r="AL1285" s="11"/>
      <c r="AM1285" s="11"/>
      <c r="AN1285" s="11"/>
      <c r="AO1285" s="11"/>
      <c r="AP1285" s="11"/>
      <c r="AQ1285" s="11"/>
      <c r="AR1285" s="11"/>
      <c r="AS1285" s="11"/>
      <c r="AT1285" s="11"/>
      <c r="AU1285" s="11"/>
      <c r="AV1285" s="11"/>
      <c r="AW1285" s="11"/>
      <c r="AX1285" s="11"/>
      <c r="AY1285" s="11"/>
    </row>
    <row r="1286" spans="1:51" hidden="1" x14ac:dyDescent="0.2">
      <c r="A1286" s="6" t="s">
        <v>17</v>
      </c>
      <c r="B1286" t="s">
        <v>1048</v>
      </c>
      <c r="C1286" t="s">
        <v>1049</v>
      </c>
      <c r="D1286" t="s">
        <v>1693</v>
      </c>
      <c r="E1286" s="2">
        <v>1199.8599999999999</v>
      </c>
      <c r="F1286" s="3">
        <f t="shared" si="117"/>
        <v>45818</v>
      </c>
      <c r="G1286" s="3">
        <f t="shared" si="117"/>
        <v>45818</v>
      </c>
      <c r="H1286">
        <v>2292917373</v>
      </c>
      <c r="I1286" t="s">
        <v>21</v>
      </c>
      <c r="K1286" t="s">
        <v>22</v>
      </c>
      <c r="L1286" t="s">
        <v>23</v>
      </c>
      <c r="M1286" t="s">
        <v>24</v>
      </c>
      <c r="N1286" t="s">
        <v>24</v>
      </c>
      <c r="O1286" t="s">
        <v>25</v>
      </c>
      <c r="P1286" s="8" t="s">
        <v>1694</v>
      </c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11"/>
      <c r="AG1286" s="11"/>
      <c r="AH1286" s="11"/>
      <c r="AI1286" s="11"/>
      <c r="AJ1286" s="11"/>
      <c r="AK1286" s="11"/>
      <c r="AL1286" s="11"/>
      <c r="AM1286" s="11"/>
      <c r="AN1286" s="11"/>
      <c r="AO1286" s="11"/>
      <c r="AP1286" s="11"/>
      <c r="AQ1286" s="11"/>
      <c r="AR1286" s="11"/>
      <c r="AS1286" s="11"/>
      <c r="AT1286" s="11"/>
      <c r="AU1286" s="11"/>
      <c r="AV1286" s="11"/>
      <c r="AW1286" s="11"/>
      <c r="AX1286" s="11"/>
      <c r="AY1286" s="11"/>
    </row>
    <row r="1287" spans="1:51" hidden="1" x14ac:dyDescent="0.2">
      <c r="A1287" s="6" t="s">
        <v>17</v>
      </c>
      <c r="B1287" t="s">
        <v>589</v>
      </c>
      <c r="C1287" t="s">
        <v>590</v>
      </c>
      <c r="D1287" t="s">
        <v>1695</v>
      </c>
      <c r="E1287" s="2">
        <v>127.87</v>
      </c>
      <c r="F1287" s="3">
        <f t="shared" si="117"/>
        <v>45818</v>
      </c>
      <c r="G1287" s="3">
        <f t="shared" si="117"/>
        <v>45818</v>
      </c>
      <c r="H1287">
        <v>2292917374</v>
      </c>
      <c r="I1287" t="s">
        <v>21</v>
      </c>
      <c r="K1287" t="s">
        <v>22</v>
      </c>
      <c r="L1287" t="s">
        <v>23</v>
      </c>
      <c r="M1287" t="s">
        <v>24</v>
      </c>
      <c r="N1287" t="s">
        <v>24</v>
      </c>
      <c r="O1287" t="s">
        <v>25</v>
      </c>
      <c r="P1287" s="8" t="s">
        <v>1696</v>
      </c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11"/>
      <c r="AG1287" s="11"/>
      <c r="AH1287" s="11"/>
      <c r="AI1287" s="11"/>
      <c r="AJ1287" s="11"/>
      <c r="AK1287" s="11"/>
      <c r="AL1287" s="11"/>
      <c r="AM1287" s="11"/>
      <c r="AN1287" s="11"/>
      <c r="AO1287" s="11"/>
      <c r="AP1287" s="11"/>
      <c r="AQ1287" s="11"/>
      <c r="AR1287" s="11"/>
      <c r="AS1287" s="11"/>
      <c r="AT1287" s="11"/>
      <c r="AU1287" s="11"/>
      <c r="AV1287" s="11"/>
      <c r="AW1287" s="11"/>
      <c r="AX1287" s="11"/>
      <c r="AY1287" s="11"/>
    </row>
    <row r="1288" spans="1:51" hidden="1" x14ac:dyDescent="0.2">
      <c r="A1288" s="6"/>
      <c r="E1288" s="2"/>
      <c r="F1288" s="3"/>
      <c r="G1288" s="3"/>
      <c r="P1288" s="8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11"/>
      <c r="AG1288" s="11"/>
      <c r="AH1288" s="11"/>
      <c r="AI1288" s="11"/>
      <c r="AJ1288" s="11"/>
      <c r="AK1288" s="11"/>
      <c r="AL1288" s="11"/>
      <c r="AM1288" s="11"/>
      <c r="AN1288" s="11"/>
      <c r="AO1288" s="11"/>
      <c r="AP1288" s="11"/>
      <c r="AQ1288" s="11"/>
      <c r="AR1288" s="11"/>
      <c r="AS1288" s="11"/>
      <c r="AT1288" s="11"/>
      <c r="AU1288" s="11"/>
      <c r="AV1288" s="11"/>
      <c r="AW1288" s="11"/>
      <c r="AX1288" s="11"/>
      <c r="AY1288" s="11"/>
    </row>
    <row r="1289" spans="1:51" hidden="1" x14ac:dyDescent="0.2">
      <c r="A1289" s="6"/>
      <c r="E1289" s="2"/>
      <c r="F1289" s="3"/>
      <c r="G1289" s="3"/>
      <c r="P1289" s="8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  <c r="AH1289" s="11"/>
      <c r="AI1289" s="11"/>
      <c r="AJ1289" s="11"/>
      <c r="AK1289" s="11"/>
      <c r="AL1289" s="11"/>
      <c r="AM1289" s="11"/>
      <c r="AN1289" s="11"/>
      <c r="AO1289" s="11"/>
      <c r="AP1289" s="11"/>
      <c r="AQ1289" s="11"/>
      <c r="AR1289" s="11"/>
      <c r="AS1289" s="11"/>
      <c r="AT1289" s="11"/>
      <c r="AU1289" s="11"/>
      <c r="AV1289" s="11"/>
      <c r="AW1289" s="11"/>
      <c r="AX1289" s="11"/>
      <c r="AY1289" s="11"/>
    </row>
    <row r="1290" spans="1:51" hidden="1" x14ac:dyDescent="0.2">
      <c r="A1290" s="6"/>
      <c r="E1290" s="2"/>
      <c r="F1290" s="3"/>
      <c r="G1290" s="3"/>
      <c r="P1290" s="8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11"/>
      <c r="AG1290" s="11"/>
      <c r="AH1290" s="11"/>
      <c r="AI1290" s="11"/>
      <c r="AJ1290" s="11"/>
      <c r="AK1290" s="11"/>
      <c r="AL1290" s="11"/>
      <c r="AM1290" s="11"/>
      <c r="AN1290" s="11"/>
      <c r="AO1290" s="11"/>
      <c r="AP1290" s="11"/>
      <c r="AQ1290" s="11"/>
      <c r="AR1290" s="11"/>
      <c r="AS1290" s="11"/>
      <c r="AT1290" s="11"/>
      <c r="AU1290" s="11"/>
      <c r="AV1290" s="11"/>
      <c r="AW1290" s="11"/>
      <c r="AX1290" s="11"/>
      <c r="AY1290" s="11"/>
    </row>
    <row r="1291" spans="1:51" hidden="1" x14ac:dyDescent="0.2">
      <c r="A1291" s="6"/>
      <c r="E1291" s="2"/>
      <c r="F1291" s="3"/>
      <c r="G1291" s="3"/>
      <c r="P1291" s="8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11"/>
      <c r="AG1291" s="11"/>
      <c r="AH1291" s="11"/>
      <c r="AI1291" s="11"/>
      <c r="AJ1291" s="11"/>
      <c r="AK1291" s="11"/>
      <c r="AL1291" s="11"/>
      <c r="AM1291" s="11"/>
      <c r="AN1291" s="11"/>
      <c r="AO1291" s="11"/>
      <c r="AP1291" s="11"/>
      <c r="AQ1291" s="11"/>
      <c r="AR1291" s="11"/>
      <c r="AS1291" s="11"/>
      <c r="AT1291" s="11"/>
      <c r="AU1291" s="11"/>
      <c r="AV1291" s="11"/>
      <c r="AW1291" s="11"/>
      <c r="AX1291" s="11"/>
      <c r="AY1291" s="11"/>
    </row>
    <row r="1292" spans="1:51" hidden="1" x14ac:dyDescent="0.2">
      <c r="A1292" s="6"/>
      <c r="E1292" s="2"/>
      <c r="F1292" s="3"/>
      <c r="G1292" s="3"/>
      <c r="P1292" s="8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11"/>
      <c r="AG1292" s="11"/>
      <c r="AH1292" s="11"/>
      <c r="AI1292" s="11"/>
      <c r="AJ1292" s="11"/>
      <c r="AK1292" s="11"/>
      <c r="AL1292" s="11"/>
      <c r="AM1292" s="11"/>
      <c r="AN1292" s="11"/>
      <c r="AO1292" s="11"/>
      <c r="AP1292" s="11"/>
      <c r="AQ1292" s="11"/>
      <c r="AR1292" s="11"/>
      <c r="AS1292" s="11"/>
      <c r="AT1292" s="11"/>
      <c r="AU1292" s="11"/>
      <c r="AV1292" s="11"/>
      <c r="AW1292" s="11"/>
      <c r="AX1292" s="11"/>
      <c r="AY1292" s="11"/>
    </row>
    <row r="1293" spans="1:51" hidden="1" x14ac:dyDescent="0.2">
      <c r="A1293" s="6"/>
      <c r="E1293" s="2"/>
      <c r="F1293" s="3"/>
      <c r="G1293" s="3"/>
      <c r="P1293" s="8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11"/>
      <c r="AG1293" s="11"/>
      <c r="AH1293" s="11"/>
      <c r="AI1293" s="11"/>
      <c r="AJ1293" s="11"/>
      <c r="AK1293" s="11"/>
      <c r="AL1293" s="11"/>
      <c r="AM1293" s="11"/>
      <c r="AN1293" s="11"/>
      <c r="AO1293" s="11"/>
      <c r="AP1293" s="11"/>
      <c r="AQ1293" s="11"/>
      <c r="AR1293" s="11"/>
      <c r="AS1293" s="11"/>
      <c r="AT1293" s="11"/>
      <c r="AU1293" s="11"/>
      <c r="AV1293" s="11"/>
      <c r="AW1293" s="11"/>
      <c r="AX1293" s="11"/>
      <c r="AY1293" s="11"/>
    </row>
    <row r="1294" spans="1:51" hidden="1" x14ac:dyDescent="0.2">
      <c r="A1294" s="6" t="s">
        <v>17</v>
      </c>
      <c r="B1294" t="s">
        <v>90</v>
      </c>
      <c r="C1294" t="s">
        <v>91</v>
      </c>
      <c r="D1294" t="s">
        <v>1697</v>
      </c>
      <c r="E1294" s="2">
        <v>900</v>
      </c>
      <c r="F1294" s="3">
        <f t="shared" ref="F1294:G1298" si="118">DATE(2025,6,11)</f>
        <v>45819</v>
      </c>
      <c r="G1294" s="3">
        <f t="shared" si="118"/>
        <v>45819</v>
      </c>
      <c r="H1294">
        <v>2302452521</v>
      </c>
      <c r="I1294" t="s">
        <v>21</v>
      </c>
      <c r="K1294" t="s">
        <v>22</v>
      </c>
      <c r="L1294" t="s">
        <v>23</v>
      </c>
      <c r="M1294" t="s">
        <v>24</v>
      </c>
      <c r="N1294" t="s">
        <v>24</v>
      </c>
      <c r="O1294" t="s">
        <v>25</v>
      </c>
      <c r="P1294" s="8" t="s">
        <v>1698</v>
      </c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1"/>
      <c r="AF1294" s="11"/>
      <c r="AG1294" s="11"/>
      <c r="AH1294" s="11"/>
      <c r="AI1294" s="11"/>
      <c r="AJ1294" s="11"/>
      <c r="AK1294" s="11"/>
      <c r="AL1294" s="11"/>
      <c r="AM1294" s="11"/>
      <c r="AN1294" s="11"/>
      <c r="AO1294" s="11"/>
      <c r="AP1294" s="11"/>
      <c r="AQ1294" s="11"/>
      <c r="AR1294" s="11"/>
      <c r="AS1294" s="11"/>
      <c r="AT1294" s="11"/>
      <c r="AU1294" s="11"/>
      <c r="AV1294" s="11"/>
      <c r="AW1294" s="11"/>
      <c r="AX1294" s="11"/>
      <c r="AY1294" s="11"/>
    </row>
    <row r="1295" spans="1:51" hidden="1" x14ac:dyDescent="0.2">
      <c r="A1295" s="6"/>
      <c r="E1295" s="2"/>
      <c r="F1295" s="3"/>
      <c r="G1295" s="3"/>
      <c r="P1295" s="8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  <c r="AH1295" s="11"/>
      <c r="AI1295" s="11"/>
      <c r="AJ1295" s="11"/>
      <c r="AK1295" s="11"/>
      <c r="AL1295" s="11"/>
      <c r="AM1295" s="11"/>
      <c r="AN1295" s="11"/>
      <c r="AO1295" s="11"/>
      <c r="AP1295" s="11"/>
      <c r="AQ1295" s="11"/>
      <c r="AR1295" s="11"/>
      <c r="AS1295" s="11"/>
      <c r="AT1295" s="11"/>
      <c r="AU1295" s="11"/>
      <c r="AV1295" s="11"/>
      <c r="AW1295" s="11"/>
      <c r="AX1295" s="11"/>
      <c r="AY1295" s="11"/>
    </row>
    <row r="1296" spans="1:51" hidden="1" x14ac:dyDescent="0.2">
      <c r="A1296" s="6"/>
      <c r="E1296" s="2"/>
      <c r="F1296" s="3"/>
      <c r="G1296" s="3"/>
      <c r="P1296" s="8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s="11"/>
      <c r="AR1296" s="11"/>
      <c r="AS1296" s="11"/>
      <c r="AT1296" s="11"/>
      <c r="AU1296" s="11"/>
      <c r="AV1296" s="11"/>
      <c r="AW1296" s="11"/>
      <c r="AX1296" s="11"/>
      <c r="AY1296" s="11"/>
    </row>
    <row r="1297" spans="1:51" hidden="1" x14ac:dyDescent="0.2">
      <c r="A1297" s="6"/>
      <c r="E1297" s="2"/>
      <c r="F1297" s="3"/>
      <c r="G1297" s="3"/>
      <c r="P1297" s="8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1"/>
      <c r="AF1297" s="11"/>
      <c r="AG1297" s="11"/>
      <c r="AH1297" s="11"/>
      <c r="AI1297" s="11"/>
      <c r="AJ1297" s="11"/>
      <c r="AK1297" s="11"/>
      <c r="AL1297" s="11"/>
      <c r="AM1297" s="11"/>
      <c r="AN1297" s="11"/>
      <c r="AO1297" s="11"/>
      <c r="AP1297" s="11"/>
      <c r="AQ1297" s="11"/>
      <c r="AR1297" s="11"/>
      <c r="AS1297" s="11"/>
      <c r="AT1297" s="11"/>
      <c r="AU1297" s="11"/>
      <c r="AV1297" s="11"/>
      <c r="AW1297" s="11"/>
      <c r="AX1297" s="11"/>
      <c r="AY1297" s="11"/>
    </row>
    <row r="1298" spans="1:51" hidden="1" x14ac:dyDescent="0.2">
      <c r="A1298" s="6" t="s">
        <v>17</v>
      </c>
      <c r="B1298" t="s">
        <v>35</v>
      </c>
      <c r="C1298" t="s">
        <v>35</v>
      </c>
      <c r="D1298" t="s">
        <v>1699</v>
      </c>
      <c r="E1298" s="2">
        <v>30.98</v>
      </c>
      <c r="F1298" s="3">
        <f t="shared" si="118"/>
        <v>45819</v>
      </c>
      <c r="G1298" s="3">
        <f t="shared" si="118"/>
        <v>45819</v>
      </c>
      <c r="H1298">
        <v>2302485081</v>
      </c>
      <c r="I1298" t="s">
        <v>192</v>
      </c>
      <c r="K1298" t="s">
        <v>22</v>
      </c>
      <c r="L1298" t="s">
        <v>23</v>
      </c>
      <c r="M1298" t="s">
        <v>24</v>
      </c>
      <c r="N1298" t="s">
        <v>24</v>
      </c>
      <c r="O1298" t="s">
        <v>25</v>
      </c>
      <c r="P1298" s="8" t="s">
        <v>1700</v>
      </c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11"/>
      <c r="AG1298" s="11"/>
      <c r="AH1298" s="11"/>
      <c r="AI1298" s="11"/>
      <c r="AJ1298" s="11"/>
      <c r="AK1298" s="11"/>
      <c r="AL1298" s="11"/>
      <c r="AM1298" s="11"/>
      <c r="AN1298" s="11"/>
      <c r="AO1298" s="11"/>
      <c r="AP1298" s="11"/>
      <c r="AQ1298" s="11"/>
      <c r="AR1298" s="11"/>
      <c r="AS1298" s="11"/>
      <c r="AT1298" s="11"/>
      <c r="AU1298" s="11"/>
      <c r="AV1298" s="11"/>
      <c r="AW1298" s="11"/>
      <c r="AX1298" s="11"/>
      <c r="AY1298" s="11"/>
    </row>
    <row r="1299" spans="1:51" hidden="1" x14ac:dyDescent="0.2">
      <c r="A1299" s="6"/>
      <c r="E1299" s="2"/>
      <c r="F1299" s="3"/>
      <c r="G1299" s="3"/>
      <c r="P1299" s="8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1"/>
      <c r="AJ1299" s="11"/>
      <c r="AK1299" s="11"/>
      <c r="AL1299" s="11"/>
      <c r="AM1299" s="11"/>
      <c r="AN1299" s="11"/>
      <c r="AO1299" s="11"/>
      <c r="AP1299" s="11"/>
      <c r="AQ1299" s="11"/>
      <c r="AR1299" s="11"/>
      <c r="AS1299" s="11"/>
      <c r="AT1299" s="11"/>
      <c r="AU1299" s="11"/>
      <c r="AV1299" s="11"/>
      <c r="AW1299" s="11"/>
      <c r="AX1299" s="11"/>
      <c r="AY1299" s="11"/>
    </row>
    <row r="1300" spans="1:51" hidden="1" x14ac:dyDescent="0.2">
      <c r="A1300" s="6" t="s">
        <v>17</v>
      </c>
      <c r="B1300" t="s">
        <v>84</v>
      </c>
      <c r="C1300" t="s">
        <v>85</v>
      </c>
      <c r="D1300" t="s">
        <v>1701</v>
      </c>
      <c r="E1300" s="2">
        <v>58</v>
      </c>
      <c r="F1300" s="3">
        <f t="shared" ref="F1300:G1301" si="119">DATE(2025,6,12)</f>
        <v>45820</v>
      </c>
      <c r="G1300" s="3">
        <f t="shared" si="119"/>
        <v>45820</v>
      </c>
      <c r="H1300">
        <v>2308939728</v>
      </c>
      <c r="I1300" t="s">
        <v>21</v>
      </c>
      <c r="K1300" t="s">
        <v>22</v>
      </c>
      <c r="L1300" t="s">
        <v>23</v>
      </c>
      <c r="M1300" t="s">
        <v>24</v>
      </c>
      <c r="N1300" t="s">
        <v>24</v>
      </c>
      <c r="O1300" t="s">
        <v>25</v>
      </c>
      <c r="P1300" s="8" t="s">
        <v>1702</v>
      </c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11"/>
      <c r="AG1300" s="11"/>
      <c r="AH1300" s="11"/>
      <c r="AI1300" s="11"/>
      <c r="AJ1300" s="11"/>
      <c r="AK1300" s="11"/>
      <c r="AL1300" s="11"/>
      <c r="AM1300" s="11"/>
      <c r="AN1300" s="11"/>
      <c r="AO1300" s="11"/>
      <c r="AP1300" s="11"/>
      <c r="AQ1300" s="11"/>
      <c r="AR1300" s="11"/>
      <c r="AS1300" s="11"/>
      <c r="AT1300" s="11"/>
      <c r="AU1300" s="11"/>
      <c r="AV1300" s="11"/>
      <c r="AW1300" s="11"/>
      <c r="AX1300" s="11"/>
      <c r="AY1300" s="11"/>
    </row>
    <row r="1301" spans="1:51" hidden="1" x14ac:dyDescent="0.2">
      <c r="A1301" s="6" t="s">
        <v>17</v>
      </c>
      <c r="B1301" t="s">
        <v>35</v>
      </c>
      <c r="C1301" t="s">
        <v>35</v>
      </c>
      <c r="D1301" t="s">
        <v>1703</v>
      </c>
      <c r="E1301" s="2">
        <v>0.99</v>
      </c>
      <c r="F1301" s="3">
        <f t="shared" si="119"/>
        <v>45820</v>
      </c>
      <c r="G1301" s="3">
        <f t="shared" si="119"/>
        <v>45820</v>
      </c>
      <c r="H1301">
        <v>2308939729</v>
      </c>
      <c r="I1301" t="s">
        <v>21</v>
      </c>
      <c r="K1301" t="s">
        <v>22</v>
      </c>
      <c r="L1301" t="s">
        <v>23</v>
      </c>
      <c r="M1301" t="s">
        <v>24</v>
      </c>
      <c r="N1301" t="s">
        <v>24</v>
      </c>
      <c r="O1301" t="s">
        <v>25</v>
      </c>
      <c r="P1301" s="8" t="s">
        <v>1704</v>
      </c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11"/>
      <c r="AG1301" s="11"/>
      <c r="AH1301" s="11"/>
      <c r="AI1301" s="11"/>
      <c r="AJ1301" s="11"/>
      <c r="AK1301" s="11"/>
      <c r="AL1301" s="11"/>
      <c r="AM1301" s="11"/>
      <c r="AN1301" s="11"/>
      <c r="AO1301" s="11"/>
      <c r="AP1301" s="11"/>
      <c r="AQ1301" s="11"/>
      <c r="AR1301" s="11"/>
      <c r="AS1301" s="11"/>
      <c r="AT1301" s="11"/>
      <c r="AU1301" s="11"/>
      <c r="AV1301" s="11"/>
      <c r="AW1301" s="11"/>
      <c r="AX1301" s="11"/>
      <c r="AY1301" s="11"/>
    </row>
    <row r="1302" spans="1:51" hidden="1" x14ac:dyDescent="0.2">
      <c r="A1302" s="6"/>
      <c r="E1302" s="2"/>
      <c r="F1302" s="3"/>
      <c r="G1302" s="3"/>
      <c r="P1302" s="8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11"/>
      <c r="AG1302" s="11"/>
      <c r="AH1302" s="11"/>
      <c r="AI1302" s="11"/>
      <c r="AJ1302" s="11"/>
      <c r="AK1302" s="11"/>
      <c r="AL1302" s="11"/>
      <c r="AM1302" s="11"/>
      <c r="AN1302" s="11"/>
      <c r="AO1302" s="11"/>
      <c r="AP1302" s="11"/>
      <c r="AQ1302" s="11"/>
      <c r="AR1302" s="11"/>
      <c r="AS1302" s="11"/>
      <c r="AT1302" s="11"/>
      <c r="AU1302" s="11"/>
      <c r="AV1302" s="11"/>
      <c r="AW1302" s="11"/>
      <c r="AX1302" s="11"/>
      <c r="AY1302" s="11"/>
    </row>
    <row r="1303" spans="1:51" hidden="1" x14ac:dyDescent="0.2">
      <c r="A1303" s="6"/>
      <c r="E1303" s="2"/>
      <c r="F1303" s="3"/>
      <c r="G1303" s="3"/>
      <c r="P1303" s="8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11"/>
      <c r="AG1303" s="11"/>
      <c r="AH1303" s="11"/>
      <c r="AI1303" s="11"/>
      <c r="AJ1303" s="11"/>
      <c r="AK1303" s="11"/>
      <c r="AL1303" s="11"/>
      <c r="AM1303" s="11"/>
      <c r="AN1303" s="11"/>
      <c r="AO1303" s="11"/>
      <c r="AP1303" s="11"/>
      <c r="AQ1303" s="11"/>
      <c r="AR1303" s="11"/>
      <c r="AS1303" s="11"/>
      <c r="AT1303" s="11"/>
      <c r="AU1303" s="11"/>
      <c r="AV1303" s="11"/>
      <c r="AW1303" s="11"/>
      <c r="AX1303" s="11"/>
      <c r="AY1303" s="11"/>
    </row>
    <row r="1304" spans="1:51" hidden="1" x14ac:dyDescent="0.2">
      <c r="A1304" s="6" t="s">
        <v>17</v>
      </c>
      <c r="B1304" t="s">
        <v>173</v>
      </c>
      <c r="C1304" t="s">
        <v>154</v>
      </c>
      <c r="D1304" t="s">
        <v>1705</v>
      </c>
      <c r="E1304" s="2">
        <v>76.73</v>
      </c>
      <c r="F1304" s="3">
        <f>DATE(2025,6,11)</f>
        <v>45819</v>
      </c>
      <c r="G1304" s="3">
        <f>DATE(2025,6,11)</f>
        <v>45819</v>
      </c>
      <c r="H1304">
        <v>2308939732</v>
      </c>
      <c r="I1304" t="s">
        <v>158</v>
      </c>
      <c r="K1304" t="s">
        <v>22</v>
      </c>
      <c r="L1304" t="s">
        <v>23</v>
      </c>
      <c r="M1304" t="s">
        <v>24</v>
      </c>
      <c r="N1304" t="s">
        <v>24</v>
      </c>
      <c r="O1304" t="s">
        <v>25</v>
      </c>
      <c r="P1304" s="8" t="s">
        <v>1706</v>
      </c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11"/>
      <c r="AG1304" s="11"/>
      <c r="AH1304" s="11"/>
      <c r="AI1304" s="11"/>
      <c r="AJ1304" s="11"/>
      <c r="AK1304" s="11"/>
      <c r="AL1304" s="11"/>
      <c r="AM1304" s="11"/>
      <c r="AN1304" s="11"/>
      <c r="AO1304" s="11"/>
      <c r="AP1304" s="11"/>
      <c r="AQ1304" s="11"/>
      <c r="AR1304" s="11"/>
      <c r="AS1304" s="11"/>
      <c r="AT1304" s="11"/>
      <c r="AU1304" s="11"/>
      <c r="AV1304" s="11"/>
      <c r="AW1304" s="11"/>
      <c r="AX1304" s="11"/>
      <c r="AY1304" s="11"/>
    </row>
    <row r="1305" spans="1:51" hidden="1" x14ac:dyDescent="0.2">
      <c r="A1305" s="6"/>
      <c r="E1305" s="2"/>
      <c r="F1305" s="3"/>
      <c r="G1305" s="3"/>
      <c r="P1305" s="8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11"/>
      <c r="AG1305" s="11"/>
      <c r="AH1305" s="11"/>
      <c r="AI1305" s="11"/>
      <c r="AJ1305" s="11"/>
      <c r="AK1305" s="11"/>
      <c r="AL1305" s="11"/>
      <c r="AM1305" s="11"/>
      <c r="AN1305" s="11"/>
      <c r="AO1305" s="11"/>
      <c r="AP1305" s="11"/>
      <c r="AQ1305" s="11"/>
      <c r="AR1305" s="11"/>
      <c r="AS1305" s="11"/>
      <c r="AT1305" s="11"/>
      <c r="AU1305" s="11"/>
      <c r="AV1305" s="11"/>
      <c r="AW1305" s="11"/>
      <c r="AX1305" s="11"/>
      <c r="AY1305" s="11"/>
    </row>
    <row r="1306" spans="1:51" hidden="1" x14ac:dyDescent="0.2">
      <c r="A1306" s="6"/>
      <c r="E1306" s="2"/>
      <c r="F1306" s="3"/>
      <c r="G1306" s="3"/>
      <c r="P1306" s="8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11"/>
      <c r="AG1306" s="11"/>
      <c r="AH1306" s="11"/>
      <c r="AI1306" s="11"/>
      <c r="AJ1306" s="11"/>
      <c r="AK1306" s="11"/>
      <c r="AL1306" s="11"/>
      <c r="AM1306" s="11"/>
      <c r="AN1306" s="11"/>
      <c r="AO1306" s="11"/>
      <c r="AP1306" s="11"/>
      <c r="AQ1306" s="11"/>
      <c r="AR1306" s="11"/>
      <c r="AS1306" s="11"/>
      <c r="AT1306" s="11"/>
      <c r="AU1306" s="11"/>
      <c r="AV1306" s="11"/>
      <c r="AW1306" s="11"/>
      <c r="AX1306" s="11"/>
      <c r="AY1306" s="11"/>
    </row>
    <row r="1307" spans="1:51" hidden="1" x14ac:dyDescent="0.2">
      <c r="A1307" s="6" t="s">
        <v>17</v>
      </c>
      <c r="B1307" t="s">
        <v>18</v>
      </c>
      <c r="C1307" t="s">
        <v>19</v>
      </c>
      <c r="D1307" t="s">
        <v>1707</v>
      </c>
      <c r="E1307" s="2">
        <v>3.37</v>
      </c>
      <c r="F1307" s="3">
        <f t="shared" ref="F1307:G1307" si="120">DATE(2025,6,12)</f>
        <v>45820</v>
      </c>
      <c r="G1307" s="3">
        <f t="shared" si="120"/>
        <v>45820</v>
      </c>
      <c r="H1307">
        <v>2309006666</v>
      </c>
      <c r="I1307" t="s">
        <v>192</v>
      </c>
      <c r="K1307" t="s">
        <v>22</v>
      </c>
      <c r="L1307" t="s">
        <v>23</v>
      </c>
      <c r="M1307" t="s">
        <v>24</v>
      </c>
      <c r="N1307" t="s">
        <v>24</v>
      </c>
      <c r="O1307" t="s">
        <v>25</v>
      </c>
      <c r="P1307" s="8" t="s">
        <v>1708</v>
      </c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s="11"/>
      <c r="AR1307" s="11"/>
      <c r="AS1307" s="11"/>
      <c r="AT1307" s="11"/>
      <c r="AU1307" s="11"/>
      <c r="AV1307" s="11"/>
      <c r="AW1307" s="11"/>
      <c r="AX1307" s="11"/>
      <c r="AY1307" s="11"/>
    </row>
    <row r="1308" spans="1:51" hidden="1" x14ac:dyDescent="0.2">
      <c r="A1308" s="6" t="s">
        <v>17</v>
      </c>
      <c r="B1308" t="s">
        <v>31</v>
      </c>
      <c r="C1308" t="s">
        <v>32</v>
      </c>
      <c r="D1308" t="s">
        <v>1709</v>
      </c>
      <c r="E1308" s="2">
        <v>163.66</v>
      </c>
      <c r="F1308" s="3">
        <f t="shared" ref="F1308:G1312" si="121">DATE(2025,6,13)</f>
        <v>45821</v>
      </c>
      <c r="G1308" s="3">
        <f t="shared" si="121"/>
        <v>45821</v>
      </c>
      <c r="H1308">
        <v>2313413620</v>
      </c>
      <c r="I1308" t="s">
        <v>21</v>
      </c>
      <c r="K1308" t="s">
        <v>22</v>
      </c>
      <c r="L1308" t="s">
        <v>23</v>
      </c>
      <c r="M1308" t="s">
        <v>24</v>
      </c>
      <c r="N1308" t="s">
        <v>24</v>
      </c>
      <c r="O1308" t="s">
        <v>25</v>
      </c>
      <c r="P1308" s="8" t="s">
        <v>1710</v>
      </c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1"/>
      <c r="AF1308" s="11"/>
      <c r="AG1308" s="11"/>
      <c r="AH1308" s="11"/>
      <c r="AI1308" s="11"/>
      <c r="AJ1308" s="11"/>
      <c r="AK1308" s="11"/>
      <c r="AL1308" s="11"/>
      <c r="AM1308" s="11"/>
      <c r="AN1308" s="11"/>
      <c r="AO1308" s="11"/>
      <c r="AP1308" s="11"/>
      <c r="AQ1308" s="11"/>
      <c r="AR1308" s="11"/>
      <c r="AS1308" s="11"/>
      <c r="AT1308" s="11"/>
      <c r="AU1308" s="11"/>
      <c r="AV1308" s="11"/>
      <c r="AW1308" s="11"/>
      <c r="AX1308" s="11"/>
      <c r="AY1308" s="11"/>
    </row>
    <row r="1309" spans="1:51" hidden="1" x14ac:dyDescent="0.2">
      <c r="A1309" s="6"/>
      <c r="E1309" s="2"/>
      <c r="F1309" s="3"/>
      <c r="G1309" s="3"/>
      <c r="P1309" s="8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11"/>
      <c r="AG1309" s="11"/>
      <c r="AH1309" s="11"/>
      <c r="AI1309" s="11"/>
      <c r="AJ1309" s="11"/>
      <c r="AK1309" s="11"/>
      <c r="AL1309" s="11"/>
      <c r="AM1309" s="11"/>
      <c r="AN1309" s="11"/>
      <c r="AO1309" s="11"/>
      <c r="AP1309" s="11"/>
      <c r="AQ1309" s="11"/>
      <c r="AR1309" s="11"/>
      <c r="AS1309" s="11"/>
      <c r="AT1309" s="11"/>
      <c r="AU1309" s="11"/>
      <c r="AV1309" s="11"/>
      <c r="AW1309" s="11"/>
      <c r="AX1309" s="11"/>
      <c r="AY1309" s="11"/>
    </row>
    <row r="1310" spans="1:51" hidden="1" x14ac:dyDescent="0.2">
      <c r="A1310" s="6"/>
      <c r="E1310" s="2"/>
      <c r="F1310" s="3"/>
      <c r="G1310" s="3"/>
      <c r="P1310" s="8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1"/>
      <c r="AF1310" s="11"/>
      <c r="AG1310" s="11"/>
      <c r="AH1310" s="11"/>
      <c r="AI1310" s="11"/>
      <c r="AJ1310" s="11"/>
      <c r="AK1310" s="11"/>
      <c r="AL1310" s="11"/>
      <c r="AM1310" s="11"/>
      <c r="AN1310" s="11"/>
      <c r="AO1310" s="11"/>
      <c r="AP1310" s="11"/>
      <c r="AQ1310" s="11"/>
      <c r="AR1310" s="11"/>
      <c r="AS1310" s="11"/>
      <c r="AT1310" s="11"/>
      <c r="AU1310" s="11"/>
      <c r="AV1310" s="11"/>
      <c r="AW1310" s="11"/>
      <c r="AX1310" s="11"/>
      <c r="AY1310" s="11"/>
    </row>
    <row r="1311" spans="1:51" hidden="1" x14ac:dyDescent="0.2">
      <c r="A1311" s="6"/>
      <c r="E1311" s="2"/>
      <c r="F1311" s="3"/>
      <c r="G1311" s="3"/>
      <c r="P1311" s="8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1"/>
      <c r="AH1311" s="11"/>
      <c r="AI1311" s="11"/>
      <c r="AJ1311" s="11"/>
      <c r="AK1311" s="11"/>
      <c r="AL1311" s="11"/>
      <c r="AM1311" s="11"/>
      <c r="AN1311" s="11"/>
      <c r="AO1311" s="11"/>
      <c r="AP1311" s="11"/>
      <c r="AQ1311" s="11"/>
      <c r="AR1311" s="11"/>
      <c r="AS1311" s="11"/>
      <c r="AT1311" s="11"/>
      <c r="AU1311" s="11"/>
      <c r="AV1311" s="11"/>
      <c r="AW1311" s="11"/>
      <c r="AX1311" s="11"/>
      <c r="AY1311" s="11"/>
    </row>
    <row r="1312" spans="1:51" hidden="1" x14ac:dyDescent="0.2">
      <c r="A1312" s="6" t="s">
        <v>17</v>
      </c>
      <c r="B1312" t="s">
        <v>118</v>
      </c>
      <c r="C1312" t="s">
        <v>119</v>
      </c>
      <c r="D1312" t="s">
        <v>1711</v>
      </c>
      <c r="E1312" s="2">
        <v>107.9</v>
      </c>
      <c r="F1312" s="3">
        <f t="shared" si="121"/>
        <v>45821</v>
      </c>
      <c r="G1312" s="3">
        <f t="shared" si="121"/>
        <v>45821</v>
      </c>
      <c r="H1312">
        <v>2313413624</v>
      </c>
      <c r="I1312" t="s">
        <v>21</v>
      </c>
      <c r="K1312" t="s">
        <v>22</v>
      </c>
      <c r="L1312" t="s">
        <v>23</v>
      </c>
      <c r="M1312" t="s">
        <v>24</v>
      </c>
      <c r="N1312" t="s">
        <v>24</v>
      </c>
      <c r="O1312" t="s">
        <v>25</v>
      </c>
      <c r="P1312" s="8" t="s">
        <v>1712</v>
      </c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11"/>
      <c r="AG1312" s="11"/>
      <c r="AH1312" s="11"/>
      <c r="AI1312" s="11"/>
      <c r="AJ1312" s="11"/>
      <c r="AK1312" s="11"/>
      <c r="AL1312" s="11"/>
      <c r="AM1312" s="11"/>
      <c r="AN1312" s="11"/>
      <c r="AO1312" s="11"/>
      <c r="AP1312" s="11"/>
      <c r="AQ1312" s="11"/>
      <c r="AR1312" s="11"/>
      <c r="AS1312" s="11"/>
      <c r="AT1312" s="11"/>
      <c r="AU1312" s="11"/>
      <c r="AV1312" s="11"/>
      <c r="AW1312" s="11"/>
      <c r="AX1312" s="11"/>
      <c r="AY1312" s="11"/>
    </row>
    <row r="1313" spans="1:51" hidden="1" x14ac:dyDescent="0.2">
      <c r="A1313" s="6"/>
      <c r="E1313" s="2"/>
      <c r="F1313" s="3"/>
      <c r="G1313" s="3"/>
      <c r="P1313" s="8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1"/>
      <c r="AH1313" s="11"/>
      <c r="AI1313" s="11"/>
      <c r="AJ1313" s="11"/>
      <c r="AK1313" s="11"/>
      <c r="AL1313" s="11"/>
      <c r="AM1313" s="11"/>
      <c r="AN1313" s="11"/>
      <c r="AO1313" s="11"/>
      <c r="AP1313" s="11"/>
      <c r="AQ1313" s="11"/>
      <c r="AR1313" s="11"/>
      <c r="AS1313" s="11"/>
      <c r="AT1313" s="11"/>
      <c r="AU1313" s="11"/>
      <c r="AV1313" s="11"/>
      <c r="AW1313" s="11"/>
      <c r="AX1313" s="11"/>
      <c r="AY1313" s="11"/>
    </row>
    <row r="1314" spans="1:51" hidden="1" x14ac:dyDescent="0.2">
      <c r="A1314" s="6"/>
      <c r="E1314" s="2"/>
      <c r="F1314" s="3"/>
      <c r="G1314" s="3"/>
      <c r="P1314" s="8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  <c r="AT1314" s="11"/>
      <c r="AU1314" s="11"/>
      <c r="AV1314" s="11"/>
      <c r="AW1314" s="11"/>
      <c r="AX1314" s="11"/>
      <c r="AY1314" s="11"/>
    </row>
    <row r="1315" spans="1:51" x14ac:dyDescent="0.2">
      <c r="A1315" s="6" t="s">
        <v>17</v>
      </c>
      <c r="B1315" t="s">
        <v>342</v>
      </c>
      <c r="C1315" t="s">
        <v>342</v>
      </c>
      <c r="D1315" t="s">
        <v>1713</v>
      </c>
      <c r="E1315" s="2">
        <v>110</v>
      </c>
      <c r="F1315" s="3">
        <f>DATE(2025,6,12)</f>
        <v>45820</v>
      </c>
      <c r="G1315" s="3">
        <f>DATE(2025,6,12)</f>
        <v>45820</v>
      </c>
      <c r="H1315">
        <v>2313413633</v>
      </c>
      <c r="I1315" t="s">
        <v>158</v>
      </c>
      <c r="K1315" t="s">
        <v>22</v>
      </c>
      <c r="L1315" t="s">
        <v>23</v>
      </c>
      <c r="M1315" t="s">
        <v>24</v>
      </c>
      <c r="N1315" t="s">
        <v>24</v>
      </c>
      <c r="O1315" t="s">
        <v>25</v>
      </c>
      <c r="P1315" s="8" t="s">
        <v>1714</v>
      </c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11"/>
      <c r="AG1315" s="11"/>
      <c r="AH1315" s="11"/>
      <c r="AI1315" s="11"/>
      <c r="AJ1315" s="11"/>
      <c r="AK1315" s="11"/>
      <c r="AL1315" s="11"/>
      <c r="AM1315" s="11"/>
      <c r="AN1315" s="11"/>
      <c r="AO1315" s="11"/>
      <c r="AP1315" s="11"/>
      <c r="AQ1315" s="11"/>
      <c r="AR1315" s="11"/>
      <c r="AS1315" s="11"/>
      <c r="AT1315" s="11"/>
      <c r="AU1315" s="11"/>
      <c r="AV1315" s="11"/>
      <c r="AW1315" s="11"/>
      <c r="AX1315" s="11"/>
      <c r="AY1315" s="11"/>
    </row>
    <row r="1316" spans="1:51" hidden="1" x14ac:dyDescent="0.2">
      <c r="A1316" s="6" t="s">
        <v>17</v>
      </c>
      <c r="B1316" t="s">
        <v>118</v>
      </c>
      <c r="C1316" t="s">
        <v>119</v>
      </c>
      <c r="D1316" t="s">
        <v>1715</v>
      </c>
      <c r="E1316" s="2">
        <v>8.2799999999999994</v>
      </c>
      <c r="F1316" s="3">
        <f>DATE(2025,6,12)</f>
        <v>45820</v>
      </c>
      <c r="G1316" s="3">
        <f>DATE(2025,6,12)</f>
        <v>45820</v>
      </c>
      <c r="H1316">
        <v>2313413634</v>
      </c>
      <c r="I1316" t="s">
        <v>158</v>
      </c>
      <c r="K1316" t="s">
        <v>22</v>
      </c>
      <c r="L1316" t="s">
        <v>23</v>
      </c>
      <c r="M1316" t="s">
        <v>24</v>
      </c>
      <c r="N1316" t="s">
        <v>24</v>
      </c>
      <c r="O1316" t="s">
        <v>25</v>
      </c>
      <c r="P1316" s="8" t="s">
        <v>1716</v>
      </c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11"/>
      <c r="AG1316" s="11"/>
      <c r="AH1316" s="11"/>
      <c r="AI1316" s="11"/>
      <c r="AJ1316" s="11"/>
      <c r="AK1316" s="11"/>
      <c r="AL1316" s="11"/>
      <c r="AM1316" s="11"/>
      <c r="AN1316" s="11"/>
      <c r="AO1316" s="11"/>
      <c r="AP1316" s="11"/>
      <c r="AQ1316" s="11"/>
      <c r="AR1316" s="11"/>
      <c r="AS1316" s="11"/>
      <c r="AT1316" s="11"/>
      <c r="AU1316" s="11"/>
      <c r="AV1316" s="11"/>
      <c r="AW1316" s="11"/>
      <c r="AX1316" s="11"/>
      <c r="AY1316" s="11"/>
    </row>
    <row r="1317" spans="1:51" hidden="1" x14ac:dyDescent="0.2">
      <c r="A1317" s="6"/>
      <c r="E1317" s="2"/>
      <c r="F1317" s="3"/>
      <c r="G1317" s="3"/>
      <c r="P1317" s="8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1"/>
      <c r="AJ1317" s="11"/>
      <c r="AK1317" s="11"/>
      <c r="AL1317" s="11"/>
      <c r="AM1317" s="11"/>
      <c r="AN1317" s="11"/>
      <c r="AO1317" s="11"/>
      <c r="AP1317" s="11"/>
      <c r="AQ1317" s="11"/>
      <c r="AR1317" s="11"/>
      <c r="AS1317" s="11"/>
      <c r="AT1317" s="11"/>
      <c r="AU1317" s="11"/>
      <c r="AV1317" s="11"/>
      <c r="AW1317" s="11"/>
      <c r="AX1317" s="11"/>
      <c r="AY1317" s="11"/>
    </row>
    <row r="1318" spans="1:51" hidden="1" x14ac:dyDescent="0.2">
      <c r="A1318" s="6"/>
      <c r="E1318" s="2"/>
      <c r="F1318" s="3"/>
      <c r="G1318" s="3"/>
      <c r="P1318" s="8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11"/>
      <c r="AG1318" s="11"/>
      <c r="AH1318" s="11"/>
      <c r="AI1318" s="11"/>
      <c r="AJ1318" s="11"/>
      <c r="AK1318" s="11"/>
      <c r="AL1318" s="11"/>
      <c r="AM1318" s="11"/>
      <c r="AN1318" s="11"/>
      <c r="AO1318" s="11"/>
      <c r="AP1318" s="11"/>
      <c r="AQ1318" s="11"/>
      <c r="AR1318" s="11"/>
      <c r="AS1318" s="11"/>
      <c r="AT1318" s="11"/>
      <c r="AU1318" s="11"/>
      <c r="AV1318" s="11"/>
      <c r="AW1318" s="11"/>
      <c r="AX1318" s="11"/>
      <c r="AY1318" s="11"/>
    </row>
    <row r="1319" spans="1:51" hidden="1" x14ac:dyDescent="0.2">
      <c r="A1319" s="6" t="s">
        <v>17</v>
      </c>
      <c r="B1319" t="s">
        <v>18</v>
      </c>
      <c r="C1319" t="s">
        <v>19</v>
      </c>
      <c r="D1319" t="s">
        <v>1717</v>
      </c>
      <c r="E1319" s="2">
        <v>5.07</v>
      </c>
      <c r="F1319" s="3">
        <f t="shared" ref="F1319:G1329" si="122">DATE(2025,6,13)</f>
        <v>45821</v>
      </c>
      <c r="G1319" s="3">
        <f t="shared" si="122"/>
        <v>45821</v>
      </c>
      <c r="H1319">
        <v>2313413975</v>
      </c>
      <c r="I1319" t="s">
        <v>192</v>
      </c>
      <c r="K1319" t="s">
        <v>22</v>
      </c>
      <c r="L1319" t="s">
        <v>23</v>
      </c>
      <c r="M1319" t="s">
        <v>24</v>
      </c>
      <c r="N1319" t="s">
        <v>24</v>
      </c>
      <c r="O1319" t="s">
        <v>25</v>
      </c>
      <c r="P1319" s="8" t="s">
        <v>1718</v>
      </c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11"/>
      <c r="AL1319" s="11"/>
      <c r="AM1319" s="11"/>
      <c r="AN1319" s="11"/>
      <c r="AO1319" s="11"/>
      <c r="AP1319" s="11"/>
      <c r="AQ1319" s="11"/>
      <c r="AR1319" s="11"/>
      <c r="AS1319" s="11"/>
      <c r="AT1319" s="11"/>
      <c r="AU1319" s="11"/>
      <c r="AV1319" s="11"/>
      <c r="AW1319" s="11"/>
      <c r="AX1319" s="11"/>
      <c r="AY1319" s="11"/>
    </row>
    <row r="1320" spans="1:51" hidden="1" x14ac:dyDescent="0.2">
      <c r="A1320" s="6"/>
      <c r="E1320" s="2"/>
      <c r="F1320" s="3"/>
      <c r="G1320" s="3"/>
      <c r="P1320" s="8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1"/>
      <c r="AF1320" s="11"/>
      <c r="AG1320" s="11"/>
      <c r="AH1320" s="11"/>
      <c r="AI1320" s="11"/>
      <c r="AJ1320" s="11"/>
      <c r="AK1320" s="11"/>
      <c r="AL1320" s="11"/>
      <c r="AM1320" s="11"/>
      <c r="AN1320" s="11"/>
      <c r="AO1320" s="11"/>
      <c r="AP1320" s="11"/>
      <c r="AQ1320" s="11"/>
      <c r="AR1320" s="11"/>
      <c r="AS1320" s="11"/>
      <c r="AT1320" s="11"/>
      <c r="AU1320" s="11"/>
      <c r="AV1320" s="11"/>
      <c r="AW1320" s="11"/>
      <c r="AX1320" s="11"/>
      <c r="AY1320" s="11"/>
    </row>
    <row r="1321" spans="1:51" hidden="1" x14ac:dyDescent="0.2">
      <c r="A1321" s="6"/>
      <c r="E1321" s="2"/>
      <c r="F1321" s="3"/>
      <c r="G1321" s="3"/>
      <c r="P1321" s="8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1"/>
      <c r="AF1321" s="11"/>
      <c r="AG1321" s="11"/>
      <c r="AH1321" s="11"/>
      <c r="AI1321" s="11"/>
      <c r="AJ1321" s="11"/>
      <c r="AK1321" s="11"/>
      <c r="AL1321" s="11"/>
      <c r="AM1321" s="11"/>
      <c r="AN1321" s="11"/>
      <c r="AO1321" s="11"/>
      <c r="AP1321" s="11"/>
      <c r="AQ1321" s="11"/>
      <c r="AR1321" s="11"/>
      <c r="AS1321" s="11"/>
      <c r="AT1321" s="11"/>
      <c r="AU1321" s="11"/>
      <c r="AV1321" s="11"/>
      <c r="AW1321" s="11"/>
      <c r="AX1321" s="11"/>
      <c r="AY1321" s="11"/>
    </row>
    <row r="1322" spans="1:51" hidden="1" x14ac:dyDescent="0.2">
      <c r="A1322" s="6"/>
      <c r="E1322" s="2"/>
      <c r="F1322" s="3"/>
      <c r="G1322" s="3"/>
      <c r="P1322" s="8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1"/>
      <c r="AH1322" s="11"/>
      <c r="AI1322" s="11"/>
      <c r="AJ1322" s="11"/>
      <c r="AK1322" s="11"/>
      <c r="AL1322" s="11"/>
      <c r="AM1322" s="11"/>
      <c r="AN1322" s="11"/>
      <c r="AO1322" s="11"/>
      <c r="AP1322" s="11"/>
      <c r="AQ1322" s="11"/>
      <c r="AR1322" s="11"/>
      <c r="AS1322" s="11"/>
      <c r="AT1322" s="11"/>
      <c r="AU1322" s="11"/>
      <c r="AV1322" s="11"/>
      <c r="AW1322" s="11"/>
      <c r="AX1322" s="11"/>
      <c r="AY1322" s="11"/>
    </row>
    <row r="1323" spans="1:51" hidden="1" x14ac:dyDescent="0.2">
      <c r="A1323" s="6"/>
      <c r="E1323" s="2"/>
      <c r="F1323" s="3"/>
      <c r="G1323" s="3"/>
      <c r="P1323" s="8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11"/>
      <c r="AG1323" s="11"/>
      <c r="AH1323" s="11"/>
      <c r="AI1323" s="11"/>
      <c r="AJ1323" s="11"/>
      <c r="AK1323" s="11"/>
      <c r="AL1323" s="11"/>
      <c r="AM1323" s="11"/>
      <c r="AN1323" s="11"/>
      <c r="AO1323" s="11"/>
      <c r="AP1323" s="11"/>
      <c r="AQ1323" s="11"/>
      <c r="AR1323" s="11"/>
      <c r="AS1323" s="11"/>
      <c r="AT1323" s="11"/>
      <c r="AU1323" s="11"/>
      <c r="AV1323" s="11"/>
      <c r="AW1323" s="11"/>
      <c r="AX1323" s="11"/>
      <c r="AY1323" s="11"/>
    </row>
    <row r="1324" spans="1:51" hidden="1" x14ac:dyDescent="0.2">
      <c r="A1324" s="6" t="s">
        <v>17</v>
      </c>
      <c r="B1324" t="s">
        <v>118</v>
      </c>
      <c r="C1324" t="s">
        <v>119</v>
      </c>
      <c r="D1324" t="s">
        <v>1719</v>
      </c>
      <c r="E1324" s="2">
        <v>28.86</v>
      </c>
      <c r="F1324" s="3">
        <f t="shared" si="122"/>
        <v>45821</v>
      </c>
      <c r="G1324" s="3">
        <f t="shared" si="122"/>
        <v>45821</v>
      </c>
      <c r="H1324">
        <v>2316400614</v>
      </c>
      <c r="I1324" t="s">
        <v>158</v>
      </c>
      <c r="K1324" t="s">
        <v>22</v>
      </c>
      <c r="L1324" t="s">
        <v>23</v>
      </c>
      <c r="M1324" t="s">
        <v>24</v>
      </c>
      <c r="N1324" t="s">
        <v>24</v>
      </c>
      <c r="O1324" t="s">
        <v>25</v>
      </c>
      <c r="P1324" s="8" t="s">
        <v>1720</v>
      </c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11"/>
      <c r="AG1324" s="11"/>
      <c r="AH1324" s="11"/>
      <c r="AI1324" s="11"/>
      <c r="AJ1324" s="11"/>
      <c r="AK1324" s="11"/>
      <c r="AL1324" s="11"/>
      <c r="AM1324" s="11"/>
      <c r="AN1324" s="11"/>
      <c r="AO1324" s="11"/>
      <c r="AP1324" s="11"/>
      <c r="AQ1324" s="11"/>
      <c r="AR1324" s="11"/>
      <c r="AS1324" s="11"/>
      <c r="AT1324" s="11"/>
      <c r="AU1324" s="11"/>
      <c r="AV1324" s="11"/>
      <c r="AW1324" s="11"/>
      <c r="AX1324" s="11"/>
      <c r="AY1324" s="11"/>
    </row>
    <row r="1325" spans="1:51" hidden="1" x14ac:dyDescent="0.2">
      <c r="A1325" s="6" t="s">
        <v>17</v>
      </c>
      <c r="B1325" t="s">
        <v>173</v>
      </c>
      <c r="C1325" t="s">
        <v>154</v>
      </c>
      <c r="D1325" t="s">
        <v>1721</v>
      </c>
      <c r="E1325" s="2">
        <v>72.95</v>
      </c>
      <c r="F1325" s="3">
        <f t="shared" si="122"/>
        <v>45821</v>
      </c>
      <c r="G1325" s="3">
        <f t="shared" si="122"/>
        <v>45821</v>
      </c>
      <c r="H1325">
        <v>2316400615</v>
      </c>
      <c r="I1325" t="s">
        <v>158</v>
      </c>
      <c r="K1325" t="s">
        <v>22</v>
      </c>
      <c r="L1325" t="s">
        <v>23</v>
      </c>
      <c r="M1325" t="s">
        <v>24</v>
      </c>
      <c r="N1325" t="s">
        <v>24</v>
      </c>
      <c r="O1325" t="s">
        <v>25</v>
      </c>
      <c r="P1325" s="8" t="s">
        <v>1722</v>
      </c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1"/>
      <c r="AH1325" s="11"/>
      <c r="AI1325" s="11"/>
      <c r="AJ1325" s="11"/>
      <c r="AK1325" s="11"/>
      <c r="AL1325" s="11"/>
      <c r="AM1325" s="11"/>
      <c r="AN1325" s="11"/>
      <c r="AO1325" s="11"/>
      <c r="AP1325" s="11"/>
      <c r="AQ1325" s="11"/>
      <c r="AR1325" s="11"/>
      <c r="AS1325" s="11"/>
      <c r="AT1325" s="11"/>
      <c r="AU1325" s="11"/>
      <c r="AV1325" s="11"/>
      <c r="AW1325" s="11"/>
      <c r="AX1325" s="11"/>
      <c r="AY1325" s="11"/>
    </row>
    <row r="1326" spans="1:51" hidden="1" x14ac:dyDescent="0.2">
      <c r="A1326" s="6" t="s">
        <v>17</v>
      </c>
      <c r="B1326" t="s">
        <v>31</v>
      </c>
      <c r="C1326" t="s">
        <v>32</v>
      </c>
      <c r="D1326" t="s">
        <v>1723</v>
      </c>
      <c r="E1326" s="2">
        <v>40</v>
      </c>
      <c r="F1326" s="3">
        <f t="shared" si="122"/>
        <v>45821</v>
      </c>
      <c r="G1326" s="3">
        <f t="shared" si="122"/>
        <v>45821</v>
      </c>
      <c r="H1326">
        <v>2316400616</v>
      </c>
      <c r="I1326" t="s">
        <v>158</v>
      </c>
      <c r="K1326" t="s">
        <v>22</v>
      </c>
      <c r="L1326" t="s">
        <v>23</v>
      </c>
      <c r="M1326" t="s">
        <v>24</v>
      </c>
      <c r="N1326" t="s">
        <v>24</v>
      </c>
      <c r="O1326" t="s">
        <v>25</v>
      </c>
      <c r="P1326" s="8" t="s">
        <v>1724</v>
      </c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1"/>
      <c r="AF1326" s="11"/>
      <c r="AG1326" s="11"/>
      <c r="AH1326" s="11"/>
      <c r="AI1326" s="11"/>
      <c r="AJ1326" s="11"/>
      <c r="AK1326" s="11"/>
      <c r="AL1326" s="11"/>
      <c r="AM1326" s="11"/>
      <c r="AN1326" s="11"/>
      <c r="AO1326" s="11"/>
      <c r="AP1326" s="11"/>
      <c r="AQ1326" s="11"/>
      <c r="AR1326" s="11"/>
      <c r="AS1326" s="11"/>
      <c r="AT1326" s="11"/>
      <c r="AU1326" s="11"/>
      <c r="AV1326" s="11"/>
      <c r="AW1326" s="11"/>
      <c r="AX1326" s="11"/>
      <c r="AY1326" s="11"/>
    </row>
    <row r="1327" spans="1:51" hidden="1" x14ac:dyDescent="0.2">
      <c r="A1327" s="6" t="s">
        <v>17</v>
      </c>
      <c r="B1327" t="s">
        <v>118</v>
      </c>
      <c r="C1327" t="s">
        <v>119</v>
      </c>
      <c r="D1327" t="s">
        <v>1725</v>
      </c>
      <c r="E1327" s="2">
        <v>99.99</v>
      </c>
      <c r="F1327" s="3">
        <f t="shared" si="122"/>
        <v>45821</v>
      </c>
      <c r="G1327" s="3">
        <f t="shared" si="122"/>
        <v>45821</v>
      </c>
      <c r="H1327">
        <v>2316400617</v>
      </c>
      <c r="I1327" t="s">
        <v>158</v>
      </c>
      <c r="K1327" t="s">
        <v>22</v>
      </c>
      <c r="L1327" t="s">
        <v>23</v>
      </c>
      <c r="M1327" t="s">
        <v>24</v>
      </c>
      <c r="N1327" t="s">
        <v>24</v>
      </c>
      <c r="O1327" t="s">
        <v>25</v>
      </c>
      <c r="P1327" s="8" t="s">
        <v>1726</v>
      </c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11"/>
      <c r="AG1327" s="11"/>
      <c r="AH1327" s="11"/>
      <c r="AI1327" s="11"/>
      <c r="AJ1327" s="11"/>
      <c r="AK1327" s="11"/>
      <c r="AL1327" s="11"/>
      <c r="AM1327" s="11"/>
      <c r="AN1327" s="11"/>
      <c r="AO1327" s="11"/>
      <c r="AP1327" s="11"/>
      <c r="AQ1327" s="11"/>
      <c r="AR1327" s="11"/>
      <c r="AS1327" s="11"/>
      <c r="AT1327" s="11"/>
      <c r="AU1327" s="11"/>
      <c r="AV1327" s="11"/>
      <c r="AW1327" s="11"/>
      <c r="AX1327" s="11"/>
      <c r="AY1327" s="11"/>
    </row>
    <row r="1328" spans="1:51" x14ac:dyDescent="0.2">
      <c r="A1328" s="6" t="s">
        <v>17</v>
      </c>
      <c r="B1328" t="s">
        <v>342</v>
      </c>
      <c r="C1328" t="s">
        <v>342</v>
      </c>
      <c r="D1328" t="s">
        <v>1727</v>
      </c>
      <c r="E1328" s="2">
        <v>829.99</v>
      </c>
      <c r="F1328" s="3">
        <f t="shared" si="122"/>
        <v>45821</v>
      </c>
      <c r="G1328" s="3">
        <f t="shared" si="122"/>
        <v>45821</v>
      </c>
      <c r="H1328">
        <v>2316400618</v>
      </c>
      <c r="I1328" t="s">
        <v>158</v>
      </c>
      <c r="K1328" t="s">
        <v>22</v>
      </c>
      <c r="L1328" t="s">
        <v>23</v>
      </c>
      <c r="M1328" t="s">
        <v>24</v>
      </c>
      <c r="N1328" t="s">
        <v>24</v>
      </c>
      <c r="O1328" t="s">
        <v>25</v>
      </c>
      <c r="P1328" s="8" t="s">
        <v>1728</v>
      </c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11"/>
      <c r="AG1328" s="11"/>
      <c r="AH1328" s="11"/>
      <c r="AI1328" s="11"/>
      <c r="AJ1328" s="11"/>
      <c r="AK1328" s="11"/>
      <c r="AL1328" s="11"/>
      <c r="AM1328" s="11"/>
      <c r="AN1328" s="11"/>
      <c r="AO1328" s="11"/>
      <c r="AP1328" s="11"/>
      <c r="AQ1328" s="11"/>
      <c r="AR1328" s="11"/>
      <c r="AS1328" s="11"/>
      <c r="AT1328" s="11"/>
      <c r="AU1328" s="11"/>
      <c r="AV1328" s="11"/>
      <c r="AW1328" s="11"/>
      <c r="AX1328" s="11"/>
      <c r="AY1328" s="11"/>
    </row>
    <row r="1329" spans="1:51" hidden="1" x14ac:dyDescent="0.2">
      <c r="A1329" s="6" t="s">
        <v>17</v>
      </c>
      <c r="B1329" t="s">
        <v>399</v>
      </c>
      <c r="C1329" t="s">
        <v>400</v>
      </c>
      <c r="D1329" t="s">
        <v>1729</v>
      </c>
      <c r="E1329" s="2">
        <v>10.45</v>
      </c>
      <c r="F1329" s="3">
        <f t="shared" si="122"/>
        <v>45821</v>
      </c>
      <c r="G1329" s="3">
        <f t="shared" si="122"/>
        <v>45821</v>
      </c>
      <c r="H1329">
        <v>2316400619</v>
      </c>
      <c r="I1329" t="s">
        <v>158</v>
      </c>
      <c r="K1329" t="s">
        <v>22</v>
      </c>
      <c r="L1329" t="s">
        <v>23</v>
      </c>
      <c r="M1329" t="s">
        <v>24</v>
      </c>
      <c r="N1329" t="s">
        <v>24</v>
      </c>
      <c r="O1329" t="s">
        <v>25</v>
      </c>
      <c r="P1329" s="8" t="s">
        <v>1730</v>
      </c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1"/>
      <c r="AF1329" s="11"/>
      <c r="AG1329" s="11"/>
      <c r="AH1329" s="11"/>
      <c r="AI1329" s="11"/>
      <c r="AJ1329" s="11"/>
      <c r="AK1329" s="11"/>
      <c r="AL1329" s="11"/>
      <c r="AM1329" s="11"/>
      <c r="AN1329" s="11"/>
      <c r="AO1329" s="11"/>
      <c r="AP1329" s="11"/>
      <c r="AQ1329" s="11"/>
      <c r="AR1329" s="11"/>
      <c r="AS1329" s="11"/>
      <c r="AT1329" s="11"/>
      <c r="AU1329" s="11"/>
      <c r="AV1329" s="11"/>
      <c r="AW1329" s="11"/>
      <c r="AX1329" s="11"/>
      <c r="AY1329" s="11"/>
    </row>
    <row r="1330" spans="1:51" hidden="1" x14ac:dyDescent="0.2">
      <c r="A1330" s="6"/>
      <c r="E1330" s="2"/>
      <c r="F1330" s="3"/>
      <c r="G1330" s="3"/>
      <c r="P1330" s="8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11"/>
      <c r="AG1330" s="11"/>
      <c r="AH1330" s="11"/>
      <c r="AI1330" s="11"/>
      <c r="AJ1330" s="11"/>
      <c r="AK1330" s="11"/>
      <c r="AL1330" s="11"/>
      <c r="AM1330" s="11"/>
      <c r="AN1330" s="11"/>
      <c r="AO1330" s="11"/>
      <c r="AP1330" s="11"/>
      <c r="AQ1330" s="11"/>
      <c r="AR1330" s="11"/>
      <c r="AS1330" s="11"/>
      <c r="AT1330" s="11"/>
      <c r="AU1330" s="11"/>
      <c r="AV1330" s="11"/>
      <c r="AW1330" s="11"/>
      <c r="AX1330" s="11"/>
      <c r="AY1330" s="11"/>
    </row>
    <row r="1331" spans="1:51" hidden="1" x14ac:dyDescent="0.2">
      <c r="A1331" s="6"/>
      <c r="E1331" s="2"/>
      <c r="F1331" s="3"/>
      <c r="G1331" s="3"/>
      <c r="P1331" s="8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11"/>
      <c r="AL1331" s="11"/>
      <c r="AM1331" s="11"/>
      <c r="AN1331" s="11"/>
      <c r="AO1331" s="11"/>
      <c r="AP1331" s="11"/>
      <c r="AQ1331" s="11"/>
      <c r="AR1331" s="11"/>
      <c r="AS1331" s="11"/>
      <c r="AT1331" s="11"/>
      <c r="AU1331" s="11"/>
      <c r="AV1331" s="11"/>
      <c r="AW1331" s="11"/>
      <c r="AX1331" s="11"/>
      <c r="AY1331" s="11"/>
    </row>
    <row r="1332" spans="1:51" hidden="1" x14ac:dyDescent="0.2">
      <c r="A1332" s="6" t="s">
        <v>17</v>
      </c>
      <c r="B1332" t="s">
        <v>118</v>
      </c>
      <c r="C1332" t="s">
        <v>119</v>
      </c>
      <c r="D1332" t="s">
        <v>1731</v>
      </c>
      <c r="E1332" s="2">
        <v>331.2</v>
      </c>
      <c r="F1332" s="3">
        <f>DATE(2025,6,13)</f>
        <v>45821</v>
      </c>
      <c r="G1332" s="3">
        <f>DATE(2025,6,13)</f>
        <v>45821</v>
      </c>
      <c r="H1332">
        <v>2328373330</v>
      </c>
      <c r="I1332" t="s">
        <v>158</v>
      </c>
      <c r="K1332" t="s">
        <v>22</v>
      </c>
      <c r="L1332" t="s">
        <v>23</v>
      </c>
      <c r="M1332" t="s">
        <v>24</v>
      </c>
      <c r="N1332" t="s">
        <v>24</v>
      </c>
      <c r="O1332" t="s">
        <v>25</v>
      </c>
      <c r="P1332" s="8" t="s">
        <v>1732</v>
      </c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  <c r="AS1332" s="11"/>
      <c r="AT1332" s="11"/>
      <c r="AU1332" s="11"/>
      <c r="AV1332" s="11"/>
      <c r="AW1332" s="11"/>
      <c r="AX1332" s="11"/>
      <c r="AY1332" s="11"/>
    </row>
    <row r="1333" spans="1:51" hidden="1" x14ac:dyDescent="0.2">
      <c r="A1333" s="6" t="s">
        <v>17</v>
      </c>
      <c r="B1333" t="s">
        <v>118</v>
      </c>
      <c r="C1333" t="s">
        <v>119</v>
      </c>
      <c r="D1333" t="s">
        <v>1733</v>
      </c>
      <c r="E1333" s="2">
        <v>6.99</v>
      </c>
      <c r="F1333" s="3">
        <f>DATE(2025,6,15)</f>
        <v>45823</v>
      </c>
      <c r="G1333" s="3">
        <f>DATE(2025,6,15)</f>
        <v>45823</v>
      </c>
      <c r="H1333">
        <v>2328373331</v>
      </c>
      <c r="I1333" t="s">
        <v>158</v>
      </c>
      <c r="K1333" t="s">
        <v>22</v>
      </c>
      <c r="L1333" t="s">
        <v>23</v>
      </c>
      <c r="M1333" t="s">
        <v>24</v>
      </c>
      <c r="N1333" t="s">
        <v>24</v>
      </c>
      <c r="O1333" t="s">
        <v>25</v>
      </c>
      <c r="P1333" s="8" t="s">
        <v>1734</v>
      </c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1"/>
      <c r="AH1333" s="11"/>
      <c r="AI1333" s="11"/>
      <c r="AJ1333" s="11"/>
      <c r="AK1333" s="11"/>
      <c r="AL1333" s="11"/>
      <c r="AM1333" s="11"/>
      <c r="AN1333" s="11"/>
      <c r="AO1333" s="11"/>
      <c r="AP1333" s="11"/>
      <c r="AQ1333" s="11"/>
      <c r="AR1333" s="11"/>
      <c r="AS1333" s="11"/>
      <c r="AT1333" s="11"/>
      <c r="AU1333" s="11"/>
      <c r="AV1333" s="11"/>
      <c r="AW1333" s="11"/>
      <c r="AX1333" s="11"/>
      <c r="AY1333" s="11"/>
    </row>
    <row r="1334" spans="1:51" x14ac:dyDescent="0.2">
      <c r="A1334" s="6" t="s">
        <v>17</v>
      </c>
      <c r="B1334" t="s">
        <v>342</v>
      </c>
      <c r="C1334" t="s">
        <v>342</v>
      </c>
      <c r="D1334" t="s">
        <v>1735</v>
      </c>
      <c r="E1334" s="2">
        <v>64.89</v>
      </c>
      <c r="F1334" s="3">
        <f>DATE(2025,6,16)</f>
        <v>45824</v>
      </c>
      <c r="G1334" s="3">
        <f>DATE(2025,6,16)</f>
        <v>45824</v>
      </c>
      <c r="H1334">
        <v>2328373332</v>
      </c>
      <c r="I1334" t="s">
        <v>158</v>
      </c>
      <c r="K1334" t="s">
        <v>22</v>
      </c>
      <c r="L1334" t="s">
        <v>23</v>
      </c>
      <c r="M1334" t="s">
        <v>24</v>
      </c>
      <c r="N1334" t="s">
        <v>24</v>
      </c>
      <c r="O1334" t="s">
        <v>25</v>
      </c>
      <c r="P1334" s="8" t="s">
        <v>1736</v>
      </c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11"/>
      <c r="AG1334" s="11"/>
      <c r="AH1334" s="11"/>
      <c r="AI1334" s="11"/>
      <c r="AJ1334" s="11"/>
      <c r="AK1334" s="11"/>
      <c r="AL1334" s="11"/>
      <c r="AM1334" s="11"/>
      <c r="AN1334" s="11"/>
      <c r="AO1334" s="11"/>
      <c r="AP1334" s="11"/>
      <c r="AQ1334" s="11"/>
      <c r="AR1334" s="11"/>
      <c r="AS1334" s="11"/>
      <c r="AT1334" s="11"/>
      <c r="AU1334" s="11"/>
      <c r="AV1334" s="11"/>
      <c r="AW1334" s="11"/>
      <c r="AX1334" s="11"/>
      <c r="AY1334" s="11"/>
    </row>
    <row r="1335" spans="1:51" hidden="1" x14ac:dyDescent="0.2">
      <c r="A1335" s="6" t="s">
        <v>17</v>
      </c>
      <c r="B1335" t="s">
        <v>118</v>
      </c>
      <c r="C1335" t="s">
        <v>119</v>
      </c>
      <c r="D1335" t="s">
        <v>1737</v>
      </c>
      <c r="E1335" s="2">
        <v>7.98</v>
      </c>
      <c r="F1335" s="3">
        <f>DATE(2025,6,14)</f>
        <v>45822</v>
      </c>
      <c r="G1335" s="3">
        <f>DATE(2025,6,14)</f>
        <v>45822</v>
      </c>
      <c r="H1335">
        <v>2328373333</v>
      </c>
      <c r="I1335" t="s">
        <v>158</v>
      </c>
      <c r="K1335" t="s">
        <v>22</v>
      </c>
      <c r="L1335" t="s">
        <v>23</v>
      </c>
      <c r="M1335" t="s">
        <v>24</v>
      </c>
      <c r="N1335" t="s">
        <v>24</v>
      </c>
      <c r="O1335" t="s">
        <v>25</v>
      </c>
      <c r="P1335" s="8" t="s">
        <v>1738</v>
      </c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1"/>
      <c r="AJ1335" s="11"/>
      <c r="AK1335" s="11"/>
      <c r="AL1335" s="11"/>
      <c r="AM1335" s="11"/>
      <c r="AN1335" s="11"/>
      <c r="AO1335" s="11"/>
      <c r="AP1335" s="11"/>
      <c r="AQ1335" s="11"/>
      <c r="AR1335" s="11"/>
      <c r="AS1335" s="11"/>
      <c r="AT1335" s="11"/>
      <c r="AU1335" s="11"/>
      <c r="AV1335" s="11"/>
      <c r="AW1335" s="11"/>
      <c r="AX1335" s="11"/>
      <c r="AY1335" s="11"/>
    </row>
    <row r="1336" spans="1:51" x14ac:dyDescent="0.2">
      <c r="A1336" s="6" t="s">
        <v>17</v>
      </c>
      <c r="B1336" t="s">
        <v>342</v>
      </c>
      <c r="C1336" t="s">
        <v>342</v>
      </c>
      <c r="D1336" t="s">
        <v>1739</v>
      </c>
      <c r="E1336" s="2">
        <v>40.700000000000003</v>
      </c>
      <c r="F1336" s="3">
        <f>DATE(2025,6,16)</f>
        <v>45824</v>
      </c>
      <c r="G1336" s="3">
        <f>DATE(2025,6,16)</f>
        <v>45824</v>
      </c>
      <c r="H1336">
        <v>2328373334</v>
      </c>
      <c r="I1336" t="s">
        <v>158</v>
      </c>
      <c r="K1336" t="s">
        <v>22</v>
      </c>
      <c r="L1336" t="s">
        <v>23</v>
      </c>
      <c r="M1336" t="s">
        <v>24</v>
      </c>
      <c r="N1336" t="s">
        <v>24</v>
      </c>
      <c r="O1336" t="s">
        <v>25</v>
      </c>
      <c r="P1336" s="8" t="s">
        <v>1740</v>
      </c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1"/>
      <c r="AF1336" s="11"/>
      <c r="AG1336" s="11"/>
      <c r="AH1336" s="11"/>
      <c r="AI1336" s="11"/>
      <c r="AJ1336" s="11"/>
      <c r="AK1336" s="11"/>
      <c r="AL1336" s="11"/>
      <c r="AM1336" s="11"/>
      <c r="AN1336" s="11"/>
      <c r="AO1336" s="11"/>
      <c r="AP1336" s="11"/>
      <c r="AQ1336" s="11"/>
      <c r="AR1336" s="11"/>
      <c r="AS1336" s="11"/>
      <c r="AT1336" s="11"/>
      <c r="AU1336" s="11"/>
      <c r="AV1336" s="11"/>
      <c r="AW1336" s="11"/>
      <c r="AX1336" s="11"/>
      <c r="AY1336" s="11"/>
    </row>
    <row r="1337" spans="1:51" hidden="1" x14ac:dyDescent="0.2">
      <c r="A1337" s="6" t="s">
        <v>17</v>
      </c>
      <c r="B1337" t="s">
        <v>118</v>
      </c>
      <c r="C1337" t="s">
        <v>119</v>
      </c>
      <c r="D1337" t="s">
        <v>1741</v>
      </c>
      <c r="E1337" s="2">
        <v>61.61</v>
      </c>
      <c r="F1337" s="3">
        <f>DATE(2025,6,16)</f>
        <v>45824</v>
      </c>
      <c r="G1337" s="3">
        <f>DATE(2025,6,16)</f>
        <v>45824</v>
      </c>
      <c r="H1337">
        <v>2328373335</v>
      </c>
      <c r="I1337" t="s">
        <v>158</v>
      </c>
      <c r="K1337" t="s">
        <v>22</v>
      </c>
      <c r="L1337" t="s">
        <v>23</v>
      </c>
      <c r="M1337" t="s">
        <v>24</v>
      </c>
      <c r="N1337" t="s">
        <v>24</v>
      </c>
      <c r="O1337" t="s">
        <v>25</v>
      </c>
      <c r="P1337" s="8" t="s">
        <v>1742</v>
      </c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11"/>
      <c r="AG1337" s="11"/>
      <c r="AH1337" s="11"/>
      <c r="AI1337" s="11"/>
      <c r="AJ1337" s="11"/>
      <c r="AK1337" s="11"/>
      <c r="AL1337" s="11"/>
      <c r="AM1337" s="11"/>
      <c r="AN1337" s="11"/>
      <c r="AO1337" s="11"/>
      <c r="AP1337" s="11"/>
      <c r="AQ1337" s="11"/>
      <c r="AR1337" s="11"/>
      <c r="AS1337" s="11"/>
      <c r="AT1337" s="11"/>
      <c r="AU1337" s="11"/>
      <c r="AV1337" s="11"/>
      <c r="AW1337" s="11"/>
      <c r="AX1337" s="11"/>
      <c r="AY1337" s="11"/>
    </row>
    <row r="1338" spans="1:51" hidden="1" x14ac:dyDescent="0.2">
      <c r="A1338" s="6"/>
      <c r="E1338" s="2"/>
      <c r="F1338" s="3"/>
      <c r="G1338" s="3"/>
      <c r="P1338" s="8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11"/>
      <c r="AG1338" s="11"/>
      <c r="AH1338" s="11"/>
      <c r="AI1338" s="11"/>
      <c r="AJ1338" s="11"/>
      <c r="AK1338" s="11"/>
      <c r="AL1338" s="11"/>
      <c r="AM1338" s="11"/>
      <c r="AN1338" s="11"/>
      <c r="AO1338" s="11"/>
      <c r="AP1338" s="11"/>
      <c r="AQ1338" s="11"/>
      <c r="AR1338" s="11"/>
      <c r="AS1338" s="11"/>
      <c r="AT1338" s="11"/>
      <c r="AU1338" s="11"/>
      <c r="AV1338" s="11"/>
      <c r="AW1338" s="11"/>
      <c r="AX1338" s="11"/>
      <c r="AY1338" s="11"/>
    </row>
    <row r="1339" spans="1:51" hidden="1" x14ac:dyDescent="0.2">
      <c r="A1339" s="6" t="s">
        <v>17</v>
      </c>
      <c r="B1339" t="s">
        <v>980</v>
      </c>
      <c r="C1339" t="s">
        <v>981</v>
      </c>
      <c r="D1339" t="s">
        <v>1743</v>
      </c>
      <c r="E1339" s="2">
        <v>165.13</v>
      </c>
      <c r="F1339" s="3">
        <f>DATE(2025,6,16)</f>
        <v>45824</v>
      </c>
      <c r="G1339" s="3">
        <f>DATE(2025,6,16)</f>
        <v>45824</v>
      </c>
      <c r="H1339">
        <v>2328373337</v>
      </c>
      <c r="I1339" t="s">
        <v>21</v>
      </c>
      <c r="K1339" t="s">
        <v>22</v>
      </c>
      <c r="L1339" t="s">
        <v>23</v>
      </c>
      <c r="M1339" t="s">
        <v>24</v>
      </c>
      <c r="N1339" t="s">
        <v>24</v>
      </c>
      <c r="O1339" t="s">
        <v>25</v>
      </c>
      <c r="P1339" s="8" t="s">
        <v>1744</v>
      </c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11"/>
      <c r="AG1339" s="11"/>
      <c r="AH1339" s="11"/>
      <c r="AI1339" s="11"/>
      <c r="AJ1339" s="11"/>
      <c r="AK1339" s="11"/>
      <c r="AL1339" s="11"/>
      <c r="AM1339" s="11"/>
      <c r="AN1339" s="11"/>
      <c r="AO1339" s="11"/>
      <c r="AP1339" s="11"/>
      <c r="AQ1339" s="11"/>
      <c r="AR1339" s="11"/>
      <c r="AS1339" s="11"/>
      <c r="AT1339" s="11"/>
      <c r="AU1339" s="11"/>
      <c r="AV1339" s="11"/>
      <c r="AW1339" s="11"/>
      <c r="AX1339" s="11"/>
      <c r="AY1339" s="11"/>
    </row>
    <row r="1340" spans="1:51" hidden="1" x14ac:dyDescent="0.2">
      <c r="A1340" s="6" t="s">
        <v>17</v>
      </c>
      <c r="B1340" t="s">
        <v>589</v>
      </c>
      <c r="C1340" t="s">
        <v>590</v>
      </c>
      <c r="D1340" t="s">
        <v>1745</v>
      </c>
      <c r="E1340" s="2">
        <v>910.29</v>
      </c>
      <c r="F1340" s="3">
        <f>DATE(2025,6,16)</f>
        <v>45824</v>
      </c>
      <c r="G1340" s="3">
        <f>DATE(2025,6,16)</f>
        <v>45824</v>
      </c>
      <c r="H1340">
        <v>2328373338</v>
      </c>
      <c r="I1340" t="s">
        <v>21</v>
      </c>
      <c r="K1340" t="s">
        <v>22</v>
      </c>
      <c r="L1340" t="s">
        <v>23</v>
      </c>
      <c r="M1340" t="s">
        <v>24</v>
      </c>
      <c r="N1340" t="s">
        <v>24</v>
      </c>
      <c r="O1340" t="s">
        <v>25</v>
      </c>
      <c r="P1340" s="8" t="s">
        <v>1746</v>
      </c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11"/>
      <c r="AG1340" s="11"/>
      <c r="AH1340" s="11"/>
      <c r="AI1340" s="11"/>
      <c r="AJ1340" s="11"/>
      <c r="AK1340" s="11"/>
      <c r="AL1340" s="11"/>
      <c r="AM1340" s="11"/>
      <c r="AN1340" s="11"/>
      <c r="AO1340" s="11"/>
      <c r="AP1340" s="11"/>
      <c r="AQ1340" s="11"/>
      <c r="AR1340" s="11"/>
      <c r="AS1340" s="11"/>
      <c r="AT1340" s="11"/>
      <c r="AU1340" s="11"/>
      <c r="AV1340" s="11"/>
      <c r="AW1340" s="11"/>
      <c r="AX1340" s="11"/>
      <c r="AY1340" s="11"/>
    </row>
    <row r="1341" spans="1:51" hidden="1" x14ac:dyDescent="0.2">
      <c r="A1341" s="6"/>
      <c r="E1341" s="2"/>
      <c r="F1341" s="3"/>
      <c r="G1341" s="3"/>
      <c r="P1341" s="8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11"/>
      <c r="AG1341" s="11"/>
      <c r="AH1341" s="11"/>
      <c r="AI1341" s="11"/>
      <c r="AJ1341" s="11"/>
      <c r="AK1341" s="11"/>
      <c r="AL1341" s="11"/>
      <c r="AM1341" s="11"/>
      <c r="AN1341" s="11"/>
      <c r="AO1341" s="11"/>
      <c r="AP1341" s="11"/>
      <c r="AQ1341" s="11"/>
      <c r="AR1341" s="11"/>
      <c r="AS1341" s="11"/>
      <c r="AT1341" s="11"/>
      <c r="AU1341" s="11"/>
      <c r="AV1341" s="11"/>
      <c r="AW1341" s="11"/>
      <c r="AX1341" s="11"/>
      <c r="AY1341" s="11"/>
    </row>
    <row r="1342" spans="1:51" hidden="1" x14ac:dyDescent="0.2">
      <c r="A1342" s="6" t="s">
        <v>17</v>
      </c>
      <c r="B1342" t="s">
        <v>42</v>
      </c>
      <c r="C1342" t="s">
        <v>43</v>
      </c>
      <c r="D1342" t="s">
        <v>1747</v>
      </c>
      <c r="E1342" s="2">
        <v>111.9</v>
      </c>
      <c r="F1342" s="3">
        <f>DATE(2025,6,16)</f>
        <v>45824</v>
      </c>
      <c r="G1342" s="3">
        <f>DATE(2025,6,16)</f>
        <v>45824</v>
      </c>
      <c r="H1342">
        <v>2328373340</v>
      </c>
      <c r="I1342" t="s">
        <v>21</v>
      </c>
      <c r="K1342" t="s">
        <v>22</v>
      </c>
      <c r="L1342" t="s">
        <v>23</v>
      </c>
      <c r="M1342" t="s">
        <v>24</v>
      </c>
      <c r="N1342" t="s">
        <v>24</v>
      </c>
      <c r="O1342" t="s">
        <v>25</v>
      </c>
      <c r="P1342" s="8" t="s">
        <v>1748</v>
      </c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11"/>
      <c r="AG1342" s="11"/>
      <c r="AH1342" s="11"/>
      <c r="AI1342" s="11"/>
      <c r="AJ1342" s="11"/>
      <c r="AK1342" s="11"/>
      <c r="AL1342" s="11"/>
      <c r="AM1342" s="11"/>
      <c r="AN1342" s="11"/>
      <c r="AO1342" s="11"/>
      <c r="AP1342" s="11"/>
      <c r="AQ1342" s="11"/>
      <c r="AR1342" s="11"/>
      <c r="AS1342" s="11"/>
      <c r="AT1342" s="11"/>
      <c r="AU1342" s="11"/>
      <c r="AV1342" s="11"/>
      <c r="AW1342" s="11"/>
      <c r="AX1342" s="11"/>
      <c r="AY1342" s="11"/>
    </row>
    <row r="1343" spans="1:51" hidden="1" x14ac:dyDescent="0.2">
      <c r="A1343" s="6"/>
      <c r="E1343" s="2"/>
      <c r="F1343" s="3"/>
      <c r="G1343" s="3"/>
      <c r="P1343" s="8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11"/>
      <c r="AL1343" s="11"/>
      <c r="AM1343" s="11"/>
      <c r="AN1343" s="11"/>
      <c r="AO1343" s="11"/>
      <c r="AP1343" s="11"/>
      <c r="AQ1343" s="11"/>
      <c r="AR1343" s="11"/>
      <c r="AS1343" s="11"/>
      <c r="AT1343" s="11"/>
      <c r="AU1343" s="11"/>
      <c r="AV1343" s="11"/>
      <c r="AW1343" s="11"/>
      <c r="AX1343" s="11"/>
      <c r="AY1343" s="11"/>
    </row>
    <row r="1344" spans="1:51" hidden="1" x14ac:dyDescent="0.2">
      <c r="A1344" s="6" t="s">
        <v>17</v>
      </c>
      <c r="B1344" t="s">
        <v>565</v>
      </c>
      <c r="C1344" t="s">
        <v>566</v>
      </c>
      <c r="D1344" t="s">
        <v>1749</v>
      </c>
      <c r="E1344" s="2">
        <v>133.03</v>
      </c>
      <c r="F1344" s="3">
        <f>DATE(2025,6,17)</f>
        <v>45825</v>
      </c>
      <c r="G1344" s="3">
        <f>DATE(2025,6,17)</f>
        <v>45825</v>
      </c>
      <c r="H1344">
        <v>2328373342</v>
      </c>
      <c r="I1344" t="s">
        <v>21</v>
      </c>
      <c r="K1344" t="s">
        <v>22</v>
      </c>
      <c r="L1344" t="s">
        <v>23</v>
      </c>
      <c r="M1344" t="s">
        <v>24</v>
      </c>
      <c r="N1344" t="s">
        <v>24</v>
      </c>
      <c r="O1344" t="s">
        <v>25</v>
      </c>
      <c r="P1344" s="8" t="s">
        <v>1750</v>
      </c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11"/>
      <c r="AG1344" s="11"/>
      <c r="AH1344" s="11"/>
      <c r="AI1344" s="11"/>
      <c r="AJ1344" s="11"/>
      <c r="AK1344" s="11"/>
      <c r="AL1344" s="11"/>
      <c r="AM1344" s="11"/>
      <c r="AN1344" s="11"/>
      <c r="AO1344" s="11"/>
      <c r="AP1344" s="11"/>
      <c r="AQ1344" s="11"/>
      <c r="AR1344" s="11"/>
      <c r="AS1344" s="11"/>
      <c r="AT1344" s="11"/>
      <c r="AU1344" s="11"/>
      <c r="AV1344" s="11"/>
      <c r="AW1344" s="11"/>
      <c r="AX1344" s="11"/>
      <c r="AY1344" s="11"/>
    </row>
    <row r="1345" spans="1:51" hidden="1" x14ac:dyDescent="0.2">
      <c r="A1345" s="6" t="s">
        <v>17</v>
      </c>
      <c r="B1345" t="s">
        <v>46</v>
      </c>
      <c r="C1345" t="s">
        <v>47</v>
      </c>
      <c r="D1345" t="s">
        <v>1751</v>
      </c>
      <c r="E1345" s="2">
        <v>234</v>
      </c>
      <c r="F1345" s="3">
        <f t="shared" ref="F1345:G1350" si="123">DATE(2025,6,16)</f>
        <v>45824</v>
      </c>
      <c r="G1345" s="3">
        <f t="shared" si="123"/>
        <v>45824</v>
      </c>
      <c r="H1345">
        <v>2328373343</v>
      </c>
      <c r="I1345" t="s">
        <v>21</v>
      </c>
      <c r="K1345" t="s">
        <v>22</v>
      </c>
      <c r="L1345" t="s">
        <v>23</v>
      </c>
      <c r="M1345" t="s">
        <v>24</v>
      </c>
      <c r="N1345" t="s">
        <v>24</v>
      </c>
      <c r="O1345" t="s">
        <v>25</v>
      </c>
      <c r="P1345" s="8" t="s">
        <v>1752</v>
      </c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11"/>
      <c r="AG1345" s="11"/>
      <c r="AH1345" s="11"/>
      <c r="AI1345" s="11"/>
      <c r="AJ1345" s="11"/>
      <c r="AK1345" s="11"/>
      <c r="AL1345" s="11"/>
      <c r="AM1345" s="11"/>
      <c r="AN1345" s="11"/>
      <c r="AO1345" s="11"/>
      <c r="AP1345" s="11"/>
      <c r="AQ1345" s="11"/>
      <c r="AR1345" s="11"/>
      <c r="AS1345" s="11"/>
      <c r="AT1345" s="11"/>
      <c r="AU1345" s="11"/>
      <c r="AV1345" s="11"/>
      <c r="AW1345" s="11"/>
      <c r="AX1345" s="11"/>
      <c r="AY1345" s="11"/>
    </row>
    <row r="1346" spans="1:51" hidden="1" x14ac:dyDescent="0.2">
      <c r="A1346" s="6"/>
      <c r="E1346" s="2"/>
      <c r="F1346" s="3"/>
      <c r="G1346" s="3"/>
      <c r="P1346" s="8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11"/>
      <c r="AG1346" s="11"/>
      <c r="AH1346" s="11"/>
      <c r="AI1346" s="11"/>
      <c r="AJ1346" s="11"/>
      <c r="AK1346" s="11"/>
      <c r="AL1346" s="11"/>
      <c r="AM1346" s="11"/>
      <c r="AN1346" s="11"/>
      <c r="AO1346" s="11"/>
      <c r="AP1346" s="11"/>
      <c r="AQ1346" s="11"/>
      <c r="AR1346" s="11"/>
      <c r="AS1346" s="11"/>
      <c r="AT1346" s="11"/>
      <c r="AU1346" s="11"/>
      <c r="AV1346" s="11"/>
      <c r="AW1346" s="11"/>
      <c r="AX1346" s="11"/>
      <c r="AY1346" s="11"/>
    </row>
    <row r="1347" spans="1:51" hidden="1" x14ac:dyDescent="0.2">
      <c r="A1347" s="6" t="s">
        <v>17</v>
      </c>
      <c r="B1347" t="s">
        <v>31</v>
      </c>
      <c r="C1347" t="s">
        <v>32</v>
      </c>
      <c r="D1347" t="s">
        <v>1753</v>
      </c>
      <c r="E1347" s="2">
        <v>139.19999999999999</v>
      </c>
      <c r="F1347" s="3">
        <f t="shared" si="123"/>
        <v>45824</v>
      </c>
      <c r="G1347" s="3">
        <f t="shared" si="123"/>
        <v>45824</v>
      </c>
      <c r="H1347">
        <v>2328373345</v>
      </c>
      <c r="I1347" t="s">
        <v>21</v>
      </c>
      <c r="K1347" t="s">
        <v>22</v>
      </c>
      <c r="L1347" t="s">
        <v>23</v>
      </c>
      <c r="M1347" t="s">
        <v>24</v>
      </c>
      <c r="N1347" t="s">
        <v>24</v>
      </c>
      <c r="O1347" t="s">
        <v>25</v>
      </c>
      <c r="P1347" s="8" t="s">
        <v>1754</v>
      </c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11"/>
      <c r="AG1347" s="11"/>
      <c r="AH1347" s="11"/>
      <c r="AI1347" s="11"/>
      <c r="AJ1347" s="11"/>
      <c r="AK1347" s="11"/>
      <c r="AL1347" s="11"/>
      <c r="AM1347" s="11"/>
      <c r="AN1347" s="11"/>
      <c r="AO1347" s="11"/>
      <c r="AP1347" s="11"/>
      <c r="AQ1347" s="11"/>
      <c r="AR1347" s="11"/>
      <c r="AS1347" s="11"/>
      <c r="AT1347" s="11"/>
      <c r="AU1347" s="11"/>
      <c r="AV1347" s="11"/>
      <c r="AW1347" s="11"/>
      <c r="AX1347" s="11"/>
      <c r="AY1347" s="11"/>
    </row>
    <row r="1348" spans="1:51" hidden="1" x14ac:dyDescent="0.2">
      <c r="A1348" s="6" t="s">
        <v>17</v>
      </c>
      <c r="B1348" t="s">
        <v>18</v>
      </c>
      <c r="C1348" t="s">
        <v>19</v>
      </c>
      <c r="D1348" t="s">
        <v>1755</v>
      </c>
      <c r="E1348" s="2">
        <v>264.95999999999998</v>
      </c>
      <c r="F1348" s="3">
        <f t="shared" si="123"/>
        <v>45824</v>
      </c>
      <c r="G1348" s="3">
        <f t="shared" si="123"/>
        <v>45824</v>
      </c>
      <c r="H1348">
        <v>2328373346</v>
      </c>
      <c r="I1348" t="s">
        <v>21</v>
      </c>
      <c r="K1348" t="s">
        <v>22</v>
      </c>
      <c r="L1348" t="s">
        <v>23</v>
      </c>
      <c r="M1348" t="s">
        <v>24</v>
      </c>
      <c r="N1348" t="s">
        <v>24</v>
      </c>
      <c r="O1348" t="s">
        <v>25</v>
      </c>
      <c r="P1348" s="8" t="s">
        <v>1756</v>
      </c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11"/>
      <c r="AG1348" s="11"/>
      <c r="AH1348" s="11"/>
      <c r="AI1348" s="11"/>
      <c r="AJ1348" s="11"/>
      <c r="AK1348" s="11"/>
      <c r="AL1348" s="11"/>
      <c r="AM1348" s="11"/>
      <c r="AN1348" s="11"/>
      <c r="AO1348" s="11"/>
      <c r="AP1348" s="11"/>
      <c r="AQ1348" s="11"/>
      <c r="AR1348" s="11"/>
      <c r="AS1348" s="11"/>
      <c r="AT1348" s="11"/>
      <c r="AU1348" s="11"/>
      <c r="AV1348" s="11"/>
      <c r="AW1348" s="11"/>
      <c r="AX1348" s="11"/>
      <c r="AY1348" s="11"/>
    </row>
    <row r="1349" spans="1:51" hidden="1" x14ac:dyDescent="0.2">
      <c r="A1349" s="6" t="s">
        <v>17</v>
      </c>
      <c r="B1349" t="s">
        <v>46</v>
      </c>
      <c r="C1349" t="s">
        <v>47</v>
      </c>
      <c r="D1349" t="s">
        <v>1757</v>
      </c>
      <c r="E1349" s="2">
        <v>398.4</v>
      </c>
      <c r="F1349" s="3">
        <f t="shared" si="123"/>
        <v>45824</v>
      </c>
      <c r="G1349" s="3">
        <f t="shared" si="123"/>
        <v>45824</v>
      </c>
      <c r="H1349">
        <v>2328373347</v>
      </c>
      <c r="I1349" t="s">
        <v>21</v>
      </c>
      <c r="K1349" t="s">
        <v>22</v>
      </c>
      <c r="L1349" t="s">
        <v>23</v>
      </c>
      <c r="M1349" t="s">
        <v>24</v>
      </c>
      <c r="N1349" t="s">
        <v>24</v>
      </c>
      <c r="O1349" t="s">
        <v>25</v>
      </c>
      <c r="P1349" s="8" t="s">
        <v>1758</v>
      </c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11"/>
      <c r="AG1349" s="11"/>
      <c r="AH1349" s="11"/>
      <c r="AI1349" s="11"/>
      <c r="AJ1349" s="11"/>
      <c r="AK1349" s="11"/>
      <c r="AL1349" s="11"/>
      <c r="AM1349" s="11"/>
      <c r="AN1349" s="11"/>
      <c r="AO1349" s="11"/>
      <c r="AP1349" s="11"/>
      <c r="AQ1349" s="11"/>
      <c r="AR1349" s="11"/>
      <c r="AS1349" s="11"/>
      <c r="AT1349" s="11"/>
      <c r="AU1349" s="11"/>
      <c r="AV1349" s="11"/>
      <c r="AW1349" s="11"/>
      <c r="AX1349" s="11"/>
      <c r="AY1349" s="11"/>
    </row>
    <row r="1350" spans="1:51" hidden="1" x14ac:dyDescent="0.2">
      <c r="A1350" s="6" t="s">
        <v>17</v>
      </c>
      <c r="B1350" t="s">
        <v>255</v>
      </c>
      <c r="C1350" t="s">
        <v>255</v>
      </c>
      <c r="D1350" t="s">
        <v>1759</v>
      </c>
      <c r="E1350" s="2">
        <v>240</v>
      </c>
      <c r="F1350" s="3">
        <f t="shared" si="123"/>
        <v>45824</v>
      </c>
      <c r="G1350" s="3">
        <f t="shared" si="123"/>
        <v>45824</v>
      </c>
      <c r="H1350">
        <v>2328373348</v>
      </c>
      <c r="I1350" t="s">
        <v>21</v>
      </c>
      <c r="K1350" t="s">
        <v>22</v>
      </c>
      <c r="L1350" t="s">
        <v>23</v>
      </c>
      <c r="M1350" t="s">
        <v>24</v>
      </c>
      <c r="N1350" t="s">
        <v>24</v>
      </c>
      <c r="O1350" t="s">
        <v>25</v>
      </c>
      <c r="P1350" s="8" t="s">
        <v>1760</v>
      </c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  <c r="AS1350" s="11"/>
      <c r="AT1350" s="11"/>
      <c r="AU1350" s="11"/>
      <c r="AV1350" s="11"/>
      <c r="AW1350" s="11"/>
      <c r="AX1350" s="11"/>
      <c r="AY1350" s="11"/>
    </row>
    <row r="1351" spans="1:51" hidden="1" x14ac:dyDescent="0.2">
      <c r="A1351" s="6"/>
      <c r="E1351" s="2"/>
      <c r="F1351" s="3"/>
      <c r="G1351" s="3"/>
      <c r="P1351" s="8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1"/>
      <c r="AF1351" s="11"/>
      <c r="AG1351" s="11"/>
      <c r="AH1351" s="11"/>
      <c r="AI1351" s="11"/>
      <c r="AJ1351" s="11"/>
      <c r="AK1351" s="11"/>
      <c r="AL1351" s="11"/>
      <c r="AM1351" s="11"/>
      <c r="AN1351" s="11"/>
      <c r="AO1351" s="11"/>
      <c r="AP1351" s="11"/>
      <c r="AQ1351" s="11"/>
      <c r="AR1351" s="11"/>
      <c r="AS1351" s="11"/>
      <c r="AT1351" s="11"/>
      <c r="AU1351" s="11"/>
      <c r="AV1351" s="11"/>
      <c r="AW1351" s="11"/>
      <c r="AX1351" s="11"/>
      <c r="AY1351" s="11"/>
    </row>
    <row r="1352" spans="1:51" hidden="1" x14ac:dyDescent="0.2">
      <c r="A1352" s="6" t="s">
        <v>17</v>
      </c>
      <c r="B1352" t="s">
        <v>255</v>
      </c>
      <c r="C1352" t="s">
        <v>255</v>
      </c>
      <c r="D1352" t="s">
        <v>1761</v>
      </c>
      <c r="E1352" s="2">
        <v>1411.51</v>
      </c>
      <c r="F1352" s="3">
        <f>DATE(2025,6,17)</f>
        <v>45825</v>
      </c>
      <c r="G1352" s="3">
        <f>DATE(2025,6,17)</f>
        <v>45825</v>
      </c>
      <c r="H1352">
        <v>2328373350</v>
      </c>
      <c r="I1352" t="s">
        <v>21</v>
      </c>
      <c r="K1352" t="s">
        <v>22</v>
      </c>
      <c r="L1352" t="s">
        <v>23</v>
      </c>
      <c r="M1352" t="s">
        <v>24</v>
      </c>
      <c r="N1352" t="s">
        <v>24</v>
      </c>
      <c r="O1352" t="s">
        <v>25</v>
      </c>
      <c r="P1352" s="8" t="s">
        <v>1762</v>
      </c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11"/>
      <c r="AG1352" s="11"/>
      <c r="AH1352" s="11"/>
      <c r="AI1352" s="11"/>
      <c r="AJ1352" s="11"/>
      <c r="AK1352" s="11"/>
      <c r="AL1352" s="11"/>
      <c r="AM1352" s="11"/>
      <c r="AN1352" s="11"/>
      <c r="AO1352" s="11"/>
      <c r="AP1352" s="11"/>
      <c r="AQ1352" s="11"/>
      <c r="AR1352" s="11"/>
      <c r="AS1352" s="11"/>
      <c r="AT1352" s="11"/>
      <c r="AU1352" s="11"/>
      <c r="AV1352" s="11"/>
      <c r="AW1352" s="11"/>
      <c r="AX1352" s="11"/>
      <c r="AY1352" s="11"/>
    </row>
    <row r="1353" spans="1:51" hidden="1" x14ac:dyDescent="0.2">
      <c r="A1353" s="6" t="s">
        <v>17</v>
      </c>
      <c r="B1353" t="s">
        <v>825</v>
      </c>
      <c r="C1353" t="s">
        <v>826</v>
      </c>
      <c r="D1353" t="s">
        <v>1763</v>
      </c>
      <c r="E1353" s="2">
        <v>1006.68</v>
      </c>
      <c r="F1353" s="3">
        <f t="shared" ref="F1353:G1356" si="124">DATE(2025,6,16)</f>
        <v>45824</v>
      </c>
      <c r="G1353" s="3">
        <f t="shared" si="124"/>
        <v>45824</v>
      </c>
      <c r="H1353">
        <v>2328373351</v>
      </c>
      <c r="I1353" t="s">
        <v>21</v>
      </c>
      <c r="K1353" t="s">
        <v>22</v>
      </c>
      <c r="L1353" t="s">
        <v>23</v>
      </c>
      <c r="M1353" t="s">
        <v>24</v>
      </c>
      <c r="N1353" t="s">
        <v>24</v>
      </c>
      <c r="O1353" t="s">
        <v>25</v>
      </c>
      <c r="P1353" s="8" t="s">
        <v>1764</v>
      </c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1"/>
      <c r="AJ1353" s="11"/>
      <c r="AK1353" s="11"/>
      <c r="AL1353" s="11"/>
      <c r="AM1353" s="11"/>
      <c r="AN1353" s="11"/>
      <c r="AO1353" s="11"/>
      <c r="AP1353" s="11"/>
      <c r="AQ1353" s="11"/>
      <c r="AR1353" s="11"/>
      <c r="AS1353" s="11"/>
      <c r="AT1353" s="11"/>
      <c r="AU1353" s="11"/>
      <c r="AV1353" s="11"/>
      <c r="AW1353" s="11"/>
      <c r="AX1353" s="11"/>
      <c r="AY1353" s="11"/>
    </row>
    <row r="1354" spans="1:51" hidden="1" x14ac:dyDescent="0.2">
      <c r="A1354" s="6" t="s">
        <v>17</v>
      </c>
      <c r="B1354" t="s">
        <v>878</v>
      </c>
      <c r="C1354" t="s">
        <v>879</v>
      </c>
      <c r="D1354" t="s">
        <v>1765</v>
      </c>
      <c r="E1354" s="2">
        <v>1604.36</v>
      </c>
      <c r="F1354" s="3">
        <f t="shared" si="124"/>
        <v>45824</v>
      </c>
      <c r="G1354" s="3">
        <f t="shared" si="124"/>
        <v>45824</v>
      </c>
      <c r="H1354">
        <v>2328373352</v>
      </c>
      <c r="I1354" t="s">
        <v>21</v>
      </c>
      <c r="K1354" t="s">
        <v>22</v>
      </c>
      <c r="L1354" t="s">
        <v>23</v>
      </c>
      <c r="M1354" t="s">
        <v>24</v>
      </c>
      <c r="N1354" t="s">
        <v>24</v>
      </c>
      <c r="O1354" t="s">
        <v>25</v>
      </c>
      <c r="P1354" s="8" t="s">
        <v>1766</v>
      </c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11"/>
      <c r="AG1354" s="11"/>
      <c r="AH1354" s="11"/>
      <c r="AI1354" s="11"/>
      <c r="AJ1354" s="11"/>
      <c r="AK1354" s="11"/>
      <c r="AL1354" s="11"/>
      <c r="AM1354" s="11"/>
      <c r="AN1354" s="11"/>
      <c r="AO1354" s="11"/>
      <c r="AP1354" s="11"/>
      <c r="AQ1354" s="11"/>
      <c r="AR1354" s="11"/>
      <c r="AS1354" s="11"/>
      <c r="AT1354" s="11"/>
      <c r="AU1354" s="11"/>
      <c r="AV1354" s="11"/>
      <c r="AW1354" s="11"/>
      <c r="AX1354" s="11"/>
      <c r="AY1354" s="11"/>
    </row>
    <row r="1355" spans="1:51" hidden="1" x14ac:dyDescent="0.2">
      <c r="A1355" s="6" t="s">
        <v>17</v>
      </c>
      <c r="B1355" t="s">
        <v>266</v>
      </c>
      <c r="C1355" t="s">
        <v>267</v>
      </c>
      <c r="D1355" t="s">
        <v>1767</v>
      </c>
      <c r="E1355" s="2">
        <v>2160</v>
      </c>
      <c r="F1355" s="3">
        <f t="shared" si="124"/>
        <v>45824</v>
      </c>
      <c r="G1355" s="3">
        <f t="shared" si="124"/>
        <v>45824</v>
      </c>
      <c r="H1355">
        <v>2328373353</v>
      </c>
      <c r="I1355" t="s">
        <v>21</v>
      </c>
      <c r="K1355" t="s">
        <v>22</v>
      </c>
      <c r="L1355" t="s">
        <v>23</v>
      </c>
      <c r="M1355" t="s">
        <v>24</v>
      </c>
      <c r="N1355" t="s">
        <v>24</v>
      </c>
      <c r="O1355" t="s">
        <v>25</v>
      </c>
      <c r="P1355" s="8" t="s">
        <v>1768</v>
      </c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11"/>
      <c r="AL1355" s="11"/>
      <c r="AM1355" s="11"/>
      <c r="AN1355" s="11"/>
      <c r="AO1355" s="11"/>
      <c r="AP1355" s="11"/>
      <c r="AQ1355" s="11"/>
      <c r="AR1355" s="11"/>
      <c r="AS1355" s="11"/>
      <c r="AT1355" s="11"/>
      <c r="AU1355" s="11"/>
      <c r="AV1355" s="11"/>
      <c r="AW1355" s="11"/>
      <c r="AX1355" s="11"/>
      <c r="AY1355" s="11"/>
    </row>
    <row r="1356" spans="1:51" hidden="1" x14ac:dyDescent="0.2">
      <c r="A1356" s="6" t="s">
        <v>17</v>
      </c>
      <c r="B1356" t="s">
        <v>1002</v>
      </c>
      <c r="C1356" t="s">
        <v>1003</v>
      </c>
      <c r="D1356" t="s">
        <v>1769</v>
      </c>
      <c r="E1356" s="2">
        <v>1286.99</v>
      </c>
      <c r="F1356" s="3">
        <f t="shared" si="124"/>
        <v>45824</v>
      </c>
      <c r="G1356" s="3">
        <f t="shared" si="124"/>
        <v>45824</v>
      </c>
      <c r="H1356">
        <v>2328373354</v>
      </c>
      <c r="I1356" t="s">
        <v>21</v>
      </c>
      <c r="K1356" t="s">
        <v>22</v>
      </c>
      <c r="L1356" t="s">
        <v>23</v>
      </c>
      <c r="M1356" t="s">
        <v>24</v>
      </c>
      <c r="N1356" t="s">
        <v>24</v>
      </c>
      <c r="O1356" t="s">
        <v>25</v>
      </c>
      <c r="P1356" s="8" t="s">
        <v>1770</v>
      </c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11"/>
      <c r="AG1356" s="11"/>
      <c r="AH1356" s="11"/>
      <c r="AI1356" s="11"/>
      <c r="AJ1356" s="11"/>
      <c r="AK1356" s="11"/>
      <c r="AL1356" s="11"/>
      <c r="AM1356" s="11"/>
      <c r="AN1356" s="11"/>
      <c r="AO1356" s="11"/>
      <c r="AP1356" s="11"/>
      <c r="AQ1356" s="11"/>
      <c r="AR1356" s="11"/>
      <c r="AS1356" s="11"/>
      <c r="AT1356" s="11"/>
      <c r="AU1356" s="11"/>
      <c r="AV1356" s="11"/>
      <c r="AW1356" s="11"/>
      <c r="AX1356" s="11"/>
      <c r="AY1356" s="11"/>
    </row>
    <row r="1357" spans="1:51" hidden="1" x14ac:dyDescent="0.2">
      <c r="A1357" s="6" t="s">
        <v>17</v>
      </c>
      <c r="B1357" t="s">
        <v>140</v>
      </c>
      <c r="C1357" t="s">
        <v>141</v>
      </c>
      <c r="D1357" t="s">
        <v>1771</v>
      </c>
      <c r="E1357" s="2">
        <v>16065</v>
      </c>
      <c r="F1357" s="3">
        <f>DATE(2025,6,17)</f>
        <v>45825</v>
      </c>
      <c r="G1357" s="3">
        <f>DATE(2025,6,17)</f>
        <v>45825</v>
      </c>
      <c r="H1357">
        <v>2328373355</v>
      </c>
      <c r="I1357" t="s">
        <v>21</v>
      </c>
      <c r="K1357" t="s">
        <v>22</v>
      </c>
      <c r="L1357" t="s">
        <v>23</v>
      </c>
      <c r="M1357" t="s">
        <v>24</v>
      </c>
      <c r="N1357" t="s">
        <v>24</v>
      </c>
      <c r="O1357" t="s">
        <v>25</v>
      </c>
      <c r="P1357" s="8" t="s">
        <v>1772</v>
      </c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11"/>
      <c r="AG1357" s="11"/>
      <c r="AH1357" s="11"/>
      <c r="AI1357" s="11"/>
      <c r="AJ1357" s="11"/>
      <c r="AK1357" s="11"/>
      <c r="AL1357" s="11"/>
      <c r="AM1357" s="11"/>
      <c r="AN1357" s="11"/>
      <c r="AO1357" s="11"/>
      <c r="AP1357" s="11"/>
      <c r="AQ1357" s="11"/>
      <c r="AR1357" s="11"/>
      <c r="AS1357" s="11"/>
      <c r="AT1357" s="11"/>
      <c r="AU1357" s="11"/>
      <c r="AV1357" s="11"/>
      <c r="AW1357" s="11"/>
      <c r="AX1357" s="11"/>
      <c r="AY1357" s="11"/>
    </row>
    <row r="1358" spans="1:51" hidden="1" x14ac:dyDescent="0.2">
      <c r="A1358" s="6"/>
      <c r="E1358" s="2"/>
      <c r="F1358" s="3"/>
      <c r="G1358" s="3"/>
      <c r="P1358" s="8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11"/>
      <c r="AL1358" s="11"/>
      <c r="AM1358" s="11"/>
      <c r="AN1358" s="11"/>
      <c r="AO1358" s="11"/>
      <c r="AP1358" s="11"/>
      <c r="AQ1358" s="11"/>
      <c r="AR1358" s="11"/>
      <c r="AS1358" s="11"/>
      <c r="AT1358" s="11"/>
      <c r="AU1358" s="11"/>
      <c r="AV1358" s="11"/>
      <c r="AW1358" s="11"/>
      <c r="AX1358" s="11"/>
      <c r="AY1358" s="11"/>
    </row>
    <row r="1359" spans="1:51" hidden="1" x14ac:dyDescent="0.2">
      <c r="A1359" s="6" t="s">
        <v>17</v>
      </c>
      <c r="B1359" t="s">
        <v>18</v>
      </c>
      <c r="C1359" t="s">
        <v>19</v>
      </c>
      <c r="D1359" t="s">
        <v>1773</v>
      </c>
      <c r="E1359" s="2">
        <v>0.87</v>
      </c>
      <c r="F1359" s="3">
        <f>DATE(2025,6,16)</f>
        <v>45824</v>
      </c>
      <c r="G1359" s="3">
        <f>DATE(2025,6,16)</f>
        <v>45824</v>
      </c>
      <c r="H1359">
        <v>2328421543</v>
      </c>
      <c r="I1359" t="s">
        <v>192</v>
      </c>
      <c r="K1359" t="s">
        <v>22</v>
      </c>
      <c r="L1359" t="s">
        <v>23</v>
      </c>
      <c r="M1359" t="s">
        <v>24</v>
      </c>
      <c r="N1359" t="s">
        <v>24</v>
      </c>
      <c r="O1359" t="s">
        <v>25</v>
      </c>
      <c r="P1359" s="8" t="s">
        <v>1774</v>
      </c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11"/>
      <c r="AG1359" s="11"/>
      <c r="AH1359" s="11"/>
      <c r="AI1359" s="11"/>
      <c r="AJ1359" s="11"/>
      <c r="AK1359" s="11"/>
      <c r="AL1359" s="11"/>
      <c r="AM1359" s="11"/>
      <c r="AN1359" s="11"/>
      <c r="AO1359" s="11"/>
      <c r="AP1359" s="11"/>
      <c r="AQ1359" s="11"/>
      <c r="AR1359" s="11"/>
      <c r="AS1359" s="11"/>
      <c r="AT1359" s="11"/>
      <c r="AU1359" s="11"/>
      <c r="AV1359" s="11"/>
      <c r="AW1359" s="11"/>
      <c r="AX1359" s="11"/>
      <c r="AY1359" s="11"/>
    </row>
    <row r="1360" spans="1:51" hidden="1" x14ac:dyDescent="0.2">
      <c r="A1360" s="6"/>
      <c r="E1360" s="2"/>
      <c r="F1360" s="3"/>
      <c r="G1360" s="3"/>
      <c r="P1360" s="8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11"/>
      <c r="AG1360" s="11"/>
      <c r="AH1360" s="11"/>
      <c r="AI1360" s="11"/>
      <c r="AJ1360" s="11"/>
      <c r="AK1360" s="11"/>
      <c r="AL1360" s="11"/>
      <c r="AM1360" s="11"/>
      <c r="AN1360" s="11"/>
      <c r="AO1360" s="11"/>
      <c r="AP1360" s="11"/>
      <c r="AQ1360" s="11"/>
      <c r="AR1360" s="11"/>
      <c r="AS1360" s="11"/>
      <c r="AT1360" s="11"/>
      <c r="AU1360" s="11"/>
      <c r="AV1360" s="11"/>
      <c r="AW1360" s="11"/>
      <c r="AX1360" s="11"/>
      <c r="AY1360" s="11"/>
    </row>
    <row r="1361" spans="1:51" hidden="1" x14ac:dyDescent="0.2">
      <c r="A1361" s="6" t="s">
        <v>17</v>
      </c>
      <c r="B1361" t="s">
        <v>35</v>
      </c>
      <c r="C1361" t="s">
        <v>35</v>
      </c>
      <c r="D1361" t="s">
        <v>242</v>
      </c>
      <c r="E1361" s="2">
        <v>57</v>
      </c>
      <c r="F1361" s="3">
        <f>DATE(2025,6,16)</f>
        <v>45824</v>
      </c>
      <c r="G1361" s="3">
        <f>DATE(2025,6,16)</f>
        <v>45824</v>
      </c>
      <c r="H1361">
        <v>2328421545</v>
      </c>
      <c r="I1361" t="s">
        <v>192</v>
      </c>
      <c r="K1361" t="s">
        <v>22</v>
      </c>
      <c r="L1361" t="s">
        <v>23</v>
      </c>
      <c r="M1361" t="s">
        <v>24</v>
      </c>
      <c r="N1361" t="s">
        <v>24</v>
      </c>
      <c r="O1361" t="s">
        <v>25</v>
      </c>
      <c r="P1361" s="8" t="s">
        <v>1775</v>
      </c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s="11"/>
      <c r="AR1361" s="11"/>
      <c r="AS1361" s="11"/>
      <c r="AT1361" s="11"/>
      <c r="AU1361" s="11"/>
      <c r="AV1361" s="11"/>
      <c r="AW1361" s="11"/>
      <c r="AX1361" s="11"/>
      <c r="AY1361" s="11"/>
    </row>
    <row r="1362" spans="1:51" hidden="1" x14ac:dyDescent="0.2">
      <c r="A1362" s="6" t="s">
        <v>17</v>
      </c>
      <c r="B1362" t="s">
        <v>18</v>
      </c>
      <c r="C1362" t="s">
        <v>19</v>
      </c>
      <c r="D1362" t="s">
        <v>1776</v>
      </c>
      <c r="E1362" s="2">
        <v>1.79</v>
      </c>
      <c r="F1362" s="3">
        <f>DATE(2025,6,17)</f>
        <v>45825</v>
      </c>
      <c r="G1362" s="3">
        <f>DATE(2025,6,17)</f>
        <v>45825</v>
      </c>
      <c r="H1362">
        <v>2328421546</v>
      </c>
      <c r="I1362" t="s">
        <v>192</v>
      </c>
      <c r="K1362" t="s">
        <v>22</v>
      </c>
      <c r="L1362" t="s">
        <v>23</v>
      </c>
      <c r="M1362" t="s">
        <v>24</v>
      </c>
      <c r="N1362" t="s">
        <v>24</v>
      </c>
      <c r="O1362" t="s">
        <v>25</v>
      </c>
      <c r="P1362" s="8" t="s">
        <v>1777</v>
      </c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1"/>
      <c r="AF1362" s="11"/>
      <c r="AG1362" s="11"/>
      <c r="AH1362" s="11"/>
      <c r="AI1362" s="11"/>
      <c r="AJ1362" s="11"/>
      <c r="AK1362" s="11"/>
      <c r="AL1362" s="11"/>
      <c r="AM1362" s="11"/>
      <c r="AN1362" s="11"/>
      <c r="AO1362" s="11"/>
      <c r="AP1362" s="11"/>
      <c r="AQ1362" s="11"/>
      <c r="AR1362" s="11"/>
      <c r="AS1362" s="11"/>
      <c r="AT1362" s="11"/>
      <c r="AU1362" s="11"/>
      <c r="AV1362" s="11"/>
      <c r="AW1362" s="11"/>
      <c r="AX1362" s="11"/>
      <c r="AY1362" s="11"/>
    </row>
    <row r="1363" spans="1:51" hidden="1" x14ac:dyDescent="0.2">
      <c r="A1363" s="6"/>
      <c r="E1363" s="2"/>
      <c r="F1363" s="3"/>
      <c r="G1363" s="3"/>
      <c r="P1363" s="8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11"/>
      <c r="AG1363" s="11"/>
      <c r="AH1363" s="11"/>
      <c r="AI1363" s="11"/>
      <c r="AJ1363" s="11"/>
      <c r="AK1363" s="11"/>
      <c r="AL1363" s="11"/>
      <c r="AM1363" s="11"/>
      <c r="AN1363" s="11"/>
      <c r="AO1363" s="11"/>
      <c r="AP1363" s="11"/>
      <c r="AQ1363" s="11"/>
      <c r="AR1363" s="11"/>
      <c r="AS1363" s="11"/>
      <c r="AT1363" s="11"/>
      <c r="AU1363" s="11"/>
      <c r="AV1363" s="11"/>
      <c r="AW1363" s="11"/>
      <c r="AX1363" s="11"/>
      <c r="AY1363" s="11"/>
    </row>
    <row r="1364" spans="1:51" hidden="1" x14ac:dyDescent="0.2">
      <c r="A1364" s="6"/>
      <c r="E1364" s="2"/>
      <c r="F1364" s="3"/>
      <c r="G1364" s="3"/>
      <c r="P1364" s="8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  <c r="AH1364" s="11"/>
      <c r="AI1364" s="11"/>
      <c r="AJ1364" s="11"/>
      <c r="AK1364" s="11"/>
      <c r="AL1364" s="11"/>
      <c r="AM1364" s="11"/>
      <c r="AN1364" s="11"/>
      <c r="AO1364" s="11"/>
      <c r="AP1364" s="11"/>
      <c r="AQ1364" s="11"/>
      <c r="AR1364" s="11"/>
      <c r="AS1364" s="11"/>
      <c r="AT1364" s="11"/>
      <c r="AU1364" s="11"/>
      <c r="AV1364" s="11"/>
      <c r="AW1364" s="11"/>
      <c r="AX1364" s="11"/>
      <c r="AY1364" s="11"/>
    </row>
    <row r="1365" spans="1:51" hidden="1" x14ac:dyDescent="0.2">
      <c r="A1365" s="6"/>
      <c r="E1365" s="2"/>
      <c r="F1365" s="3"/>
      <c r="G1365" s="3"/>
      <c r="P1365" s="8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11"/>
      <c r="AG1365" s="11"/>
      <c r="AH1365" s="11"/>
      <c r="AI1365" s="11"/>
      <c r="AJ1365" s="11"/>
      <c r="AK1365" s="11"/>
      <c r="AL1365" s="11"/>
      <c r="AM1365" s="11"/>
      <c r="AN1365" s="11"/>
      <c r="AO1365" s="11"/>
      <c r="AP1365" s="11"/>
      <c r="AQ1365" s="11"/>
      <c r="AR1365" s="11"/>
      <c r="AS1365" s="11"/>
      <c r="AT1365" s="11"/>
      <c r="AU1365" s="11"/>
      <c r="AV1365" s="11"/>
      <c r="AW1365" s="11"/>
      <c r="AX1365" s="11"/>
      <c r="AY1365" s="11"/>
    </row>
    <row r="1366" spans="1:51" hidden="1" x14ac:dyDescent="0.2">
      <c r="A1366" s="6"/>
      <c r="E1366" s="2"/>
      <c r="F1366" s="3"/>
      <c r="G1366" s="3"/>
      <c r="P1366" s="8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11"/>
      <c r="AG1366" s="11"/>
      <c r="AH1366" s="11"/>
      <c r="AI1366" s="11"/>
      <c r="AJ1366" s="11"/>
      <c r="AK1366" s="11"/>
      <c r="AL1366" s="11"/>
      <c r="AM1366" s="11"/>
      <c r="AN1366" s="11"/>
      <c r="AO1366" s="11"/>
      <c r="AP1366" s="11"/>
      <c r="AQ1366" s="11"/>
      <c r="AR1366" s="11"/>
      <c r="AS1366" s="11"/>
      <c r="AT1366" s="11"/>
      <c r="AU1366" s="11"/>
      <c r="AV1366" s="11"/>
      <c r="AW1366" s="11"/>
      <c r="AX1366" s="11"/>
      <c r="AY1366" s="11"/>
    </row>
    <row r="1367" spans="1:51" hidden="1" x14ac:dyDescent="0.2">
      <c r="A1367" s="6" t="s">
        <v>17</v>
      </c>
      <c r="B1367" t="s">
        <v>118</v>
      </c>
      <c r="C1367" t="s">
        <v>119</v>
      </c>
      <c r="D1367" t="s">
        <v>1778</v>
      </c>
      <c r="E1367" s="2">
        <v>37.49</v>
      </c>
      <c r="F1367" s="3">
        <f t="shared" ref="F1367:G1370" si="125">DATE(2025,6,17)</f>
        <v>45825</v>
      </c>
      <c r="G1367" s="3">
        <f t="shared" si="125"/>
        <v>45825</v>
      </c>
      <c r="H1367">
        <v>2336552290</v>
      </c>
      <c r="I1367" t="s">
        <v>158</v>
      </c>
      <c r="K1367" t="s">
        <v>22</v>
      </c>
      <c r="L1367" t="s">
        <v>23</v>
      </c>
      <c r="M1367" t="s">
        <v>24</v>
      </c>
      <c r="N1367" t="s">
        <v>24</v>
      </c>
      <c r="O1367" t="s">
        <v>25</v>
      </c>
      <c r="P1367" s="8" t="s">
        <v>1779</v>
      </c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11"/>
      <c r="AG1367" s="11"/>
      <c r="AH1367" s="11"/>
      <c r="AI1367" s="11"/>
      <c r="AJ1367" s="11"/>
      <c r="AK1367" s="11"/>
      <c r="AL1367" s="11"/>
      <c r="AM1367" s="11"/>
      <c r="AN1367" s="11"/>
      <c r="AO1367" s="11"/>
      <c r="AP1367" s="11"/>
      <c r="AQ1367" s="11"/>
      <c r="AR1367" s="11"/>
      <c r="AS1367" s="11"/>
      <c r="AT1367" s="11"/>
      <c r="AU1367" s="11"/>
      <c r="AV1367" s="11"/>
      <c r="AW1367" s="11"/>
      <c r="AX1367" s="11"/>
      <c r="AY1367" s="11"/>
    </row>
    <row r="1368" spans="1:51" x14ac:dyDescent="0.2">
      <c r="A1368" s="6" t="s">
        <v>17</v>
      </c>
      <c r="B1368" t="s">
        <v>342</v>
      </c>
      <c r="C1368" t="s">
        <v>342</v>
      </c>
      <c r="D1368" t="s">
        <v>1780</v>
      </c>
      <c r="E1368" s="2">
        <v>69.989999999999995</v>
      </c>
      <c r="F1368" s="3">
        <f t="shared" si="125"/>
        <v>45825</v>
      </c>
      <c r="G1368" s="3">
        <f t="shared" si="125"/>
        <v>45825</v>
      </c>
      <c r="H1368">
        <v>2336552291</v>
      </c>
      <c r="I1368" t="s">
        <v>158</v>
      </c>
      <c r="K1368" t="s">
        <v>22</v>
      </c>
      <c r="L1368" t="s">
        <v>23</v>
      </c>
      <c r="M1368" t="s">
        <v>24</v>
      </c>
      <c r="N1368" t="s">
        <v>24</v>
      </c>
      <c r="O1368" t="s">
        <v>25</v>
      </c>
      <c r="P1368" s="8" t="s">
        <v>1781</v>
      </c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s="11"/>
      <c r="AR1368" s="11"/>
      <c r="AS1368" s="11"/>
      <c r="AT1368" s="11"/>
      <c r="AU1368" s="11"/>
      <c r="AV1368" s="11"/>
      <c r="AW1368" s="11"/>
      <c r="AX1368" s="11"/>
      <c r="AY1368" s="11"/>
    </row>
    <row r="1369" spans="1:51" hidden="1" x14ac:dyDescent="0.2">
      <c r="A1369" s="6" t="s">
        <v>17</v>
      </c>
      <c r="B1369" t="s">
        <v>173</v>
      </c>
      <c r="C1369" t="s">
        <v>154</v>
      </c>
      <c r="D1369" t="s">
        <v>1782</v>
      </c>
      <c r="E1369" s="2">
        <v>176.98</v>
      </c>
      <c r="F1369" s="3">
        <f t="shared" si="125"/>
        <v>45825</v>
      </c>
      <c r="G1369" s="3">
        <f t="shared" si="125"/>
        <v>45825</v>
      </c>
      <c r="H1369">
        <v>2336552292</v>
      </c>
      <c r="I1369" t="s">
        <v>158</v>
      </c>
      <c r="K1369" t="s">
        <v>22</v>
      </c>
      <c r="L1369" t="s">
        <v>23</v>
      </c>
      <c r="M1369" t="s">
        <v>24</v>
      </c>
      <c r="N1369" t="s">
        <v>24</v>
      </c>
      <c r="O1369" t="s">
        <v>25</v>
      </c>
      <c r="P1369" s="8" t="s">
        <v>1783</v>
      </c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11"/>
      <c r="AG1369" s="11"/>
      <c r="AH1369" s="11"/>
      <c r="AI1369" s="11"/>
      <c r="AJ1369" s="11"/>
      <c r="AK1369" s="11"/>
      <c r="AL1369" s="11"/>
      <c r="AM1369" s="11"/>
      <c r="AN1369" s="11"/>
      <c r="AO1369" s="11"/>
      <c r="AP1369" s="11"/>
      <c r="AQ1369" s="11"/>
      <c r="AR1369" s="11"/>
      <c r="AS1369" s="11"/>
      <c r="AT1369" s="11"/>
      <c r="AU1369" s="11"/>
      <c r="AV1369" s="11"/>
      <c r="AW1369" s="11"/>
      <c r="AX1369" s="11"/>
      <c r="AY1369" s="11"/>
    </row>
    <row r="1370" spans="1:51" x14ac:dyDescent="0.2">
      <c r="A1370" s="6" t="s">
        <v>17</v>
      </c>
      <c r="B1370" t="s">
        <v>342</v>
      </c>
      <c r="C1370" t="s">
        <v>342</v>
      </c>
      <c r="D1370" t="s">
        <v>1784</v>
      </c>
      <c r="E1370" s="2">
        <v>94.99</v>
      </c>
      <c r="F1370" s="3">
        <f t="shared" si="125"/>
        <v>45825</v>
      </c>
      <c r="G1370" s="3">
        <f t="shared" si="125"/>
        <v>45825</v>
      </c>
      <c r="H1370">
        <v>2336552293</v>
      </c>
      <c r="I1370" t="s">
        <v>158</v>
      </c>
      <c r="K1370" t="s">
        <v>22</v>
      </c>
      <c r="L1370" t="s">
        <v>23</v>
      </c>
      <c r="M1370" t="s">
        <v>24</v>
      </c>
      <c r="N1370" t="s">
        <v>24</v>
      </c>
      <c r="O1370" t="s">
        <v>25</v>
      </c>
      <c r="P1370" s="8" t="s">
        <v>1785</v>
      </c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11"/>
      <c r="AG1370" s="11"/>
      <c r="AH1370" s="11"/>
      <c r="AI1370" s="11"/>
      <c r="AJ1370" s="11"/>
      <c r="AK1370" s="11"/>
      <c r="AL1370" s="11"/>
      <c r="AM1370" s="11"/>
      <c r="AN1370" s="11"/>
      <c r="AO1370" s="11"/>
      <c r="AP1370" s="11"/>
      <c r="AQ1370" s="11"/>
      <c r="AR1370" s="11"/>
      <c r="AS1370" s="11"/>
      <c r="AT1370" s="11"/>
      <c r="AU1370" s="11"/>
      <c r="AV1370" s="11"/>
      <c r="AW1370" s="11"/>
      <c r="AX1370" s="11"/>
      <c r="AY1370" s="11"/>
    </row>
    <row r="1371" spans="1:51" hidden="1" x14ac:dyDescent="0.2">
      <c r="A1371" s="6" t="s">
        <v>17</v>
      </c>
      <c r="B1371" t="s">
        <v>70</v>
      </c>
      <c r="C1371" t="s">
        <v>71</v>
      </c>
      <c r="D1371" t="s">
        <v>1786</v>
      </c>
      <c r="E1371" s="2">
        <v>1560</v>
      </c>
      <c r="F1371" s="3">
        <f t="shared" ref="F1371:G1380" si="126">DATE(2025,6,18)</f>
        <v>45826</v>
      </c>
      <c r="G1371" s="3">
        <f t="shared" si="126"/>
        <v>45826</v>
      </c>
      <c r="H1371">
        <v>2336552294</v>
      </c>
      <c r="I1371" t="s">
        <v>21</v>
      </c>
      <c r="K1371" t="s">
        <v>22</v>
      </c>
      <c r="L1371" t="s">
        <v>23</v>
      </c>
      <c r="M1371" t="s">
        <v>24</v>
      </c>
      <c r="N1371" t="s">
        <v>24</v>
      </c>
      <c r="O1371" t="s">
        <v>25</v>
      </c>
      <c r="P1371" s="8" t="s">
        <v>1787</v>
      </c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1"/>
      <c r="AJ1371" s="11"/>
      <c r="AK1371" s="11"/>
      <c r="AL1371" s="11"/>
      <c r="AM1371" s="11"/>
      <c r="AN1371" s="11"/>
      <c r="AO1371" s="11"/>
      <c r="AP1371" s="11"/>
      <c r="AQ1371" s="11"/>
      <c r="AR1371" s="11"/>
      <c r="AS1371" s="11"/>
      <c r="AT1371" s="11"/>
      <c r="AU1371" s="11"/>
      <c r="AV1371" s="11"/>
      <c r="AW1371" s="11"/>
      <c r="AX1371" s="11"/>
      <c r="AY1371" s="11"/>
    </row>
    <row r="1372" spans="1:51" hidden="1" x14ac:dyDescent="0.2">
      <c r="A1372" s="6" t="s">
        <v>17</v>
      </c>
      <c r="B1372" t="s">
        <v>266</v>
      </c>
      <c r="C1372" t="s">
        <v>267</v>
      </c>
      <c r="D1372" t="s">
        <v>1788</v>
      </c>
      <c r="E1372" s="2">
        <v>277.2</v>
      </c>
      <c r="F1372" s="3">
        <f t="shared" si="126"/>
        <v>45826</v>
      </c>
      <c r="G1372" s="3">
        <f t="shared" si="126"/>
        <v>45826</v>
      </c>
      <c r="H1372">
        <v>2336552295</v>
      </c>
      <c r="I1372" t="s">
        <v>21</v>
      </c>
      <c r="K1372" t="s">
        <v>22</v>
      </c>
      <c r="L1372" t="s">
        <v>23</v>
      </c>
      <c r="M1372" t="s">
        <v>24</v>
      </c>
      <c r="N1372" t="s">
        <v>24</v>
      </c>
      <c r="O1372" t="s">
        <v>25</v>
      </c>
      <c r="P1372" s="8" t="s">
        <v>1789</v>
      </c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11"/>
      <c r="AG1372" s="11"/>
      <c r="AH1372" s="11"/>
      <c r="AI1372" s="11"/>
      <c r="AJ1372" s="11"/>
      <c r="AK1372" s="11"/>
      <c r="AL1372" s="11"/>
      <c r="AM1372" s="11"/>
      <c r="AN1372" s="11"/>
      <c r="AO1372" s="11"/>
      <c r="AP1372" s="11"/>
      <c r="AQ1372" s="11"/>
      <c r="AR1372" s="11"/>
      <c r="AS1372" s="11"/>
      <c r="AT1372" s="11"/>
      <c r="AU1372" s="11"/>
      <c r="AV1372" s="11"/>
      <c r="AW1372" s="11"/>
      <c r="AX1372" s="11"/>
      <c r="AY1372" s="11"/>
    </row>
    <row r="1373" spans="1:51" hidden="1" x14ac:dyDescent="0.2">
      <c r="A1373" s="6" t="s">
        <v>17</v>
      </c>
      <c r="B1373" t="s">
        <v>244</v>
      </c>
      <c r="C1373" t="s">
        <v>245</v>
      </c>
      <c r="D1373" t="s">
        <v>1790</v>
      </c>
      <c r="E1373" s="2">
        <v>1387</v>
      </c>
      <c r="F1373" s="3">
        <f t="shared" si="126"/>
        <v>45826</v>
      </c>
      <c r="G1373" s="3">
        <f t="shared" si="126"/>
        <v>45826</v>
      </c>
      <c r="H1373">
        <v>2336552296</v>
      </c>
      <c r="I1373" t="s">
        <v>21</v>
      </c>
      <c r="K1373" t="s">
        <v>22</v>
      </c>
      <c r="L1373" t="s">
        <v>23</v>
      </c>
      <c r="M1373" t="s">
        <v>24</v>
      </c>
      <c r="N1373" t="s">
        <v>24</v>
      </c>
      <c r="O1373" t="s">
        <v>25</v>
      </c>
      <c r="P1373" s="8" t="s">
        <v>1791</v>
      </c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11"/>
      <c r="AG1373" s="11"/>
      <c r="AH1373" s="11"/>
      <c r="AI1373" s="11"/>
      <c r="AJ1373" s="11"/>
      <c r="AK1373" s="11"/>
      <c r="AL1373" s="11"/>
      <c r="AM1373" s="11"/>
      <c r="AN1373" s="11"/>
      <c r="AO1373" s="11"/>
      <c r="AP1373" s="11"/>
      <c r="AQ1373" s="11"/>
      <c r="AR1373" s="11"/>
      <c r="AS1373" s="11"/>
      <c r="AT1373" s="11"/>
      <c r="AU1373" s="11"/>
      <c r="AV1373" s="11"/>
      <c r="AW1373" s="11"/>
      <c r="AX1373" s="11"/>
      <c r="AY1373" s="11"/>
    </row>
    <row r="1374" spans="1:51" x14ac:dyDescent="0.2">
      <c r="A1374" s="6" t="s">
        <v>17</v>
      </c>
      <c r="B1374" t="s">
        <v>342</v>
      </c>
      <c r="C1374" t="s">
        <v>342</v>
      </c>
      <c r="D1374" t="s">
        <v>1792</v>
      </c>
      <c r="E1374" s="2">
        <v>147.16999999999999</v>
      </c>
      <c r="F1374" s="3">
        <f t="shared" si="126"/>
        <v>45826</v>
      </c>
      <c r="G1374" s="3">
        <f t="shared" si="126"/>
        <v>45826</v>
      </c>
      <c r="H1374">
        <v>2336552297</v>
      </c>
      <c r="I1374" t="s">
        <v>21</v>
      </c>
      <c r="K1374" t="s">
        <v>22</v>
      </c>
      <c r="L1374" t="s">
        <v>23</v>
      </c>
      <c r="M1374" t="s">
        <v>24</v>
      </c>
      <c r="N1374" t="s">
        <v>24</v>
      </c>
      <c r="O1374" t="s">
        <v>25</v>
      </c>
      <c r="P1374" s="8" t="s">
        <v>1793</v>
      </c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11"/>
      <c r="AG1374" s="11"/>
      <c r="AH1374" s="11"/>
      <c r="AI1374" s="11"/>
      <c r="AJ1374" s="11"/>
      <c r="AK1374" s="11"/>
      <c r="AL1374" s="11"/>
      <c r="AM1374" s="11"/>
      <c r="AN1374" s="11"/>
      <c r="AO1374" s="11"/>
      <c r="AP1374" s="11"/>
      <c r="AQ1374" s="11"/>
      <c r="AR1374" s="11"/>
      <c r="AS1374" s="11"/>
      <c r="AT1374" s="11"/>
      <c r="AU1374" s="11"/>
      <c r="AV1374" s="11"/>
      <c r="AW1374" s="11"/>
      <c r="AX1374" s="11"/>
      <c r="AY1374" s="11"/>
    </row>
    <row r="1375" spans="1:51" x14ac:dyDescent="0.2">
      <c r="A1375" s="6" t="s">
        <v>17</v>
      </c>
      <c r="B1375" t="s">
        <v>342</v>
      </c>
      <c r="C1375" t="s">
        <v>342</v>
      </c>
      <c r="D1375" t="s">
        <v>1794</v>
      </c>
      <c r="E1375" s="2">
        <v>506.88</v>
      </c>
      <c r="F1375" s="3">
        <f t="shared" si="126"/>
        <v>45826</v>
      </c>
      <c r="G1375" s="3">
        <f t="shared" si="126"/>
        <v>45826</v>
      </c>
      <c r="H1375">
        <v>2336552298</v>
      </c>
      <c r="I1375" t="s">
        <v>21</v>
      </c>
      <c r="K1375" t="s">
        <v>22</v>
      </c>
      <c r="L1375" t="s">
        <v>23</v>
      </c>
      <c r="M1375" t="s">
        <v>24</v>
      </c>
      <c r="N1375" t="s">
        <v>24</v>
      </c>
      <c r="O1375" t="s">
        <v>25</v>
      </c>
      <c r="P1375" s="8" t="s">
        <v>1795</v>
      </c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1"/>
      <c r="AF1375" s="11"/>
      <c r="AG1375" s="11"/>
      <c r="AH1375" s="11"/>
      <c r="AI1375" s="11"/>
      <c r="AJ1375" s="11"/>
      <c r="AK1375" s="11"/>
      <c r="AL1375" s="11"/>
      <c r="AM1375" s="11"/>
      <c r="AN1375" s="11"/>
      <c r="AO1375" s="11"/>
      <c r="AP1375" s="11"/>
      <c r="AQ1375" s="11"/>
      <c r="AR1375" s="11"/>
      <c r="AS1375" s="11"/>
      <c r="AT1375" s="11"/>
      <c r="AU1375" s="11"/>
      <c r="AV1375" s="11"/>
      <c r="AW1375" s="11"/>
      <c r="AX1375" s="11"/>
      <c r="AY1375" s="11"/>
    </row>
    <row r="1376" spans="1:51" x14ac:dyDescent="0.2">
      <c r="A1376" s="6" t="s">
        <v>17</v>
      </c>
      <c r="B1376" t="s">
        <v>342</v>
      </c>
      <c r="C1376" t="s">
        <v>342</v>
      </c>
      <c r="D1376" t="s">
        <v>1796</v>
      </c>
      <c r="E1376" s="2">
        <v>3120</v>
      </c>
      <c r="F1376" s="3">
        <f t="shared" si="126"/>
        <v>45826</v>
      </c>
      <c r="G1376" s="3">
        <f t="shared" si="126"/>
        <v>45826</v>
      </c>
      <c r="H1376">
        <v>2336552299</v>
      </c>
      <c r="I1376" t="s">
        <v>21</v>
      </c>
      <c r="K1376" t="s">
        <v>22</v>
      </c>
      <c r="L1376" t="s">
        <v>23</v>
      </c>
      <c r="M1376" t="s">
        <v>24</v>
      </c>
      <c r="N1376" t="s">
        <v>24</v>
      </c>
      <c r="O1376" t="s">
        <v>25</v>
      </c>
      <c r="P1376" s="8" t="s">
        <v>1797</v>
      </c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11"/>
      <c r="AG1376" s="11"/>
      <c r="AH1376" s="11"/>
      <c r="AI1376" s="11"/>
      <c r="AJ1376" s="11"/>
      <c r="AK1376" s="11"/>
      <c r="AL1376" s="11"/>
      <c r="AM1376" s="11"/>
      <c r="AN1376" s="11"/>
      <c r="AO1376" s="11"/>
      <c r="AP1376" s="11"/>
      <c r="AQ1376" s="11"/>
      <c r="AR1376" s="11"/>
      <c r="AS1376" s="11"/>
      <c r="AT1376" s="11"/>
      <c r="AU1376" s="11"/>
      <c r="AV1376" s="11"/>
      <c r="AW1376" s="11"/>
      <c r="AX1376" s="11"/>
      <c r="AY1376" s="11"/>
    </row>
    <row r="1377" spans="1:51" hidden="1" x14ac:dyDescent="0.2">
      <c r="A1377" s="6" t="s">
        <v>17</v>
      </c>
      <c r="B1377" t="s">
        <v>70</v>
      </c>
      <c r="C1377" t="s">
        <v>71</v>
      </c>
      <c r="D1377" t="s">
        <v>1798</v>
      </c>
      <c r="E1377" s="2">
        <v>410.4</v>
      </c>
      <c r="F1377" s="3">
        <f t="shared" si="126"/>
        <v>45826</v>
      </c>
      <c r="G1377" s="3">
        <f t="shared" si="126"/>
        <v>45826</v>
      </c>
      <c r="H1377">
        <v>2336552300</v>
      </c>
      <c r="I1377" t="s">
        <v>21</v>
      </c>
      <c r="K1377" t="s">
        <v>22</v>
      </c>
      <c r="L1377" t="s">
        <v>23</v>
      </c>
      <c r="M1377" t="s">
        <v>24</v>
      </c>
      <c r="N1377" t="s">
        <v>24</v>
      </c>
      <c r="O1377" t="s">
        <v>25</v>
      </c>
      <c r="P1377" s="8" t="s">
        <v>1799</v>
      </c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1"/>
      <c r="AF1377" s="11"/>
      <c r="AG1377" s="11"/>
      <c r="AH1377" s="11"/>
      <c r="AI1377" s="11"/>
      <c r="AJ1377" s="11"/>
      <c r="AK1377" s="11"/>
      <c r="AL1377" s="11"/>
      <c r="AM1377" s="11"/>
      <c r="AN1377" s="11"/>
      <c r="AO1377" s="11"/>
      <c r="AP1377" s="11"/>
      <c r="AQ1377" s="11"/>
      <c r="AR1377" s="11"/>
      <c r="AS1377" s="11"/>
      <c r="AT1377" s="11"/>
      <c r="AU1377" s="11"/>
      <c r="AV1377" s="11"/>
      <c r="AW1377" s="11"/>
      <c r="AX1377" s="11"/>
      <c r="AY1377" s="11"/>
    </row>
    <row r="1378" spans="1:51" hidden="1" x14ac:dyDescent="0.2">
      <c r="A1378" s="6"/>
      <c r="E1378" s="2"/>
      <c r="F1378" s="3"/>
      <c r="G1378" s="3"/>
      <c r="P1378" s="8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1"/>
      <c r="AF1378" s="11"/>
      <c r="AG1378" s="11"/>
      <c r="AH1378" s="11"/>
      <c r="AI1378" s="11"/>
      <c r="AJ1378" s="11"/>
      <c r="AK1378" s="11"/>
      <c r="AL1378" s="11"/>
      <c r="AM1378" s="11"/>
      <c r="AN1378" s="11"/>
      <c r="AO1378" s="11"/>
      <c r="AP1378" s="11"/>
      <c r="AQ1378" s="11"/>
      <c r="AR1378" s="11"/>
      <c r="AS1378" s="11"/>
      <c r="AT1378" s="11"/>
      <c r="AU1378" s="11"/>
      <c r="AV1378" s="11"/>
      <c r="AW1378" s="11"/>
      <c r="AX1378" s="11"/>
      <c r="AY1378" s="11"/>
    </row>
    <row r="1379" spans="1:51" hidden="1" x14ac:dyDescent="0.2">
      <c r="A1379" s="6" t="s">
        <v>17</v>
      </c>
      <c r="B1379" t="s">
        <v>565</v>
      </c>
      <c r="C1379" t="s">
        <v>566</v>
      </c>
      <c r="D1379" t="s">
        <v>1800</v>
      </c>
      <c r="E1379" s="2">
        <v>81.62</v>
      </c>
      <c r="F1379" s="3">
        <f t="shared" si="126"/>
        <v>45826</v>
      </c>
      <c r="G1379" s="3">
        <f t="shared" si="126"/>
        <v>45826</v>
      </c>
      <c r="H1379">
        <v>2336552302</v>
      </c>
      <c r="I1379" t="s">
        <v>21</v>
      </c>
      <c r="K1379" t="s">
        <v>22</v>
      </c>
      <c r="L1379" t="s">
        <v>23</v>
      </c>
      <c r="M1379" t="s">
        <v>24</v>
      </c>
      <c r="N1379" t="s">
        <v>24</v>
      </c>
      <c r="O1379" t="s">
        <v>25</v>
      </c>
      <c r="P1379" s="8" t="s">
        <v>1801</v>
      </c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1"/>
      <c r="AF1379" s="11"/>
      <c r="AG1379" s="11"/>
      <c r="AH1379" s="11"/>
      <c r="AI1379" s="11"/>
      <c r="AJ1379" s="11"/>
      <c r="AK1379" s="11"/>
      <c r="AL1379" s="11"/>
      <c r="AM1379" s="11"/>
      <c r="AN1379" s="11"/>
      <c r="AO1379" s="11"/>
      <c r="AP1379" s="11"/>
      <c r="AQ1379" s="11"/>
      <c r="AR1379" s="11"/>
      <c r="AS1379" s="11"/>
      <c r="AT1379" s="11"/>
      <c r="AU1379" s="11"/>
      <c r="AV1379" s="11"/>
      <c r="AW1379" s="11"/>
      <c r="AX1379" s="11"/>
      <c r="AY1379" s="11"/>
    </row>
    <row r="1380" spans="1:51" hidden="1" x14ac:dyDescent="0.2">
      <c r="A1380" s="6" t="s">
        <v>17</v>
      </c>
      <c r="B1380" t="s">
        <v>589</v>
      </c>
      <c r="C1380" t="s">
        <v>590</v>
      </c>
      <c r="D1380" t="s">
        <v>1802</v>
      </c>
      <c r="E1380" s="2">
        <v>109.69</v>
      </c>
      <c r="F1380" s="3">
        <f t="shared" si="126"/>
        <v>45826</v>
      </c>
      <c r="G1380" s="3">
        <f t="shared" si="126"/>
        <v>45826</v>
      </c>
      <c r="H1380">
        <v>2336574880</v>
      </c>
      <c r="I1380" t="s">
        <v>192</v>
      </c>
      <c r="K1380" t="s">
        <v>22</v>
      </c>
      <c r="L1380" t="s">
        <v>23</v>
      </c>
      <c r="M1380" t="s">
        <v>24</v>
      </c>
      <c r="N1380" t="s">
        <v>24</v>
      </c>
      <c r="O1380" t="s">
        <v>25</v>
      </c>
      <c r="P1380" s="8" t="s">
        <v>1803</v>
      </c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1"/>
      <c r="AF1380" s="11"/>
      <c r="AG1380" s="11"/>
      <c r="AH1380" s="11"/>
      <c r="AI1380" s="11"/>
      <c r="AJ1380" s="11"/>
      <c r="AK1380" s="11"/>
      <c r="AL1380" s="11"/>
      <c r="AM1380" s="11"/>
      <c r="AN1380" s="11"/>
      <c r="AO1380" s="11"/>
      <c r="AP1380" s="11"/>
      <c r="AQ1380" s="11"/>
      <c r="AR1380" s="11"/>
      <c r="AS1380" s="11"/>
      <c r="AT1380" s="11"/>
      <c r="AU1380" s="11"/>
      <c r="AV1380" s="11"/>
      <c r="AW1380" s="11"/>
      <c r="AX1380" s="11"/>
      <c r="AY1380" s="11"/>
    </row>
    <row r="1381" spans="1:51" hidden="1" x14ac:dyDescent="0.2">
      <c r="A1381" s="6"/>
      <c r="E1381" s="2"/>
      <c r="F1381" s="3"/>
      <c r="G1381" s="3"/>
      <c r="P1381" s="8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1"/>
      <c r="AF1381" s="11"/>
      <c r="AG1381" s="11"/>
      <c r="AH1381" s="11"/>
      <c r="AI1381" s="11"/>
      <c r="AJ1381" s="11"/>
      <c r="AK1381" s="11"/>
      <c r="AL1381" s="11"/>
      <c r="AM1381" s="11"/>
      <c r="AN1381" s="11"/>
      <c r="AO1381" s="11"/>
      <c r="AP1381" s="11"/>
      <c r="AQ1381" s="11"/>
      <c r="AR1381" s="11"/>
      <c r="AS1381" s="11"/>
      <c r="AT1381" s="11"/>
      <c r="AU1381" s="11"/>
      <c r="AV1381" s="11"/>
      <c r="AW1381" s="11"/>
      <c r="AX1381" s="11"/>
      <c r="AY1381" s="11"/>
    </row>
    <row r="1382" spans="1:51" x14ac:dyDescent="0.2">
      <c r="A1382" s="6" t="s">
        <v>17</v>
      </c>
      <c r="B1382" t="s">
        <v>342</v>
      </c>
      <c r="C1382" t="s">
        <v>342</v>
      </c>
      <c r="D1382" t="s">
        <v>1804</v>
      </c>
      <c r="E1382" s="2">
        <v>11.4</v>
      </c>
      <c r="F1382" s="3">
        <f>DATE(2025,6,20)</f>
        <v>45828</v>
      </c>
      <c r="G1382" s="3">
        <f>DATE(2025,6,20)</f>
        <v>45828</v>
      </c>
      <c r="H1382">
        <v>2342510774</v>
      </c>
      <c r="I1382" t="s">
        <v>21</v>
      </c>
      <c r="K1382" t="s">
        <v>22</v>
      </c>
      <c r="L1382" t="s">
        <v>23</v>
      </c>
      <c r="M1382" t="s">
        <v>24</v>
      </c>
      <c r="N1382" t="s">
        <v>24</v>
      </c>
      <c r="O1382" t="s">
        <v>25</v>
      </c>
      <c r="P1382" s="8" t="s">
        <v>1805</v>
      </c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11"/>
      <c r="AG1382" s="11"/>
      <c r="AH1382" s="11"/>
      <c r="AI1382" s="11"/>
      <c r="AJ1382" s="11"/>
      <c r="AK1382" s="11"/>
      <c r="AL1382" s="11"/>
      <c r="AM1382" s="11"/>
      <c r="AN1382" s="11"/>
      <c r="AO1382" s="11"/>
      <c r="AP1382" s="11"/>
      <c r="AQ1382" s="11"/>
      <c r="AR1382" s="11"/>
      <c r="AS1382" s="11"/>
      <c r="AT1382" s="11"/>
      <c r="AU1382" s="11"/>
      <c r="AV1382" s="11"/>
      <c r="AW1382" s="11"/>
      <c r="AX1382" s="11"/>
      <c r="AY1382" s="11"/>
    </row>
    <row r="1383" spans="1:51" x14ac:dyDescent="0.2">
      <c r="A1383" s="6" t="s">
        <v>17</v>
      </c>
      <c r="B1383" t="s">
        <v>342</v>
      </c>
      <c r="C1383" t="s">
        <v>342</v>
      </c>
      <c r="D1383" t="s">
        <v>1806</v>
      </c>
      <c r="E1383" s="2">
        <v>11.4</v>
      </c>
      <c r="F1383" s="3">
        <f>DATE(2025,6,20)</f>
        <v>45828</v>
      </c>
      <c r="G1383" s="3">
        <f>DATE(2025,6,20)</f>
        <v>45828</v>
      </c>
      <c r="H1383">
        <v>2342510775</v>
      </c>
      <c r="I1383" t="s">
        <v>21</v>
      </c>
      <c r="K1383" t="s">
        <v>22</v>
      </c>
      <c r="L1383" t="s">
        <v>23</v>
      </c>
      <c r="M1383" t="s">
        <v>24</v>
      </c>
      <c r="N1383" t="s">
        <v>24</v>
      </c>
      <c r="O1383" t="s">
        <v>25</v>
      </c>
      <c r="P1383" s="8" t="s">
        <v>1807</v>
      </c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11"/>
      <c r="AG1383" s="11"/>
      <c r="AH1383" s="11"/>
      <c r="AI1383" s="11"/>
      <c r="AJ1383" s="11"/>
      <c r="AK1383" s="11"/>
      <c r="AL1383" s="11"/>
      <c r="AM1383" s="11"/>
      <c r="AN1383" s="11"/>
      <c r="AO1383" s="11"/>
      <c r="AP1383" s="11"/>
      <c r="AQ1383" s="11"/>
      <c r="AR1383" s="11"/>
      <c r="AS1383" s="11"/>
      <c r="AT1383" s="11"/>
      <c r="AU1383" s="11"/>
      <c r="AV1383" s="11"/>
      <c r="AW1383" s="11"/>
      <c r="AX1383" s="11"/>
      <c r="AY1383" s="11"/>
    </row>
    <row r="1384" spans="1:51" hidden="1" x14ac:dyDescent="0.2">
      <c r="A1384" s="6" t="s">
        <v>17</v>
      </c>
      <c r="B1384" t="s">
        <v>90</v>
      </c>
      <c r="C1384" t="s">
        <v>91</v>
      </c>
      <c r="D1384" t="s">
        <v>1808</v>
      </c>
      <c r="E1384" s="2">
        <v>500</v>
      </c>
      <c r="F1384" s="3">
        <f t="shared" ref="F1384:G1386" si="127">DATE(2025,6,19)</f>
        <v>45827</v>
      </c>
      <c r="G1384" s="3">
        <f t="shared" si="127"/>
        <v>45827</v>
      </c>
      <c r="H1384">
        <v>2342510776</v>
      </c>
      <c r="I1384" t="s">
        <v>21</v>
      </c>
      <c r="K1384" t="s">
        <v>22</v>
      </c>
      <c r="L1384" t="s">
        <v>23</v>
      </c>
      <c r="M1384" t="s">
        <v>24</v>
      </c>
      <c r="N1384" t="s">
        <v>24</v>
      </c>
      <c r="O1384" t="s">
        <v>25</v>
      </c>
      <c r="P1384" s="8" t="s">
        <v>1809</v>
      </c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1"/>
      <c r="AF1384" s="11"/>
      <c r="AG1384" s="11"/>
      <c r="AH1384" s="11"/>
      <c r="AI1384" s="11"/>
      <c r="AJ1384" s="11"/>
      <c r="AK1384" s="11"/>
      <c r="AL1384" s="11"/>
      <c r="AM1384" s="11"/>
      <c r="AN1384" s="11"/>
      <c r="AO1384" s="11"/>
      <c r="AP1384" s="11"/>
      <c r="AQ1384" s="11"/>
      <c r="AR1384" s="11"/>
      <c r="AS1384" s="11"/>
      <c r="AT1384" s="11"/>
      <c r="AU1384" s="11"/>
      <c r="AV1384" s="11"/>
      <c r="AW1384" s="11"/>
      <c r="AX1384" s="11"/>
      <c r="AY1384" s="11"/>
    </row>
    <row r="1385" spans="1:51" hidden="1" x14ac:dyDescent="0.2">
      <c r="A1385" s="6" t="s">
        <v>17</v>
      </c>
      <c r="B1385" t="s">
        <v>90</v>
      </c>
      <c r="C1385" t="s">
        <v>91</v>
      </c>
      <c r="D1385" t="s">
        <v>1810</v>
      </c>
      <c r="E1385" s="2">
        <v>300</v>
      </c>
      <c r="F1385" s="3">
        <f t="shared" si="127"/>
        <v>45827</v>
      </c>
      <c r="G1385" s="3">
        <f t="shared" si="127"/>
        <v>45827</v>
      </c>
      <c r="H1385">
        <v>2342510777</v>
      </c>
      <c r="I1385" t="s">
        <v>21</v>
      </c>
      <c r="K1385" t="s">
        <v>22</v>
      </c>
      <c r="L1385" t="s">
        <v>23</v>
      </c>
      <c r="M1385" t="s">
        <v>24</v>
      </c>
      <c r="N1385" t="s">
        <v>24</v>
      </c>
      <c r="O1385" t="s">
        <v>25</v>
      </c>
      <c r="P1385" s="8" t="s">
        <v>1811</v>
      </c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11"/>
      <c r="AG1385" s="11"/>
      <c r="AH1385" s="11"/>
      <c r="AI1385" s="11"/>
      <c r="AJ1385" s="11"/>
      <c r="AK1385" s="11"/>
      <c r="AL1385" s="11"/>
      <c r="AM1385" s="11"/>
      <c r="AN1385" s="11"/>
      <c r="AO1385" s="11"/>
      <c r="AP1385" s="11"/>
      <c r="AQ1385" s="11"/>
      <c r="AR1385" s="11"/>
      <c r="AS1385" s="11"/>
      <c r="AT1385" s="11"/>
      <c r="AU1385" s="11"/>
      <c r="AV1385" s="11"/>
      <c r="AW1385" s="11"/>
      <c r="AX1385" s="11"/>
      <c r="AY1385" s="11"/>
    </row>
    <row r="1386" spans="1:51" x14ac:dyDescent="0.2">
      <c r="A1386" s="6" t="s">
        <v>17</v>
      </c>
      <c r="B1386" t="s">
        <v>342</v>
      </c>
      <c r="C1386" t="s">
        <v>342</v>
      </c>
      <c r="D1386" t="s">
        <v>1812</v>
      </c>
      <c r="E1386" s="2">
        <v>540</v>
      </c>
      <c r="F1386" s="3">
        <f t="shared" si="127"/>
        <v>45827</v>
      </c>
      <c r="G1386" s="3">
        <f t="shared" si="127"/>
        <v>45827</v>
      </c>
      <c r="H1386">
        <v>2342510778</v>
      </c>
      <c r="I1386" t="s">
        <v>21</v>
      </c>
      <c r="K1386" t="s">
        <v>22</v>
      </c>
      <c r="L1386" t="s">
        <v>23</v>
      </c>
      <c r="M1386" t="s">
        <v>24</v>
      </c>
      <c r="N1386" t="s">
        <v>24</v>
      </c>
      <c r="O1386" t="s">
        <v>25</v>
      </c>
      <c r="P1386" s="8" t="s">
        <v>1813</v>
      </c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1"/>
      <c r="AF1386" s="11"/>
      <c r="AG1386" s="11"/>
      <c r="AH1386" s="11"/>
      <c r="AI1386" s="11"/>
      <c r="AJ1386" s="11"/>
      <c r="AK1386" s="11"/>
      <c r="AL1386" s="11"/>
      <c r="AM1386" s="11"/>
      <c r="AN1386" s="11"/>
      <c r="AO1386" s="11"/>
      <c r="AP1386" s="11"/>
      <c r="AQ1386" s="11"/>
      <c r="AR1386" s="11"/>
      <c r="AS1386" s="11"/>
      <c r="AT1386" s="11"/>
      <c r="AU1386" s="11"/>
      <c r="AV1386" s="11"/>
      <c r="AW1386" s="11"/>
      <c r="AX1386" s="11"/>
      <c r="AY1386" s="11"/>
    </row>
    <row r="1387" spans="1:51" hidden="1" x14ac:dyDescent="0.2">
      <c r="A1387" s="6"/>
      <c r="E1387" s="2"/>
      <c r="F1387" s="3"/>
      <c r="G1387" s="3"/>
      <c r="P1387" s="8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1"/>
      <c r="AF1387" s="11"/>
      <c r="AG1387" s="11"/>
      <c r="AH1387" s="11"/>
      <c r="AI1387" s="11"/>
      <c r="AJ1387" s="11"/>
      <c r="AK1387" s="11"/>
      <c r="AL1387" s="11"/>
      <c r="AM1387" s="11"/>
      <c r="AN1387" s="11"/>
      <c r="AO1387" s="11"/>
      <c r="AP1387" s="11"/>
      <c r="AQ1387" s="11"/>
      <c r="AR1387" s="11"/>
      <c r="AS1387" s="11"/>
      <c r="AT1387" s="11"/>
      <c r="AU1387" s="11"/>
      <c r="AV1387" s="11"/>
      <c r="AW1387" s="11"/>
      <c r="AX1387" s="11"/>
      <c r="AY1387" s="11"/>
    </row>
    <row r="1388" spans="1:51" x14ac:dyDescent="0.2">
      <c r="A1388" s="6" t="s">
        <v>17</v>
      </c>
      <c r="B1388" t="s">
        <v>342</v>
      </c>
      <c r="C1388" t="s">
        <v>342</v>
      </c>
      <c r="D1388" t="s">
        <v>1814</v>
      </c>
      <c r="E1388" s="2">
        <v>12</v>
      </c>
      <c r="F1388" s="3">
        <f>DATE(2025,6,20)</f>
        <v>45828</v>
      </c>
      <c r="G1388" s="3">
        <f>DATE(2025,6,20)</f>
        <v>45828</v>
      </c>
      <c r="H1388">
        <v>2342510780</v>
      </c>
      <c r="I1388" t="s">
        <v>21</v>
      </c>
      <c r="K1388" t="s">
        <v>22</v>
      </c>
      <c r="L1388" t="s">
        <v>23</v>
      </c>
      <c r="M1388" t="s">
        <v>24</v>
      </c>
      <c r="N1388" t="s">
        <v>24</v>
      </c>
      <c r="O1388" t="s">
        <v>25</v>
      </c>
      <c r="P1388" s="8" t="s">
        <v>1815</v>
      </c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1"/>
      <c r="AF1388" s="11"/>
      <c r="AG1388" s="11"/>
      <c r="AH1388" s="11"/>
      <c r="AI1388" s="11"/>
      <c r="AJ1388" s="11"/>
      <c r="AK1388" s="11"/>
      <c r="AL1388" s="11"/>
      <c r="AM1388" s="11"/>
      <c r="AN1388" s="11"/>
      <c r="AO1388" s="11"/>
      <c r="AP1388" s="11"/>
      <c r="AQ1388" s="11"/>
      <c r="AR1388" s="11"/>
      <c r="AS1388" s="11"/>
      <c r="AT1388" s="11"/>
      <c r="AU1388" s="11"/>
      <c r="AV1388" s="11"/>
      <c r="AW1388" s="11"/>
      <c r="AX1388" s="11"/>
      <c r="AY1388" s="11"/>
    </row>
    <row r="1389" spans="1:51" hidden="1" x14ac:dyDescent="0.2">
      <c r="A1389" s="6" t="s">
        <v>17</v>
      </c>
      <c r="B1389" t="s">
        <v>1048</v>
      </c>
      <c r="C1389" t="s">
        <v>1049</v>
      </c>
      <c r="D1389" t="s">
        <v>1816</v>
      </c>
      <c r="E1389" s="2">
        <v>2790.98</v>
      </c>
      <c r="F1389" s="3">
        <f>DATE(2025,6,20)</f>
        <v>45828</v>
      </c>
      <c r="G1389" s="3">
        <f>DATE(2025,6,20)</f>
        <v>45828</v>
      </c>
      <c r="H1389">
        <v>2342510781</v>
      </c>
      <c r="I1389" t="s">
        <v>21</v>
      </c>
      <c r="K1389" t="s">
        <v>22</v>
      </c>
      <c r="L1389" t="s">
        <v>23</v>
      </c>
      <c r="M1389" t="s">
        <v>24</v>
      </c>
      <c r="N1389" t="s">
        <v>24</v>
      </c>
      <c r="O1389" t="s">
        <v>25</v>
      </c>
      <c r="P1389" s="8" t="s">
        <v>1817</v>
      </c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1"/>
      <c r="AJ1389" s="11"/>
      <c r="AK1389" s="11"/>
      <c r="AL1389" s="11"/>
      <c r="AM1389" s="11"/>
      <c r="AN1389" s="11"/>
      <c r="AO1389" s="11"/>
      <c r="AP1389" s="11"/>
      <c r="AQ1389" s="11"/>
      <c r="AR1389" s="11"/>
      <c r="AS1389" s="11"/>
      <c r="AT1389" s="11"/>
      <c r="AU1389" s="11"/>
      <c r="AV1389" s="11"/>
      <c r="AW1389" s="11"/>
      <c r="AX1389" s="11"/>
      <c r="AY1389" s="11"/>
    </row>
    <row r="1390" spans="1:51" hidden="1" x14ac:dyDescent="0.2">
      <c r="A1390" s="6" t="s">
        <v>17</v>
      </c>
      <c r="B1390" t="s">
        <v>266</v>
      </c>
      <c r="C1390" t="s">
        <v>267</v>
      </c>
      <c r="D1390" t="s">
        <v>1818</v>
      </c>
      <c r="E1390" s="2">
        <v>70</v>
      </c>
      <c r="F1390" s="3">
        <f>DATE(2025,6,19)</f>
        <v>45827</v>
      </c>
      <c r="G1390" s="3">
        <f>DATE(2025,6,19)</f>
        <v>45827</v>
      </c>
      <c r="H1390">
        <v>2342510782</v>
      </c>
      <c r="I1390" t="s">
        <v>21</v>
      </c>
      <c r="K1390" t="s">
        <v>22</v>
      </c>
      <c r="L1390" t="s">
        <v>23</v>
      </c>
      <c r="M1390" t="s">
        <v>24</v>
      </c>
      <c r="N1390" t="s">
        <v>24</v>
      </c>
      <c r="O1390" t="s">
        <v>25</v>
      </c>
      <c r="P1390" s="8" t="s">
        <v>1819</v>
      </c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11"/>
      <c r="AG1390" s="11"/>
      <c r="AH1390" s="11"/>
      <c r="AI1390" s="11"/>
      <c r="AJ1390" s="11"/>
      <c r="AK1390" s="11"/>
      <c r="AL1390" s="11"/>
      <c r="AM1390" s="11"/>
      <c r="AN1390" s="11"/>
      <c r="AO1390" s="11"/>
      <c r="AP1390" s="11"/>
      <c r="AQ1390" s="11"/>
      <c r="AR1390" s="11"/>
      <c r="AS1390" s="11"/>
      <c r="AT1390" s="11"/>
      <c r="AU1390" s="11"/>
      <c r="AV1390" s="11"/>
      <c r="AW1390" s="11"/>
      <c r="AX1390" s="11"/>
      <c r="AY1390" s="11"/>
    </row>
    <row r="1391" spans="1:51" x14ac:dyDescent="0.2">
      <c r="A1391" s="6" t="s">
        <v>17</v>
      </c>
      <c r="B1391" t="s">
        <v>342</v>
      </c>
      <c r="C1391" t="s">
        <v>342</v>
      </c>
      <c r="D1391" t="s">
        <v>1820</v>
      </c>
      <c r="E1391" s="2">
        <v>58</v>
      </c>
      <c r="F1391" s="3">
        <f t="shared" ref="F1391:G1394" si="128">DATE(2025,6,18)</f>
        <v>45826</v>
      </c>
      <c r="G1391" s="3">
        <f t="shared" si="128"/>
        <v>45826</v>
      </c>
      <c r="H1391">
        <v>2342510783</v>
      </c>
      <c r="I1391" t="s">
        <v>158</v>
      </c>
      <c r="K1391" t="s">
        <v>22</v>
      </c>
      <c r="L1391" t="s">
        <v>23</v>
      </c>
      <c r="M1391" t="s">
        <v>24</v>
      </c>
      <c r="N1391" t="s">
        <v>24</v>
      </c>
      <c r="O1391" t="s">
        <v>25</v>
      </c>
      <c r="P1391" s="8" t="s">
        <v>1821</v>
      </c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11"/>
      <c r="AG1391" s="11"/>
      <c r="AH1391" s="11"/>
      <c r="AI1391" s="11"/>
      <c r="AJ1391" s="11"/>
      <c r="AK1391" s="11"/>
      <c r="AL1391" s="11"/>
      <c r="AM1391" s="11"/>
      <c r="AN1391" s="11"/>
      <c r="AO1391" s="11"/>
      <c r="AP1391" s="11"/>
      <c r="AQ1391" s="11"/>
      <c r="AR1391" s="11"/>
      <c r="AS1391" s="11"/>
      <c r="AT1391" s="11"/>
      <c r="AU1391" s="11"/>
      <c r="AV1391" s="11"/>
      <c r="AW1391" s="11"/>
      <c r="AX1391" s="11"/>
      <c r="AY1391" s="11"/>
    </row>
    <row r="1392" spans="1:51" x14ac:dyDescent="0.2">
      <c r="A1392" s="6" t="s">
        <v>17</v>
      </c>
      <c r="B1392" t="s">
        <v>342</v>
      </c>
      <c r="C1392" t="s">
        <v>342</v>
      </c>
      <c r="D1392" t="s">
        <v>1822</v>
      </c>
      <c r="E1392" s="2">
        <v>13.75</v>
      </c>
      <c r="F1392" s="3">
        <f t="shared" si="128"/>
        <v>45826</v>
      </c>
      <c r="G1392" s="3">
        <f t="shared" si="128"/>
        <v>45826</v>
      </c>
      <c r="H1392">
        <v>2342510784</v>
      </c>
      <c r="I1392" t="s">
        <v>158</v>
      </c>
      <c r="K1392" t="s">
        <v>22</v>
      </c>
      <c r="L1392" t="s">
        <v>23</v>
      </c>
      <c r="M1392" t="s">
        <v>24</v>
      </c>
      <c r="N1392" t="s">
        <v>24</v>
      </c>
      <c r="O1392" t="s">
        <v>25</v>
      </c>
      <c r="P1392" s="8" t="s">
        <v>1823</v>
      </c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11"/>
      <c r="AG1392" s="11"/>
      <c r="AH1392" s="11"/>
      <c r="AI1392" s="11"/>
      <c r="AJ1392" s="11"/>
      <c r="AK1392" s="11"/>
      <c r="AL1392" s="11"/>
      <c r="AM1392" s="11"/>
      <c r="AN1392" s="11"/>
      <c r="AO1392" s="11"/>
      <c r="AP1392" s="11"/>
      <c r="AQ1392" s="11"/>
      <c r="AR1392" s="11"/>
      <c r="AS1392" s="11"/>
      <c r="AT1392" s="11"/>
      <c r="AU1392" s="11"/>
      <c r="AV1392" s="11"/>
      <c r="AW1392" s="11"/>
      <c r="AX1392" s="11"/>
      <c r="AY1392" s="11"/>
    </row>
    <row r="1393" spans="1:51" hidden="1" x14ac:dyDescent="0.2">
      <c r="A1393" s="6" t="s">
        <v>17</v>
      </c>
      <c r="B1393" t="s">
        <v>42</v>
      </c>
      <c r="C1393" t="s">
        <v>43</v>
      </c>
      <c r="D1393" t="s">
        <v>1824</v>
      </c>
      <c r="E1393" s="2">
        <v>19.989999999999998</v>
      </c>
      <c r="F1393" s="3">
        <f t="shared" si="128"/>
        <v>45826</v>
      </c>
      <c r="G1393" s="3">
        <f t="shared" si="128"/>
        <v>45826</v>
      </c>
      <c r="H1393">
        <v>2342510785</v>
      </c>
      <c r="I1393" t="s">
        <v>158</v>
      </c>
      <c r="K1393" t="s">
        <v>22</v>
      </c>
      <c r="L1393" t="s">
        <v>23</v>
      </c>
      <c r="M1393" t="s">
        <v>24</v>
      </c>
      <c r="N1393" t="s">
        <v>24</v>
      </c>
      <c r="O1393" t="s">
        <v>25</v>
      </c>
      <c r="P1393" s="8" t="s">
        <v>1825</v>
      </c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11"/>
      <c r="AG1393" s="11"/>
      <c r="AH1393" s="11"/>
      <c r="AI1393" s="11"/>
      <c r="AJ1393" s="11"/>
      <c r="AK1393" s="11"/>
      <c r="AL1393" s="11"/>
      <c r="AM1393" s="11"/>
      <c r="AN1393" s="11"/>
      <c r="AO1393" s="11"/>
      <c r="AP1393" s="11"/>
      <c r="AQ1393" s="11"/>
      <c r="AR1393" s="11"/>
      <c r="AS1393" s="11"/>
      <c r="AT1393" s="11"/>
      <c r="AU1393" s="11"/>
      <c r="AV1393" s="11"/>
      <c r="AW1393" s="11"/>
      <c r="AX1393" s="11"/>
      <c r="AY1393" s="11"/>
    </row>
    <row r="1394" spans="1:51" x14ac:dyDescent="0.2">
      <c r="A1394" s="6" t="s">
        <v>17</v>
      </c>
      <c r="B1394" t="s">
        <v>342</v>
      </c>
      <c r="C1394" t="s">
        <v>342</v>
      </c>
      <c r="D1394" t="s">
        <v>1826</v>
      </c>
      <c r="E1394" s="2">
        <v>30.1</v>
      </c>
      <c r="F1394" s="3">
        <f t="shared" si="128"/>
        <v>45826</v>
      </c>
      <c r="G1394" s="3">
        <f t="shared" si="128"/>
        <v>45826</v>
      </c>
      <c r="H1394">
        <v>2342510786</v>
      </c>
      <c r="I1394" t="s">
        <v>158</v>
      </c>
      <c r="K1394" t="s">
        <v>22</v>
      </c>
      <c r="L1394" t="s">
        <v>23</v>
      </c>
      <c r="M1394" t="s">
        <v>24</v>
      </c>
      <c r="N1394" t="s">
        <v>24</v>
      </c>
      <c r="O1394" t="s">
        <v>25</v>
      </c>
      <c r="P1394" s="8" t="s">
        <v>1827</v>
      </c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11"/>
      <c r="AG1394" s="11"/>
      <c r="AH1394" s="11"/>
      <c r="AI1394" s="11"/>
      <c r="AJ1394" s="11"/>
      <c r="AK1394" s="11"/>
      <c r="AL1394" s="11"/>
      <c r="AM1394" s="11"/>
      <c r="AN1394" s="11"/>
      <c r="AO1394" s="11"/>
      <c r="AP1394" s="11"/>
      <c r="AQ1394" s="11"/>
      <c r="AR1394" s="11"/>
      <c r="AS1394" s="11"/>
      <c r="AT1394" s="11"/>
      <c r="AU1394" s="11"/>
      <c r="AV1394" s="11"/>
      <c r="AW1394" s="11"/>
      <c r="AX1394" s="11"/>
      <c r="AY1394" s="11"/>
    </row>
    <row r="1395" spans="1:51" hidden="1" x14ac:dyDescent="0.2">
      <c r="A1395" s="6"/>
      <c r="E1395" s="2"/>
      <c r="F1395" s="3"/>
      <c r="G1395" s="3"/>
      <c r="P1395" s="8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11"/>
      <c r="AG1395" s="11"/>
      <c r="AH1395" s="11"/>
      <c r="AI1395" s="11"/>
      <c r="AJ1395" s="11"/>
      <c r="AK1395" s="11"/>
      <c r="AL1395" s="11"/>
      <c r="AM1395" s="11"/>
      <c r="AN1395" s="11"/>
      <c r="AO1395" s="11"/>
      <c r="AP1395" s="11"/>
      <c r="AQ1395" s="11"/>
      <c r="AR1395" s="11"/>
      <c r="AS1395" s="11"/>
      <c r="AT1395" s="11"/>
      <c r="AU1395" s="11"/>
      <c r="AV1395" s="11"/>
      <c r="AW1395" s="11"/>
      <c r="AX1395" s="11"/>
      <c r="AY1395" s="11"/>
    </row>
    <row r="1396" spans="1:51" hidden="1" x14ac:dyDescent="0.2">
      <c r="A1396" s="6" t="s">
        <v>17</v>
      </c>
      <c r="B1396" t="s">
        <v>565</v>
      </c>
      <c r="C1396" t="s">
        <v>566</v>
      </c>
      <c r="D1396" t="s">
        <v>1828</v>
      </c>
      <c r="E1396" s="2">
        <v>1752.08</v>
      </c>
      <c r="F1396" s="3">
        <f>DATE(2025,6,20)</f>
        <v>45828</v>
      </c>
      <c r="G1396" s="3">
        <f>DATE(2025,6,20)</f>
        <v>45828</v>
      </c>
      <c r="H1396">
        <v>2346808818</v>
      </c>
      <c r="I1396" t="s">
        <v>21</v>
      </c>
      <c r="K1396" t="s">
        <v>22</v>
      </c>
      <c r="L1396" t="s">
        <v>23</v>
      </c>
      <c r="M1396" t="s">
        <v>24</v>
      </c>
      <c r="N1396" t="s">
        <v>24</v>
      </c>
      <c r="O1396" t="s">
        <v>25</v>
      </c>
      <c r="P1396" s="8" t="s">
        <v>1829</v>
      </c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11"/>
      <c r="AG1396" s="11"/>
      <c r="AH1396" s="11"/>
      <c r="AI1396" s="11"/>
      <c r="AJ1396" s="11"/>
      <c r="AK1396" s="11"/>
      <c r="AL1396" s="11"/>
      <c r="AM1396" s="11"/>
      <c r="AN1396" s="11"/>
      <c r="AO1396" s="11"/>
      <c r="AP1396" s="11"/>
      <c r="AQ1396" s="11"/>
      <c r="AR1396" s="11"/>
      <c r="AS1396" s="11"/>
      <c r="AT1396" s="11"/>
      <c r="AU1396" s="11"/>
      <c r="AV1396" s="11"/>
      <c r="AW1396" s="11"/>
      <c r="AX1396" s="11"/>
      <c r="AY1396" s="11"/>
    </row>
    <row r="1397" spans="1:51" hidden="1" x14ac:dyDescent="0.2">
      <c r="A1397" s="6" t="s">
        <v>17</v>
      </c>
      <c r="B1397" t="s">
        <v>35</v>
      </c>
      <c r="C1397" t="s">
        <v>35</v>
      </c>
      <c r="D1397" t="s">
        <v>1830</v>
      </c>
      <c r="E1397" s="2">
        <v>220</v>
      </c>
      <c r="F1397" s="3">
        <f>DATE(2025,6,21)</f>
        <v>45829</v>
      </c>
      <c r="G1397" s="3">
        <f>DATE(2025,6,21)</f>
        <v>45829</v>
      </c>
      <c r="H1397">
        <v>2346808819</v>
      </c>
      <c r="I1397" t="s">
        <v>21</v>
      </c>
      <c r="K1397" t="s">
        <v>22</v>
      </c>
      <c r="L1397" t="s">
        <v>23</v>
      </c>
      <c r="M1397" t="s">
        <v>24</v>
      </c>
      <c r="N1397" t="s">
        <v>24</v>
      </c>
      <c r="O1397" t="s">
        <v>25</v>
      </c>
      <c r="P1397" s="8" t="s">
        <v>1831</v>
      </c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11"/>
      <c r="AG1397" s="11"/>
      <c r="AH1397" s="11"/>
      <c r="AI1397" s="11"/>
      <c r="AJ1397" s="11"/>
      <c r="AK1397" s="11"/>
      <c r="AL1397" s="11"/>
      <c r="AM1397" s="11"/>
      <c r="AN1397" s="11"/>
      <c r="AO1397" s="11"/>
      <c r="AP1397" s="11"/>
      <c r="AQ1397" s="11"/>
      <c r="AR1397" s="11"/>
      <c r="AS1397" s="11"/>
      <c r="AT1397" s="11"/>
      <c r="AU1397" s="11"/>
      <c r="AV1397" s="11"/>
      <c r="AW1397" s="11"/>
      <c r="AX1397" s="11"/>
      <c r="AY1397" s="11"/>
    </row>
    <row r="1398" spans="1:51" hidden="1" x14ac:dyDescent="0.2">
      <c r="A1398" s="6"/>
      <c r="E1398" s="2"/>
      <c r="F1398" s="3"/>
      <c r="G1398" s="3"/>
      <c r="P1398" s="8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11"/>
      <c r="AG1398" s="11"/>
      <c r="AH1398" s="11"/>
      <c r="AI1398" s="11"/>
      <c r="AJ1398" s="11"/>
      <c r="AK1398" s="11"/>
      <c r="AL1398" s="11"/>
      <c r="AM1398" s="11"/>
      <c r="AN1398" s="11"/>
      <c r="AO1398" s="11"/>
      <c r="AP1398" s="11"/>
      <c r="AQ1398" s="11"/>
      <c r="AR1398" s="11"/>
      <c r="AS1398" s="11"/>
      <c r="AT1398" s="11"/>
      <c r="AU1398" s="11"/>
      <c r="AV1398" s="11"/>
      <c r="AW1398" s="11"/>
      <c r="AX1398" s="11"/>
      <c r="AY1398" s="11"/>
    </row>
    <row r="1399" spans="1:51" hidden="1" x14ac:dyDescent="0.2">
      <c r="A1399" s="6" t="s">
        <v>17</v>
      </c>
      <c r="B1399" t="s">
        <v>1002</v>
      </c>
      <c r="C1399" t="s">
        <v>1003</v>
      </c>
      <c r="D1399" t="s">
        <v>1832</v>
      </c>
      <c r="E1399" s="2">
        <v>4743.26</v>
      </c>
      <c r="F1399" s="3">
        <f t="shared" ref="F1399:G1406" si="129">DATE(2025,6,20)</f>
        <v>45828</v>
      </c>
      <c r="G1399" s="3">
        <f t="shared" si="129"/>
        <v>45828</v>
      </c>
      <c r="H1399">
        <v>2346808821</v>
      </c>
      <c r="I1399" t="s">
        <v>21</v>
      </c>
      <c r="K1399" t="s">
        <v>22</v>
      </c>
      <c r="L1399" t="s">
        <v>23</v>
      </c>
      <c r="M1399" t="s">
        <v>24</v>
      </c>
      <c r="N1399" t="s">
        <v>24</v>
      </c>
      <c r="O1399" t="s">
        <v>25</v>
      </c>
      <c r="P1399" s="8" t="s">
        <v>1833</v>
      </c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11"/>
      <c r="AG1399" s="11"/>
      <c r="AH1399" s="11"/>
      <c r="AI1399" s="11"/>
      <c r="AJ1399" s="11"/>
      <c r="AK1399" s="11"/>
      <c r="AL1399" s="11"/>
      <c r="AM1399" s="11"/>
      <c r="AN1399" s="11"/>
      <c r="AO1399" s="11"/>
      <c r="AP1399" s="11"/>
      <c r="AQ1399" s="11"/>
      <c r="AR1399" s="11"/>
      <c r="AS1399" s="11"/>
      <c r="AT1399" s="11"/>
      <c r="AU1399" s="11"/>
      <c r="AV1399" s="11"/>
      <c r="AW1399" s="11"/>
      <c r="AX1399" s="11"/>
      <c r="AY1399" s="11"/>
    </row>
    <row r="1400" spans="1:51" hidden="1" x14ac:dyDescent="0.2">
      <c r="A1400" s="6" t="s">
        <v>17</v>
      </c>
      <c r="B1400" t="s">
        <v>31</v>
      </c>
      <c r="C1400" t="s">
        <v>32</v>
      </c>
      <c r="D1400" t="s">
        <v>1834</v>
      </c>
      <c r="E1400" s="2">
        <v>27.99</v>
      </c>
      <c r="F1400" s="3">
        <f t="shared" si="129"/>
        <v>45828</v>
      </c>
      <c r="G1400" s="3">
        <f t="shared" si="129"/>
        <v>45828</v>
      </c>
      <c r="H1400">
        <v>2346808822</v>
      </c>
      <c r="I1400" t="s">
        <v>21</v>
      </c>
      <c r="K1400" t="s">
        <v>22</v>
      </c>
      <c r="L1400" t="s">
        <v>23</v>
      </c>
      <c r="M1400" t="s">
        <v>24</v>
      </c>
      <c r="N1400" t="s">
        <v>24</v>
      </c>
      <c r="O1400" t="s">
        <v>25</v>
      </c>
      <c r="P1400" s="8" t="s">
        <v>1835</v>
      </c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11"/>
      <c r="AG1400" s="11"/>
      <c r="AH1400" s="11"/>
      <c r="AI1400" s="11"/>
      <c r="AJ1400" s="11"/>
      <c r="AK1400" s="11"/>
      <c r="AL1400" s="11"/>
      <c r="AM1400" s="11"/>
      <c r="AN1400" s="11"/>
      <c r="AO1400" s="11"/>
      <c r="AP1400" s="11"/>
      <c r="AQ1400" s="11"/>
      <c r="AR1400" s="11"/>
      <c r="AS1400" s="11"/>
      <c r="AT1400" s="11"/>
      <c r="AU1400" s="11"/>
      <c r="AV1400" s="11"/>
      <c r="AW1400" s="11"/>
      <c r="AX1400" s="11"/>
      <c r="AY1400" s="11"/>
    </row>
    <row r="1401" spans="1:51" hidden="1" x14ac:dyDescent="0.2">
      <c r="A1401" s="6" t="s">
        <v>17</v>
      </c>
      <c r="B1401" t="s">
        <v>155</v>
      </c>
      <c r="C1401" t="s">
        <v>156</v>
      </c>
      <c r="D1401" t="s">
        <v>1836</v>
      </c>
      <c r="E1401" s="2">
        <v>111.44</v>
      </c>
      <c r="F1401" s="3">
        <f t="shared" si="129"/>
        <v>45828</v>
      </c>
      <c r="G1401" s="3">
        <f t="shared" si="129"/>
        <v>45828</v>
      </c>
      <c r="H1401">
        <v>2346808823</v>
      </c>
      <c r="I1401" t="s">
        <v>21</v>
      </c>
      <c r="K1401" t="s">
        <v>22</v>
      </c>
      <c r="L1401" t="s">
        <v>23</v>
      </c>
      <c r="M1401" t="s">
        <v>24</v>
      </c>
      <c r="N1401" t="s">
        <v>24</v>
      </c>
      <c r="O1401" t="s">
        <v>25</v>
      </c>
      <c r="P1401" s="8" t="s">
        <v>1837</v>
      </c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11"/>
      <c r="AG1401" s="11"/>
      <c r="AH1401" s="11"/>
      <c r="AI1401" s="11"/>
      <c r="AJ1401" s="11"/>
      <c r="AK1401" s="11"/>
      <c r="AL1401" s="11"/>
      <c r="AM1401" s="11"/>
      <c r="AN1401" s="11"/>
      <c r="AO1401" s="11"/>
      <c r="AP1401" s="11"/>
      <c r="AQ1401" s="11"/>
      <c r="AR1401" s="11"/>
      <c r="AS1401" s="11"/>
      <c r="AT1401" s="11"/>
      <c r="AU1401" s="11"/>
      <c r="AV1401" s="11"/>
      <c r="AW1401" s="11"/>
      <c r="AX1401" s="11"/>
      <c r="AY1401" s="11"/>
    </row>
    <row r="1402" spans="1:51" hidden="1" x14ac:dyDescent="0.2">
      <c r="A1402" s="6"/>
      <c r="E1402" s="2"/>
      <c r="F1402" s="3"/>
      <c r="G1402" s="3"/>
      <c r="P1402" s="8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11"/>
      <c r="AG1402" s="11"/>
      <c r="AH1402" s="11"/>
      <c r="AI1402" s="11"/>
      <c r="AJ1402" s="11"/>
      <c r="AK1402" s="11"/>
      <c r="AL1402" s="11"/>
      <c r="AM1402" s="11"/>
      <c r="AN1402" s="11"/>
      <c r="AO1402" s="11"/>
      <c r="AP1402" s="11"/>
      <c r="AQ1402" s="11"/>
      <c r="AR1402" s="11"/>
      <c r="AS1402" s="11"/>
      <c r="AT1402" s="11"/>
      <c r="AU1402" s="11"/>
      <c r="AV1402" s="11"/>
      <c r="AW1402" s="11"/>
      <c r="AX1402" s="11"/>
      <c r="AY1402" s="11"/>
    </row>
    <row r="1403" spans="1:51" hidden="1" x14ac:dyDescent="0.2">
      <c r="A1403" s="6"/>
      <c r="E1403" s="2"/>
      <c r="F1403" s="3"/>
      <c r="G1403" s="3"/>
      <c r="P1403" s="8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11"/>
      <c r="AG1403" s="11"/>
      <c r="AH1403" s="11"/>
      <c r="AI1403" s="11"/>
      <c r="AJ1403" s="11"/>
      <c r="AK1403" s="11"/>
      <c r="AL1403" s="11"/>
      <c r="AM1403" s="11"/>
      <c r="AN1403" s="11"/>
      <c r="AO1403" s="11"/>
      <c r="AP1403" s="11"/>
      <c r="AQ1403" s="11"/>
      <c r="AR1403" s="11"/>
      <c r="AS1403" s="11"/>
      <c r="AT1403" s="11"/>
      <c r="AU1403" s="11"/>
      <c r="AV1403" s="11"/>
      <c r="AW1403" s="11"/>
      <c r="AX1403" s="11"/>
      <c r="AY1403" s="11"/>
    </row>
    <row r="1404" spans="1:51" hidden="1" x14ac:dyDescent="0.2">
      <c r="A1404" s="6"/>
      <c r="E1404" s="2"/>
      <c r="F1404" s="3"/>
      <c r="G1404" s="3"/>
      <c r="P1404" s="8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  <c r="AS1404" s="11"/>
      <c r="AT1404" s="11"/>
      <c r="AU1404" s="11"/>
      <c r="AV1404" s="11"/>
      <c r="AW1404" s="11"/>
      <c r="AX1404" s="11"/>
      <c r="AY1404" s="11"/>
    </row>
    <row r="1405" spans="1:51" hidden="1" x14ac:dyDescent="0.2">
      <c r="A1405" s="6" t="s">
        <v>17</v>
      </c>
      <c r="B1405" t="s">
        <v>589</v>
      </c>
      <c r="C1405" t="s">
        <v>590</v>
      </c>
      <c r="D1405" t="s">
        <v>1838</v>
      </c>
      <c r="E1405" s="2">
        <v>105.31</v>
      </c>
      <c r="F1405" s="3">
        <f t="shared" si="129"/>
        <v>45828</v>
      </c>
      <c r="G1405" s="3">
        <f t="shared" si="129"/>
        <v>45828</v>
      </c>
      <c r="H1405">
        <v>2346809185</v>
      </c>
      <c r="I1405" t="s">
        <v>192</v>
      </c>
      <c r="K1405" t="s">
        <v>22</v>
      </c>
      <c r="L1405" t="s">
        <v>23</v>
      </c>
      <c r="M1405" t="s">
        <v>24</v>
      </c>
      <c r="N1405" t="s">
        <v>24</v>
      </c>
      <c r="O1405" t="s">
        <v>25</v>
      </c>
      <c r="P1405" s="8" t="s">
        <v>1839</v>
      </c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11"/>
      <c r="AG1405" s="11"/>
      <c r="AH1405" s="11"/>
      <c r="AI1405" s="11"/>
      <c r="AJ1405" s="11"/>
      <c r="AK1405" s="11"/>
      <c r="AL1405" s="11"/>
      <c r="AM1405" s="11"/>
      <c r="AN1405" s="11"/>
      <c r="AO1405" s="11"/>
      <c r="AP1405" s="11"/>
      <c r="AQ1405" s="11"/>
      <c r="AR1405" s="11"/>
      <c r="AS1405" s="11"/>
      <c r="AT1405" s="11"/>
      <c r="AU1405" s="11"/>
      <c r="AV1405" s="11"/>
      <c r="AW1405" s="11"/>
      <c r="AX1405" s="11"/>
      <c r="AY1405" s="11"/>
    </row>
    <row r="1406" spans="1:51" hidden="1" x14ac:dyDescent="0.2">
      <c r="A1406" s="6" t="s">
        <v>17</v>
      </c>
      <c r="B1406" t="s">
        <v>18</v>
      </c>
      <c r="C1406" t="s">
        <v>19</v>
      </c>
      <c r="D1406" t="s">
        <v>1840</v>
      </c>
      <c r="E1406" s="2">
        <v>2.9</v>
      </c>
      <c r="F1406" s="3">
        <f t="shared" si="129"/>
        <v>45828</v>
      </c>
      <c r="G1406" s="3">
        <f t="shared" si="129"/>
        <v>45828</v>
      </c>
      <c r="H1406">
        <v>2346809186</v>
      </c>
      <c r="I1406" t="s">
        <v>192</v>
      </c>
      <c r="K1406" t="s">
        <v>22</v>
      </c>
      <c r="L1406" t="s">
        <v>23</v>
      </c>
      <c r="M1406" t="s">
        <v>24</v>
      </c>
      <c r="N1406" t="s">
        <v>24</v>
      </c>
      <c r="O1406" t="s">
        <v>25</v>
      </c>
      <c r="P1406" s="8" t="s">
        <v>1841</v>
      </c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11"/>
      <c r="AG1406" s="11"/>
      <c r="AH1406" s="11"/>
      <c r="AI1406" s="11"/>
      <c r="AJ1406" s="11"/>
      <c r="AK1406" s="11"/>
      <c r="AL1406" s="11"/>
      <c r="AM1406" s="11"/>
      <c r="AN1406" s="11"/>
      <c r="AO1406" s="11"/>
      <c r="AP1406" s="11"/>
      <c r="AQ1406" s="11"/>
      <c r="AR1406" s="11"/>
      <c r="AS1406" s="11"/>
      <c r="AT1406" s="11"/>
      <c r="AU1406" s="11"/>
      <c r="AV1406" s="11"/>
      <c r="AW1406" s="11"/>
      <c r="AX1406" s="11"/>
      <c r="AY1406" s="11"/>
    </row>
    <row r="1407" spans="1:51" hidden="1" x14ac:dyDescent="0.2">
      <c r="A1407" s="6"/>
      <c r="E1407" s="2"/>
      <c r="F1407" s="3"/>
      <c r="G1407" s="3"/>
      <c r="P1407" s="8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1"/>
      <c r="AJ1407" s="11"/>
      <c r="AK1407" s="11"/>
      <c r="AL1407" s="11"/>
      <c r="AM1407" s="11"/>
      <c r="AN1407" s="11"/>
      <c r="AO1407" s="11"/>
      <c r="AP1407" s="11"/>
      <c r="AQ1407" s="11"/>
      <c r="AR1407" s="11"/>
      <c r="AS1407" s="11"/>
      <c r="AT1407" s="11"/>
      <c r="AU1407" s="11"/>
      <c r="AV1407" s="11"/>
      <c r="AW1407" s="11"/>
      <c r="AX1407" s="11"/>
      <c r="AY1407" s="11"/>
    </row>
    <row r="1408" spans="1:51" x14ac:dyDescent="0.2">
      <c r="A1408" s="6" t="s">
        <v>17</v>
      </c>
      <c r="B1408" t="s">
        <v>342</v>
      </c>
      <c r="C1408" t="s">
        <v>342</v>
      </c>
      <c r="D1408" t="s">
        <v>1842</v>
      </c>
      <c r="E1408" s="2">
        <v>12.96</v>
      </c>
      <c r="F1408" s="3">
        <f>DATE(2025,6,21)</f>
        <v>45829</v>
      </c>
      <c r="G1408" s="3">
        <f>DATE(2025,6,21)</f>
        <v>45829</v>
      </c>
      <c r="H1408">
        <v>2361723999</v>
      </c>
      <c r="I1408" t="s">
        <v>158</v>
      </c>
      <c r="K1408" t="s">
        <v>22</v>
      </c>
      <c r="L1408" t="s">
        <v>23</v>
      </c>
      <c r="M1408" t="s">
        <v>24</v>
      </c>
      <c r="N1408" t="s">
        <v>24</v>
      </c>
      <c r="O1408" t="s">
        <v>25</v>
      </c>
      <c r="P1408" s="8" t="s">
        <v>1843</v>
      </c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11"/>
      <c r="AG1408" s="11"/>
      <c r="AH1408" s="11"/>
      <c r="AI1408" s="11"/>
      <c r="AJ1408" s="11"/>
      <c r="AK1408" s="11"/>
      <c r="AL1408" s="11"/>
      <c r="AM1408" s="11"/>
      <c r="AN1408" s="11"/>
      <c r="AO1408" s="11"/>
      <c r="AP1408" s="11"/>
      <c r="AQ1408" s="11"/>
      <c r="AR1408" s="11"/>
      <c r="AS1408" s="11"/>
      <c r="AT1408" s="11"/>
      <c r="AU1408" s="11"/>
      <c r="AV1408" s="11"/>
      <c r="AW1408" s="11"/>
      <c r="AX1408" s="11"/>
      <c r="AY1408" s="11"/>
    </row>
    <row r="1409" spans="1:51" hidden="1" x14ac:dyDescent="0.2">
      <c r="A1409" s="6" t="s">
        <v>17</v>
      </c>
      <c r="B1409" t="s">
        <v>399</v>
      </c>
      <c r="C1409" t="s">
        <v>400</v>
      </c>
      <c r="D1409" t="s">
        <v>1844</v>
      </c>
      <c r="E1409" s="2">
        <v>48.4</v>
      </c>
      <c r="F1409" s="3">
        <f t="shared" ref="F1409:G1411" si="130">DATE(2025,6,23)</f>
        <v>45831</v>
      </c>
      <c r="G1409" s="3">
        <f t="shared" si="130"/>
        <v>45831</v>
      </c>
      <c r="H1409">
        <v>2361724000</v>
      </c>
      <c r="I1409" t="s">
        <v>158</v>
      </c>
      <c r="K1409" t="s">
        <v>22</v>
      </c>
      <c r="L1409" t="s">
        <v>23</v>
      </c>
      <c r="M1409" t="s">
        <v>24</v>
      </c>
      <c r="N1409" t="s">
        <v>24</v>
      </c>
      <c r="O1409" t="s">
        <v>25</v>
      </c>
      <c r="P1409" s="8" t="s">
        <v>1845</v>
      </c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11"/>
      <c r="AG1409" s="11"/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s="11"/>
      <c r="AR1409" s="11"/>
      <c r="AS1409" s="11"/>
      <c r="AT1409" s="11"/>
      <c r="AU1409" s="11"/>
      <c r="AV1409" s="11"/>
      <c r="AW1409" s="11"/>
      <c r="AX1409" s="11"/>
      <c r="AY1409" s="11"/>
    </row>
    <row r="1410" spans="1:51" hidden="1" x14ac:dyDescent="0.2">
      <c r="A1410" s="6" t="s">
        <v>17</v>
      </c>
      <c r="B1410" t="s">
        <v>118</v>
      </c>
      <c r="C1410" t="s">
        <v>119</v>
      </c>
      <c r="D1410" t="s">
        <v>1846</v>
      </c>
      <c r="E1410" s="2">
        <v>39.99</v>
      </c>
      <c r="F1410" s="3">
        <f t="shared" si="130"/>
        <v>45831</v>
      </c>
      <c r="G1410" s="3">
        <f t="shared" si="130"/>
        <v>45831</v>
      </c>
      <c r="H1410">
        <v>2361724001</v>
      </c>
      <c r="I1410" t="s">
        <v>158</v>
      </c>
      <c r="K1410" t="s">
        <v>22</v>
      </c>
      <c r="L1410" t="s">
        <v>23</v>
      </c>
      <c r="M1410" t="s">
        <v>24</v>
      </c>
      <c r="N1410" t="s">
        <v>24</v>
      </c>
      <c r="O1410" t="s">
        <v>25</v>
      </c>
      <c r="P1410" s="8" t="s">
        <v>1847</v>
      </c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1"/>
      <c r="AF1410" s="11"/>
      <c r="AG1410" s="11"/>
      <c r="AH1410" s="11"/>
      <c r="AI1410" s="11"/>
      <c r="AJ1410" s="11"/>
      <c r="AK1410" s="11"/>
      <c r="AL1410" s="11"/>
      <c r="AM1410" s="11"/>
      <c r="AN1410" s="11"/>
      <c r="AO1410" s="11"/>
      <c r="AP1410" s="11"/>
      <c r="AQ1410" s="11"/>
      <c r="AR1410" s="11"/>
      <c r="AS1410" s="11"/>
      <c r="AT1410" s="11"/>
      <c r="AU1410" s="11"/>
      <c r="AV1410" s="11"/>
      <c r="AW1410" s="11"/>
      <c r="AX1410" s="11"/>
      <c r="AY1410" s="11"/>
    </row>
    <row r="1411" spans="1:51" hidden="1" x14ac:dyDescent="0.2">
      <c r="A1411" s="6" t="s">
        <v>17</v>
      </c>
      <c r="B1411" t="s">
        <v>173</v>
      </c>
      <c r="C1411" t="s">
        <v>154</v>
      </c>
      <c r="D1411" t="s">
        <v>1848</v>
      </c>
      <c r="E1411" s="2">
        <v>46.21</v>
      </c>
      <c r="F1411" s="3">
        <f t="shared" si="130"/>
        <v>45831</v>
      </c>
      <c r="G1411" s="3">
        <f t="shared" si="130"/>
        <v>45831</v>
      </c>
      <c r="H1411">
        <v>2361724002</v>
      </c>
      <c r="I1411" t="s">
        <v>158</v>
      </c>
      <c r="K1411" t="s">
        <v>22</v>
      </c>
      <c r="L1411" t="s">
        <v>23</v>
      </c>
      <c r="M1411" t="s">
        <v>24</v>
      </c>
      <c r="N1411" t="s">
        <v>24</v>
      </c>
      <c r="O1411" t="s">
        <v>25</v>
      </c>
      <c r="P1411" s="8" t="s">
        <v>1849</v>
      </c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  <c r="AC1411" s="11"/>
      <c r="AD1411" s="11"/>
      <c r="AE1411" s="11"/>
      <c r="AF1411" s="11"/>
      <c r="AG1411" s="11"/>
      <c r="AH1411" s="11"/>
      <c r="AI1411" s="11"/>
      <c r="AJ1411" s="11"/>
      <c r="AK1411" s="11"/>
      <c r="AL1411" s="11"/>
      <c r="AM1411" s="11"/>
      <c r="AN1411" s="11"/>
      <c r="AO1411" s="11"/>
      <c r="AP1411" s="11"/>
      <c r="AQ1411" s="11"/>
      <c r="AR1411" s="11"/>
      <c r="AS1411" s="11"/>
      <c r="AT1411" s="11"/>
      <c r="AU1411" s="11"/>
      <c r="AV1411" s="11"/>
      <c r="AW1411" s="11"/>
      <c r="AX1411" s="11"/>
      <c r="AY1411" s="11"/>
    </row>
    <row r="1412" spans="1:51" hidden="1" x14ac:dyDescent="0.2">
      <c r="A1412" s="6" t="s">
        <v>17</v>
      </c>
      <c r="B1412" t="s">
        <v>173</v>
      </c>
      <c r="C1412" t="s">
        <v>154</v>
      </c>
      <c r="D1412" t="s">
        <v>1850</v>
      </c>
      <c r="E1412" s="2">
        <v>27.8</v>
      </c>
      <c r="F1412" s="3">
        <f>DATE(2025,6,21)</f>
        <v>45829</v>
      </c>
      <c r="G1412" s="3">
        <f>DATE(2025,6,21)</f>
        <v>45829</v>
      </c>
      <c r="H1412">
        <v>2361724003</v>
      </c>
      <c r="I1412" t="s">
        <v>158</v>
      </c>
      <c r="K1412" t="s">
        <v>22</v>
      </c>
      <c r="L1412" t="s">
        <v>23</v>
      </c>
      <c r="M1412" t="s">
        <v>24</v>
      </c>
      <c r="N1412" t="s">
        <v>24</v>
      </c>
      <c r="O1412" t="s">
        <v>25</v>
      </c>
      <c r="P1412" s="8" t="s">
        <v>1851</v>
      </c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11"/>
      <c r="AG1412" s="11"/>
      <c r="AH1412" s="11"/>
      <c r="AI1412" s="11"/>
      <c r="AJ1412" s="11"/>
      <c r="AK1412" s="11"/>
      <c r="AL1412" s="11"/>
      <c r="AM1412" s="11"/>
      <c r="AN1412" s="11"/>
      <c r="AO1412" s="11"/>
      <c r="AP1412" s="11"/>
      <c r="AQ1412" s="11"/>
      <c r="AR1412" s="11"/>
      <c r="AS1412" s="11"/>
      <c r="AT1412" s="11"/>
      <c r="AU1412" s="11"/>
      <c r="AV1412" s="11"/>
      <c r="AW1412" s="11"/>
      <c r="AX1412" s="11"/>
      <c r="AY1412" s="11"/>
    </row>
    <row r="1413" spans="1:51" hidden="1" x14ac:dyDescent="0.2">
      <c r="A1413" s="6" t="s">
        <v>17</v>
      </c>
      <c r="B1413" t="s">
        <v>173</v>
      </c>
      <c r="C1413" t="s">
        <v>154</v>
      </c>
      <c r="D1413" t="s">
        <v>1852</v>
      </c>
      <c r="E1413" s="2">
        <v>7.99</v>
      </c>
      <c r="F1413" s="3">
        <f>DATE(2025,6,21)</f>
        <v>45829</v>
      </c>
      <c r="G1413" s="3">
        <f>DATE(2025,6,21)</f>
        <v>45829</v>
      </c>
      <c r="H1413">
        <v>2361724004</v>
      </c>
      <c r="I1413" t="s">
        <v>158</v>
      </c>
      <c r="K1413" t="s">
        <v>22</v>
      </c>
      <c r="L1413" t="s">
        <v>23</v>
      </c>
      <c r="M1413" t="s">
        <v>24</v>
      </c>
      <c r="N1413" t="s">
        <v>24</v>
      </c>
      <c r="O1413" t="s">
        <v>25</v>
      </c>
      <c r="P1413" s="8" t="s">
        <v>1853</v>
      </c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1"/>
      <c r="AF1413" s="11"/>
      <c r="AG1413" s="11"/>
      <c r="AH1413" s="11"/>
      <c r="AI1413" s="11"/>
      <c r="AJ1413" s="11"/>
      <c r="AK1413" s="11"/>
      <c r="AL1413" s="11"/>
      <c r="AM1413" s="11"/>
      <c r="AN1413" s="11"/>
      <c r="AO1413" s="11"/>
      <c r="AP1413" s="11"/>
      <c r="AQ1413" s="11"/>
      <c r="AR1413" s="11"/>
      <c r="AS1413" s="11"/>
      <c r="AT1413" s="11"/>
      <c r="AU1413" s="11"/>
      <c r="AV1413" s="11"/>
      <c r="AW1413" s="11"/>
      <c r="AX1413" s="11"/>
      <c r="AY1413" s="11"/>
    </row>
    <row r="1414" spans="1:51" hidden="1" x14ac:dyDescent="0.2">
      <c r="A1414" s="6"/>
      <c r="E1414" s="2"/>
      <c r="F1414" s="3"/>
      <c r="G1414" s="3"/>
      <c r="P1414" s="8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1"/>
      <c r="AF1414" s="11"/>
      <c r="AG1414" s="11"/>
      <c r="AH1414" s="11"/>
      <c r="AI1414" s="11"/>
      <c r="AJ1414" s="11"/>
      <c r="AK1414" s="11"/>
      <c r="AL1414" s="11"/>
      <c r="AM1414" s="11"/>
      <c r="AN1414" s="11"/>
      <c r="AO1414" s="11"/>
      <c r="AP1414" s="11"/>
      <c r="AQ1414" s="11"/>
      <c r="AR1414" s="11"/>
      <c r="AS1414" s="11"/>
      <c r="AT1414" s="11"/>
      <c r="AU1414" s="11"/>
      <c r="AV1414" s="11"/>
      <c r="AW1414" s="11"/>
      <c r="AX1414" s="11"/>
      <c r="AY1414" s="11"/>
    </row>
    <row r="1415" spans="1:51" hidden="1" x14ac:dyDescent="0.2">
      <c r="A1415" s="6"/>
      <c r="E1415" s="2"/>
      <c r="F1415" s="3"/>
      <c r="G1415" s="3"/>
      <c r="P1415" s="8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11"/>
      <c r="AG1415" s="11"/>
      <c r="AH1415" s="11"/>
      <c r="AI1415" s="11"/>
      <c r="AJ1415" s="11"/>
      <c r="AK1415" s="11"/>
      <c r="AL1415" s="11"/>
      <c r="AM1415" s="11"/>
      <c r="AN1415" s="11"/>
      <c r="AO1415" s="11"/>
      <c r="AP1415" s="11"/>
      <c r="AQ1415" s="11"/>
      <c r="AR1415" s="11"/>
      <c r="AS1415" s="11"/>
      <c r="AT1415" s="11"/>
      <c r="AU1415" s="11"/>
      <c r="AV1415" s="11"/>
      <c r="AW1415" s="11"/>
      <c r="AX1415" s="11"/>
      <c r="AY1415" s="11"/>
    </row>
    <row r="1416" spans="1:51" hidden="1" x14ac:dyDescent="0.2">
      <c r="A1416" s="6" t="s">
        <v>17</v>
      </c>
      <c r="B1416" t="s">
        <v>244</v>
      </c>
      <c r="C1416" t="s">
        <v>245</v>
      </c>
      <c r="D1416" t="s">
        <v>1854</v>
      </c>
      <c r="E1416" s="2">
        <v>960</v>
      </c>
      <c r="F1416" s="3">
        <f t="shared" ref="F1416:G1419" si="131">DATE(2025,6,24)</f>
        <v>45832</v>
      </c>
      <c r="G1416" s="3">
        <f t="shared" si="131"/>
        <v>45832</v>
      </c>
      <c r="H1416">
        <v>2361724007</v>
      </c>
      <c r="I1416" t="s">
        <v>21</v>
      </c>
      <c r="K1416" t="s">
        <v>22</v>
      </c>
      <c r="L1416" t="s">
        <v>23</v>
      </c>
      <c r="M1416" t="s">
        <v>24</v>
      </c>
      <c r="N1416" t="s">
        <v>24</v>
      </c>
      <c r="O1416" t="s">
        <v>25</v>
      </c>
      <c r="P1416" s="8" t="s">
        <v>1855</v>
      </c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1"/>
      <c r="AF1416" s="11"/>
      <c r="AG1416" s="11"/>
      <c r="AH1416" s="11"/>
      <c r="AI1416" s="11"/>
      <c r="AJ1416" s="11"/>
      <c r="AK1416" s="11"/>
      <c r="AL1416" s="11"/>
      <c r="AM1416" s="11"/>
      <c r="AN1416" s="11"/>
      <c r="AO1416" s="11"/>
      <c r="AP1416" s="11"/>
      <c r="AQ1416" s="11"/>
      <c r="AR1416" s="11"/>
      <c r="AS1416" s="11"/>
      <c r="AT1416" s="11"/>
      <c r="AU1416" s="11"/>
      <c r="AV1416" s="11"/>
      <c r="AW1416" s="11"/>
      <c r="AX1416" s="11"/>
      <c r="AY1416" s="11"/>
    </row>
    <row r="1417" spans="1:51" hidden="1" x14ac:dyDescent="0.2">
      <c r="A1417" s="6" t="s">
        <v>17</v>
      </c>
      <c r="B1417" t="s">
        <v>60</v>
      </c>
      <c r="C1417" t="s">
        <v>61</v>
      </c>
      <c r="D1417" t="s">
        <v>1856</v>
      </c>
      <c r="E1417" s="2">
        <v>1788.05</v>
      </c>
      <c r="F1417" s="3">
        <f t="shared" si="131"/>
        <v>45832</v>
      </c>
      <c r="G1417" s="3">
        <f t="shared" si="131"/>
        <v>45832</v>
      </c>
      <c r="H1417">
        <v>2361724008</v>
      </c>
      <c r="I1417" t="s">
        <v>21</v>
      </c>
      <c r="K1417" t="s">
        <v>22</v>
      </c>
      <c r="L1417" t="s">
        <v>23</v>
      </c>
      <c r="M1417" t="s">
        <v>24</v>
      </c>
      <c r="N1417" t="s">
        <v>24</v>
      </c>
      <c r="O1417" t="s">
        <v>25</v>
      </c>
      <c r="P1417" s="8" t="s">
        <v>1857</v>
      </c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11"/>
      <c r="AG1417" s="11"/>
      <c r="AH1417" s="11"/>
      <c r="AI1417" s="11"/>
      <c r="AJ1417" s="11"/>
      <c r="AK1417" s="11"/>
      <c r="AL1417" s="11"/>
      <c r="AM1417" s="11"/>
      <c r="AN1417" s="11"/>
      <c r="AO1417" s="11"/>
      <c r="AP1417" s="11"/>
      <c r="AQ1417" s="11"/>
      <c r="AR1417" s="11"/>
      <c r="AS1417" s="11"/>
      <c r="AT1417" s="11"/>
      <c r="AU1417" s="11"/>
      <c r="AV1417" s="11"/>
      <c r="AW1417" s="11"/>
      <c r="AX1417" s="11"/>
      <c r="AY1417" s="11"/>
    </row>
    <row r="1418" spans="1:51" hidden="1" x14ac:dyDescent="0.2">
      <c r="A1418" s="6" t="s">
        <v>17</v>
      </c>
      <c r="B1418" t="s">
        <v>35</v>
      </c>
      <c r="C1418" t="s">
        <v>35</v>
      </c>
      <c r="D1418" t="s">
        <v>1858</v>
      </c>
      <c r="E1418" s="2">
        <v>3.62</v>
      </c>
      <c r="F1418" s="3">
        <f t="shared" si="131"/>
        <v>45832</v>
      </c>
      <c r="G1418" s="3">
        <f t="shared" si="131"/>
        <v>45832</v>
      </c>
      <c r="H1418">
        <v>2361724009</v>
      </c>
      <c r="I1418" t="s">
        <v>21</v>
      </c>
      <c r="K1418" t="s">
        <v>22</v>
      </c>
      <c r="L1418" t="s">
        <v>23</v>
      </c>
      <c r="M1418" t="s">
        <v>24</v>
      </c>
      <c r="N1418" t="s">
        <v>24</v>
      </c>
      <c r="O1418" t="s">
        <v>25</v>
      </c>
      <c r="P1418" s="8" t="s">
        <v>1859</v>
      </c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1"/>
      <c r="AF1418" s="11"/>
      <c r="AG1418" s="11"/>
      <c r="AH1418" s="11"/>
      <c r="AI1418" s="11"/>
      <c r="AJ1418" s="11"/>
      <c r="AK1418" s="11"/>
      <c r="AL1418" s="11"/>
      <c r="AM1418" s="11"/>
      <c r="AN1418" s="11"/>
      <c r="AO1418" s="11"/>
      <c r="AP1418" s="11"/>
      <c r="AQ1418" s="11"/>
      <c r="AR1418" s="11"/>
      <c r="AS1418" s="11"/>
      <c r="AT1418" s="11"/>
      <c r="AU1418" s="11"/>
      <c r="AV1418" s="11"/>
      <c r="AW1418" s="11"/>
      <c r="AX1418" s="11"/>
      <c r="AY1418" s="11"/>
    </row>
    <row r="1419" spans="1:51" x14ac:dyDescent="0.2">
      <c r="A1419" s="6" t="s">
        <v>17</v>
      </c>
      <c r="B1419" t="s">
        <v>342</v>
      </c>
      <c r="C1419" t="s">
        <v>342</v>
      </c>
      <c r="D1419" t="s">
        <v>1860</v>
      </c>
      <c r="E1419" s="2">
        <v>1200</v>
      </c>
      <c r="F1419" s="3">
        <f t="shared" si="131"/>
        <v>45832</v>
      </c>
      <c r="G1419" s="3">
        <f t="shared" si="131"/>
        <v>45832</v>
      </c>
      <c r="H1419">
        <v>2361724010</v>
      </c>
      <c r="I1419" t="s">
        <v>21</v>
      </c>
      <c r="K1419" t="s">
        <v>22</v>
      </c>
      <c r="L1419" t="s">
        <v>23</v>
      </c>
      <c r="M1419" t="s">
        <v>24</v>
      </c>
      <c r="N1419" t="s">
        <v>24</v>
      </c>
      <c r="O1419" t="s">
        <v>25</v>
      </c>
      <c r="P1419" s="8" t="s">
        <v>1861</v>
      </c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11"/>
      <c r="AG1419" s="11"/>
      <c r="AH1419" s="11"/>
      <c r="AI1419" s="11"/>
      <c r="AJ1419" s="11"/>
      <c r="AK1419" s="11"/>
      <c r="AL1419" s="11"/>
      <c r="AM1419" s="11"/>
      <c r="AN1419" s="11"/>
      <c r="AO1419" s="11"/>
      <c r="AP1419" s="11"/>
      <c r="AQ1419" s="11"/>
      <c r="AR1419" s="11"/>
      <c r="AS1419" s="11"/>
      <c r="AT1419" s="11"/>
      <c r="AU1419" s="11"/>
      <c r="AV1419" s="11"/>
      <c r="AW1419" s="11"/>
      <c r="AX1419" s="11"/>
      <c r="AY1419" s="11"/>
    </row>
    <row r="1420" spans="1:51" x14ac:dyDescent="0.2">
      <c r="A1420" s="6" t="s">
        <v>17</v>
      </c>
      <c r="B1420" t="s">
        <v>342</v>
      </c>
      <c r="C1420" t="s">
        <v>342</v>
      </c>
      <c r="D1420" t="s">
        <v>1862</v>
      </c>
      <c r="E1420" s="2">
        <v>2112.36</v>
      </c>
      <c r="F1420" s="3">
        <f>DATE(2025,6,23)</f>
        <v>45831</v>
      </c>
      <c r="G1420" s="3">
        <f>DATE(2025,6,23)</f>
        <v>45831</v>
      </c>
      <c r="H1420">
        <v>2361724011</v>
      </c>
      <c r="I1420" t="s">
        <v>21</v>
      </c>
      <c r="K1420" t="s">
        <v>22</v>
      </c>
      <c r="L1420" t="s">
        <v>23</v>
      </c>
      <c r="M1420" t="s">
        <v>24</v>
      </c>
      <c r="N1420" t="s">
        <v>24</v>
      </c>
      <c r="O1420" t="s">
        <v>25</v>
      </c>
      <c r="P1420" s="8" t="s">
        <v>1863</v>
      </c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11"/>
      <c r="AG1420" s="11"/>
      <c r="AH1420" s="11"/>
      <c r="AI1420" s="11"/>
      <c r="AJ1420" s="11"/>
      <c r="AK1420" s="11"/>
      <c r="AL1420" s="11"/>
      <c r="AM1420" s="11"/>
      <c r="AN1420" s="11"/>
      <c r="AO1420" s="11"/>
      <c r="AP1420" s="11"/>
      <c r="AQ1420" s="11"/>
      <c r="AR1420" s="11"/>
      <c r="AS1420" s="11"/>
      <c r="AT1420" s="11"/>
      <c r="AU1420" s="11"/>
      <c r="AV1420" s="11"/>
      <c r="AW1420" s="11"/>
      <c r="AX1420" s="11"/>
      <c r="AY1420" s="11"/>
    </row>
    <row r="1421" spans="1:51" hidden="1" x14ac:dyDescent="0.2">
      <c r="A1421" s="6"/>
      <c r="E1421" s="2"/>
      <c r="F1421" s="3"/>
      <c r="G1421" s="3"/>
      <c r="P1421" s="8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  <c r="AJ1421" s="11"/>
      <c r="AK1421" s="11"/>
      <c r="AL1421" s="11"/>
      <c r="AM1421" s="11"/>
      <c r="AN1421" s="11"/>
      <c r="AO1421" s="11"/>
      <c r="AP1421" s="11"/>
      <c r="AQ1421" s="11"/>
      <c r="AR1421" s="11"/>
      <c r="AS1421" s="11"/>
      <c r="AT1421" s="11"/>
      <c r="AU1421" s="11"/>
      <c r="AV1421" s="11"/>
      <c r="AW1421" s="11"/>
      <c r="AX1421" s="11"/>
      <c r="AY1421" s="11"/>
    </row>
    <row r="1422" spans="1:51" hidden="1" x14ac:dyDescent="0.2">
      <c r="A1422" s="6" t="s">
        <v>17</v>
      </c>
      <c r="B1422" t="s">
        <v>90</v>
      </c>
      <c r="C1422" t="s">
        <v>91</v>
      </c>
      <c r="D1422" t="s">
        <v>1864</v>
      </c>
      <c r="E1422" s="2">
        <v>600</v>
      </c>
      <c r="F1422" s="3">
        <f t="shared" ref="F1422:G1424" si="132">DATE(2025,6,24)</f>
        <v>45832</v>
      </c>
      <c r="G1422" s="3">
        <f t="shared" si="132"/>
        <v>45832</v>
      </c>
      <c r="H1422">
        <v>2361724013</v>
      </c>
      <c r="I1422" t="s">
        <v>21</v>
      </c>
      <c r="K1422" t="s">
        <v>22</v>
      </c>
      <c r="L1422" t="s">
        <v>23</v>
      </c>
      <c r="M1422" t="s">
        <v>24</v>
      </c>
      <c r="N1422" t="s">
        <v>24</v>
      </c>
      <c r="O1422" t="s">
        <v>25</v>
      </c>
      <c r="P1422" s="8" t="s">
        <v>1865</v>
      </c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  <c r="AS1422" s="11"/>
      <c r="AT1422" s="11"/>
      <c r="AU1422" s="11"/>
      <c r="AV1422" s="11"/>
      <c r="AW1422" s="11"/>
      <c r="AX1422" s="11"/>
      <c r="AY1422" s="11"/>
    </row>
    <row r="1423" spans="1:51" hidden="1" x14ac:dyDescent="0.2">
      <c r="A1423" s="6"/>
      <c r="E1423" s="2"/>
      <c r="F1423" s="3"/>
      <c r="G1423" s="3"/>
      <c r="P1423" s="8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1"/>
      <c r="AF1423" s="11"/>
      <c r="AG1423" s="11"/>
      <c r="AH1423" s="11"/>
      <c r="AI1423" s="11"/>
      <c r="AJ1423" s="11"/>
      <c r="AK1423" s="11"/>
      <c r="AL1423" s="11"/>
      <c r="AM1423" s="11"/>
      <c r="AN1423" s="11"/>
      <c r="AO1423" s="11"/>
      <c r="AP1423" s="11"/>
      <c r="AQ1423" s="11"/>
      <c r="AR1423" s="11"/>
      <c r="AS1423" s="11"/>
      <c r="AT1423" s="11"/>
      <c r="AU1423" s="11"/>
      <c r="AV1423" s="11"/>
      <c r="AW1423" s="11"/>
      <c r="AX1423" s="11"/>
      <c r="AY1423" s="11"/>
    </row>
    <row r="1424" spans="1:51" hidden="1" x14ac:dyDescent="0.2">
      <c r="A1424" s="6" t="s">
        <v>17</v>
      </c>
      <c r="B1424" t="s">
        <v>825</v>
      </c>
      <c r="C1424" t="s">
        <v>826</v>
      </c>
      <c r="D1424" t="s">
        <v>1866</v>
      </c>
      <c r="E1424" s="2">
        <v>1372.45</v>
      </c>
      <c r="F1424" s="3">
        <f t="shared" si="132"/>
        <v>45832</v>
      </c>
      <c r="G1424" s="3">
        <f t="shared" si="132"/>
        <v>45832</v>
      </c>
      <c r="H1424">
        <v>2361724015</v>
      </c>
      <c r="I1424" t="s">
        <v>21</v>
      </c>
      <c r="K1424" t="s">
        <v>22</v>
      </c>
      <c r="L1424" t="s">
        <v>23</v>
      </c>
      <c r="M1424" t="s">
        <v>24</v>
      </c>
      <c r="N1424" t="s">
        <v>24</v>
      </c>
      <c r="O1424" t="s">
        <v>25</v>
      </c>
      <c r="P1424" s="8" t="s">
        <v>1867</v>
      </c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s="11"/>
      <c r="AR1424" s="11"/>
      <c r="AS1424" s="11"/>
      <c r="AT1424" s="11"/>
      <c r="AU1424" s="11"/>
      <c r="AV1424" s="11"/>
      <c r="AW1424" s="11"/>
      <c r="AX1424" s="11"/>
      <c r="AY1424" s="11"/>
    </row>
    <row r="1425" spans="1:51" hidden="1" x14ac:dyDescent="0.2">
      <c r="A1425" s="6"/>
      <c r="E1425" s="2"/>
      <c r="F1425" s="3"/>
      <c r="G1425" s="3"/>
      <c r="P1425" s="8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1"/>
      <c r="AJ1425" s="11"/>
      <c r="AK1425" s="11"/>
      <c r="AL1425" s="11"/>
      <c r="AM1425" s="11"/>
      <c r="AN1425" s="11"/>
      <c r="AO1425" s="11"/>
      <c r="AP1425" s="11"/>
      <c r="AQ1425" s="11"/>
      <c r="AR1425" s="11"/>
      <c r="AS1425" s="11"/>
      <c r="AT1425" s="11"/>
      <c r="AU1425" s="11"/>
      <c r="AV1425" s="11"/>
      <c r="AW1425" s="11"/>
      <c r="AX1425" s="11"/>
      <c r="AY1425" s="11"/>
    </row>
    <row r="1426" spans="1:51" hidden="1" x14ac:dyDescent="0.2">
      <c r="A1426" s="6" t="s">
        <v>17</v>
      </c>
      <c r="B1426" t="s">
        <v>287</v>
      </c>
      <c r="C1426" t="s">
        <v>288</v>
      </c>
      <c r="D1426" t="s">
        <v>1868</v>
      </c>
      <c r="E1426" s="2">
        <v>719</v>
      </c>
      <c r="F1426" s="3">
        <f t="shared" ref="F1426:G1431" si="133">DATE(2025,6,24)</f>
        <v>45832</v>
      </c>
      <c r="G1426" s="3">
        <f t="shared" si="133"/>
        <v>45832</v>
      </c>
      <c r="H1426">
        <v>2361724017</v>
      </c>
      <c r="I1426" t="s">
        <v>21</v>
      </c>
      <c r="K1426" t="s">
        <v>22</v>
      </c>
      <c r="L1426" t="s">
        <v>23</v>
      </c>
      <c r="M1426" t="s">
        <v>24</v>
      </c>
      <c r="N1426" t="s">
        <v>24</v>
      </c>
      <c r="O1426" t="s">
        <v>25</v>
      </c>
      <c r="P1426" s="8" t="s">
        <v>1869</v>
      </c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  <c r="AF1426" s="11"/>
      <c r="AG1426" s="11"/>
      <c r="AH1426" s="11"/>
      <c r="AI1426" s="11"/>
      <c r="AJ1426" s="11"/>
      <c r="AK1426" s="11"/>
      <c r="AL1426" s="11"/>
      <c r="AM1426" s="11"/>
      <c r="AN1426" s="11"/>
      <c r="AO1426" s="11"/>
      <c r="AP1426" s="11"/>
      <c r="AQ1426" s="11"/>
      <c r="AR1426" s="11"/>
      <c r="AS1426" s="11"/>
      <c r="AT1426" s="11"/>
      <c r="AU1426" s="11"/>
      <c r="AV1426" s="11"/>
      <c r="AW1426" s="11"/>
      <c r="AX1426" s="11"/>
      <c r="AY1426" s="11"/>
    </row>
    <row r="1427" spans="1:51" x14ac:dyDescent="0.2">
      <c r="A1427" s="6" t="s">
        <v>17</v>
      </c>
      <c r="B1427" t="s">
        <v>342</v>
      </c>
      <c r="C1427" t="s">
        <v>342</v>
      </c>
      <c r="D1427" t="s">
        <v>1870</v>
      </c>
      <c r="E1427" s="2">
        <v>343.2</v>
      </c>
      <c r="F1427" s="3">
        <f t="shared" si="133"/>
        <v>45832</v>
      </c>
      <c r="G1427" s="3">
        <f t="shared" si="133"/>
        <v>45832</v>
      </c>
      <c r="H1427">
        <v>2361724018</v>
      </c>
      <c r="I1427" t="s">
        <v>21</v>
      </c>
      <c r="K1427" t="s">
        <v>22</v>
      </c>
      <c r="L1427" t="s">
        <v>23</v>
      </c>
      <c r="M1427" t="s">
        <v>24</v>
      </c>
      <c r="N1427" t="s">
        <v>24</v>
      </c>
      <c r="O1427" t="s">
        <v>25</v>
      </c>
      <c r="P1427" s="8" t="s">
        <v>1871</v>
      </c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11"/>
      <c r="AG1427" s="11"/>
      <c r="AH1427" s="11"/>
      <c r="AI1427" s="11"/>
      <c r="AJ1427" s="11"/>
      <c r="AK1427" s="11"/>
      <c r="AL1427" s="11"/>
      <c r="AM1427" s="11"/>
      <c r="AN1427" s="11"/>
      <c r="AO1427" s="11"/>
      <c r="AP1427" s="11"/>
      <c r="AQ1427" s="11"/>
      <c r="AR1427" s="11"/>
      <c r="AS1427" s="11"/>
      <c r="AT1427" s="11"/>
      <c r="AU1427" s="11"/>
      <c r="AV1427" s="11"/>
      <c r="AW1427" s="11"/>
      <c r="AX1427" s="11"/>
      <c r="AY1427" s="11"/>
    </row>
    <row r="1428" spans="1:51" hidden="1" x14ac:dyDescent="0.2">
      <c r="A1428" s="6" t="s">
        <v>17</v>
      </c>
      <c r="B1428" t="s">
        <v>18</v>
      </c>
      <c r="C1428" t="s">
        <v>19</v>
      </c>
      <c r="D1428" t="s">
        <v>1872</v>
      </c>
      <c r="E1428" s="2">
        <v>467.64</v>
      </c>
      <c r="F1428" s="3">
        <f t="shared" si="133"/>
        <v>45832</v>
      </c>
      <c r="G1428" s="3">
        <f t="shared" si="133"/>
        <v>45832</v>
      </c>
      <c r="H1428">
        <v>2361724019</v>
      </c>
      <c r="I1428" t="s">
        <v>21</v>
      </c>
      <c r="K1428" t="s">
        <v>22</v>
      </c>
      <c r="L1428" t="s">
        <v>23</v>
      </c>
      <c r="M1428" t="s">
        <v>24</v>
      </c>
      <c r="N1428" t="s">
        <v>24</v>
      </c>
      <c r="O1428" t="s">
        <v>25</v>
      </c>
      <c r="P1428" s="8" t="s">
        <v>1873</v>
      </c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11"/>
      <c r="AG1428" s="11"/>
      <c r="AH1428" s="11"/>
      <c r="AI1428" s="11"/>
      <c r="AJ1428" s="11"/>
      <c r="AK1428" s="11"/>
      <c r="AL1428" s="11"/>
      <c r="AM1428" s="11"/>
      <c r="AN1428" s="11"/>
      <c r="AO1428" s="11"/>
      <c r="AP1428" s="11"/>
      <c r="AQ1428" s="11"/>
      <c r="AR1428" s="11"/>
      <c r="AS1428" s="11"/>
      <c r="AT1428" s="11"/>
      <c r="AU1428" s="11"/>
      <c r="AV1428" s="11"/>
      <c r="AW1428" s="11"/>
      <c r="AX1428" s="11"/>
      <c r="AY1428" s="11"/>
    </row>
    <row r="1429" spans="1:51" hidden="1" x14ac:dyDescent="0.2">
      <c r="A1429" s="6"/>
      <c r="E1429" s="2"/>
      <c r="F1429" s="3"/>
      <c r="G1429" s="3"/>
      <c r="P1429" s="8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11"/>
      <c r="AG1429" s="11"/>
      <c r="AH1429" s="11"/>
      <c r="AI1429" s="11"/>
      <c r="AJ1429" s="11"/>
      <c r="AK1429" s="11"/>
      <c r="AL1429" s="11"/>
      <c r="AM1429" s="11"/>
      <c r="AN1429" s="11"/>
      <c r="AO1429" s="11"/>
      <c r="AP1429" s="11"/>
      <c r="AQ1429" s="11"/>
      <c r="AR1429" s="11"/>
      <c r="AS1429" s="11"/>
      <c r="AT1429" s="11"/>
      <c r="AU1429" s="11"/>
      <c r="AV1429" s="11"/>
      <c r="AW1429" s="11"/>
      <c r="AX1429" s="11"/>
      <c r="AY1429" s="11"/>
    </row>
    <row r="1430" spans="1:51" hidden="1" x14ac:dyDescent="0.2">
      <c r="A1430" s="6" t="s">
        <v>17</v>
      </c>
      <c r="B1430" t="s">
        <v>878</v>
      </c>
      <c r="C1430" t="s">
        <v>879</v>
      </c>
      <c r="D1430" t="s">
        <v>1874</v>
      </c>
      <c r="E1430" s="2">
        <v>1682.43</v>
      </c>
      <c r="F1430" s="3">
        <f t="shared" si="133"/>
        <v>45832</v>
      </c>
      <c r="G1430" s="3">
        <f t="shared" si="133"/>
        <v>45832</v>
      </c>
      <c r="H1430">
        <v>2361724021</v>
      </c>
      <c r="I1430" t="s">
        <v>21</v>
      </c>
      <c r="K1430" t="s">
        <v>22</v>
      </c>
      <c r="L1430" t="s">
        <v>23</v>
      </c>
      <c r="M1430" t="s">
        <v>24</v>
      </c>
      <c r="N1430" t="s">
        <v>24</v>
      </c>
      <c r="O1430" t="s">
        <v>25</v>
      </c>
      <c r="P1430" s="8" t="s">
        <v>1875</v>
      </c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11"/>
      <c r="AG1430" s="11"/>
      <c r="AH1430" s="11"/>
      <c r="AI1430" s="11"/>
      <c r="AJ1430" s="11"/>
      <c r="AK1430" s="11"/>
      <c r="AL1430" s="11"/>
      <c r="AM1430" s="11"/>
      <c r="AN1430" s="11"/>
      <c r="AO1430" s="11"/>
      <c r="AP1430" s="11"/>
      <c r="AQ1430" s="11"/>
      <c r="AR1430" s="11"/>
      <c r="AS1430" s="11"/>
      <c r="AT1430" s="11"/>
      <c r="AU1430" s="11"/>
      <c r="AV1430" s="11"/>
      <c r="AW1430" s="11"/>
      <c r="AX1430" s="11"/>
      <c r="AY1430" s="11"/>
    </row>
    <row r="1431" spans="1:51" x14ac:dyDescent="0.2">
      <c r="A1431" s="6" t="s">
        <v>17</v>
      </c>
      <c r="B1431" t="s">
        <v>342</v>
      </c>
      <c r="C1431" t="s">
        <v>342</v>
      </c>
      <c r="D1431" t="s">
        <v>1876</v>
      </c>
      <c r="E1431" s="2">
        <v>4000</v>
      </c>
      <c r="F1431" s="3">
        <f t="shared" si="133"/>
        <v>45832</v>
      </c>
      <c r="G1431" s="3">
        <f t="shared" si="133"/>
        <v>45832</v>
      </c>
      <c r="H1431">
        <v>2361724022</v>
      </c>
      <c r="I1431" t="s">
        <v>21</v>
      </c>
      <c r="K1431" t="s">
        <v>22</v>
      </c>
      <c r="L1431" t="s">
        <v>23</v>
      </c>
      <c r="M1431" t="s">
        <v>24</v>
      </c>
      <c r="N1431" t="s">
        <v>24</v>
      </c>
      <c r="O1431" t="s">
        <v>25</v>
      </c>
      <c r="P1431" s="8" t="s">
        <v>1877</v>
      </c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11"/>
      <c r="AG1431" s="11"/>
      <c r="AH1431" s="11"/>
      <c r="AI1431" s="11"/>
      <c r="AJ1431" s="11"/>
      <c r="AK1431" s="11"/>
      <c r="AL1431" s="11"/>
      <c r="AM1431" s="11"/>
      <c r="AN1431" s="11"/>
      <c r="AO1431" s="11"/>
      <c r="AP1431" s="11"/>
      <c r="AQ1431" s="11"/>
      <c r="AR1431" s="11"/>
      <c r="AS1431" s="11"/>
      <c r="AT1431" s="11"/>
      <c r="AU1431" s="11"/>
      <c r="AV1431" s="11"/>
      <c r="AW1431" s="11"/>
      <c r="AX1431" s="11"/>
      <c r="AY1431" s="11"/>
    </row>
    <row r="1432" spans="1:51" hidden="1" x14ac:dyDescent="0.2">
      <c r="A1432" s="6"/>
      <c r="E1432" s="2"/>
      <c r="F1432" s="3"/>
      <c r="G1432" s="3"/>
      <c r="P1432" s="8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11"/>
      <c r="AG1432" s="11"/>
      <c r="AH1432" s="11"/>
      <c r="AI1432" s="11"/>
      <c r="AJ1432" s="11"/>
      <c r="AK1432" s="11"/>
      <c r="AL1432" s="11"/>
      <c r="AM1432" s="11"/>
      <c r="AN1432" s="11"/>
      <c r="AO1432" s="11"/>
      <c r="AP1432" s="11"/>
      <c r="AQ1432" s="11"/>
      <c r="AR1432" s="11"/>
      <c r="AS1432" s="11"/>
      <c r="AT1432" s="11"/>
      <c r="AU1432" s="11"/>
      <c r="AV1432" s="11"/>
      <c r="AW1432" s="11"/>
      <c r="AX1432" s="11"/>
      <c r="AY1432" s="11"/>
    </row>
    <row r="1433" spans="1:51" hidden="1" x14ac:dyDescent="0.2">
      <c r="A1433" s="6"/>
      <c r="E1433" s="2"/>
      <c r="F1433" s="3"/>
      <c r="G1433" s="3"/>
      <c r="P1433" s="8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11"/>
      <c r="AG1433" s="11"/>
      <c r="AH1433" s="11"/>
      <c r="AI1433" s="11"/>
      <c r="AJ1433" s="11"/>
      <c r="AK1433" s="11"/>
      <c r="AL1433" s="11"/>
      <c r="AM1433" s="11"/>
      <c r="AN1433" s="11"/>
      <c r="AO1433" s="11"/>
      <c r="AP1433" s="11"/>
      <c r="AQ1433" s="11"/>
      <c r="AR1433" s="11"/>
      <c r="AS1433" s="11"/>
      <c r="AT1433" s="11"/>
      <c r="AU1433" s="11"/>
      <c r="AV1433" s="11"/>
      <c r="AW1433" s="11"/>
      <c r="AX1433" s="11"/>
      <c r="AY1433" s="11"/>
    </row>
    <row r="1434" spans="1:51" hidden="1" x14ac:dyDescent="0.2">
      <c r="A1434" s="6"/>
      <c r="E1434" s="2"/>
      <c r="F1434" s="3"/>
      <c r="G1434" s="3"/>
      <c r="P1434" s="8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11"/>
      <c r="AG1434" s="11"/>
      <c r="AH1434" s="11"/>
      <c r="AI1434" s="11"/>
      <c r="AJ1434" s="11"/>
      <c r="AK1434" s="11"/>
      <c r="AL1434" s="11"/>
      <c r="AM1434" s="11"/>
      <c r="AN1434" s="11"/>
      <c r="AO1434" s="11"/>
      <c r="AP1434" s="11"/>
      <c r="AQ1434" s="11"/>
      <c r="AR1434" s="11"/>
      <c r="AS1434" s="11"/>
      <c r="AT1434" s="11"/>
      <c r="AU1434" s="11"/>
      <c r="AV1434" s="11"/>
      <c r="AW1434" s="11"/>
      <c r="AX1434" s="11"/>
      <c r="AY1434" s="11"/>
    </row>
    <row r="1435" spans="1:51" hidden="1" x14ac:dyDescent="0.2">
      <c r="A1435" s="6" t="s">
        <v>17</v>
      </c>
      <c r="B1435" t="s">
        <v>31</v>
      </c>
      <c r="C1435" t="s">
        <v>32</v>
      </c>
      <c r="D1435" t="s">
        <v>1878</v>
      </c>
      <c r="E1435" s="2">
        <v>69.98</v>
      </c>
      <c r="F1435" s="3">
        <f>DATE(2025,6,23)</f>
        <v>45831</v>
      </c>
      <c r="G1435" s="3">
        <f>DATE(2025,6,23)</f>
        <v>45831</v>
      </c>
      <c r="H1435">
        <v>2361724026</v>
      </c>
      <c r="I1435" t="s">
        <v>21</v>
      </c>
      <c r="K1435" t="s">
        <v>22</v>
      </c>
      <c r="L1435" t="s">
        <v>23</v>
      </c>
      <c r="M1435" t="s">
        <v>24</v>
      </c>
      <c r="N1435" t="s">
        <v>24</v>
      </c>
      <c r="O1435" t="s">
        <v>25</v>
      </c>
      <c r="P1435" s="8" t="s">
        <v>1879</v>
      </c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1"/>
      <c r="AF1435" s="11"/>
      <c r="AG1435" s="11"/>
      <c r="AH1435" s="11"/>
      <c r="AI1435" s="11"/>
      <c r="AJ1435" s="11"/>
      <c r="AK1435" s="11"/>
      <c r="AL1435" s="11"/>
      <c r="AM1435" s="11"/>
      <c r="AN1435" s="11"/>
      <c r="AO1435" s="11"/>
      <c r="AP1435" s="11"/>
      <c r="AQ1435" s="11"/>
      <c r="AR1435" s="11"/>
      <c r="AS1435" s="11"/>
      <c r="AT1435" s="11"/>
      <c r="AU1435" s="11"/>
      <c r="AV1435" s="11"/>
      <c r="AW1435" s="11"/>
      <c r="AX1435" s="11"/>
      <c r="AY1435" s="11"/>
    </row>
    <row r="1436" spans="1:51" hidden="1" x14ac:dyDescent="0.2">
      <c r="A1436" s="6"/>
      <c r="E1436" s="2"/>
      <c r="F1436" s="3"/>
      <c r="G1436" s="3"/>
      <c r="P1436" s="8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11"/>
      <c r="AG1436" s="11"/>
      <c r="AH1436" s="11"/>
      <c r="AI1436" s="11"/>
      <c r="AJ1436" s="11"/>
      <c r="AK1436" s="11"/>
      <c r="AL1436" s="11"/>
      <c r="AM1436" s="11"/>
      <c r="AN1436" s="11"/>
      <c r="AO1436" s="11"/>
      <c r="AP1436" s="11"/>
      <c r="AQ1436" s="11"/>
      <c r="AR1436" s="11"/>
      <c r="AS1436" s="11"/>
      <c r="AT1436" s="11"/>
      <c r="AU1436" s="11"/>
      <c r="AV1436" s="11"/>
      <c r="AW1436" s="11"/>
      <c r="AX1436" s="11"/>
      <c r="AY1436" s="11"/>
    </row>
    <row r="1437" spans="1:51" hidden="1" x14ac:dyDescent="0.2">
      <c r="A1437" s="6" t="s">
        <v>17</v>
      </c>
      <c r="B1437" t="s">
        <v>825</v>
      </c>
      <c r="C1437" t="s">
        <v>826</v>
      </c>
      <c r="D1437" t="s">
        <v>1880</v>
      </c>
      <c r="E1437" s="2">
        <v>280.63</v>
      </c>
      <c r="F1437" s="3">
        <f t="shared" ref="F1437:G1439" si="134">DATE(2025,6,24)</f>
        <v>45832</v>
      </c>
      <c r="G1437" s="3">
        <f t="shared" si="134"/>
        <v>45832</v>
      </c>
      <c r="H1437">
        <v>2361724028</v>
      </c>
      <c r="I1437" t="s">
        <v>21</v>
      </c>
      <c r="K1437" t="s">
        <v>22</v>
      </c>
      <c r="L1437" t="s">
        <v>23</v>
      </c>
      <c r="M1437" t="s">
        <v>24</v>
      </c>
      <c r="N1437" t="s">
        <v>24</v>
      </c>
      <c r="O1437" t="s">
        <v>25</v>
      </c>
      <c r="P1437" s="8" t="s">
        <v>1881</v>
      </c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11"/>
      <c r="AG1437" s="11"/>
      <c r="AH1437" s="11"/>
      <c r="AI1437" s="11"/>
      <c r="AJ1437" s="11"/>
      <c r="AK1437" s="11"/>
      <c r="AL1437" s="11"/>
      <c r="AM1437" s="11"/>
      <c r="AN1437" s="11"/>
      <c r="AO1437" s="11"/>
      <c r="AP1437" s="11"/>
      <c r="AQ1437" s="11"/>
      <c r="AR1437" s="11"/>
      <c r="AS1437" s="11"/>
      <c r="AT1437" s="11"/>
      <c r="AU1437" s="11"/>
      <c r="AV1437" s="11"/>
      <c r="AW1437" s="11"/>
      <c r="AX1437" s="11"/>
      <c r="AY1437" s="11"/>
    </row>
    <row r="1438" spans="1:51" hidden="1" x14ac:dyDescent="0.2">
      <c r="A1438" s="6" t="s">
        <v>17</v>
      </c>
      <c r="B1438" t="s">
        <v>60</v>
      </c>
      <c r="C1438" t="s">
        <v>61</v>
      </c>
      <c r="D1438" t="s">
        <v>1882</v>
      </c>
      <c r="E1438" s="2">
        <v>248.86</v>
      </c>
      <c r="F1438" s="3">
        <f t="shared" si="134"/>
        <v>45832</v>
      </c>
      <c r="G1438" s="3">
        <f t="shared" si="134"/>
        <v>45832</v>
      </c>
      <c r="H1438">
        <v>2361724029</v>
      </c>
      <c r="I1438" t="s">
        <v>21</v>
      </c>
      <c r="K1438" t="s">
        <v>22</v>
      </c>
      <c r="L1438" t="s">
        <v>23</v>
      </c>
      <c r="M1438" t="s">
        <v>24</v>
      </c>
      <c r="N1438" t="s">
        <v>24</v>
      </c>
      <c r="O1438" t="s">
        <v>25</v>
      </c>
      <c r="P1438" s="8" t="s">
        <v>1883</v>
      </c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1"/>
      <c r="AF1438" s="11"/>
      <c r="AG1438" s="11"/>
      <c r="AH1438" s="11"/>
      <c r="AI1438" s="11"/>
      <c r="AJ1438" s="11"/>
      <c r="AK1438" s="11"/>
      <c r="AL1438" s="11"/>
      <c r="AM1438" s="11"/>
      <c r="AN1438" s="11"/>
      <c r="AO1438" s="11"/>
      <c r="AP1438" s="11"/>
      <c r="AQ1438" s="11"/>
      <c r="AR1438" s="11"/>
      <c r="AS1438" s="11"/>
      <c r="AT1438" s="11"/>
      <c r="AU1438" s="11"/>
      <c r="AV1438" s="11"/>
      <c r="AW1438" s="11"/>
      <c r="AX1438" s="11"/>
      <c r="AY1438" s="11"/>
    </row>
    <row r="1439" spans="1:51" hidden="1" x14ac:dyDescent="0.2">
      <c r="A1439" s="6" t="s">
        <v>17</v>
      </c>
      <c r="B1439" t="s">
        <v>589</v>
      </c>
      <c r="C1439" t="s">
        <v>590</v>
      </c>
      <c r="D1439" t="s">
        <v>1884</v>
      </c>
      <c r="E1439" s="2">
        <v>969.19</v>
      </c>
      <c r="F1439" s="3">
        <f t="shared" si="134"/>
        <v>45832</v>
      </c>
      <c r="G1439" s="3">
        <f t="shared" si="134"/>
        <v>45832</v>
      </c>
      <c r="H1439">
        <v>2361724030</v>
      </c>
      <c r="I1439" t="s">
        <v>21</v>
      </c>
      <c r="K1439" t="s">
        <v>22</v>
      </c>
      <c r="L1439" t="s">
        <v>23</v>
      </c>
      <c r="M1439" t="s">
        <v>24</v>
      </c>
      <c r="N1439" t="s">
        <v>24</v>
      </c>
      <c r="O1439" t="s">
        <v>25</v>
      </c>
      <c r="P1439" s="8" t="s">
        <v>1885</v>
      </c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1"/>
      <c r="AF1439" s="11"/>
      <c r="AG1439" s="11"/>
      <c r="AH1439" s="11"/>
      <c r="AI1439" s="11"/>
      <c r="AJ1439" s="11"/>
      <c r="AK1439" s="11"/>
      <c r="AL1439" s="11"/>
      <c r="AM1439" s="11"/>
      <c r="AN1439" s="11"/>
      <c r="AO1439" s="11"/>
      <c r="AP1439" s="11"/>
      <c r="AQ1439" s="11"/>
      <c r="AR1439" s="11"/>
      <c r="AS1439" s="11"/>
      <c r="AT1439" s="11"/>
      <c r="AU1439" s="11"/>
      <c r="AV1439" s="11"/>
      <c r="AW1439" s="11"/>
      <c r="AX1439" s="11"/>
      <c r="AY1439" s="11"/>
    </row>
    <row r="1440" spans="1:51" hidden="1" x14ac:dyDescent="0.2">
      <c r="A1440" s="6"/>
      <c r="E1440" s="2"/>
      <c r="F1440" s="3"/>
      <c r="G1440" s="3"/>
      <c r="P1440" s="8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  <c r="AH1440" s="11"/>
      <c r="AI1440" s="11"/>
      <c r="AJ1440" s="11"/>
      <c r="AK1440" s="11"/>
      <c r="AL1440" s="11"/>
      <c r="AM1440" s="11"/>
      <c r="AN1440" s="11"/>
      <c r="AO1440" s="11"/>
      <c r="AP1440" s="11"/>
      <c r="AQ1440" s="11"/>
      <c r="AR1440" s="11"/>
      <c r="AS1440" s="11"/>
      <c r="AT1440" s="11"/>
      <c r="AU1440" s="11"/>
      <c r="AV1440" s="11"/>
      <c r="AW1440" s="11"/>
      <c r="AX1440" s="11"/>
      <c r="AY1440" s="11"/>
    </row>
    <row r="1441" spans="1:51" hidden="1" x14ac:dyDescent="0.2">
      <c r="A1441" s="6"/>
      <c r="E1441" s="2"/>
      <c r="F1441" s="3"/>
      <c r="G1441" s="3"/>
      <c r="P1441" s="8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1"/>
      <c r="AF1441" s="11"/>
      <c r="AG1441" s="11"/>
      <c r="AH1441" s="11"/>
      <c r="AI1441" s="11"/>
      <c r="AJ1441" s="11"/>
      <c r="AK1441" s="11"/>
      <c r="AL1441" s="11"/>
      <c r="AM1441" s="11"/>
      <c r="AN1441" s="11"/>
      <c r="AO1441" s="11"/>
      <c r="AP1441" s="11"/>
      <c r="AQ1441" s="11"/>
      <c r="AR1441" s="11"/>
      <c r="AS1441" s="11"/>
      <c r="AT1441" s="11"/>
      <c r="AU1441" s="11"/>
      <c r="AV1441" s="11"/>
      <c r="AW1441" s="11"/>
      <c r="AX1441" s="11"/>
      <c r="AY1441" s="11"/>
    </row>
    <row r="1442" spans="1:51" hidden="1" x14ac:dyDescent="0.2">
      <c r="A1442" s="6" t="s">
        <v>17</v>
      </c>
      <c r="B1442" t="s">
        <v>50</v>
      </c>
      <c r="C1442" t="s">
        <v>51</v>
      </c>
      <c r="D1442" t="s">
        <v>1886</v>
      </c>
      <c r="E1442" s="2">
        <v>304.57</v>
      </c>
      <c r="F1442" s="3">
        <f t="shared" ref="F1442:G1442" si="135">DATE(2025,6,24)</f>
        <v>45832</v>
      </c>
      <c r="G1442" s="3">
        <f t="shared" si="135"/>
        <v>45832</v>
      </c>
      <c r="H1442">
        <v>2361724033</v>
      </c>
      <c r="I1442" t="s">
        <v>21</v>
      </c>
      <c r="K1442" t="s">
        <v>22</v>
      </c>
      <c r="L1442" t="s">
        <v>23</v>
      </c>
      <c r="M1442" t="s">
        <v>24</v>
      </c>
      <c r="N1442" t="s">
        <v>24</v>
      </c>
      <c r="O1442" t="s">
        <v>25</v>
      </c>
      <c r="P1442" s="8" t="s">
        <v>1887</v>
      </c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  <c r="AG1442" s="11"/>
      <c r="AH1442" s="11"/>
      <c r="AI1442" s="11"/>
      <c r="AJ1442" s="11"/>
      <c r="AK1442" s="11"/>
      <c r="AL1442" s="11"/>
      <c r="AM1442" s="11"/>
      <c r="AN1442" s="11"/>
      <c r="AO1442" s="11"/>
      <c r="AP1442" s="11"/>
      <c r="AQ1442" s="11"/>
      <c r="AR1442" s="11"/>
      <c r="AS1442" s="11"/>
      <c r="AT1442" s="11"/>
      <c r="AU1442" s="11"/>
      <c r="AV1442" s="11"/>
      <c r="AW1442" s="11"/>
      <c r="AX1442" s="11"/>
      <c r="AY1442" s="11"/>
    </row>
    <row r="1443" spans="1:51" hidden="1" x14ac:dyDescent="0.2">
      <c r="A1443" s="6"/>
      <c r="E1443" s="2"/>
      <c r="F1443" s="3"/>
      <c r="G1443" s="3"/>
      <c r="P1443" s="8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1"/>
      <c r="AJ1443" s="11"/>
      <c r="AK1443" s="11"/>
      <c r="AL1443" s="11"/>
      <c r="AM1443" s="11"/>
      <c r="AN1443" s="11"/>
      <c r="AO1443" s="11"/>
      <c r="AP1443" s="11"/>
      <c r="AQ1443" s="11"/>
      <c r="AR1443" s="11"/>
      <c r="AS1443" s="11"/>
      <c r="AT1443" s="11"/>
      <c r="AU1443" s="11"/>
      <c r="AV1443" s="11"/>
      <c r="AW1443" s="11"/>
      <c r="AX1443" s="11"/>
      <c r="AY1443" s="11"/>
    </row>
    <row r="1444" spans="1:51" hidden="1" x14ac:dyDescent="0.2">
      <c r="A1444" s="6" t="s">
        <v>17</v>
      </c>
      <c r="B1444" t="s">
        <v>46</v>
      </c>
      <c r="C1444" t="s">
        <v>47</v>
      </c>
      <c r="D1444" t="s">
        <v>1888</v>
      </c>
      <c r="E1444" s="2">
        <v>720</v>
      </c>
      <c r="F1444" s="3">
        <f>DATE(2025,6,23)</f>
        <v>45831</v>
      </c>
      <c r="G1444" s="3">
        <f>DATE(2025,6,23)</f>
        <v>45831</v>
      </c>
      <c r="H1444">
        <v>2361724035</v>
      </c>
      <c r="I1444" t="s">
        <v>21</v>
      </c>
      <c r="K1444" t="s">
        <v>22</v>
      </c>
      <c r="L1444" t="s">
        <v>23</v>
      </c>
      <c r="M1444" t="s">
        <v>24</v>
      </c>
      <c r="N1444" t="s">
        <v>24</v>
      </c>
      <c r="O1444" t="s">
        <v>25</v>
      </c>
      <c r="P1444" s="8" t="s">
        <v>1889</v>
      </c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11"/>
      <c r="AG1444" s="11"/>
      <c r="AH1444" s="11"/>
      <c r="AI1444" s="11"/>
      <c r="AJ1444" s="11"/>
      <c r="AK1444" s="11"/>
      <c r="AL1444" s="11"/>
      <c r="AM1444" s="11"/>
      <c r="AN1444" s="11"/>
      <c r="AO1444" s="11"/>
      <c r="AP1444" s="11"/>
      <c r="AQ1444" s="11"/>
      <c r="AR1444" s="11"/>
      <c r="AS1444" s="11"/>
      <c r="AT1444" s="11"/>
      <c r="AU1444" s="11"/>
      <c r="AV1444" s="11"/>
      <c r="AW1444" s="11"/>
      <c r="AX1444" s="11"/>
      <c r="AY1444" s="11"/>
    </row>
    <row r="1445" spans="1:51" hidden="1" x14ac:dyDescent="0.2">
      <c r="A1445" s="6" t="s">
        <v>17</v>
      </c>
      <c r="B1445" t="s">
        <v>90</v>
      </c>
      <c r="C1445" t="s">
        <v>91</v>
      </c>
      <c r="D1445" t="s">
        <v>1890</v>
      </c>
      <c r="E1445" s="2">
        <v>840</v>
      </c>
      <c r="F1445" s="3">
        <f>DATE(2025,6,24)</f>
        <v>45832</v>
      </c>
      <c r="G1445" s="3">
        <f>DATE(2025,6,24)</f>
        <v>45832</v>
      </c>
      <c r="H1445">
        <v>2361724036</v>
      </c>
      <c r="I1445" t="s">
        <v>21</v>
      </c>
      <c r="K1445" t="s">
        <v>22</v>
      </c>
      <c r="L1445" t="s">
        <v>23</v>
      </c>
      <c r="M1445" t="s">
        <v>24</v>
      </c>
      <c r="N1445" t="s">
        <v>24</v>
      </c>
      <c r="O1445" t="s">
        <v>25</v>
      </c>
      <c r="P1445" s="8" t="s">
        <v>1891</v>
      </c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11"/>
      <c r="AG1445" s="11"/>
      <c r="AH1445" s="11"/>
      <c r="AI1445" s="11"/>
      <c r="AJ1445" s="11"/>
      <c r="AK1445" s="11"/>
      <c r="AL1445" s="11"/>
      <c r="AM1445" s="11"/>
      <c r="AN1445" s="11"/>
      <c r="AO1445" s="11"/>
      <c r="AP1445" s="11"/>
      <c r="AQ1445" s="11"/>
      <c r="AR1445" s="11"/>
      <c r="AS1445" s="11"/>
      <c r="AT1445" s="11"/>
      <c r="AU1445" s="11"/>
      <c r="AV1445" s="11"/>
      <c r="AW1445" s="11"/>
      <c r="AX1445" s="11"/>
      <c r="AY1445" s="11"/>
    </row>
    <row r="1446" spans="1:51" x14ac:dyDescent="0.2">
      <c r="A1446" s="6" t="s">
        <v>17</v>
      </c>
      <c r="B1446" t="s">
        <v>342</v>
      </c>
      <c r="C1446" t="s">
        <v>342</v>
      </c>
      <c r="D1446" t="s">
        <v>1892</v>
      </c>
      <c r="E1446" s="2">
        <v>198.64</v>
      </c>
      <c r="F1446" s="3">
        <f>DATE(2025,6,24)</f>
        <v>45832</v>
      </c>
      <c r="G1446" s="3">
        <f>DATE(2025,6,24)</f>
        <v>45832</v>
      </c>
      <c r="H1446">
        <v>2361724037</v>
      </c>
      <c r="I1446" t="s">
        <v>21</v>
      </c>
      <c r="K1446" t="s">
        <v>22</v>
      </c>
      <c r="L1446" t="s">
        <v>23</v>
      </c>
      <c r="M1446" t="s">
        <v>24</v>
      </c>
      <c r="N1446" t="s">
        <v>24</v>
      </c>
      <c r="O1446" t="s">
        <v>25</v>
      </c>
      <c r="P1446" s="8" t="s">
        <v>1893</v>
      </c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11"/>
      <c r="AG1446" s="11"/>
      <c r="AH1446" s="11"/>
      <c r="AI1446" s="11"/>
      <c r="AJ1446" s="11"/>
      <c r="AK1446" s="11"/>
      <c r="AL1446" s="11"/>
      <c r="AM1446" s="11"/>
      <c r="AN1446" s="11"/>
      <c r="AO1446" s="11"/>
      <c r="AP1446" s="11"/>
      <c r="AQ1446" s="11"/>
      <c r="AR1446" s="11"/>
      <c r="AS1446" s="11"/>
      <c r="AT1446" s="11"/>
      <c r="AU1446" s="11"/>
      <c r="AV1446" s="11"/>
      <c r="AW1446" s="11"/>
      <c r="AX1446" s="11"/>
      <c r="AY1446" s="11"/>
    </row>
    <row r="1447" spans="1:51" hidden="1" x14ac:dyDescent="0.2">
      <c r="A1447" s="6" t="s">
        <v>17</v>
      </c>
      <c r="B1447" t="s">
        <v>31</v>
      </c>
      <c r="C1447" t="s">
        <v>32</v>
      </c>
      <c r="D1447" t="s">
        <v>1894</v>
      </c>
      <c r="E1447" s="2">
        <v>51.99</v>
      </c>
      <c r="F1447" s="3">
        <f>DATE(2025,6,23)</f>
        <v>45831</v>
      </c>
      <c r="G1447" s="3">
        <f>DATE(2025,6,23)</f>
        <v>45831</v>
      </c>
      <c r="H1447">
        <v>2361724038</v>
      </c>
      <c r="I1447" t="s">
        <v>21</v>
      </c>
      <c r="K1447" t="s">
        <v>22</v>
      </c>
      <c r="L1447" t="s">
        <v>23</v>
      </c>
      <c r="M1447" t="s">
        <v>24</v>
      </c>
      <c r="N1447" t="s">
        <v>24</v>
      </c>
      <c r="O1447" t="s">
        <v>25</v>
      </c>
      <c r="P1447" s="8" t="s">
        <v>1895</v>
      </c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11"/>
      <c r="AG1447" s="11"/>
      <c r="AH1447" s="11"/>
      <c r="AI1447" s="11"/>
      <c r="AJ1447" s="11"/>
      <c r="AK1447" s="11"/>
      <c r="AL1447" s="11"/>
      <c r="AM1447" s="11"/>
      <c r="AN1447" s="11"/>
      <c r="AO1447" s="11"/>
      <c r="AP1447" s="11"/>
      <c r="AQ1447" s="11"/>
      <c r="AR1447" s="11"/>
      <c r="AS1447" s="11"/>
      <c r="AT1447" s="11"/>
      <c r="AU1447" s="11"/>
      <c r="AV1447" s="11"/>
      <c r="AW1447" s="11"/>
      <c r="AX1447" s="11"/>
      <c r="AY1447" s="11"/>
    </row>
    <row r="1448" spans="1:51" hidden="1" x14ac:dyDescent="0.2">
      <c r="A1448" s="6"/>
      <c r="E1448" s="2"/>
      <c r="F1448" s="3"/>
      <c r="G1448" s="3"/>
      <c r="P1448" s="8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11"/>
      <c r="AG1448" s="11"/>
      <c r="AH1448" s="11"/>
      <c r="AI1448" s="11"/>
      <c r="AJ1448" s="11"/>
      <c r="AK1448" s="11"/>
      <c r="AL1448" s="11"/>
      <c r="AM1448" s="11"/>
      <c r="AN1448" s="11"/>
      <c r="AO1448" s="11"/>
      <c r="AP1448" s="11"/>
      <c r="AQ1448" s="11"/>
      <c r="AR1448" s="11"/>
      <c r="AS1448" s="11"/>
      <c r="AT1448" s="11"/>
      <c r="AU1448" s="11"/>
      <c r="AV1448" s="11"/>
      <c r="AW1448" s="11"/>
      <c r="AX1448" s="11"/>
      <c r="AY1448" s="11"/>
    </row>
    <row r="1449" spans="1:51" hidden="1" x14ac:dyDescent="0.2">
      <c r="A1449" s="6"/>
      <c r="E1449" s="2"/>
      <c r="F1449" s="3"/>
      <c r="G1449" s="3"/>
      <c r="P1449" s="8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11"/>
      <c r="AG1449" s="11"/>
      <c r="AH1449" s="11"/>
      <c r="AI1449" s="11"/>
      <c r="AJ1449" s="11"/>
      <c r="AK1449" s="11"/>
      <c r="AL1449" s="11"/>
      <c r="AM1449" s="11"/>
      <c r="AN1449" s="11"/>
      <c r="AO1449" s="11"/>
      <c r="AP1449" s="11"/>
      <c r="AQ1449" s="11"/>
      <c r="AR1449" s="11"/>
      <c r="AS1449" s="11"/>
      <c r="AT1449" s="11"/>
      <c r="AU1449" s="11"/>
      <c r="AV1449" s="11"/>
      <c r="AW1449" s="11"/>
      <c r="AX1449" s="11"/>
      <c r="AY1449" s="11"/>
    </row>
    <row r="1450" spans="1:51" hidden="1" x14ac:dyDescent="0.2">
      <c r="A1450" s="6"/>
      <c r="E1450" s="2"/>
      <c r="F1450" s="3"/>
      <c r="G1450" s="3"/>
      <c r="P1450" s="8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11"/>
      <c r="AG1450" s="11"/>
      <c r="AH1450" s="11"/>
      <c r="AI1450" s="11"/>
      <c r="AJ1450" s="11"/>
      <c r="AK1450" s="11"/>
      <c r="AL1450" s="11"/>
      <c r="AM1450" s="11"/>
      <c r="AN1450" s="11"/>
      <c r="AO1450" s="11"/>
      <c r="AP1450" s="11"/>
      <c r="AQ1450" s="11"/>
      <c r="AR1450" s="11"/>
      <c r="AS1450" s="11"/>
      <c r="AT1450" s="11"/>
      <c r="AU1450" s="11"/>
      <c r="AV1450" s="11"/>
      <c r="AW1450" s="11"/>
      <c r="AX1450" s="11"/>
      <c r="AY1450" s="11"/>
    </row>
    <row r="1451" spans="1:51" hidden="1" x14ac:dyDescent="0.2">
      <c r="A1451" s="6"/>
      <c r="E1451" s="2"/>
      <c r="F1451" s="3"/>
      <c r="G1451" s="3"/>
      <c r="P1451" s="8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11"/>
      <c r="AG1451" s="11"/>
      <c r="AH1451" s="11"/>
      <c r="AI1451" s="11"/>
      <c r="AJ1451" s="11"/>
      <c r="AK1451" s="11"/>
      <c r="AL1451" s="11"/>
      <c r="AM1451" s="11"/>
      <c r="AN1451" s="11"/>
      <c r="AO1451" s="11"/>
      <c r="AP1451" s="11"/>
      <c r="AQ1451" s="11"/>
      <c r="AR1451" s="11"/>
      <c r="AS1451" s="11"/>
      <c r="AT1451" s="11"/>
      <c r="AU1451" s="11"/>
      <c r="AV1451" s="11"/>
      <c r="AW1451" s="11"/>
      <c r="AX1451" s="11"/>
      <c r="AY1451" s="11"/>
    </row>
    <row r="1452" spans="1:51" hidden="1" x14ac:dyDescent="0.2">
      <c r="A1452" s="6" t="s">
        <v>17</v>
      </c>
      <c r="B1452" t="s">
        <v>18</v>
      </c>
      <c r="C1452" t="s">
        <v>19</v>
      </c>
      <c r="D1452" t="s">
        <v>1896</v>
      </c>
      <c r="E1452" s="2">
        <v>1.44</v>
      </c>
      <c r="F1452" s="3">
        <f>DATE(2025,6,23)</f>
        <v>45831</v>
      </c>
      <c r="G1452" s="3">
        <f>DATE(2025,6,23)</f>
        <v>45831</v>
      </c>
      <c r="H1452">
        <v>2361741035</v>
      </c>
      <c r="I1452" t="s">
        <v>192</v>
      </c>
      <c r="K1452" t="s">
        <v>22</v>
      </c>
      <c r="L1452" t="s">
        <v>23</v>
      </c>
      <c r="M1452" t="s">
        <v>24</v>
      </c>
      <c r="N1452" t="s">
        <v>24</v>
      </c>
      <c r="O1452" t="s">
        <v>25</v>
      </c>
      <c r="P1452" s="8" t="s">
        <v>1897</v>
      </c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1"/>
      <c r="AF1452" s="11"/>
      <c r="AG1452" s="11"/>
      <c r="AH1452" s="11"/>
      <c r="AI1452" s="11"/>
      <c r="AJ1452" s="11"/>
      <c r="AK1452" s="11"/>
      <c r="AL1452" s="11"/>
      <c r="AM1452" s="11"/>
      <c r="AN1452" s="11"/>
      <c r="AO1452" s="11"/>
      <c r="AP1452" s="11"/>
      <c r="AQ1452" s="11"/>
      <c r="AR1452" s="11"/>
      <c r="AS1452" s="11"/>
      <c r="AT1452" s="11"/>
      <c r="AU1452" s="11"/>
      <c r="AV1452" s="11"/>
      <c r="AW1452" s="11"/>
      <c r="AX1452" s="11"/>
      <c r="AY1452" s="11"/>
    </row>
    <row r="1453" spans="1:51" hidden="1" x14ac:dyDescent="0.2">
      <c r="A1453" s="6"/>
      <c r="E1453" s="2"/>
      <c r="F1453" s="3"/>
      <c r="G1453" s="3"/>
      <c r="P1453" s="8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1"/>
      <c r="AF1453" s="11"/>
      <c r="AG1453" s="11"/>
      <c r="AH1453" s="11"/>
      <c r="AI1453" s="11"/>
      <c r="AJ1453" s="11"/>
      <c r="AK1453" s="11"/>
      <c r="AL1453" s="11"/>
      <c r="AM1453" s="11"/>
      <c r="AN1453" s="11"/>
      <c r="AO1453" s="11"/>
      <c r="AP1453" s="11"/>
      <c r="AQ1453" s="11"/>
      <c r="AR1453" s="11"/>
      <c r="AS1453" s="11"/>
      <c r="AT1453" s="11"/>
      <c r="AU1453" s="11"/>
      <c r="AV1453" s="11"/>
      <c r="AW1453" s="11"/>
      <c r="AX1453" s="11"/>
      <c r="AY1453" s="11"/>
    </row>
    <row r="1454" spans="1:51" hidden="1" x14ac:dyDescent="0.2">
      <c r="A1454" s="6" t="s">
        <v>17</v>
      </c>
      <c r="B1454" t="s">
        <v>1002</v>
      </c>
      <c r="C1454" t="s">
        <v>1003</v>
      </c>
      <c r="D1454" t="s">
        <v>1898</v>
      </c>
      <c r="E1454" s="2">
        <v>887.87</v>
      </c>
      <c r="F1454" s="3">
        <f t="shared" ref="F1454:G1457" si="136">DATE(2025,6,25)</f>
        <v>45833</v>
      </c>
      <c r="G1454" s="3">
        <f t="shared" si="136"/>
        <v>45833</v>
      </c>
      <c r="H1454">
        <v>2371393257</v>
      </c>
      <c r="I1454" t="s">
        <v>21</v>
      </c>
      <c r="K1454" t="s">
        <v>22</v>
      </c>
      <c r="L1454" t="s">
        <v>23</v>
      </c>
      <c r="M1454" t="s">
        <v>24</v>
      </c>
      <c r="N1454" t="s">
        <v>24</v>
      </c>
      <c r="O1454" t="s">
        <v>25</v>
      </c>
      <c r="P1454" s="8" t="s">
        <v>1899</v>
      </c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11"/>
      <c r="AG1454" s="11"/>
      <c r="AH1454" s="11"/>
      <c r="AI1454" s="11"/>
      <c r="AJ1454" s="11"/>
      <c r="AK1454" s="11"/>
      <c r="AL1454" s="11"/>
      <c r="AM1454" s="11"/>
      <c r="AN1454" s="11"/>
      <c r="AO1454" s="11"/>
      <c r="AP1454" s="11"/>
      <c r="AQ1454" s="11"/>
      <c r="AR1454" s="11"/>
      <c r="AS1454" s="11"/>
      <c r="AT1454" s="11"/>
      <c r="AU1454" s="11"/>
      <c r="AV1454" s="11"/>
      <c r="AW1454" s="11"/>
      <c r="AX1454" s="11"/>
      <c r="AY1454" s="11"/>
    </row>
    <row r="1455" spans="1:51" hidden="1" x14ac:dyDescent="0.2">
      <c r="A1455" s="6"/>
      <c r="E1455" s="2"/>
      <c r="F1455" s="3"/>
      <c r="G1455" s="3"/>
      <c r="P1455" s="8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11"/>
      <c r="AG1455" s="11"/>
      <c r="AH1455" s="11"/>
      <c r="AI1455" s="11"/>
      <c r="AJ1455" s="11"/>
      <c r="AK1455" s="11"/>
      <c r="AL1455" s="11"/>
      <c r="AM1455" s="11"/>
      <c r="AN1455" s="11"/>
      <c r="AO1455" s="11"/>
      <c r="AP1455" s="11"/>
      <c r="AQ1455" s="11"/>
      <c r="AR1455" s="11"/>
      <c r="AS1455" s="11"/>
      <c r="AT1455" s="11"/>
      <c r="AU1455" s="11"/>
      <c r="AV1455" s="11"/>
      <c r="AW1455" s="11"/>
      <c r="AX1455" s="11"/>
      <c r="AY1455" s="11"/>
    </row>
    <row r="1456" spans="1:51" hidden="1" x14ac:dyDescent="0.2">
      <c r="A1456" s="6"/>
      <c r="E1456" s="2"/>
      <c r="F1456" s="3"/>
      <c r="G1456" s="3"/>
      <c r="P1456" s="8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1"/>
      <c r="AF1456" s="11"/>
      <c r="AG1456" s="11"/>
      <c r="AH1456" s="11"/>
      <c r="AI1456" s="11"/>
      <c r="AJ1456" s="11"/>
      <c r="AK1456" s="11"/>
      <c r="AL1456" s="11"/>
      <c r="AM1456" s="11"/>
      <c r="AN1456" s="11"/>
      <c r="AO1456" s="11"/>
      <c r="AP1456" s="11"/>
      <c r="AQ1456" s="11"/>
      <c r="AR1456" s="11"/>
      <c r="AS1456" s="11"/>
      <c r="AT1456" s="11"/>
      <c r="AU1456" s="11"/>
      <c r="AV1456" s="11"/>
      <c r="AW1456" s="11"/>
      <c r="AX1456" s="11"/>
      <c r="AY1456" s="11"/>
    </row>
    <row r="1457" spans="1:51" hidden="1" x14ac:dyDescent="0.2">
      <c r="A1457" s="6" t="s">
        <v>17</v>
      </c>
      <c r="B1457" t="s">
        <v>309</v>
      </c>
      <c r="C1457" t="s">
        <v>310</v>
      </c>
      <c r="D1457" t="s">
        <v>1900</v>
      </c>
      <c r="E1457" s="2">
        <v>3358.27</v>
      </c>
      <c r="F1457" s="3">
        <f t="shared" si="136"/>
        <v>45833</v>
      </c>
      <c r="G1457" s="3">
        <f t="shared" si="136"/>
        <v>45833</v>
      </c>
      <c r="H1457">
        <v>2371393260</v>
      </c>
      <c r="I1457" t="s">
        <v>21</v>
      </c>
      <c r="K1457" t="s">
        <v>22</v>
      </c>
      <c r="L1457" t="s">
        <v>23</v>
      </c>
      <c r="M1457" t="s">
        <v>24</v>
      </c>
      <c r="N1457" t="s">
        <v>24</v>
      </c>
      <c r="O1457" t="s">
        <v>25</v>
      </c>
      <c r="P1457" s="8" t="s">
        <v>1901</v>
      </c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11"/>
      <c r="AG1457" s="11"/>
      <c r="AH1457" s="11"/>
      <c r="AI1457" s="11"/>
      <c r="AJ1457" s="11"/>
      <c r="AK1457" s="11"/>
      <c r="AL1457" s="11"/>
      <c r="AM1457" s="11"/>
      <c r="AN1457" s="11"/>
      <c r="AO1457" s="11"/>
      <c r="AP1457" s="11"/>
      <c r="AQ1457" s="11"/>
      <c r="AR1457" s="11"/>
      <c r="AS1457" s="11"/>
      <c r="AT1457" s="11"/>
      <c r="AU1457" s="11"/>
      <c r="AV1457" s="11"/>
      <c r="AW1457" s="11"/>
      <c r="AX1457" s="11"/>
      <c r="AY1457" s="11"/>
    </row>
    <row r="1458" spans="1:51" x14ac:dyDescent="0.2">
      <c r="A1458" s="6" t="s">
        <v>17</v>
      </c>
      <c r="B1458" t="s">
        <v>342</v>
      </c>
      <c r="C1458" t="s">
        <v>342</v>
      </c>
      <c r="D1458" t="s">
        <v>1902</v>
      </c>
      <c r="E1458" s="2">
        <v>224.55</v>
      </c>
      <c r="F1458" s="3">
        <f t="shared" ref="F1458:G1462" si="137">DATE(2025,6,24)</f>
        <v>45832</v>
      </c>
      <c r="G1458" s="3">
        <f t="shared" si="137"/>
        <v>45832</v>
      </c>
      <c r="H1458">
        <v>2371393262</v>
      </c>
      <c r="I1458" t="s">
        <v>158</v>
      </c>
      <c r="K1458" t="s">
        <v>22</v>
      </c>
      <c r="L1458" t="s">
        <v>23</v>
      </c>
      <c r="M1458" t="s">
        <v>24</v>
      </c>
      <c r="N1458" t="s">
        <v>24</v>
      </c>
      <c r="O1458" t="s">
        <v>25</v>
      </c>
      <c r="P1458" s="8" t="s">
        <v>1903</v>
      </c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11"/>
      <c r="AL1458" s="11"/>
      <c r="AM1458" s="11"/>
      <c r="AN1458" s="11"/>
      <c r="AO1458" s="11"/>
      <c r="AP1458" s="11"/>
      <c r="AQ1458" s="11"/>
      <c r="AR1458" s="11"/>
      <c r="AS1458" s="11"/>
      <c r="AT1458" s="11"/>
      <c r="AU1458" s="11"/>
      <c r="AV1458" s="11"/>
      <c r="AW1458" s="11"/>
      <c r="AX1458" s="11"/>
      <c r="AY1458" s="11"/>
    </row>
    <row r="1459" spans="1:51" hidden="1" x14ac:dyDescent="0.2">
      <c r="A1459" s="6" t="s">
        <v>17</v>
      </c>
      <c r="B1459" t="s">
        <v>118</v>
      </c>
      <c r="C1459" t="s">
        <v>119</v>
      </c>
      <c r="D1459" t="s">
        <v>1904</v>
      </c>
      <c r="E1459" s="2">
        <v>36.9</v>
      </c>
      <c r="F1459" s="3">
        <f t="shared" si="137"/>
        <v>45832</v>
      </c>
      <c r="G1459" s="3">
        <f t="shared" si="137"/>
        <v>45832</v>
      </c>
      <c r="H1459">
        <v>2371393263</v>
      </c>
      <c r="I1459" t="s">
        <v>158</v>
      </c>
      <c r="K1459" t="s">
        <v>22</v>
      </c>
      <c r="L1459" t="s">
        <v>23</v>
      </c>
      <c r="M1459" t="s">
        <v>24</v>
      </c>
      <c r="N1459" t="s">
        <v>24</v>
      </c>
      <c r="O1459" t="s">
        <v>25</v>
      </c>
      <c r="P1459" s="8" t="s">
        <v>1905</v>
      </c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11"/>
      <c r="AG1459" s="11"/>
      <c r="AH1459" s="11"/>
      <c r="AI1459" s="11"/>
      <c r="AJ1459" s="11"/>
      <c r="AK1459" s="11"/>
      <c r="AL1459" s="11"/>
      <c r="AM1459" s="11"/>
      <c r="AN1459" s="11"/>
      <c r="AO1459" s="11"/>
      <c r="AP1459" s="11"/>
      <c r="AQ1459" s="11"/>
      <c r="AR1459" s="11"/>
      <c r="AS1459" s="11"/>
      <c r="AT1459" s="11"/>
      <c r="AU1459" s="11"/>
      <c r="AV1459" s="11"/>
      <c r="AW1459" s="11"/>
      <c r="AX1459" s="11"/>
      <c r="AY1459" s="11"/>
    </row>
    <row r="1460" spans="1:51" x14ac:dyDescent="0.2">
      <c r="A1460" s="6" t="s">
        <v>17</v>
      </c>
      <c r="B1460" t="s">
        <v>342</v>
      </c>
      <c r="C1460" t="s">
        <v>342</v>
      </c>
      <c r="D1460" t="s">
        <v>1906</v>
      </c>
      <c r="E1460" s="2">
        <v>325</v>
      </c>
      <c r="F1460" s="3">
        <f t="shared" si="137"/>
        <v>45832</v>
      </c>
      <c r="G1460" s="3">
        <f t="shared" si="137"/>
        <v>45832</v>
      </c>
      <c r="H1460">
        <v>2371393264</v>
      </c>
      <c r="I1460" t="s">
        <v>158</v>
      </c>
      <c r="K1460" t="s">
        <v>22</v>
      </c>
      <c r="L1460" t="s">
        <v>23</v>
      </c>
      <c r="M1460" t="s">
        <v>24</v>
      </c>
      <c r="N1460" t="s">
        <v>24</v>
      </c>
      <c r="O1460" t="s">
        <v>25</v>
      </c>
      <c r="P1460" s="8" t="s">
        <v>1907</v>
      </c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1"/>
      <c r="AF1460" s="11"/>
      <c r="AG1460" s="11"/>
      <c r="AH1460" s="11"/>
      <c r="AI1460" s="11"/>
      <c r="AJ1460" s="11"/>
      <c r="AK1460" s="11"/>
      <c r="AL1460" s="11"/>
      <c r="AM1460" s="11"/>
      <c r="AN1460" s="11"/>
      <c r="AO1460" s="11"/>
      <c r="AP1460" s="11"/>
      <c r="AQ1460" s="11"/>
      <c r="AR1460" s="11"/>
      <c r="AS1460" s="11"/>
      <c r="AT1460" s="11"/>
      <c r="AU1460" s="11"/>
      <c r="AV1460" s="11"/>
      <c r="AW1460" s="11"/>
      <c r="AX1460" s="11"/>
      <c r="AY1460" s="11"/>
    </row>
    <row r="1461" spans="1:51" hidden="1" x14ac:dyDescent="0.2">
      <c r="A1461" s="6" t="s">
        <v>17</v>
      </c>
      <c r="B1461" t="s">
        <v>118</v>
      </c>
      <c r="C1461" t="s">
        <v>119</v>
      </c>
      <c r="D1461" t="s">
        <v>1908</v>
      </c>
      <c r="E1461" s="2">
        <v>239.98</v>
      </c>
      <c r="F1461" s="3">
        <f t="shared" si="137"/>
        <v>45832</v>
      </c>
      <c r="G1461" s="3">
        <f t="shared" si="137"/>
        <v>45832</v>
      </c>
      <c r="H1461">
        <v>2371393265</v>
      </c>
      <c r="I1461" t="s">
        <v>158</v>
      </c>
      <c r="K1461" t="s">
        <v>22</v>
      </c>
      <c r="L1461" t="s">
        <v>23</v>
      </c>
      <c r="M1461" t="s">
        <v>24</v>
      </c>
      <c r="N1461" t="s">
        <v>24</v>
      </c>
      <c r="O1461" t="s">
        <v>25</v>
      </c>
      <c r="P1461" s="8" t="s">
        <v>1909</v>
      </c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1"/>
      <c r="AJ1461" s="11"/>
      <c r="AK1461" s="11"/>
      <c r="AL1461" s="11"/>
      <c r="AM1461" s="11"/>
      <c r="AN1461" s="11"/>
      <c r="AO1461" s="11"/>
      <c r="AP1461" s="11"/>
      <c r="AQ1461" s="11"/>
      <c r="AR1461" s="11"/>
      <c r="AS1461" s="11"/>
      <c r="AT1461" s="11"/>
      <c r="AU1461" s="11"/>
      <c r="AV1461" s="11"/>
      <c r="AW1461" s="11"/>
      <c r="AX1461" s="11"/>
      <c r="AY1461" s="11"/>
    </row>
    <row r="1462" spans="1:51" hidden="1" x14ac:dyDescent="0.2">
      <c r="A1462" s="6" t="s">
        <v>17</v>
      </c>
      <c r="B1462" t="s">
        <v>173</v>
      </c>
      <c r="C1462" t="s">
        <v>154</v>
      </c>
      <c r="D1462" t="s">
        <v>1910</v>
      </c>
      <c r="E1462" s="2">
        <v>54.74</v>
      </c>
      <c r="F1462" s="3">
        <f t="shared" si="137"/>
        <v>45832</v>
      </c>
      <c r="G1462" s="3">
        <f t="shared" si="137"/>
        <v>45832</v>
      </c>
      <c r="H1462">
        <v>2371393266</v>
      </c>
      <c r="I1462" t="s">
        <v>158</v>
      </c>
      <c r="K1462" t="s">
        <v>22</v>
      </c>
      <c r="L1462" t="s">
        <v>23</v>
      </c>
      <c r="M1462" t="s">
        <v>24</v>
      </c>
      <c r="N1462" t="s">
        <v>24</v>
      </c>
      <c r="O1462" t="s">
        <v>25</v>
      </c>
      <c r="P1462" s="8" t="s">
        <v>1911</v>
      </c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1"/>
      <c r="AF1462" s="11"/>
      <c r="AG1462" s="11"/>
      <c r="AH1462" s="11"/>
      <c r="AI1462" s="11"/>
      <c r="AJ1462" s="11"/>
      <c r="AK1462" s="11"/>
      <c r="AL1462" s="11"/>
      <c r="AM1462" s="11"/>
      <c r="AN1462" s="11"/>
      <c r="AO1462" s="11"/>
      <c r="AP1462" s="11"/>
      <c r="AQ1462" s="11"/>
      <c r="AR1462" s="11"/>
      <c r="AS1462" s="11"/>
      <c r="AT1462" s="11"/>
      <c r="AU1462" s="11"/>
      <c r="AV1462" s="11"/>
      <c r="AW1462" s="11"/>
      <c r="AX1462" s="11"/>
      <c r="AY1462" s="11"/>
    </row>
    <row r="1463" spans="1:51" hidden="1" x14ac:dyDescent="0.2">
      <c r="A1463" s="6"/>
      <c r="E1463" s="2"/>
      <c r="F1463" s="3"/>
      <c r="G1463" s="3"/>
      <c r="P1463" s="8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11"/>
      <c r="AG1463" s="11"/>
      <c r="AH1463" s="11"/>
      <c r="AI1463" s="11"/>
      <c r="AJ1463" s="11"/>
      <c r="AK1463" s="11"/>
      <c r="AL1463" s="11"/>
      <c r="AM1463" s="11"/>
      <c r="AN1463" s="11"/>
      <c r="AO1463" s="11"/>
      <c r="AP1463" s="11"/>
      <c r="AQ1463" s="11"/>
      <c r="AR1463" s="11"/>
      <c r="AS1463" s="11"/>
      <c r="AT1463" s="11"/>
      <c r="AU1463" s="11"/>
      <c r="AV1463" s="11"/>
      <c r="AW1463" s="11"/>
      <c r="AX1463" s="11"/>
      <c r="AY1463" s="11"/>
    </row>
    <row r="1464" spans="1:51" hidden="1" x14ac:dyDescent="0.2">
      <c r="A1464" s="6" t="s">
        <v>17</v>
      </c>
      <c r="B1464" t="s">
        <v>18</v>
      </c>
      <c r="C1464" t="s">
        <v>19</v>
      </c>
      <c r="D1464" t="s">
        <v>1912</v>
      </c>
      <c r="E1464" s="2">
        <v>2.2000000000000002</v>
      </c>
      <c r="F1464" s="3">
        <f t="shared" ref="F1464:G1466" si="138">DATE(2025,6,25)</f>
        <v>45833</v>
      </c>
      <c r="G1464" s="3">
        <f t="shared" si="138"/>
        <v>45833</v>
      </c>
      <c r="H1464">
        <v>2371455576</v>
      </c>
      <c r="I1464" t="s">
        <v>192</v>
      </c>
      <c r="K1464" t="s">
        <v>22</v>
      </c>
      <c r="L1464" t="s">
        <v>23</v>
      </c>
      <c r="M1464" t="s">
        <v>24</v>
      </c>
      <c r="N1464" t="s">
        <v>24</v>
      </c>
      <c r="O1464" t="s">
        <v>25</v>
      </c>
      <c r="P1464" s="8" t="s">
        <v>1913</v>
      </c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1"/>
      <c r="AF1464" s="11"/>
      <c r="AG1464" s="11"/>
      <c r="AH1464" s="11"/>
      <c r="AI1464" s="11"/>
      <c r="AJ1464" s="11"/>
      <c r="AK1464" s="11"/>
      <c r="AL1464" s="11"/>
      <c r="AM1464" s="11"/>
      <c r="AN1464" s="11"/>
      <c r="AO1464" s="11"/>
      <c r="AP1464" s="11"/>
      <c r="AQ1464" s="11"/>
      <c r="AR1464" s="11"/>
      <c r="AS1464" s="11"/>
      <c r="AT1464" s="11"/>
      <c r="AU1464" s="11"/>
      <c r="AV1464" s="11"/>
      <c r="AW1464" s="11"/>
      <c r="AX1464" s="11"/>
      <c r="AY1464" s="11"/>
    </row>
    <row r="1465" spans="1:51" hidden="1" x14ac:dyDescent="0.2">
      <c r="A1465" s="6"/>
      <c r="E1465" s="2"/>
      <c r="F1465" s="3"/>
      <c r="G1465" s="3"/>
      <c r="P1465" s="8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1"/>
      <c r="AF1465" s="11"/>
      <c r="AG1465" s="11"/>
      <c r="AH1465" s="11"/>
      <c r="AI1465" s="11"/>
      <c r="AJ1465" s="11"/>
      <c r="AK1465" s="11"/>
      <c r="AL1465" s="11"/>
      <c r="AM1465" s="11"/>
      <c r="AN1465" s="11"/>
      <c r="AO1465" s="11"/>
      <c r="AP1465" s="11"/>
      <c r="AQ1465" s="11"/>
      <c r="AR1465" s="11"/>
      <c r="AS1465" s="11"/>
      <c r="AT1465" s="11"/>
      <c r="AU1465" s="11"/>
      <c r="AV1465" s="11"/>
      <c r="AW1465" s="11"/>
      <c r="AX1465" s="11"/>
      <c r="AY1465" s="11"/>
    </row>
    <row r="1466" spans="1:51" hidden="1" x14ac:dyDescent="0.2">
      <c r="A1466" s="6" t="s">
        <v>17</v>
      </c>
      <c r="B1466" t="s">
        <v>173</v>
      </c>
      <c r="C1466" t="s">
        <v>154</v>
      </c>
      <c r="D1466" t="s">
        <v>1914</v>
      </c>
      <c r="E1466" s="2">
        <v>37.99</v>
      </c>
      <c r="F1466" s="3">
        <f t="shared" si="138"/>
        <v>45833</v>
      </c>
      <c r="G1466" s="3">
        <f t="shared" si="138"/>
        <v>45833</v>
      </c>
      <c r="H1466">
        <v>2378353415</v>
      </c>
      <c r="I1466" t="s">
        <v>158</v>
      </c>
      <c r="K1466" t="s">
        <v>22</v>
      </c>
      <c r="L1466" t="s">
        <v>23</v>
      </c>
      <c r="M1466" t="s">
        <v>24</v>
      </c>
      <c r="N1466" t="s">
        <v>24</v>
      </c>
      <c r="O1466" t="s">
        <v>25</v>
      </c>
      <c r="P1466" s="8" t="s">
        <v>1915</v>
      </c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11"/>
      <c r="AG1466" s="11"/>
      <c r="AH1466" s="11"/>
      <c r="AI1466" s="11"/>
      <c r="AJ1466" s="11"/>
      <c r="AK1466" s="11"/>
      <c r="AL1466" s="11"/>
      <c r="AM1466" s="11"/>
      <c r="AN1466" s="11"/>
      <c r="AO1466" s="11"/>
      <c r="AP1466" s="11"/>
      <c r="AQ1466" s="11"/>
      <c r="AR1466" s="11"/>
      <c r="AS1466" s="11"/>
      <c r="AT1466" s="11"/>
      <c r="AU1466" s="11"/>
      <c r="AV1466" s="11"/>
      <c r="AW1466" s="11"/>
      <c r="AX1466" s="11"/>
      <c r="AY1466" s="11"/>
    </row>
    <row r="1467" spans="1:51" hidden="1" x14ac:dyDescent="0.2">
      <c r="A1467" s="6"/>
      <c r="E1467" s="2"/>
      <c r="F1467" s="3"/>
      <c r="G1467" s="3"/>
      <c r="P1467" s="8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11"/>
      <c r="AG1467" s="11"/>
      <c r="AH1467" s="11"/>
      <c r="AI1467" s="11"/>
      <c r="AJ1467" s="11"/>
      <c r="AK1467" s="11"/>
      <c r="AL1467" s="11"/>
      <c r="AM1467" s="11"/>
      <c r="AN1467" s="11"/>
      <c r="AO1467" s="11"/>
      <c r="AP1467" s="11"/>
      <c r="AQ1467" s="11"/>
      <c r="AR1467" s="11"/>
      <c r="AS1467" s="11"/>
      <c r="AT1467" s="11"/>
      <c r="AU1467" s="11"/>
      <c r="AV1467" s="11"/>
      <c r="AW1467" s="11"/>
      <c r="AX1467" s="11"/>
      <c r="AY1467" s="11"/>
    </row>
    <row r="1468" spans="1:51" hidden="1" x14ac:dyDescent="0.2">
      <c r="A1468" s="6"/>
      <c r="E1468" s="2"/>
      <c r="F1468" s="3"/>
      <c r="G1468" s="3"/>
      <c r="P1468" s="8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11"/>
      <c r="AG1468" s="11"/>
      <c r="AH1468" s="11"/>
      <c r="AI1468" s="11"/>
      <c r="AJ1468" s="11"/>
      <c r="AK1468" s="11"/>
      <c r="AL1468" s="11"/>
      <c r="AM1468" s="11"/>
      <c r="AN1468" s="11"/>
      <c r="AO1468" s="11"/>
      <c r="AP1468" s="11"/>
      <c r="AQ1468" s="11"/>
      <c r="AR1468" s="11"/>
      <c r="AS1468" s="11"/>
      <c r="AT1468" s="11"/>
      <c r="AU1468" s="11"/>
      <c r="AV1468" s="11"/>
      <c r="AW1468" s="11"/>
      <c r="AX1468" s="11"/>
      <c r="AY1468" s="11"/>
    </row>
    <row r="1469" spans="1:51" x14ac:dyDescent="0.2">
      <c r="A1469" s="6" t="s">
        <v>17</v>
      </c>
      <c r="B1469" t="s">
        <v>342</v>
      </c>
      <c r="C1469" t="s">
        <v>342</v>
      </c>
      <c r="D1469" t="s">
        <v>1916</v>
      </c>
      <c r="E1469" s="2">
        <v>300</v>
      </c>
      <c r="F1469" s="3">
        <f t="shared" ref="F1469:G1477" si="139">DATE(2025,6,26)</f>
        <v>45834</v>
      </c>
      <c r="G1469" s="3">
        <f t="shared" si="139"/>
        <v>45834</v>
      </c>
      <c r="H1469">
        <v>2378353418</v>
      </c>
      <c r="I1469" t="s">
        <v>21</v>
      </c>
      <c r="K1469" t="s">
        <v>22</v>
      </c>
      <c r="L1469" t="s">
        <v>23</v>
      </c>
      <c r="M1469" t="s">
        <v>24</v>
      </c>
      <c r="N1469" t="s">
        <v>24</v>
      </c>
      <c r="O1469" t="s">
        <v>25</v>
      </c>
      <c r="P1469" s="8" t="s">
        <v>1917</v>
      </c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  <c r="AV1469" s="11"/>
      <c r="AW1469" s="11"/>
      <c r="AX1469" s="11"/>
      <c r="AY1469" s="11"/>
    </row>
    <row r="1470" spans="1:51" hidden="1" x14ac:dyDescent="0.2">
      <c r="A1470" s="6" t="s">
        <v>17</v>
      </c>
      <c r="B1470" t="s">
        <v>1918</v>
      </c>
      <c r="C1470" t="s">
        <v>1919</v>
      </c>
      <c r="D1470" t="s">
        <v>1920</v>
      </c>
      <c r="E1470" s="2">
        <v>3494</v>
      </c>
      <c r="F1470" s="3">
        <f t="shared" si="139"/>
        <v>45834</v>
      </c>
      <c r="G1470" s="3">
        <f t="shared" si="139"/>
        <v>45834</v>
      </c>
      <c r="H1470">
        <v>2378353419</v>
      </c>
      <c r="I1470" t="s">
        <v>21</v>
      </c>
      <c r="K1470" t="s">
        <v>22</v>
      </c>
      <c r="L1470" t="s">
        <v>23</v>
      </c>
      <c r="M1470" t="s">
        <v>24</v>
      </c>
      <c r="N1470" t="s">
        <v>24</v>
      </c>
      <c r="O1470" t="s">
        <v>25</v>
      </c>
      <c r="P1470" s="8" t="s">
        <v>1921</v>
      </c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11"/>
      <c r="AG1470" s="11"/>
      <c r="AH1470" s="11"/>
      <c r="AI1470" s="11"/>
      <c r="AJ1470" s="11"/>
      <c r="AK1470" s="11"/>
      <c r="AL1470" s="11"/>
      <c r="AM1470" s="11"/>
      <c r="AN1470" s="11"/>
      <c r="AO1470" s="11"/>
      <c r="AP1470" s="11"/>
      <c r="AQ1470" s="11"/>
      <c r="AR1470" s="11"/>
      <c r="AS1470" s="11"/>
      <c r="AT1470" s="11"/>
      <c r="AU1470" s="11"/>
      <c r="AV1470" s="11"/>
      <c r="AW1470" s="11"/>
      <c r="AX1470" s="11"/>
      <c r="AY1470" s="11"/>
    </row>
    <row r="1471" spans="1:51" hidden="1" x14ac:dyDescent="0.2">
      <c r="A1471" s="6" t="s">
        <v>17</v>
      </c>
      <c r="B1471" t="s">
        <v>287</v>
      </c>
      <c r="C1471" t="s">
        <v>288</v>
      </c>
      <c r="D1471" t="s">
        <v>1922</v>
      </c>
      <c r="E1471" s="2">
        <v>3212</v>
      </c>
      <c r="F1471" s="3">
        <f t="shared" si="139"/>
        <v>45834</v>
      </c>
      <c r="G1471" s="3">
        <f t="shared" si="139"/>
        <v>45834</v>
      </c>
      <c r="H1471">
        <v>2378353420</v>
      </c>
      <c r="I1471" t="s">
        <v>21</v>
      </c>
      <c r="K1471" t="s">
        <v>22</v>
      </c>
      <c r="L1471" t="s">
        <v>23</v>
      </c>
      <c r="M1471" t="s">
        <v>24</v>
      </c>
      <c r="N1471" t="s">
        <v>24</v>
      </c>
      <c r="O1471" t="s">
        <v>25</v>
      </c>
      <c r="P1471" s="8" t="s">
        <v>1923</v>
      </c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11"/>
      <c r="AC1471" s="11"/>
      <c r="AD1471" s="11"/>
      <c r="AE1471" s="11"/>
      <c r="AF1471" s="11"/>
      <c r="AG1471" s="11"/>
      <c r="AH1471" s="11"/>
      <c r="AI1471" s="11"/>
      <c r="AJ1471" s="11"/>
      <c r="AK1471" s="11"/>
      <c r="AL1471" s="11"/>
      <c r="AM1471" s="11"/>
      <c r="AN1471" s="11"/>
      <c r="AO1471" s="11"/>
      <c r="AP1471" s="11"/>
      <c r="AQ1471" s="11"/>
      <c r="AR1471" s="11"/>
      <c r="AS1471" s="11"/>
      <c r="AT1471" s="11"/>
      <c r="AU1471" s="11"/>
      <c r="AV1471" s="11"/>
      <c r="AW1471" s="11"/>
      <c r="AX1471" s="11"/>
      <c r="AY1471" s="11"/>
    </row>
    <row r="1472" spans="1:51" hidden="1" x14ac:dyDescent="0.2">
      <c r="A1472" s="6"/>
      <c r="E1472" s="2"/>
      <c r="F1472" s="3"/>
      <c r="G1472" s="3"/>
      <c r="P1472" s="8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11"/>
      <c r="AG1472" s="11"/>
      <c r="AH1472" s="11"/>
      <c r="AI1472" s="11"/>
      <c r="AJ1472" s="11"/>
      <c r="AK1472" s="11"/>
      <c r="AL1472" s="11"/>
      <c r="AM1472" s="11"/>
      <c r="AN1472" s="11"/>
      <c r="AO1472" s="11"/>
      <c r="AP1472" s="11"/>
      <c r="AQ1472" s="11"/>
      <c r="AR1472" s="11"/>
      <c r="AS1472" s="11"/>
      <c r="AT1472" s="11"/>
      <c r="AU1472" s="11"/>
      <c r="AV1472" s="11"/>
      <c r="AW1472" s="11"/>
      <c r="AX1472" s="11"/>
      <c r="AY1472" s="11"/>
    </row>
    <row r="1473" spans="1:51" hidden="1" x14ac:dyDescent="0.2">
      <c r="A1473" s="6" t="s">
        <v>17</v>
      </c>
      <c r="B1473" t="s">
        <v>18</v>
      </c>
      <c r="C1473" t="s">
        <v>19</v>
      </c>
      <c r="D1473" t="s">
        <v>1924</v>
      </c>
      <c r="E1473" s="2">
        <v>3.33</v>
      </c>
      <c r="F1473" s="3">
        <f t="shared" si="139"/>
        <v>45834</v>
      </c>
      <c r="G1473" s="3">
        <f t="shared" si="139"/>
        <v>45834</v>
      </c>
      <c r="H1473">
        <v>2378389582</v>
      </c>
      <c r="I1473" t="s">
        <v>192</v>
      </c>
      <c r="K1473" t="s">
        <v>22</v>
      </c>
      <c r="L1473" t="s">
        <v>23</v>
      </c>
      <c r="M1473" t="s">
        <v>24</v>
      </c>
      <c r="N1473" t="s">
        <v>24</v>
      </c>
      <c r="O1473" t="s">
        <v>25</v>
      </c>
      <c r="P1473" s="8" t="s">
        <v>1925</v>
      </c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11"/>
      <c r="AG1473" s="11"/>
      <c r="AH1473" s="11"/>
      <c r="AI1473" s="11"/>
      <c r="AJ1473" s="11"/>
      <c r="AK1473" s="11"/>
      <c r="AL1473" s="11"/>
      <c r="AM1473" s="11"/>
      <c r="AN1473" s="11"/>
      <c r="AO1473" s="11"/>
      <c r="AP1473" s="11"/>
      <c r="AQ1473" s="11"/>
      <c r="AR1473" s="11"/>
      <c r="AS1473" s="11"/>
      <c r="AT1473" s="11"/>
      <c r="AU1473" s="11"/>
      <c r="AV1473" s="11"/>
      <c r="AW1473" s="11"/>
      <c r="AX1473" s="11"/>
      <c r="AY1473" s="11"/>
    </row>
    <row r="1474" spans="1:51" hidden="1" x14ac:dyDescent="0.2">
      <c r="A1474" s="6"/>
      <c r="E1474" s="2"/>
      <c r="F1474" s="3"/>
      <c r="G1474" s="3"/>
      <c r="P1474" s="8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11"/>
      <c r="AG1474" s="11"/>
      <c r="AH1474" s="11"/>
      <c r="AI1474" s="11"/>
      <c r="AJ1474" s="11"/>
      <c r="AK1474" s="11"/>
      <c r="AL1474" s="11"/>
      <c r="AM1474" s="11"/>
      <c r="AN1474" s="11"/>
      <c r="AO1474" s="11"/>
      <c r="AP1474" s="11"/>
      <c r="AQ1474" s="11"/>
      <c r="AR1474" s="11"/>
      <c r="AS1474" s="11"/>
      <c r="AT1474" s="11"/>
      <c r="AU1474" s="11"/>
      <c r="AV1474" s="11"/>
      <c r="AW1474" s="11"/>
      <c r="AX1474" s="11"/>
      <c r="AY1474" s="11"/>
    </row>
    <row r="1475" spans="1:51" hidden="1" x14ac:dyDescent="0.2">
      <c r="A1475" s="6" t="s">
        <v>17</v>
      </c>
      <c r="B1475" t="s">
        <v>118</v>
      </c>
      <c r="C1475" t="s">
        <v>119</v>
      </c>
      <c r="D1475" t="s">
        <v>1926</v>
      </c>
      <c r="E1475" s="2">
        <v>213.9</v>
      </c>
      <c r="F1475" s="3">
        <f t="shared" si="139"/>
        <v>45834</v>
      </c>
      <c r="G1475" s="3">
        <f t="shared" si="139"/>
        <v>45834</v>
      </c>
      <c r="H1475">
        <v>2382974467</v>
      </c>
      <c r="I1475" t="s">
        <v>158</v>
      </c>
      <c r="K1475" t="s">
        <v>22</v>
      </c>
      <c r="L1475" t="s">
        <v>23</v>
      </c>
      <c r="M1475" t="s">
        <v>24</v>
      </c>
      <c r="N1475" t="s">
        <v>24</v>
      </c>
      <c r="O1475" t="s">
        <v>25</v>
      </c>
      <c r="P1475" s="8" t="s">
        <v>1927</v>
      </c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11"/>
      <c r="AG1475" s="11"/>
      <c r="AH1475" s="11"/>
      <c r="AI1475" s="11"/>
      <c r="AJ1475" s="11"/>
      <c r="AK1475" s="11"/>
      <c r="AL1475" s="11"/>
      <c r="AM1475" s="11"/>
      <c r="AN1475" s="11"/>
      <c r="AO1475" s="11"/>
      <c r="AP1475" s="11"/>
      <c r="AQ1475" s="11"/>
      <c r="AR1475" s="11"/>
      <c r="AS1475" s="11"/>
      <c r="AT1475" s="11"/>
      <c r="AU1475" s="11"/>
      <c r="AV1475" s="11"/>
      <c r="AW1475" s="11"/>
      <c r="AX1475" s="11"/>
      <c r="AY1475" s="11"/>
    </row>
    <row r="1476" spans="1:51" hidden="1" x14ac:dyDescent="0.2">
      <c r="A1476" s="6" t="s">
        <v>17</v>
      </c>
      <c r="B1476" t="s">
        <v>118</v>
      </c>
      <c r="C1476" t="s">
        <v>119</v>
      </c>
      <c r="D1476" t="s">
        <v>1928</v>
      </c>
      <c r="E1476" s="2">
        <v>117.12</v>
      </c>
      <c r="F1476" s="3">
        <f t="shared" si="139"/>
        <v>45834</v>
      </c>
      <c r="G1476" s="3">
        <f t="shared" si="139"/>
        <v>45834</v>
      </c>
      <c r="H1476">
        <v>2382974468</v>
      </c>
      <c r="I1476" t="s">
        <v>158</v>
      </c>
      <c r="K1476" t="s">
        <v>22</v>
      </c>
      <c r="L1476" t="s">
        <v>23</v>
      </c>
      <c r="M1476" t="s">
        <v>24</v>
      </c>
      <c r="N1476" t="s">
        <v>24</v>
      </c>
      <c r="O1476" t="s">
        <v>25</v>
      </c>
      <c r="P1476" s="8" t="s">
        <v>1929</v>
      </c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s="11"/>
      <c r="AR1476" s="11"/>
      <c r="AS1476" s="11"/>
      <c r="AT1476" s="11"/>
      <c r="AU1476" s="11"/>
      <c r="AV1476" s="11"/>
      <c r="AW1476" s="11"/>
      <c r="AX1476" s="11"/>
      <c r="AY1476" s="11"/>
    </row>
    <row r="1477" spans="1:51" hidden="1" x14ac:dyDescent="0.2">
      <c r="A1477" s="6" t="s">
        <v>17</v>
      </c>
      <c r="B1477" t="s">
        <v>118</v>
      </c>
      <c r="C1477" t="s">
        <v>119</v>
      </c>
      <c r="D1477" t="s">
        <v>1930</v>
      </c>
      <c r="E1477" s="2">
        <v>323.92</v>
      </c>
      <c r="F1477" s="3">
        <f t="shared" si="139"/>
        <v>45834</v>
      </c>
      <c r="G1477" s="3">
        <f t="shared" si="139"/>
        <v>45834</v>
      </c>
      <c r="H1477">
        <v>2382974469</v>
      </c>
      <c r="I1477" t="s">
        <v>158</v>
      </c>
      <c r="K1477" t="s">
        <v>22</v>
      </c>
      <c r="L1477" t="s">
        <v>23</v>
      </c>
      <c r="M1477" t="s">
        <v>24</v>
      </c>
      <c r="N1477" t="s">
        <v>24</v>
      </c>
      <c r="O1477" t="s">
        <v>25</v>
      </c>
      <c r="P1477" s="8" t="s">
        <v>1931</v>
      </c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1"/>
      <c r="AF1477" s="11"/>
      <c r="AG1477" s="11"/>
      <c r="AH1477" s="11"/>
      <c r="AI1477" s="11"/>
      <c r="AJ1477" s="11"/>
      <c r="AK1477" s="11"/>
      <c r="AL1477" s="11"/>
      <c r="AM1477" s="11"/>
      <c r="AN1477" s="11"/>
      <c r="AO1477" s="11"/>
      <c r="AP1477" s="11"/>
      <c r="AQ1477" s="11"/>
      <c r="AR1477" s="11"/>
      <c r="AS1477" s="11"/>
      <c r="AT1477" s="11"/>
      <c r="AU1477" s="11"/>
      <c r="AV1477" s="11"/>
      <c r="AW1477" s="11"/>
      <c r="AX1477" s="11"/>
      <c r="AY1477" s="11"/>
    </row>
    <row r="1478" spans="1:51" hidden="1" x14ac:dyDescent="0.2">
      <c r="A1478" s="6" t="s">
        <v>17</v>
      </c>
      <c r="B1478" t="s">
        <v>118</v>
      </c>
      <c r="C1478" t="s">
        <v>119</v>
      </c>
      <c r="D1478" t="s">
        <v>1932</v>
      </c>
      <c r="E1478" s="2">
        <v>14.4</v>
      </c>
      <c r="F1478" s="3">
        <f>DATE(2025,6,27)</f>
        <v>45835</v>
      </c>
      <c r="G1478" s="3">
        <f>DATE(2025,6,27)</f>
        <v>45835</v>
      </c>
      <c r="H1478">
        <v>2382974470</v>
      </c>
      <c r="I1478" t="s">
        <v>158</v>
      </c>
      <c r="K1478" t="s">
        <v>22</v>
      </c>
      <c r="L1478" t="s">
        <v>23</v>
      </c>
      <c r="M1478" t="s">
        <v>24</v>
      </c>
      <c r="N1478" t="s">
        <v>24</v>
      </c>
      <c r="O1478" t="s">
        <v>25</v>
      </c>
      <c r="P1478" s="8" t="s">
        <v>1933</v>
      </c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11"/>
      <c r="AG1478" s="11"/>
      <c r="AH1478" s="11"/>
      <c r="AI1478" s="11"/>
      <c r="AJ1478" s="11"/>
      <c r="AK1478" s="11"/>
      <c r="AL1478" s="11"/>
      <c r="AM1478" s="11"/>
      <c r="AN1478" s="11"/>
      <c r="AO1478" s="11"/>
      <c r="AP1478" s="11"/>
      <c r="AQ1478" s="11"/>
      <c r="AR1478" s="11"/>
      <c r="AS1478" s="11"/>
      <c r="AT1478" s="11"/>
      <c r="AU1478" s="11"/>
      <c r="AV1478" s="11"/>
      <c r="AW1478" s="11"/>
      <c r="AX1478" s="11"/>
      <c r="AY1478" s="11"/>
    </row>
    <row r="1479" spans="1:51" hidden="1" x14ac:dyDescent="0.2">
      <c r="A1479" s="6" t="s">
        <v>17</v>
      </c>
      <c r="B1479" t="s">
        <v>118</v>
      </c>
      <c r="C1479" t="s">
        <v>119</v>
      </c>
      <c r="D1479" t="s">
        <v>1934</v>
      </c>
      <c r="E1479" s="2">
        <v>42.05</v>
      </c>
      <c r="F1479" s="3">
        <f t="shared" ref="F1479:G1481" si="140">DATE(2025,6,26)</f>
        <v>45834</v>
      </c>
      <c r="G1479" s="3">
        <f t="shared" si="140"/>
        <v>45834</v>
      </c>
      <c r="H1479">
        <v>2382974471</v>
      </c>
      <c r="I1479" t="s">
        <v>158</v>
      </c>
      <c r="K1479" t="s">
        <v>22</v>
      </c>
      <c r="L1479" t="s">
        <v>23</v>
      </c>
      <c r="M1479" t="s">
        <v>24</v>
      </c>
      <c r="N1479" t="s">
        <v>24</v>
      </c>
      <c r="O1479" t="s">
        <v>25</v>
      </c>
      <c r="P1479" s="8" t="s">
        <v>1935</v>
      </c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1"/>
      <c r="AJ1479" s="11"/>
      <c r="AK1479" s="11"/>
      <c r="AL1479" s="11"/>
      <c r="AM1479" s="11"/>
      <c r="AN1479" s="11"/>
      <c r="AO1479" s="11"/>
      <c r="AP1479" s="11"/>
      <c r="AQ1479" s="11"/>
      <c r="AR1479" s="11"/>
      <c r="AS1479" s="11"/>
      <c r="AT1479" s="11"/>
      <c r="AU1479" s="11"/>
      <c r="AV1479" s="11"/>
      <c r="AW1479" s="11"/>
      <c r="AX1479" s="11"/>
      <c r="AY1479" s="11"/>
    </row>
    <row r="1480" spans="1:51" hidden="1" x14ac:dyDescent="0.2">
      <c r="A1480" s="6" t="s">
        <v>17</v>
      </c>
      <c r="B1480" t="s">
        <v>118</v>
      </c>
      <c r="C1480" t="s">
        <v>119</v>
      </c>
      <c r="D1480" t="s">
        <v>1936</v>
      </c>
      <c r="E1480" s="2">
        <v>15.19</v>
      </c>
      <c r="F1480" s="3">
        <f t="shared" si="140"/>
        <v>45834</v>
      </c>
      <c r="G1480" s="3">
        <f t="shared" si="140"/>
        <v>45834</v>
      </c>
      <c r="H1480">
        <v>2382974472</v>
      </c>
      <c r="I1480" t="s">
        <v>158</v>
      </c>
      <c r="K1480" t="s">
        <v>22</v>
      </c>
      <c r="L1480" t="s">
        <v>23</v>
      </c>
      <c r="M1480" t="s">
        <v>24</v>
      </c>
      <c r="N1480" t="s">
        <v>24</v>
      </c>
      <c r="O1480" t="s">
        <v>25</v>
      </c>
      <c r="P1480" s="8" t="s">
        <v>1937</v>
      </c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11"/>
      <c r="AG1480" s="11"/>
      <c r="AH1480" s="11"/>
      <c r="AI1480" s="11"/>
      <c r="AJ1480" s="11"/>
      <c r="AK1480" s="11"/>
      <c r="AL1480" s="11"/>
      <c r="AM1480" s="11"/>
      <c r="AN1480" s="11"/>
      <c r="AO1480" s="11"/>
      <c r="AP1480" s="11"/>
      <c r="AQ1480" s="11"/>
      <c r="AR1480" s="11"/>
      <c r="AS1480" s="11"/>
      <c r="AT1480" s="11"/>
      <c r="AU1480" s="11"/>
      <c r="AV1480" s="11"/>
      <c r="AW1480" s="11"/>
      <c r="AX1480" s="11"/>
      <c r="AY1480" s="11"/>
    </row>
    <row r="1481" spans="1:51" hidden="1" x14ac:dyDescent="0.2">
      <c r="A1481" s="6" t="s">
        <v>17</v>
      </c>
      <c r="B1481" t="s">
        <v>118</v>
      </c>
      <c r="C1481" t="s">
        <v>119</v>
      </c>
      <c r="D1481" t="s">
        <v>1938</v>
      </c>
      <c r="E1481" s="2">
        <v>29.27</v>
      </c>
      <c r="F1481" s="3">
        <f t="shared" si="140"/>
        <v>45834</v>
      </c>
      <c r="G1481" s="3">
        <f t="shared" si="140"/>
        <v>45834</v>
      </c>
      <c r="H1481">
        <v>2382974473</v>
      </c>
      <c r="I1481" t="s">
        <v>158</v>
      </c>
      <c r="K1481" t="s">
        <v>22</v>
      </c>
      <c r="L1481" t="s">
        <v>23</v>
      </c>
      <c r="M1481" t="s">
        <v>24</v>
      </c>
      <c r="N1481" t="s">
        <v>24</v>
      </c>
      <c r="O1481" t="s">
        <v>25</v>
      </c>
      <c r="P1481" s="8" t="s">
        <v>1939</v>
      </c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11"/>
      <c r="AG1481" s="11"/>
      <c r="AH1481" s="11"/>
      <c r="AI1481" s="11"/>
      <c r="AJ1481" s="11"/>
      <c r="AK1481" s="11"/>
      <c r="AL1481" s="11"/>
      <c r="AM1481" s="11"/>
      <c r="AN1481" s="11"/>
      <c r="AO1481" s="11"/>
      <c r="AP1481" s="11"/>
      <c r="AQ1481" s="11"/>
      <c r="AR1481" s="11"/>
      <c r="AS1481" s="11"/>
      <c r="AT1481" s="11"/>
      <c r="AU1481" s="11"/>
      <c r="AV1481" s="11"/>
      <c r="AW1481" s="11"/>
      <c r="AX1481" s="11"/>
      <c r="AY1481" s="11"/>
    </row>
    <row r="1482" spans="1:51" hidden="1" x14ac:dyDescent="0.2">
      <c r="A1482" s="6" t="s">
        <v>17</v>
      </c>
      <c r="B1482" t="s">
        <v>50</v>
      </c>
      <c r="C1482" t="s">
        <v>51</v>
      </c>
      <c r="D1482" t="s">
        <v>1940</v>
      </c>
      <c r="E1482" s="2">
        <v>453.82</v>
      </c>
      <c r="F1482" s="3">
        <f t="shared" ref="F1482:G1501" si="141">DATE(2025,6,27)</f>
        <v>45835</v>
      </c>
      <c r="G1482" s="3">
        <f t="shared" si="141"/>
        <v>45835</v>
      </c>
      <c r="H1482">
        <v>2382974474</v>
      </c>
      <c r="I1482" t="s">
        <v>21</v>
      </c>
      <c r="K1482" t="s">
        <v>22</v>
      </c>
      <c r="L1482" t="s">
        <v>23</v>
      </c>
      <c r="M1482" t="s">
        <v>24</v>
      </c>
      <c r="N1482" t="s">
        <v>24</v>
      </c>
      <c r="O1482" t="s">
        <v>25</v>
      </c>
      <c r="P1482" s="8" t="s">
        <v>1941</v>
      </c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1"/>
      <c r="AF1482" s="11"/>
      <c r="AG1482" s="11"/>
      <c r="AH1482" s="11"/>
      <c r="AI1482" s="11"/>
      <c r="AJ1482" s="11"/>
      <c r="AK1482" s="11"/>
      <c r="AL1482" s="11"/>
      <c r="AM1482" s="11"/>
      <c r="AN1482" s="11"/>
      <c r="AO1482" s="11"/>
      <c r="AP1482" s="11"/>
      <c r="AQ1482" s="11"/>
      <c r="AR1482" s="11"/>
      <c r="AS1482" s="11"/>
      <c r="AT1482" s="11"/>
      <c r="AU1482" s="11"/>
      <c r="AV1482" s="11"/>
      <c r="AW1482" s="11"/>
      <c r="AX1482" s="11"/>
      <c r="AY1482" s="11"/>
    </row>
    <row r="1483" spans="1:51" hidden="1" x14ac:dyDescent="0.2">
      <c r="A1483" s="6" t="s">
        <v>17</v>
      </c>
      <c r="B1483" t="s">
        <v>70</v>
      </c>
      <c r="C1483" t="s">
        <v>71</v>
      </c>
      <c r="D1483" t="s">
        <v>1942</v>
      </c>
      <c r="E1483" s="2">
        <v>394.82</v>
      </c>
      <c r="F1483" s="3">
        <f t="shared" si="141"/>
        <v>45835</v>
      </c>
      <c r="G1483" s="3">
        <f t="shared" si="141"/>
        <v>45835</v>
      </c>
      <c r="H1483">
        <v>2382974475</v>
      </c>
      <c r="I1483" t="s">
        <v>21</v>
      </c>
      <c r="K1483" t="s">
        <v>22</v>
      </c>
      <c r="L1483" t="s">
        <v>23</v>
      </c>
      <c r="M1483" t="s">
        <v>24</v>
      </c>
      <c r="N1483" t="s">
        <v>24</v>
      </c>
      <c r="O1483" t="s">
        <v>25</v>
      </c>
      <c r="P1483" s="8" t="s">
        <v>1943</v>
      </c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1"/>
      <c r="AF1483" s="11"/>
      <c r="AG1483" s="11"/>
      <c r="AH1483" s="11"/>
      <c r="AI1483" s="11"/>
      <c r="AJ1483" s="11"/>
      <c r="AK1483" s="11"/>
      <c r="AL1483" s="11"/>
      <c r="AM1483" s="11"/>
      <c r="AN1483" s="11"/>
      <c r="AO1483" s="11"/>
      <c r="AP1483" s="11"/>
      <c r="AQ1483" s="11"/>
      <c r="AR1483" s="11"/>
      <c r="AS1483" s="11"/>
      <c r="AT1483" s="11"/>
      <c r="AU1483" s="11"/>
      <c r="AV1483" s="11"/>
      <c r="AW1483" s="11"/>
      <c r="AX1483" s="11"/>
      <c r="AY1483" s="11"/>
    </row>
    <row r="1484" spans="1:51" hidden="1" x14ac:dyDescent="0.2">
      <c r="A1484" s="6" t="s">
        <v>17</v>
      </c>
      <c r="B1484" t="s">
        <v>589</v>
      </c>
      <c r="C1484" t="s">
        <v>590</v>
      </c>
      <c r="D1484" t="s">
        <v>1944</v>
      </c>
      <c r="E1484" s="2">
        <v>208.43</v>
      </c>
      <c r="F1484" s="3">
        <f t="shared" si="141"/>
        <v>45835</v>
      </c>
      <c r="G1484" s="3">
        <f t="shared" si="141"/>
        <v>45835</v>
      </c>
      <c r="H1484">
        <v>2382974476</v>
      </c>
      <c r="I1484" t="s">
        <v>21</v>
      </c>
      <c r="K1484" t="s">
        <v>22</v>
      </c>
      <c r="L1484" t="s">
        <v>23</v>
      </c>
      <c r="M1484" t="s">
        <v>24</v>
      </c>
      <c r="N1484" t="s">
        <v>24</v>
      </c>
      <c r="O1484" t="s">
        <v>25</v>
      </c>
      <c r="P1484" s="8" t="s">
        <v>1945</v>
      </c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11"/>
      <c r="AG1484" s="11"/>
      <c r="AH1484" s="11"/>
      <c r="AI1484" s="11"/>
      <c r="AJ1484" s="11"/>
      <c r="AK1484" s="11"/>
      <c r="AL1484" s="11"/>
      <c r="AM1484" s="11"/>
      <c r="AN1484" s="11"/>
      <c r="AO1484" s="11"/>
      <c r="AP1484" s="11"/>
      <c r="AQ1484" s="11"/>
      <c r="AR1484" s="11"/>
      <c r="AS1484" s="11"/>
      <c r="AT1484" s="11"/>
      <c r="AU1484" s="11"/>
      <c r="AV1484" s="11"/>
      <c r="AW1484" s="11"/>
      <c r="AX1484" s="11"/>
      <c r="AY1484" s="11"/>
    </row>
    <row r="1485" spans="1:51" hidden="1" x14ac:dyDescent="0.2">
      <c r="A1485" s="6"/>
      <c r="E1485" s="2"/>
      <c r="F1485" s="3"/>
      <c r="G1485" s="3"/>
      <c r="P1485" s="8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11"/>
      <c r="AG1485" s="11"/>
      <c r="AH1485" s="11"/>
      <c r="AI1485" s="11"/>
      <c r="AJ1485" s="11"/>
      <c r="AK1485" s="11"/>
      <c r="AL1485" s="11"/>
      <c r="AM1485" s="11"/>
      <c r="AN1485" s="11"/>
      <c r="AO1485" s="11"/>
      <c r="AP1485" s="11"/>
      <c r="AQ1485" s="11"/>
      <c r="AR1485" s="11"/>
      <c r="AS1485" s="11"/>
      <c r="AT1485" s="11"/>
      <c r="AU1485" s="11"/>
      <c r="AV1485" s="11"/>
      <c r="AW1485" s="11"/>
      <c r="AX1485" s="11"/>
      <c r="AY1485" s="11"/>
    </row>
    <row r="1486" spans="1:51" hidden="1" x14ac:dyDescent="0.2">
      <c r="A1486" s="6" t="s">
        <v>17</v>
      </c>
      <c r="B1486" t="s">
        <v>42</v>
      </c>
      <c r="C1486" t="s">
        <v>43</v>
      </c>
      <c r="D1486" t="s">
        <v>1946</v>
      </c>
      <c r="E1486" s="2">
        <v>4252.45</v>
      </c>
      <c r="F1486" s="3">
        <f t="shared" si="141"/>
        <v>45835</v>
      </c>
      <c r="G1486" s="3">
        <f t="shared" si="141"/>
        <v>45835</v>
      </c>
      <c r="H1486">
        <v>2382974478</v>
      </c>
      <c r="I1486" t="s">
        <v>21</v>
      </c>
      <c r="K1486" t="s">
        <v>22</v>
      </c>
      <c r="L1486" t="s">
        <v>23</v>
      </c>
      <c r="M1486" t="s">
        <v>24</v>
      </c>
      <c r="N1486" t="s">
        <v>24</v>
      </c>
      <c r="O1486" t="s">
        <v>25</v>
      </c>
      <c r="P1486" s="8" t="s">
        <v>1947</v>
      </c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1"/>
      <c r="AF1486" s="11"/>
      <c r="AG1486" s="11"/>
      <c r="AH1486" s="11"/>
      <c r="AI1486" s="11"/>
      <c r="AJ1486" s="11"/>
      <c r="AK1486" s="11"/>
      <c r="AL1486" s="11"/>
      <c r="AM1486" s="11"/>
      <c r="AN1486" s="11"/>
      <c r="AO1486" s="11"/>
      <c r="AP1486" s="11"/>
      <c r="AQ1486" s="11"/>
      <c r="AR1486" s="11"/>
      <c r="AS1486" s="11"/>
      <c r="AT1486" s="11"/>
      <c r="AU1486" s="11"/>
      <c r="AV1486" s="11"/>
      <c r="AW1486" s="11"/>
      <c r="AX1486" s="11"/>
      <c r="AY1486" s="11"/>
    </row>
    <row r="1487" spans="1:51" hidden="1" x14ac:dyDescent="0.2">
      <c r="A1487" s="6" t="s">
        <v>17</v>
      </c>
      <c r="B1487" t="s">
        <v>589</v>
      </c>
      <c r="C1487" t="s">
        <v>590</v>
      </c>
      <c r="D1487" t="s">
        <v>1948</v>
      </c>
      <c r="E1487" s="2">
        <v>77.02</v>
      </c>
      <c r="F1487" s="3">
        <f t="shared" si="141"/>
        <v>45835</v>
      </c>
      <c r="G1487" s="3">
        <f t="shared" si="141"/>
        <v>45835</v>
      </c>
      <c r="H1487">
        <v>2382974479</v>
      </c>
      <c r="I1487" t="s">
        <v>21</v>
      </c>
      <c r="K1487" t="s">
        <v>22</v>
      </c>
      <c r="L1487" t="s">
        <v>23</v>
      </c>
      <c r="M1487" t="s">
        <v>24</v>
      </c>
      <c r="N1487" t="s">
        <v>24</v>
      </c>
      <c r="O1487" t="s">
        <v>25</v>
      </c>
      <c r="P1487" s="8" t="s">
        <v>1949</v>
      </c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11"/>
      <c r="AG1487" s="11"/>
      <c r="AH1487" s="11"/>
      <c r="AI1487" s="11"/>
      <c r="AJ1487" s="11"/>
      <c r="AK1487" s="11"/>
      <c r="AL1487" s="11"/>
      <c r="AM1487" s="11"/>
      <c r="AN1487" s="11"/>
      <c r="AO1487" s="11"/>
      <c r="AP1487" s="11"/>
      <c r="AQ1487" s="11"/>
      <c r="AR1487" s="11"/>
      <c r="AS1487" s="11"/>
      <c r="AT1487" s="11"/>
      <c r="AU1487" s="11"/>
      <c r="AV1487" s="11"/>
      <c r="AW1487" s="11"/>
      <c r="AX1487" s="11"/>
      <c r="AY1487" s="11"/>
    </row>
    <row r="1488" spans="1:51" hidden="1" x14ac:dyDescent="0.2">
      <c r="A1488" s="6" t="s">
        <v>17</v>
      </c>
      <c r="B1488" t="s">
        <v>50</v>
      </c>
      <c r="C1488" t="s">
        <v>51</v>
      </c>
      <c r="D1488" t="s">
        <v>1950</v>
      </c>
      <c r="E1488" s="2">
        <v>100</v>
      </c>
      <c r="F1488" s="3">
        <f t="shared" si="141"/>
        <v>45835</v>
      </c>
      <c r="G1488" s="3">
        <f t="shared" si="141"/>
        <v>45835</v>
      </c>
      <c r="H1488">
        <v>2382974480</v>
      </c>
      <c r="I1488" t="s">
        <v>21</v>
      </c>
      <c r="K1488" t="s">
        <v>22</v>
      </c>
      <c r="L1488" t="s">
        <v>23</v>
      </c>
      <c r="M1488" t="s">
        <v>24</v>
      </c>
      <c r="N1488" t="s">
        <v>24</v>
      </c>
      <c r="O1488" t="s">
        <v>25</v>
      </c>
      <c r="P1488" s="8" t="s">
        <v>1951</v>
      </c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11"/>
      <c r="AG1488" s="11"/>
      <c r="AH1488" s="11"/>
      <c r="AI1488" s="11"/>
      <c r="AJ1488" s="11"/>
      <c r="AK1488" s="11"/>
      <c r="AL1488" s="11"/>
      <c r="AM1488" s="11"/>
      <c r="AN1488" s="11"/>
      <c r="AO1488" s="11"/>
      <c r="AP1488" s="11"/>
      <c r="AQ1488" s="11"/>
      <c r="AR1488" s="11"/>
      <c r="AS1488" s="11"/>
      <c r="AT1488" s="11"/>
      <c r="AU1488" s="11"/>
      <c r="AV1488" s="11"/>
      <c r="AW1488" s="11"/>
      <c r="AX1488" s="11"/>
      <c r="AY1488" s="11"/>
    </row>
    <row r="1489" spans="1:51" hidden="1" x14ac:dyDescent="0.2">
      <c r="A1489" s="6" t="s">
        <v>17</v>
      </c>
      <c r="B1489" t="s">
        <v>50</v>
      </c>
      <c r="C1489" t="s">
        <v>51</v>
      </c>
      <c r="D1489" t="s">
        <v>1952</v>
      </c>
      <c r="E1489" s="2">
        <v>770.4</v>
      </c>
      <c r="F1489" s="3">
        <f t="shared" si="141"/>
        <v>45835</v>
      </c>
      <c r="G1489" s="3">
        <f t="shared" si="141"/>
        <v>45835</v>
      </c>
      <c r="H1489">
        <v>2382974481</v>
      </c>
      <c r="I1489" t="s">
        <v>21</v>
      </c>
      <c r="K1489" t="s">
        <v>22</v>
      </c>
      <c r="L1489" t="s">
        <v>23</v>
      </c>
      <c r="M1489" t="s">
        <v>24</v>
      </c>
      <c r="N1489" t="s">
        <v>24</v>
      </c>
      <c r="O1489" t="s">
        <v>25</v>
      </c>
      <c r="P1489" s="8" t="s">
        <v>1953</v>
      </c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11"/>
      <c r="AG1489" s="11"/>
      <c r="AH1489" s="11"/>
      <c r="AI1489" s="11"/>
      <c r="AJ1489" s="11"/>
      <c r="AK1489" s="11"/>
      <c r="AL1489" s="11"/>
      <c r="AM1489" s="11"/>
      <c r="AN1489" s="11"/>
      <c r="AO1489" s="11"/>
      <c r="AP1489" s="11"/>
      <c r="AQ1489" s="11"/>
      <c r="AR1489" s="11"/>
      <c r="AS1489" s="11"/>
      <c r="AT1489" s="11"/>
      <c r="AU1489" s="11"/>
      <c r="AV1489" s="11"/>
      <c r="AW1489" s="11"/>
      <c r="AX1489" s="11"/>
      <c r="AY1489" s="11"/>
    </row>
    <row r="1490" spans="1:51" hidden="1" x14ac:dyDescent="0.2">
      <c r="A1490" s="6" t="s">
        <v>17</v>
      </c>
      <c r="B1490" t="s">
        <v>266</v>
      </c>
      <c r="C1490" t="s">
        <v>267</v>
      </c>
      <c r="D1490" t="s">
        <v>1954</v>
      </c>
      <c r="E1490" s="2">
        <v>1119.8399999999999</v>
      </c>
      <c r="F1490" s="3">
        <f t="shared" si="141"/>
        <v>45835</v>
      </c>
      <c r="G1490" s="3">
        <f t="shared" si="141"/>
        <v>45835</v>
      </c>
      <c r="H1490">
        <v>2382974482</v>
      </c>
      <c r="I1490" t="s">
        <v>21</v>
      </c>
      <c r="K1490" t="s">
        <v>22</v>
      </c>
      <c r="L1490" t="s">
        <v>23</v>
      </c>
      <c r="M1490" t="s">
        <v>24</v>
      </c>
      <c r="N1490" t="s">
        <v>24</v>
      </c>
      <c r="O1490" t="s">
        <v>25</v>
      </c>
      <c r="P1490" s="8" t="s">
        <v>1955</v>
      </c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11"/>
      <c r="AG1490" s="11"/>
      <c r="AH1490" s="11"/>
      <c r="AI1490" s="11"/>
      <c r="AJ1490" s="11"/>
      <c r="AK1490" s="11"/>
      <c r="AL1490" s="11"/>
      <c r="AM1490" s="11"/>
      <c r="AN1490" s="11"/>
      <c r="AO1490" s="11"/>
      <c r="AP1490" s="11"/>
      <c r="AQ1490" s="11"/>
      <c r="AR1490" s="11"/>
      <c r="AS1490" s="11"/>
      <c r="AT1490" s="11"/>
      <c r="AU1490" s="11"/>
      <c r="AV1490" s="11"/>
      <c r="AW1490" s="11"/>
      <c r="AX1490" s="11"/>
      <c r="AY1490" s="11"/>
    </row>
    <row r="1491" spans="1:51" hidden="1" x14ac:dyDescent="0.2">
      <c r="A1491" s="6" t="s">
        <v>17</v>
      </c>
      <c r="B1491" t="s">
        <v>50</v>
      </c>
      <c r="C1491" t="s">
        <v>51</v>
      </c>
      <c r="D1491" t="s">
        <v>1956</v>
      </c>
      <c r="E1491" s="2">
        <v>654.96</v>
      </c>
      <c r="F1491" s="3">
        <f t="shared" si="141"/>
        <v>45835</v>
      </c>
      <c r="G1491" s="3">
        <f t="shared" si="141"/>
        <v>45835</v>
      </c>
      <c r="H1491">
        <v>2382974483</v>
      </c>
      <c r="I1491" t="s">
        <v>21</v>
      </c>
      <c r="K1491" t="s">
        <v>22</v>
      </c>
      <c r="L1491" t="s">
        <v>23</v>
      </c>
      <c r="M1491" t="s">
        <v>24</v>
      </c>
      <c r="N1491" t="s">
        <v>24</v>
      </c>
      <c r="O1491" t="s">
        <v>25</v>
      </c>
      <c r="P1491" s="8" t="s">
        <v>1957</v>
      </c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11"/>
      <c r="AG1491" s="11"/>
      <c r="AH1491" s="11"/>
      <c r="AI1491" s="11"/>
      <c r="AJ1491" s="11"/>
      <c r="AK1491" s="11"/>
      <c r="AL1491" s="11"/>
      <c r="AM1491" s="11"/>
      <c r="AN1491" s="11"/>
      <c r="AO1491" s="11"/>
      <c r="AP1491" s="11"/>
      <c r="AQ1491" s="11"/>
      <c r="AR1491" s="11"/>
      <c r="AS1491" s="11"/>
      <c r="AT1491" s="11"/>
      <c r="AU1491" s="11"/>
      <c r="AV1491" s="11"/>
      <c r="AW1491" s="11"/>
      <c r="AX1491" s="11"/>
      <c r="AY1491" s="11"/>
    </row>
    <row r="1492" spans="1:51" hidden="1" x14ac:dyDescent="0.2">
      <c r="A1492" s="6" t="s">
        <v>17</v>
      </c>
      <c r="B1492" t="s">
        <v>35</v>
      </c>
      <c r="C1492" t="s">
        <v>35</v>
      </c>
      <c r="D1492" t="s">
        <v>1958</v>
      </c>
      <c r="E1492" s="2">
        <v>2.1</v>
      </c>
      <c r="F1492" s="3">
        <f t="shared" si="141"/>
        <v>45835</v>
      </c>
      <c r="G1492" s="3">
        <f t="shared" si="141"/>
        <v>45835</v>
      </c>
      <c r="H1492">
        <v>2382974484</v>
      </c>
      <c r="I1492" t="s">
        <v>21</v>
      </c>
      <c r="K1492" t="s">
        <v>22</v>
      </c>
      <c r="L1492" t="s">
        <v>23</v>
      </c>
      <c r="M1492" t="s">
        <v>24</v>
      </c>
      <c r="N1492" t="s">
        <v>24</v>
      </c>
      <c r="O1492" t="s">
        <v>25</v>
      </c>
      <c r="P1492" s="8" t="s">
        <v>1959</v>
      </c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11"/>
      <c r="AG1492" s="11"/>
      <c r="AH1492" s="11"/>
      <c r="AI1492" s="11"/>
      <c r="AJ1492" s="11"/>
      <c r="AK1492" s="11"/>
      <c r="AL1492" s="11"/>
      <c r="AM1492" s="11"/>
      <c r="AN1492" s="11"/>
      <c r="AO1492" s="11"/>
      <c r="AP1492" s="11"/>
      <c r="AQ1492" s="11"/>
      <c r="AR1492" s="11"/>
      <c r="AS1492" s="11"/>
      <c r="AT1492" s="11"/>
      <c r="AU1492" s="11"/>
      <c r="AV1492" s="11"/>
      <c r="AW1492" s="11"/>
      <c r="AX1492" s="11"/>
      <c r="AY1492" s="11"/>
    </row>
    <row r="1493" spans="1:51" hidden="1" x14ac:dyDescent="0.2">
      <c r="A1493" s="6" t="s">
        <v>17</v>
      </c>
      <c r="B1493" t="s">
        <v>60</v>
      </c>
      <c r="C1493" t="s">
        <v>61</v>
      </c>
      <c r="D1493" t="s">
        <v>1960</v>
      </c>
      <c r="E1493" s="2">
        <v>216</v>
      </c>
      <c r="F1493" s="3">
        <f t="shared" si="141"/>
        <v>45835</v>
      </c>
      <c r="G1493" s="3">
        <f t="shared" si="141"/>
        <v>45835</v>
      </c>
      <c r="H1493">
        <v>2382974485</v>
      </c>
      <c r="I1493" t="s">
        <v>21</v>
      </c>
      <c r="K1493" t="s">
        <v>22</v>
      </c>
      <c r="L1493" t="s">
        <v>23</v>
      </c>
      <c r="M1493" t="s">
        <v>24</v>
      </c>
      <c r="N1493" t="s">
        <v>24</v>
      </c>
      <c r="O1493" t="s">
        <v>25</v>
      </c>
      <c r="P1493" s="8" t="s">
        <v>1961</v>
      </c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11"/>
      <c r="AG1493" s="11"/>
      <c r="AH1493" s="11"/>
      <c r="AI1493" s="11"/>
      <c r="AJ1493" s="11"/>
      <c r="AK1493" s="11"/>
      <c r="AL1493" s="11"/>
      <c r="AM1493" s="11"/>
      <c r="AN1493" s="11"/>
      <c r="AO1493" s="11"/>
      <c r="AP1493" s="11"/>
      <c r="AQ1493" s="11"/>
      <c r="AR1493" s="11"/>
      <c r="AS1493" s="11"/>
      <c r="AT1493" s="11"/>
      <c r="AU1493" s="11"/>
      <c r="AV1493" s="11"/>
      <c r="AW1493" s="11"/>
      <c r="AX1493" s="11"/>
      <c r="AY1493" s="11"/>
    </row>
    <row r="1494" spans="1:51" hidden="1" x14ac:dyDescent="0.2">
      <c r="A1494" s="6"/>
      <c r="E1494" s="2"/>
      <c r="F1494" s="3"/>
      <c r="G1494" s="3"/>
      <c r="P1494" s="8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s="11"/>
      <c r="AR1494" s="11"/>
      <c r="AS1494" s="11"/>
      <c r="AT1494" s="11"/>
      <c r="AU1494" s="11"/>
      <c r="AV1494" s="11"/>
      <c r="AW1494" s="11"/>
      <c r="AX1494" s="11"/>
      <c r="AY1494" s="11"/>
    </row>
    <row r="1495" spans="1:51" hidden="1" x14ac:dyDescent="0.2">
      <c r="A1495" s="6" t="s">
        <v>17</v>
      </c>
      <c r="B1495" t="s">
        <v>50</v>
      </c>
      <c r="C1495" t="s">
        <v>51</v>
      </c>
      <c r="D1495" t="s">
        <v>1962</v>
      </c>
      <c r="E1495" s="2">
        <v>589</v>
      </c>
      <c r="F1495" s="3">
        <f t="shared" si="141"/>
        <v>45835</v>
      </c>
      <c r="G1495" s="3">
        <f t="shared" si="141"/>
        <v>45835</v>
      </c>
      <c r="H1495">
        <v>2382974487</v>
      </c>
      <c r="I1495" t="s">
        <v>21</v>
      </c>
      <c r="K1495" t="s">
        <v>22</v>
      </c>
      <c r="L1495" t="s">
        <v>23</v>
      </c>
      <c r="M1495" t="s">
        <v>24</v>
      </c>
      <c r="N1495" t="s">
        <v>24</v>
      </c>
      <c r="O1495" t="s">
        <v>25</v>
      </c>
      <c r="P1495" s="8" t="s">
        <v>1963</v>
      </c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1"/>
      <c r="AF1495" s="11"/>
      <c r="AG1495" s="11"/>
      <c r="AH1495" s="11"/>
      <c r="AI1495" s="11"/>
      <c r="AJ1495" s="11"/>
      <c r="AK1495" s="11"/>
      <c r="AL1495" s="11"/>
      <c r="AM1495" s="11"/>
      <c r="AN1495" s="11"/>
      <c r="AO1495" s="11"/>
      <c r="AP1495" s="11"/>
      <c r="AQ1495" s="11"/>
      <c r="AR1495" s="11"/>
      <c r="AS1495" s="11"/>
      <c r="AT1495" s="11"/>
      <c r="AU1495" s="11"/>
      <c r="AV1495" s="11"/>
      <c r="AW1495" s="11"/>
      <c r="AX1495" s="11"/>
      <c r="AY1495" s="11"/>
    </row>
    <row r="1496" spans="1:51" hidden="1" x14ac:dyDescent="0.2">
      <c r="A1496" s="6" t="s">
        <v>17</v>
      </c>
      <c r="B1496" t="s">
        <v>244</v>
      </c>
      <c r="C1496" t="s">
        <v>245</v>
      </c>
      <c r="D1496" t="s">
        <v>1964</v>
      </c>
      <c r="E1496" s="2">
        <v>33</v>
      </c>
      <c r="F1496" s="3">
        <f t="shared" si="141"/>
        <v>45835</v>
      </c>
      <c r="G1496" s="3">
        <f t="shared" si="141"/>
        <v>45835</v>
      </c>
      <c r="H1496">
        <v>2382974488</v>
      </c>
      <c r="I1496" t="s">
        <v>21</v>
      </c>
      <c r="K1496" t="s">
        <v>22</v>
      </c>
      <c r="L1496" t="s">
        <v>23</v>
      </c>
      <c r="M1496" t="s">
        <v>24</v>
      </c>
      <c r="N1496" t="s">
        <v>24</v>
      </c>
      <c r="O1496" t="s">
        <v>25</v>
      </c>
      <c r="P1496" s="8" t="s">
        <v>1965</v>
      </c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11"/>
      <c r="AG1496" s="11"/>
      <c r="AH1496" s="11"/>
      <c r="AI1496" s="11"/>
      <c r="AJ1496" s="11"/>
      <c r="AK1496" s="11"/>
      <c r="AL1496" s="11"/>
      <c r="AM1496" s="11"/>
      <c r="AN1496" s="11"/>
      <c r="AO1496" s="11"/>
      <c r="AP1496" s="11"/>
      <c r="AQ1496" s="11"/>
      <c r="AR1496" s="11"/>
      <c r="AS1496" s="11"/>
      <c r="AT1496" s="11"/>
      <c r="AU1496" s="11"/>
      <c r="AV1496" s="11"/>
      <c r="AW1496" s="11"/>
      <c r="AX1496" s="11"/>
      <c r="AY1496" s="11"/>
    </row>
    <row r="1497" spans="1:51" hidden="1" x14ac:dyDescent="0.2">
      <c r="A1497" s="6"/>
      <c r="E1497" s="2"/>
      <c r="F1497" s="3"/>
      <c r="G1497" s="3"/>
      <c r="P1497" s="8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1"/>
      <c r="AF1497" s="11"/>
      <c r="AG1497" s="11"/>
      <c r="AH1497" s="11"/>
      <c r="AI1497" s="11"/>
      <c r="AJ1497" s="11"/>
      <c r="AK1497" s="11"/>
      <c r="AL1497" s="11"/>
      <c r="AM1497" s="11"/>
      <c r="AN1497" s="11"/>
      <c r="AO1497" s="11"/>
      <c r="AP1497" s="11"/>
      <c r="AQ1497" s="11"/>
      <c r="AR1497" s="11"/>
      <c r="AS1497" s="11"/>
      <c r="AT1497" s="11"/>
      <c r="AU1497" s="11"/>
      <c r="AV1497" s="11"/>
      <c r="AW1497" s="11"/>
      <c r="AX1497" s="11"/>
      <c r="AY1497" s="11"/>
    </row>
    <row r="1498" spans="1:51" hidden="1" x14ac:dyDescent="0.2">
      <c r="A1498" s="6"/>
      <c r="E1498" s="2"/>
      <c r="F1498" s="3"/>
      <c r="G1498" s="3"/>
      <c r="P1498" s="8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1"/>
      <c r="AF1498" s="11"/>
      <c r="AG1498" s="11"/>
      <c r="AH1498" s="11"/>
      <c r="AI1498" s="11"/>
      <c r="AJ1498" s="11"/>
      <c r="AK1498" s="11"/>
      <c r="AL1498" s="11"/>
      <c r="AM1498" s="11"/>
      <c r="AN1498" s="11"/>
      <c r="AO1498" s="11"/>
      <c r="AP1498" s="11"/>
      <c r="AQ1498" s="11"/>
      <c r="AR1498" s="11"/>
      <c r="AS1498" s="11"/>
      <c r="AT1498" s="11"/>
      <c r="AU1498" s="11"/>
      <c r="AV1498" s="11"/>
      <c r="AW1498" s="11"/>
      <c r="AX1498" s="11"/>
      <c r="AY1498" s="11"/>
    </row>
    <row r="1499" spans="1:51" hidden="1" x14ac:dyDescent="0.2">
      <c r="A1499" s="6" t="s">
        <v>17</v>
      </c>
      <c r="B1499" t="s">
        <v>825</v>
      </c>
      <c r="C1499" t="s">
        <v>826</v>
      </c>
      <c r="D1499" t="s">
        <v>1966</v>
      </c>
      <c r="E1499" s="2">
        <v>1851.14</v>
      </c>
      <c r="F1499" s="3">
        <f t="shared" si="141"/>
        <v>45835</v>
      </c>
      <c r="G1499" s="3">
        <f t="shared" si="141"/>
        <v>45835</v>
      </c>
      <c r="H1499">
        <v>2382974491</v>
      </c>
      <c r="I1499" t="s">
        <v>21</v>
      </c>
      <c r="K1499" t="s">
        <v>22</v>
      </c>
      <c r="L1499" t="s">
        <v>23</v>
      </c>
      <c r="M1499" t="s">
        <v>24</v>
      </c>
      <c r="N1499" t="s">
        <v>24</v>
      </c>
      <c r="O1499" t="s">
        <v>25</v>
      </c>
      <c r="P1499" s="8" t="s">
        <v>1967</v>
      </c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11"/>
      <c r="AG1499" s="11"/>
      <c r="AH1499" s="11"/>
      <c r="AI1499" s="11"/>
      <c r="AJ1499" s="11"/>
      <c r="AK1499" s="11"/>
      <c r="AL1499" s="11"/>
      <c r="AM1499" s="11"/>
      <c r="AN1499" s="11"/>
      <c r="AO1499" s="11"/>
      <c r="AP1499" s="11"/>
      <c r="AQ1499" s="11"/>
      <c r="AR1499" s="11"/>
      <c r="AS1499" s="11"/>
      <c r="AT1499" s="11"/>
      <c r="AU1499" s="11"/>
      <c r="AV1499" s="11"/>
      <c r="AW1499" s="11"/>
      <c r="AX1499" s="11"/>
      <c r="AY1499" s="11"/>
    </row>
    <row r="1500" spans="1:51" hidden="1" x14ac:dyDescent="0.2">
      <c r="A1500" s="6" t="s">
        <v>17</v>
      </c>
      <c r="B1500" t="s">
        <v>565</v>
      </c>
      <c r="C1500" t="s">
        <v>566</v>
      </c>
      <c r="D1500" t="s">
        <v>1968</v>
      </c>
      <c r="E1500" s="2">
        <v>565.44000000000005</v>
      </c>
      <c r="F1500" s="3">
        <f t="shared" si="141"/>
        <v>45835</v>
      </c>
      <c r="G1500" s="3">
        <f t="shared" si="141"/>
        <v>45835</v>
      </c>
      <c r="H1500">
        <v>2382974492</v>
      </c>
      <c r="I1500" t="s">
        <v>21</v>
      </c>
      <c r="K1500" t="s">
        <v>22</v>
      </c>
      <c r="L1500" t="s">
        <v>23</v>
      </c>
      <c r="M1500" t="s">
        <v>24</v>
      </c>
      <c r="N1500" t="s">
        <v>24</v>
      </c>
      <c r="O1500" t="s">
        <v>25</v>
      </c>
      <c r="P1500" s="8" t="s">
        <v>1969</v>
      </c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1"/>
      <c r="AF1500" s="11"/>
      <c r="AG1500" s="11"/>
      <c r="AH1500" s="11"/>
      <c r="AI1500" s="11"/>
      <c r="AJ1500" s="11"/>
      <c r="AK1500" s="11"/>
      <c r="AL1500" s="11"/>
      <c r="AM1500" s="11"/>
      <c r="AN1500" s="11"/>
      <c r="AO1500" s="11"/>
      <c r="AP1500" s="11"/>
      <c r="AQ1500" s="11"/>
      <c r="AR1500" s="11"/>
      <c r="AS1500" s="11"/>
      <c r="AT1500" s="11"/>
      <c r="AU1500" s="11"/>
      <c r="AV1500" s="11"/>
      <c r="AW1500" s="11"/>
      <c r="AX1500" s="11"/>
      <c r="AY1500" s="11"/>
    </row>
    <row r="1501" spans="1:51" hidden="1" x14ac:dyDescent="0.2">
      <c r="A1501" s="6" t="s">
        <v>17</v>
      </c>
      <c r="B1501" t="s">
        <v>244</v>
      </c>
      <c r="C1501" t="s">
        <v>245</v>
      </c>
      <c r="D1501" t="s">
        <v>1970</v>
      </c>
      <c r="E1501" s="2">
        <v>931</v>
      </c>
      <c r="F1501" s="3">
        <f t="shared" si="141"/>
        <v>45835</v>
      </c>
      <c r="G1501" s="3">
        <f t="shared" si="141"/>
        <v>45835</v>
      </c>
      <c r="H1501">
        <v>2382974493</v>
      </c>
      <c r="I1501" t="s">
        <v>21</v>
      </c>
      <c r="K1501" t="s">
        <v>22</v>
      </c>
      <c r="L1501" t="s">
        <v>23</v>
      </c>
      <c r="M1501" t="s">
        <v>24</v>
      </c>
      <c r="N1501" t="s">
        <v>24</v>
      </c>
      <c r="O1501" t="s">
        <v>25</v>
      </c>
      <c r="P1501" s="8" t="s">
        <v>1971</v>
      </c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1"/>
      <c r="AF1501" s="11"/>
      <c r="AG1501" s="11"/>
      <c r="AH1501" s="11"/>
      <c r="AI1501" s="11"/>
      <c r="AJ1501" s="11"/>
      <c r="AK1501" s="11"/>
      <c r="AL1501" s="11"/>
      <c r="AM1501" s="11"/>
      <c r="AN1501" s="11"/>
      <c r="AO1501" s="11"/>
      <c r="AP1501" s="11"/>
      <c r="AQ1501" s="11"/>
      <c r="AR1501" s="11"/>
      <c r="AS1501" s="11"/>
      <c r="AT1501" s="11"/>
      <c r="AU1501" s="11"/>
      <c r="AV1501" s="11"/>
      <c r="AW1501" s="11"/>
      <c r="AX1501" s="11"/>
      <c r="AY1501" s="11"/>
    </row>
    <row r="1502" spans="1:51" hidden="1" x14ac:dyDescent="0.2">
      <c r="A1502" s="6"/>
      <c r="E1502" s="2"/>
      <c r="F1502" s="3"/>
      <c r="G1502" s="3"/>
      <c r="P1502" s="8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11"/>
      <c r="AG1502" s="11"/>
      <c r="AH1502" s="11"/>
      <c r="AI1502" s="11"/>
      <c r="AJ1502" s="11"/>
      <c r="AK1502" s="11"/>
      <c r="AL1502" s="11"/>
      <c r="AM1502" s="11"/>
      <c r="AN1502" s="11"/>
      <c r="AO1502" s="11"/>
      <c r="AP1502" s="11"/>
      <c r="AQ1502" s="11"/>
      <c r="AR1502" s="11"/>
      <c r="AS1502" s="11"/>
      <c r="AT1502" s="11"/>
      <c r="AU1502" s="11"/>
      <c r="AV1502" s="11"/>
      <c r="AW1502" s="11"/>
      <c r="AX1502" s="11"/>
      <c r="AY1502" s="11"/>
    </row>
    <row r="1503" spans="1:51" hidden="1" x14ac:dyDescent="0.2">
      <c r="A1503" s="6"/>
      <c r="E1503" s="2"/>
      <c r="F1503" s="3"/>
      <c r="G1503" s="3"/>
      <c r="P1503" s="8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11"/>
      <c r="AG1503" s="11"/>
      <c r="AH1503" s="11"/>
      <c r="AI1503" s="11"/>
      <c r="AJ1503" s="11"/>
      <c r="AK1503" s="11"/>
      <c r="AL1503" s="11"/>
      <c r="AM1503" s="11"/>
      <c r="AN1503" s="11"/>
      <c r="AO1503" s="11"/>
      <c r="AP1503" s="11"/>
      <c r="AQ1503" s="11"/>
      <c r="AR1503" s="11"/>
      <c r="AS1503" s="11"/>
      <c r="AT1503" s="11"/>
      <c r="AU1503" s="11"/>
      <c r="AV1503" s="11"/>
      <c r="AW1503" s="11"/>
      <c r="AX1503" s="11"/>
      <c r="AY1503" s="11"/>
    </row>
    <row r="1504" spans="1:51" hidden="1" x14ac:dyDescent="0.2">
      <c r="A1504" s="6"/>
      <c r="E1504" s="2"/>
      <c r="F1504" s="3"/>
      <c r="G1504" s="3"/>
      <c r="P1504" s="8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  <c r="AM1504" s="11"/>
      <c r="AN1504" s="11"/>
      <c r="AO1504" s="11"/>
      <c r="AP1504" s="11"/>
      <c r="AQ1504" s="11"/>
      <c r="AR1504" s="11"/>
      <c r="AS1504" s="11"/>
      <c r="AT1504" s="11"/>
      <c r="AU1504" s="11"/>
      <c r="AV1504" s="11"/>
      <c r="AW1504" s="11"/>
      <c r="AX1504" s="11"/>
      <c r="AY1504" s="11"/>
    </row>
    <row r="1505" spans="1:51" hidden="1" x14ac:dyDescent="0.2">
      <c r="A1505" s="6"/>
      <c r="E1505" s="2"/>
      <c r="F1505" s="3"/>
      <c r="G1505" s="3"/>
      <c r="P1505" s="8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11"/>
      <c r="AG1505" s="11"/>
      <c r="AH1505" s="11"/>
      <c r="AI1505" s="11"/>
      <c r="AJ1505" s="11"/>
      <c r="AK1505" s="11"/>
      <c r="AL1505" s="11"/>
      <c r="AM1505" s="11"/>
      <c r="AN1505" s="11"/>
      <c r="AO1505" s="11"/>
      <c r="AP1505" s="11"/>
      <c r="AQ1505" s="11"/>
      <c r="AR1505" s="11"/>
      <c r="AS1505" s="11"/>
      <c r="AT1505" s="11"/>
      <c r="AU1505" s="11"/>
      <c r="AV1505" s="11"/>
      <c r="AW1505" s="11"/>
      <c r="AX1505" s="11"/>
      <c r="AY1505" s="11"/>
    </row>
    <row r="1506" spans="1:51" hidden="1" x14ac:dyDescent="0.2">
      <c r="A1506" s="6"/>
      <c r="E1506" s="2"/>
      <c r="F1506" s="3"/>
      <c r="G1506" s="3"/>
      <c r="P1506" s="8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1"/>
      <c r="AF1506" s="11"/>
      <c r="AG1506" s="11"/>
      <c r="AH1506" s="11"/>
      <c r="AI1506" s="11"/>
      <c r="AJ1506" s="11"/>
      <c r="AK1506" s="11"/>
      <c r="AL1506" s="11"/>
      <c r="AM1506" s="11"/>
      <c r="AN1506" s="11"/>
      <c r="AO1506" s="11"/>
      <c r="AP1506" s="11"/>
      <c r="AQ1506" s="11"/>
      <c r="AR1506" s="11"/>
      <c r="AS1506" s="11"/>
      <c r="AT1506" s="11"/>
      <c r="AU1506" s="11"/>
      <c r="AV1506" s="11"/>
      <c r="AW1506" s="11"/>
      <c r="AX1506" s="11"/>
      <c r="AY1506" s="11"/>
    </row>
    <row r="1507" spans="1:51" hidden="1" x14ac:dyDescent="0.2">
      <c r="A1507" s="6"/>
      <c r="E1507" s="2"/>
      <c r="F1507" s="3"/>
      <c r="G1507" s="3"/>
      <c r="P1507" s="8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11"/>
      <c r="AG1507" s="11"/>
      <c r="AH1507" s="11"/>
      <c r="AI1507" s="11"/>
      <c r="AJ1507" s="11"/>
      <c r="AK1507" s="11"/>
      <c r="AL1507" s="11"/>
      <c r="AM1507" s="11"/>
      <c r="AN1507" s="11"/>
      <c r="AO1507" s="11"/>
      <c r="AP1507" s="11"/>
      <c r="AQ1507" s="11"/>
      <c r="AR1507" s="11"/>
      <c r="AS1507" s="11"/>
      <c r="AT1507" s="11"/>
      <c r="AU1507" s="11"/>
      <c r="AV1507" s="11"/>
      <c r="AW1507" s="11"/>
      <c r="AX1507" s="11"/>
      <c r="AY1507" s="11"/>
    </row>
    <row r="1508" spans="1:51" hidden="1" x14ac:dyDescent="0.2">
      <c r="A1508" s="6" t="s">
        <v>17</v>
      </c>
      <c r="B1508" t="s">
        <v>1048</v>
      </c>
      <c r="C1508" t="s">
        <v>1049</v>
      </c>
      <c r="D1508" t="s">
        <v>1972</v>
      </c>
      <c r="E1508" s="2">
        <v>1679.01</v>
      </c>
      <c r="F1508" s="3">
        <f t="shared" ref="F1508:G1512" si="142">DATE(2025,6,30)</f>
        <v>45838</v>
      </c>
      <c r="G1508" s="3">
        <f t="shared" si="142"/>
        <v>45838</v>
      </c>
      <c r="H1508">
        <v>2391964557</v>
      </c>
      <c r="I1508" t="s">
        <v>21</v>
      </c>
      <c r="K1508" t="s">
        <v>22</v>
      </c>
      <c r="L1508" t="s">
        <v>23</v>
      </c>
      <c r="M1508" t="s">
        <v>24</v>
      </c>
      <c r="N1508" t="s">
        <v>24</v>
      </c>
      <c r="O1508" t="s">
        <v>25</v>
      </c>
      <c r="P1508" s="8" t="s">
        <v>1973</v>
      </c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1"/>
      <c r="AF1508" s="11"/>
      <c r="AG1508" s="11"/>
      <c r="AH1508" s="11"/>
      <c r="AI1508" s="11"/>
      <c r="AJ1508" s="11"/>
      <c r="AK1508" s="11"/>
      <c r="AL1508" s="11"/>
      <c r="AM1508" s="11"/>
      <c r="AN1508" s="11"/>
      <c r="AO1508" s="11"/>
      <c r="AP1508" s="11"/>
      <c r="AQ1508" s="11"/>
      <c r="AR1508" s="11"/>
      <c r="AS1508" s="11"/>
      <c r="AT1508" s="11"/>
      <c r="AU1508" s="11"/>
      <c r="AV1508" s="11"/>
      <c r="AW1508" s="11"/>
      <c r="AX1508" s="11"/>
      <c r="AY1508" s="11"/>
    </row>
    <row r="1509" spans="1:51" hidden="1" x14ac:dyDescent="0.2">
      <c r="A1509" s="6" t="s">
        <v>17</v>
      </c>
      <c r="B1509" t="s">
        <v>118</v>
      </c>
      <c r="C1509" t="s">
        <v>119</v>
      </c>
      <c r="D1509" t="s">
        <v>1974</v>
      </c>
      <c r="E1509" s="2">
        <v>295.48</v>
      </c>
      <c r="F1509" s="3">
        <f t="shared" si="142"/>
        <v>45838</v>
      </c>
      <c r="G1509" s="3">
        <f t="shared" si="142"/>
        <v>45838</v>
      </c>
      <c r="H1509">
        <v>2391964558</v>
      </c>
      <c r="I1509" t="s">
        <v>21</v>
      </c>
      <c r="K1509" t="s">
        <v>22</v>
      </c>
      <c r="L1509" t="s">
        <v>23</v>
      </c>
      <c r="M1509" t="s">
        <v>24</v>
      </c>
      <c r="N1509" t="s">
        <v>24</v>
      </c>
      <c r="O1509" t="s">
        <v>25</v>
      </c>
      <c r="P1509" s="8" t="s">
        <v>1975</v>
      </c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1"/>
      <c r="AF1509" s="11"/>
      <c r="AG1509" s="11"/>
      <c r="AH1509" s="11"/>
      <c r="AI1509" s="11"/>
      <c r="AJ1509" s="11"/>
      <c r="AK1509" s="11"/>
      <c r="AL1509" s="11"/>
      <c r="AM1509" s="11"/>
      <c r="AN1509" s="11"/>
      <c r="AO1509" s="11"/>
      <c r="AP1509" s="11"/>
      <c r="AQ1509" s="11"/>
      <c r="AR1509" s="11"/>
      <c r="AS1509" s="11"/>
      <c r="AT1509" s="11"/>
      <c r="AU1509" s="11"/>
      <c r="AV1509" s="11"/>
      <c r="AW1509" s="11"/>
      <c r="AX1509" s="11"/>
      <c r="AY1509" s="11"/>
    </row>
    <row r="1510" spans="1:51" hidden="1" x14ac:dyDescent="0.2">
      <c r="A1510" s="6" t="s">
        <v>17</v>
      </c>
      <c r="B1510" t="s">
        <v>118</v>
      </c>
      <c r="C1510" t="s">
        <v>119</v>
      </c>
      <c r="D1510" t="s">
        <v>1976</v>
      </c>
      <c r="E1510" s="2">
        <v>1099.01</v>
      </c>
      <c r="F1510" s="3">
        <f t="shared" si="142"/>
        <v>45838</v>
      </c>
      <c r="G1510" s="3">
        <f t="shared" si="142"/>
        <v>45838</v>
      </c>
      <c r="H1510">
        <v>2391964559</v>
      </c>
      <c r="I1510" t="s">
        <v>21</v>
      </c>
      <c r="K1510" t="s">
        <v>22</v>
      </c>
      <c r="L1510" t="s">
        <v>23</v>
      </c>
      <c r="M1510" t="s">
        <v>24</v>
      </c>
      <c r="N1510" t="s">
        <v>24</v>
      </c>
      <c r="O1510" t="s">
        <v>25</v>
      </c>
      <c r="P1510" s="8" t="s">
        <v>1977</v>
      </c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1"/>
      <c r="AF1510" s="11"/>
      <c r="AG1510" s="11"/>
      <c r="AH1510" s="11"/>
      <c r="AI1510" s="11"/>
      <c r="AJ1510" s="11"/>
      <c r="AK1510" s="11"/>
      <c r="AL1510" s="11"/>
      <c r="AM1510" s="11"/>
      <c r="AN1510" s="11"/>
      <c r="AO1510" s="11"/>
      <c r="AP1510" s="11"/>
      <c r="AQ1510" s="11"/>
      <c r="AR1510" s="11"/>
      <c r="AS1510" s="11"/>
      <c r="AT1510" s="11"/>
      <c r="AU1510" s="11"/>
      <c r="AV1510" s="11"/>
      <c r="AW1510" s="11"/>
      <c r="AX1510" s="11"/>
      <c r="AY1510" s="11"/>
    </row>
    <row r="1511" spans="1:51" hidden="1" x14ac:dyDescent="0.2">
      <c r="A1511" s="6"/>
      <c r="E1511" s="2"/>
      <c r="F1511" s="3"/>
      <c r="G1511" s="3"/>
      <c r="P1511" s="8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11"/>
      <c r="AG1511" s="11"/>
      <c r="AH1511" s="11"/>
      <c r="AI1511" s="11"/>
      <c r="AJ1511" s="11"/>
      <c r="AK1511" s="11"/>
      <c r="AL1511" s="11"/>
      <c r="AM1511" s="11"/>
      <c r="AN1511" s="11"/>
      <c r="AO1511" s="11"/>
      <c r="AP1511" s="11"/>
      <c r="AQ1511" s="11"/>
      <c r="AR1511" s="11"/>
      <c r="AS1511" s="11"/>
      <c r="AT1511" s="11"/>
      <c r="AU1511" s="11"/>
      <c r="AV1511" s="11"/>
      <c r="AW1511" s="11"/>
      <c r="AX1511" s="11"/>
      <c r="AY1511" s="11"/>
    </row>
    <row r="1512" spans="1:51" hidden="1" x14ac:dyDescent="0.2">
      <c r="A1512" s="6" t="s">
        <v>17</v>
      </c>
      <c r="B1512" t="s">
        <v>50</v>
      </c>
      <c r="C1512" t="s">
        <v>51</v>
      </c>
      <c r="D1512" t="s">
        <v>1978</v>
      </c>
      <c r="E1512" s="2">
        <v>2705.11</v>
      </c>
      <c r="F1512" s="3">
        <f t="shared" si="142"/>
        <v>45838</v>
      </c>
      <c r="G1512" s="3">
        <f t="shared" si="142"/>
        <v>45838</v>
      </c>
      <c r="H1512">
        <v>2391964561</v>
      </c>
      <c r="I1512" t="s">
        <v>21</v>
      </c>
      <c r="K1512" t="s">
        <v>22</v>
      </c>
      <c r="L1512" t="s">
        <v>23</v>
      </c>
      <c r="M1512" t="s">
        <v>24</v>
      </c>
      <c r="N1512" t="s">
        <v>24</v>
      </c>
      <c r="O1512" t="s">
        <v>25</v>
      </c>
      <c r="P1512" s="8" t="s">
        <v>1979</v>
      </c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  <c r="AS1512" s="11"/>
      <c r="AT1512" s="11"/>
      <c r="AU1512" s="11"/>
      <c r="AV1512" s="11"/>
      <c r="AW1512" s="11"/>
      <c r="AX1512" s="11"/>
      <c r="AY1512" s="11"/>
    </row>
    <row r="1513" spans="1:51" hidden="1" x14ac:dyDescent="0.2">
      <c r="A1513" s="6" t="s">
        <v>17</v>
      </c>
      <c r="B1513" t="s">
        <v>118</v>
      </c>
      <c r="C1513" t="s">
        <v>119</v>
      </c>
      <c r="D1513" t="s">
        <v>1980</v>
      </c>
      <c r="E1513" s="2">
        <v>53.25</v>
      </c>
      <c r="F1513" s="3">
        <f t="shared" ref="F1513:G1515" si="143">DATE(2025,6,28)</f>
        <v>45836</v>
      </c>
      <c r="G1513" s="3">
        <f t="shared" si="143"/>
        <v>45836</v>
      </c>
      <c r="H1513">
        <v>2399631678</v>
      </c>
      <c r="I1513" t="s">
        <v>158</v>
      </c>
      <c r="K1513" t="s">
        <v>22</v>
      </c>
      <c r="L1513" t="s">
        <v>23</v>
      </c>
      <c r="M1513" t="s">
        <v>24</v>
      </c>
      <c r="N1513" t="s">
        <v>24</v>
      </c>
      <c r="O1513" t="s">
        <v>25</v>
      </c>
      <c r="P1513" s="8" t="s">
        <v>1981</v>
      </c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11"/>
      <c r="AG1513" s="11"/>
      <c r="AH1513" s="11"/>
      <c r="AI1513" s="11"/>
      <c r="AJ1513" s="11"/>
      <c r="AK1513" s="11"/>
      <c r="AL1513" s="11"/>
      <c r="AM1513" s="11"/>
      <c r="AN1513" s="11"/>
      <c r="AO1513" s="11"/>
      <c r="AP1513" s="11"/>
      <c r="AQ1513" s="11"/>
      <c r="AR1513" s="11"/>
      <c r="AS1513" s="11"/>
      <c r="AT1513" s="11"/>
      <c r="AU1513" s="11"/>
      <c r="AV1513" s="11"/>
      <c r="AW1513" s="11"/>
      <c r="AX1513" s="11"/>
      <c r="AY1513" s="11"/>
    </row>
    <row r="1514" spans="1:51" hidden="1" x14ac:dyDescent="0.2">
      <c r="A1514" s="6" t="s">
        <v>17</v>
      </c>
      <c r="B1514" t="s">
        <v>118</v>
      </c>
      <c r="C1514" t="s">
        <v>119</v>
      </c>
      <c r="D1514" t="s">
        <v>1982</v>
      </c>
      <c r="E1514" s="2">
        <v>57.33</v>
      </c>
      <c r="F1514" s="3">
        <f t="shared" si="143"/>
        <v>45836</v>
      </c>
      <c r="G1514" s="3">
        <f t="shared" si="143"/>
        <v>45836</v>
      </c>
      <c r="H1514">
        <v>2399631679</v>
      </c>
      <c r="I1514" t="s">
        <v>158</v>
      </c>
      <c r="K1514" t="s">
        <v>22</v>
      </c>
      <c r="L1514" t="s">
        <v>23</v>
      </c>
      <c r="M1514" t="s">
        <v>24</v>
      </c>
      <c r="N1514" t="s">
        <v>24</v>
      </c>
      <c r="O1514" t="s">
        <v>25</v>
      </c>
      <c r="P1514" s="8" t="s">
        <v>1983</v>
      </c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11"/>
      <c r="AG1514" s="11"/>
      <c r="AH1514" s="11"/>
      <c r="AI1514" s="11"/>
      <c r="AJ1514" s="11"/>
      <c r="AK1514" s="11"/>
      <c r="AL1514" s="11"/>
      <c r="AM1514" s="11"/>
      <c r="AN1514" s="11"/>
      <c r="AO1514" s="11"/>
      <c r="AP1514" s="11"/>
      <c r="AQ1514" s="11"/>
      <c r="AR1514" s="11"/>
      <c r="AS1514" s="11"/>
      <c r="AT1514" s="11"/>
      <c r="AU1514" s="11"/>
      <c r="AV1514" s="11"/>
      <c r="AW1514" s="11"/>
      <c r="AX1514" s="11"/>
      <c r="AY1514" s="11"/>
    </row>
    <row r="1515" spans="1:51" hidden="1" x14ac:dyDescent="0.2">
      <c r="A1515" s="6" t="s">
        <v>17</v>
      </c>
      <c r="B1515" t="s">
        <v>399</v>
      </c>
      <c r="C1515" t="s">
        <v>400</v>
      </c>
      <c r="D1515" t="s">
        <v>1984</v>
      </c>
      <c r="E1515" s="2">
        <v>7.96</v>
      </c>
      <c r="F1515" s="3">
        <f t="shared" si="143"/>
        <v>45836</v>
      </c>
      <c r="G1515" s="3">
        <f t="shared" si="143"/>
        <v>45836</v>
      </c>
      <c r="H1515">
        <v>2399631680</v>
      </c>
      <c r="I1515" t="s">
        <v>158</v>
      </c>
      <c r="K1515" t="s">
        <v>22</v>
      </c>
      <c r="L1515" t="s">
        <v>23</v>
      </c>
      <c r="M1515" t="s">
        <v>24</v>
      </c>
      <c r="N1515" t="s">
        <v>24</v>
      </c>
      <c r="O1515" t="s">
        <v>25</v>
      </c>
      <c r="P1515" s="8" t="s">
        <v>1985</v>
      </c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1"/>
      <c r="AJ1515" s="11"/>
      <c r="AK1515" s="11"/>
      <c r="AL1515" s="11"/>
      <c r="AM1515" s="11"/>
      <c r="AN1515" s="11"/>
      <c r="AO1515" s="11"/>
      <c r="AP1515" s="11"/>
      <c r="AQ1515" s="11"/>
      <c r="AR1515" s="11"/>
      <c r="AS1515" s="11"/>
      <c r="AT1515" s="11"/>
      <c r="AU1515" s="11"/>
      <c r="AV1515" s="11"/>
      <c r="AW1515" s="11"/>
      <c r="AX1515" s="11"/>
      <c r="AY1515" s="11"/>
    </row>
    <row r="1516" spans="1:51" hidden="1" x14ac:dyDescent="0.2">
      <c r="A1516" s="6" t="s">
        <v>17</v>
      </c>
      <c r="B1516" t="s">
        <v>118</v>
      </c>
      <c r="C1516" t="s">
        <v>119</v>
      </c>
      <c r="D1516" t="s">
        <v>1986</v>
      </c>
      <c r="E1516" s="2">
        <v>19.899999999999999</v>
      </c>
      <c r="F1516" s="3">
        <f>DATE(2025,6,26)</f>
        <v>45834</v>
      </c>
      <c r="G1516" s="3">
        <f>DATE(2025,6,26)</f>
        <v>45834</v>
      </c>
      <c r="H1516">
        <v>2399631681</v>
      </c>
      <c r="I1516" t="s">
        <v>158</v>
      </c>
      <c r="K1516" t="s">
        <v>22</v>
      </c>
      <c r="L1516" t="s">
        <v>23</v>
      </c>
      <c r="M1516" t="s">
        <v>24</v>
      </c>
      <c r="N1516" t="s">
        <v>24</v>
      </c>
      <c r="O1516" t="s">
        <v>25</v>
      </c>
      <c r="P1516" s="8" t="s">
        <v>1987</v>
      </c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1"/>
      <c r="AF1516" s="11"/>
      <c r="AG1516" s="11"/>
      <c r="AH1516" s="11"/>
      <c r="AI1516" s="11"/>
      <c r="AJ1516" s="11"/>
      <c r="AK1516" s="11"/>
      <c r="AL1516" s="11"/>
      <c r="AM1516" s="11"/>
      <c r="AN1516" s="11"/>
      <c r="AO1516" s="11"/>
      <c r="AP1516" s="11"/>
      <c r="AQ1516" s="11"/>
      <c r="AR1516" s="11"/>
      <c r="AS1516" s="11"/>
      <c r="AT1516" s="11"/>
      <c r="AU1516" s="11"/>
      <c r="AV1516" s="11"/>
      <c r="AW1516" s="11"/>
      <c r="AX1516" s="11"/>
      <c r="AY1516" s="11"/>
    </row>
    <row r="1517" spans="1:51" hidden="1" x14ac:dyDescent="0.2">
      <c r="A1517" s="6" t="s">
        <v>17</v>
      </c>
      <c r="B1517" t="s">
        <v>118</v>
      </c>
      <c r="C1517" t="s">
        <v>119</v>
      </c>
      <c r="D1517" t="s">
        <v>1988</v>
      </c>
      <c r="E1517" s="2">
        <v>104.6</v>
      </c>
      <c r="F1517" s="3">
        <f>DATE(2025,6,28)</f>
        <v>45836</v>
      </c>
      <c r="G1517" s="3">
        <f>DATE(2025,6,28)</f>
        <v>45836</v>
      </c>
      <c r="H1517">
        <v>2399631682</v>
      </c>
      <c r="I1517" t="s">
        <v>158</v>
      </c>
      <c r="K1517" t="s">
        <v>22</v>
      </c>
      <c r="L1517" t="s">
        <v>23</v>
      </c>
      <c r="M1517" t="s">
        <v>24</v>
      </c>
      <c r="N1517" t="s">
        <v>24</v>
      </c>
      <c r="O1517" t="s">
        <v>25</v>
      </c>
      <c r="P1517" s="8" t="s">
        <v>1989</v>
      </c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11"/>
      <c r="AG1517" s="11"/>
      <c r="AH1517" s="11"/>
      <c r="AI1517" s="11"/>
      <c r="AJ1517" s="11"/>
      <c r="AK1517" s="11"/>
      <c r="AL1517" s="11"/>
      <c r="AM1517" s="11"/>
      <c r="AN1517" s="11"/>
      <c r="AO1517" s="11"/>
      <c r="AP1517" s="11"/>
      <c r="AQ1517" s="11"/>
      <c r="AR1517" s="11"/>
      <c r="AS1517" s="11"/>
      <c r="AT1517" s="11"/>
      <c r="AU1517" s="11"/>
      <c r="AV1517" s="11"/>
      <c r="AW1517" s="11"/>
      <c r="AX1517" s="11"/>
      <c r="AY1517" s="11"/>
    </row>
    <row r="1518" spans="1:51" hidden="1" x14ac:dyDescent="0.2">
      <c r="A1518" s="6" t="s">
        <v>17</v>
      </c>
      <c r="B1518" t="s">
        <v>90</v>
      </c>
      <c r="C1518" t="s">
        <v>91</v>
      </c>
      <c r="D1518" t="s">
        <v>1990</v>
      </c>
      <c r="E1518" s="2">
        <v>7.95</v>
      </c>
      <c r="F1518" s="3">
        <f>DATE(2025,7,1)</f>
        <v>45839</v>
      </c>
      <c r="G1518" s="3">
        <f>DATE(2025,7,1)</f>
        <v>45839</v>
      </c>
      <c r="H1518">
        <v>2399631683</v>
      </c>
      <c r="I1518" t="s">
        <v>21</v>
      </c>
      <c r="K1518" t="s">
        <v>22</v>
      </c>
      <c r="L1518" t="s">
        <v>23</v>
      </c>
      <c r="M1518" t="s">
        <v>24</v>
      </c>
      <c r="N1518" t="s">
        <v>24</v>
      </c>
      <c r="O1518" t="s">
        <v>25</v>
      </c>
      <c r="P1518" s="8" t="s">
        <v>1991</v>
      </c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11"/>
      <c r="AG1518" s="11"/>
      <c r="AH1518" s="11"/>
      <c r="AI1518" s="11"/>
      <c r="AJ1518" s="11"/>
      <c r="AK1518" s="11"/>
      <c r="AL1518" s="11"/>
      <c r="AM1518" s="11"/>
      <c r="AN1518" s="11"/>
      <c r="AO1518" s="11"/>
      <c r="AP1518" s="11"/>
      <c r="AQ1518" s="11"/>
      <c r="AR1518" s="11"/>
      <c r="AS1518" s="11"/>
      <c r="AT1518" s="11"/>
      <c r="AU1518" s="11"/>
      <c r="AV1518" s="11"/>
      <c r="AW1518" s="11"/>
      <c r="AX1518" s="11"/>
      <c r="AY1518" s="11"/>
    </row>
    <row r="1519" spans="1:51" hidden="1" x14ac:dyDescent="0.2">
      <c r="A1519" s="6" t="s">
        <v>17</v>
      </c>
      <c r="B1519" t="s">
        <v>35</v>
      </c>
      <c r="C1519" t="s">
        <v>35</v>
      </c>
      <c r="D1519" t="s">
        <v>1992</v>
      </c>
      <c r="E1519" s="2">
        <v>12.92</v>
      </c>
      <c r="F1519" s="3">
        <f>DATE(2025,7,1)</f>
        <v>45839</v>
      </c>
      <c r="G1519" s="3">
        <f>DATE(2025,7,1)</f>
        <v>45839</v>
      </c>
      <c r="H1519">
        <v>2399631684</v>
      </c>
      <c r="I1519" t="s">
        <v>21</v>
      </c>
      <c r="K1519" t="s">
        <v>22</v>
      </c>
      <c r="L1519" t="s">
        <v>23</v>
      </c>
      <c r="M1519" t="s">
        <v>24</v>
      </c>
      <c r="N1519" t="s">
        <v>24</v>
      </c>
      <c r="O1519" t="s">
        <v>25</v>
      </c>
      <c r="P1519" s="8" t="s">
        <v>1993</v>
      </c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11"/>
      <c r="AG1519" s="11"/>
      <c r="AH1519" s="11"/>
      <c r="AI1519" s="11"/>
      <c r="AJ1519" s="11"/>
      <c r="AK1519" s="11"/>
      <c r="AL1519" s="11"/>
      <c r="AM1519" s="11"/>
      <c r="AN1519" s="11"/>
      <c r="AO1519" s="11"/>
      <c r="AP1519" s="11"/>
      <c r="AQ1519" s="11"/>
      <c r="AR1519" s="11"/>
      <c r="AS1519" s="11"/>
      <c r="AT1519" s="11"/>
      <c r="AU1519" s="11"/>
      <c r="AV1519" s="11"/>
      <c r="AW1519" s="11"/>
      <c r="AX1519" s="11"/>
      <c r="AY1519" s="11"/>
    </row>
    <row r="1520" spans="1:51" hidden="1" x14ac:dyDescent="0.2">
      <c r="A1520" s="6" t="s">
        <v>17</v>
      </c>
      <c r="B1520" t="s">
        <v>266</v>
      </c>
      <c r="C1520" t="s">
        <v>267</v>
      </c>
      <c r="D1520" t="s">
        <v>1994</v>
      </c>
      <c r="E1520" s="2">
        <v>117.52</v>
      </c>
      <c r="F1520" s="3">
        <f t="shared" ref="F1520:G1522" si="144">DATE(2025,6,30)</f>
        <v>45838</v>
      </c>
      <c r="G1520" s="3">
        <f t="shared" si="144"/>
        <v>45838</v>
      </c>
      <c r="H1520">
        <v>2399631685</v>
      </c>
      <c r="I1520" t="s">
        <v>21</v>
      </c>
      <c r="K1520" t="s">
        <v>22</v>
      </c>
      <c r="L1520" t="s">
        <v>23</v>
      </c>
      <c r="M1520" t="s">
        <v>24</v>
      </c>
      <c r="N1520" t="s">
        <v>24</v>
      </c>
      <c r="O1520" t="s">
        <v>25</v>
      </c>
      <c r="P1520" s="8" t="s">
        <v>1995</v>
      </c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11"/>
      <c r="AG1520" s="11"/>
      <c r="AH1520" s="11"/>
      <c r="AI1520" s="11"/>
      <c r="AJ1520" s="11"/>
      <c r="AK1520" s="11"/>
      <c r="AL1520" s="11"/>
      <c r="AM1520" s="11"/>
      <c r="AN1520" s="11"/>
      <c r="AO1520" s="11"/>
      <c r="AP1520" s="11"/>
      <c r="AQ1520" s="11"/>
      <c r="AR1520" s="11"/>
      <c r="AS1520" s="11"/>
      <c r="AT1520" s="11"/>
      <c r="AU1520" s="11"/>
      <c r="AV1520" s="11"/>
      <c r="AW1520" s="11"/>
      <c r="AX1520" s="11"/>
      <c r="AY1520" s="11"/>
    </row>
    <row r="1521" spans="1:51" hidden="1" x14ac:dyDescent="0.2">
      <c r="A1521" s="6" t="s">
        <v>17</v>
      </c>
      <c r="B1521" t="s">
        <v>42</v>
      </c>
      <c r="C1521" t="s">
        <v>43</v>
      </c>
      <c r="D1521" t="s">
        <v>1996</v>
      </c>
      <c r="E1521" s="2">
        <v>190.08</v>
      </c>
      <c r="F1521" s="3">
        <f t="shared" si="144"/>
        <v>45838</v>
      </c>
      <c r="G1521" s="3">
        <f t="shared" si="144"/>
        <v>45838</v>
      </c>
      <c r="H1521">
        <v>2399631686</v>
      </c>
      <c r="I1521" t="s">
        <v>21</v>
      </c>
      <c r="K1521" t="s">
        <v>22</v>
      </c>
      <c r="L1521" t="s">
        <v>23</v>
      </c>
      <c r="M1521" t="s">
        <v>24</v>
      </c>
      <c r="N1521" t="s">
        <v>24</v>
      </c>
      <c r="O1521" t="s">
        <v>25</v>
      </c>
      <c r="P1521" s="8" t="s">
        <v>1997</v>
      </c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11"/>
      <c r="AG1521" s="11"/>
      <c r="AH1521" s="11"/>
      <c r="AI1521" s="11"/>
      <c r="AJ1521" s="11"/>
      <c r="AK1521" s="11"/>
      <c r="AL1521" s="11"/>
      <c r="AM1521" s="11"/>
      <c r="AN1521" s="11"/>
      <c r="AO1521" s="11"/>
      <c r="AP1521" s="11"/>
      <c r="AQ1521" s="11"/>
      <c r="AR1521" s="11"/>
      <c r="AS1521" s="11"/>
      <c r="AT1521" s="11"/>
      <c r="AU1521" s="11"/>
      <c r="AV1521" s="11"/>
      <c r="AW1521" s="11"/>
      <c r="AX1521" s="11"/>
      <c r="AY1521" s="11"/>
    </row>
    <row r="1522" spans="1:51" hidden="1" x14ac:dyDescent="0.2">
      <c r="A1522" s="6" t="s">
        <v>17</v>
      </c>
      <c r="B1522" t="s">
        <v>1002</v>
      </c>
      <c r="C1522" t="s">
        <v>1003</v>
      </c>
      <c r="D1522" t="s">
        <v>1998</v>
      </c>
      <c r="E1522" s="2">
        <v>3071.7</v>
      </c>
      <c r="F1522" s="3">
        <f t="shared" si="144"/>
        <v>45838</v>
      </c>
      <c r="G1522" s="3">
        <f t="shared" si="144"/>
        <v>45838</v>
      </c>
      <c r="H1522">
        <v>2399631687</v>
      </c>
      <c r="I1522" t="s">
        <v>21</v>
      </c>
      <c r="K1522" t="s">
        <v>22</v>
      </c>
      <c r="L1522" t="s">
        <v>23</v>
      </c>
      <c r="M1522" t="s">
        <v>24</v>
      </c>
      <c r="N1522" t="s">
        <v>24</v>
      </c>
      <c r="O1522" t="s">
        <v>25</v>
      </c>
      <c r="P1522" s="8" t="s">
        <v>1999</v>
      </c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1"/>
      <c r="AF1522" s="11"/>
      <c r="AG1522" s="11"/>
      <c r="AH1522" s="11"/>
      <c r="AI1522" s="11"/>
      <c r="AJ1522" s="11"/>
      <c r="AK1522" s="11"/>
      <c r="AL1522" s="11"/>
      <c r="AM1522" s="11"/>
      <c r="AN1522" s="11"/>
      <c r="AO1522" s="11"/>
      <c r="AP1522" s="11"/>
      <c r="AQ1522" s="11"/>
      <c r="AR1522" s="11"/>
      <c r="AS1522" s="11"/>
      <c r="AT1522" s="11"/>
      <c r="AU1522" s="11"/>
      <c r="AV1522" s="11"/>
      <c r="AW1522" s="11"/>
      <c r="AX1522" s="11"/>
      <c r="AY1522" s="11"/>
    </row>
    <row r="1523" spans="1:51" hidden="1" x14ac:dyDescent="0.2">
      <c r="A1523" s="6"/>
      <c r="E1523" s="2"/>
      <c r="F1523" s="3"/>
      <c r="G1523" s="3"/>
      <c r="P1523" s="8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s="11"/>
      <c r="AR1523" s="11"/>
      <c r="AS1523" s="11"/>
      <c r="AT1523" s="11"/>
      <c r="AU1523" s="11"/>
      <c r="AV1523" s="11"/>
      <c r="AW1523" s="11"/>
      <c r="AX1523" s="11"/>
      <c r="AY1523" s="11"/>
    </row>
    <row r="1524" spans="1:51" hidden="1" x14ac:dyDescent="0.2">
      <c r="A1524" s="6" t="s">
        <v>17</v>
      </c>
      <c r="B1524" t="s">
        <v>565</v>
      </c>
      <c r="C1524" t="s">
        <v>566</v>
      </c>
      <c r="D1524" t="s">
        <v>2000</v>
      </c>
      <c r="E1524" s="2">
        <v>942.41</v>
      </c>
      <c r="F1524" s="3">
        <f t="shared" ref="F1524:G1526" si="145">DATE(2025,6,30)</f>
        <v>45838</v>
      </c>
      <c r="G1524" s="3">
        <f t="shared" si="145"/>
        <v>45838</v>
      </c>
      <c r="H1524">
        <v>2399631689</v>
      </c>
      <c r="I1524" t="s">
        <v>21</v>
      </c>
      <c r="K1524" t="s">
        <v>22</v>
      </c>
      <c r="L1524" t="s">
        <v>23</v>
      </c>
      <c r="M1524" t="s">
        <v>24</v>
      </c>
      <c r="N1524" t="s">
        <v>24</v>
      </c>
      <c r="O1524" t="s">
        <v>25</v>
      </c>
      <c r="P1524" s="8" t="s">
        <v>2001</v>
      </c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11"/>
      <c r="AG1524" s="11"/>
      <c r="AH1524" s="11"/>
      <c r="AI1524" s="11"/>
      <c r="AJ1524" s="11"/>
      <c r="AK1524" s="11"/>
      <c r="AL1524" s="11"/>
      <c r="AM1524" s="11"/>
      <c r="AN1524" s="11"/>
      <c r="AO1524" s="11"/>
      <c r="AP1524" s="11"/>
      <c r="AQ1524" s="11"/>
      <c r="AR1524" s="11"/>
      <c r="AS1524" s="11"/>
      <c r="AT1524" s="11"/>
      <c r="AU1524" s="11"/>
      <c r="AV1524" s="11"/>
      <c r="AW1524" s="11"/>
      <c r="AX1524" s="11"/>
      <c r="AY1524" s="11"/>
    </row>
    <row r="1525" spans="1:51" hidden="1" x14ac:dyDescent="0.2">
      <c r="A1525" s="6" t="s">
        <v>17</v>
      </c>
      <c r="B1525" t="s">
        <v>42</v>
      </c>
      <c r="C1525" t="s">
        <v>43</v>
      </c>
      <c r="D1525" t="s">
        <v>2002</v>
      </c>
      <c r="E1525" s="2">
        <v>181.2</v>
      </c>
      <c r="F1525" s="3">
        <f t="shared" si="145"/>
        <v>45838</v>
      </c>
      <c r="G1525" s="3">
        <f t="shared" si="145"/>
        <v>45838</v>
      </c>
      <c r="H1525">
        <v>2399631690</v>
      </c>
      <c r="I1525" t="s">
        <v>21</v>
      </c>
      <c r="K1525" t="s">
        <v>22</v>
      </c>
      <c r="L1525" t="s">
        <v>23</v>
      </c>
      <c r="M1525" t="s">
        <v>24</v>
      </c>
      <c r="N1525" t="s">
        <v>24</v>
      </c>
      <c r="O1525" t="s">
        <v>25</v>
      </c>
      <c r="P1525" s="8" t="s">
        <v>2003</v>
      </c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1"/>
      <c r="AF1525" s="11"/>
      <c r="AG1525" s="11"/>
      <c r="AH1525" s="11"/>
      <c r="AI1525" s="11"/>
      <c r="AJ1525" s="11"/>
      <c r="AK1525" s="11"/>
      <c r="AL1525" s="11"/>
      <c r="AM1525" s="11"/>
      <c r="AN1525" s="11"/>
      <c r="AO1525" s="11"/>
      <c r="AP1525" s="11"/>
      <c r="AQ1525" s="11"/>
      <c r="AR1525" s="11"/>
      <c r="AS1525" s="11"/>
      <c r="AT1525" s="11"/>
      <c r="AU1525" s="11"/>
      <c r="AV1525" s="11"/>
      <c r="AW1525" s="11"/>
      <c r="AX1525" s="11"/>
      <c r="AY1525" s="11"/>
    </row>
    <row r="1526" spans="1:51" hidden="1" x14ac:dyDescent="0.2">
      <c r="A1526" s="6" t="s">
        <v>17</v>
      </c>
      <c r="B1526" t="s">
        <v>118</v>
      </c>
      <c r="C1526" t="s">
        <v>119</v>
      </c>
      <c r="D1526" t="s">
        <v>2004</v>
      </c>
      <c r="E1526" s="2">
        <v>299.27999999999997</v>
      </c>
      <c r="F1526" s="3">
        <f t="shared" si="145"/>
        <v>45838</v>
      </c>
      <c r="G1526" s="3">
        <f t="shared" si="145"/>
        <v>45838</v>
      </c>
      <c r="H1526">
        <v>2399631691</v>
      </c>
      <c r="I1526" t="s">
        <v>21</v>
      </c>
      <c r="K1526" t="s">
        <v>22</v>
      </c>
      <c r="L1526" t="s">
        <v>23</v>
      </c>
      <c r="M1526" t="s">
        <v>24</v>
      </c>
      <c r="N1526" t="s">
        <v>24</v>
      </c>
      <c r="O1526" t="s">
        <v>25</v>
      </c>
      <c r="P1526" s="8" t="s">
        <v>2005</v>
      </c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11"/>
      <c r="AG1526" s="11"/>
      <c r="AH1526" s="11"/>
      <c r="AI1526" s="11"/>
      <c r="AJ1526" s="11"/>
      <c r="AK1526" s="11"/>
      <c r="AL1526" s="11"/>
      <c r="AM1526" s="11"/>
      <c r="AN1526" s="11"/>
      <c r="AO1526" s="11"/>
      <c r="AP1526" s="11"/>
      <c r="AQ1526" s="11"/>
      <c r="AR1526" s="11"/>
      <c r="AS1526" s="11"/>
      <c r="AT1526" s="11"/>
      <c r="AU1526" s="11"/>
      <c r="AV1526" s="11"/>
      <c r="AW1526" s="11"/>
      <c r="AX1526" s="11"/>
      <c r="AY1526" s="11"/>
    </row>
    <row r="1527" spans="1:51" hidden="1" x14ac:dyDescent="0.2">
      <c r="A1527" s="6"/>
      <c r="E1527" s="2"/>
      <c r="F1527" s="3"/>
      <c r="G1527" s="3"/>
      <c r="P1527" s="8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11"/>
      <c r="AG1527" s="11"/>
      <c r="AH1527" s="11"/>
      <c r="AI1527" s="11"/>
      <c r="AJ1527" s="11"/>
      <c r="AK1527" s="11"/>
      <c r="AL1527" s="11"/>
      <c r="AM1527" s="11"/>
      <c r="AN1527" s="11"/>
      <c r="AO1527" s="11"/>
      <c r="AP1527" s="11"/>
      <c r="AQ1527" s="11"/>
      <c r="AR1527" s="11"/>
      <c r="AS1527" s="11"/>
      <c r="AT1527" s="11"/>
      <c r="AU1527" s="11"/>
      <c r="AV1527" s="11"/>
      <c r="AW1527" s="11"/>
      <c r="AX1527" s="11"/>
      <c r="AY1527" s="11"/>
    </row>
    <row r="1528" spans="1:51" hidden="1" x14ac:dyDescent="0.2">
      <c r="A1528" s="6" t="s">
        <v>17</v>
      </c>
      <c r="B1528" t="s">
        <v>35</v>
      </c>
      <c r="C1528" t="s">
        <v>35</v>
      </c>
      <c r="D1528" t="s">
        <v>98</v>
      </c>
      <c r="E1528" s="2">
        <v>81.61</v>
      </c>
      <c r="F1528" s="3">
        <f t="shared" ref="F1528:G1529" si="146">DATE(2025,7,1)</f>
        <v>45839</v>
      </c>
      <c r="G1528" s="3">
        <f t="shared" si="146"/>
        <v>45839</v>
      </c>
      <c r="H1528">
        <v>2399631693</v>
      </c>
      <c r="I1528" t="s">
        <v>21</v>
      </c>
      <c r="K1528" t="s">
        <v>22</v>
      </c>
      <c r="L1528" t="s">
        <v>23</v>
      </c>
      <c r="M1528" t="s">
        <v>24</v>
      </c>
      <c r="N1528" t="s">
        <v>24</v>
      </c>
      <c r="O1528" t="s">
        <v>25</v>
      </c>
      <c r="P1528" s="8" t="s">
        <v>2006</v>
      </c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1"/>
      <c r="AF1528" s="11"/>
      <c r="AG1528" s="11"/>
      <c r="AH1528" s="11"/>
      <c r="AI1528" s="11"/>
      <c r="AJ1528" s="11"/>
      <c r="AK1528" s="11"/>
      <c r="AL1528" s="11"/>
      <c r="AM1528" s="11"/>
      <c r="AN1528" s="11"/>
      <c r="AO1528" s="11"/>
      <c r="AP1528" s="11"/>
      <c r="AQ1528" s="11"/>
      <c r="AR1528" s="11"/>
      <c r="AS1528" s="11"/>
      <c r="AT1528" s="11"/>
      <c r="AU1528" s="11"/>
      <c r="AV1528" s="11"/>
      <c r="AW1528" s="11"/>
      <c r="AX1528" s="11"/>
      <c r="AY1528" s="11"/>
    </row>
    <row r="1529" spans="1:51" hidden="1" x14ac:dyDescent="0.2">
      <c r="A1529" s="6" t="s">
        <v>17</v>
      </c>
      <c r="B1529" t="s">
        <v>90</v>
      </c>
      <c r="C1529" t="s">
        <v>91</v>
      </c>
      <c r="D1529" t="s">
        <v>2007</v>
      </c>
      <c r="E1529" s="2">
        <v>400</v>
      </c>
      <c r="F1529" s="3">
        <f t="shared" si="146"/>
        <v>45839</v>
      </c>
      <c r="G1529" s="3">
        <f t="shared" si="146"/>
        <v>45839</v>
      </c>
      <c r="H1529">
        <v>2399631694</v>
      </c>
      <c r="I1529" t="s">
        <v>21</v>
      </c>
      <c r="K1529" t="s">
        <v>22</v>
      </c>
      <c r="L1529" t="s">
        <v>23</v>
      </c>
      <c r="M1529" t="s">
        <v>24</v>
      </c>
      <c r="N1529" t="s">
        <v>24</v>
      </c>
      <c r="O1529" t="s">
        <v>25</v>
      </c>
      <c r="P1529" s="8" t="s">
        <v>2008</v>
      </c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11"/>
      <c r="AG1529" s="11"/>
      <c r="AH1529" s="11"/>
      <c r="AI1529" s="11"/>
      <c r="AJ1529" s="11"/>
      <c r="AK1529" s="11"/>
      <c r="AL1529" s="11"/>
      <c r="AM1529" s="11"/>
      <c r="AN1529" s="11"/>
      <c r="AO1529" s="11"/>
      <c r="AP1529" s="11"/>
      <c r="AQ1529" s="11"/>
      <c r="AR1529" s="11"/>
      <c r="AS1529" s="11"/>
      <c r="AT1529" s="11"/>
      <c r="AU1529" s="11"/>
      <c r="AV1529" s="11"/>
      <c r="AW1529" s="11"/>
      <c r="AX1529" s="11"/>
      <c r="AY1529" s="11"/>
    </row>
    <row r="1530" spans="1:51" hidden="1" x14ac:dyDescent="0.2">
      <c r="A1530" s="6" t="s">
        <v>17</v>
      </c>
      <c r="B1530" t="s">
        <v>244</v>
      </c>
      <c r="C1530" t="s">
        <v>245</v>
      </c>
      <c r="D1530" t="s">
        <v>2009</v>
      </c>
      <c r="E1530" s="2">
        <v>629.04</v>
      </c>
      <c r="F1530" s="3">
        <f>DATE(2025,6,30)</f>
        <v>45838</v>
      </c>
      <c r="G1530" s="3">
        <f>DATE(2025,6,30)</f>
        <v>45838</v>
      </c>
      <c r="H1530">
        <v>2399631695</v>
      </c>
      <c r="I1530" t="s">
        <v>21</v>
      </c>
      <c r="K1530" t="s">
        <v>22</v>
      </c>
      <c r="L1530" t="s">
        <v>23</v>
      </c>
      <c r="M1530" t="s">
        <v>24</v>
      </c>
      <c r="N1530" t="s">
        <v>24</v>
      </c>
      <c r="O1530" t="s">
        <v>25</v>
      </c>
      <c r="P1530" s="8" t="s">
        <v>2010</v>
      </c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11"/>
      <c r="AL1530" s="11"/>
      <c r="AM1530" s="11"/>
      <c r="AN1530" s="11"/>
      <c r="AO1530" s="11"/>
      <c r="AP1530" s="11"/>
      <c r="AQ1530" s="11"/>
      <c r="AR1530" s="11"/>
      <c r="AS1530" s="11"/>
      <c r="AT1530" s="11"/>
      <c r="AU1530" s="11"/>
      <c r="AV1530" s="11"/>
      <c r="AW1530" s="11"/>
      <c r="AX1530" s="11"/>
      <c r="AY1530" s="11"/>
    </row>
    <row r="1531" spans="1:51" hidden="1" x14ac:dyDescent="0.2">
      <c r="A1531" s="6"/>
      <c r="E1531" s="2"/>
      <c r="F1531" s="3"/>
      <c r="G1531" s="3"/>
      <c r="P1531" s="8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1"/>
      <c r="AF1531" s="11"/>
      <c r="AG1531" s="11"/>
      <c r="AH1531" s="11"/>
      <c r="AI1531" s="11"/>
      <c r="AJ1531" s="11"/>
      <c r="AK1531" s="11"/>
      <c r="AL1531" s="11"/>
      <c r="AM1531" s="11"/>
      <c r="AN1531" s="11"/>
      <c r="AO1531" s="11"/>
      <c r="AP1531" s="11"/>
      <c r="AQ1531" s="11"/>
      <c r="AR1531" s="11"/>
      <c r="AS1531" s="11"/>
      <c r="AT1531" s="11"/>
      <c r="AU1531" s="11"/>
      <c r="AV1531" s="11"/>
      <c r="AW1531" s="11"/>
      <c r="AX1531" s="11"/>
      <c r="AY1531" s="11"/>
    </row>
    <row r="1532" spans="1:51" hidden="1" x14ac:dyDescent="0.2">
      <c r="A1532" s="6" t="s">
        <v>17</v>
      </c>
      <c r="B1532" t="s">
        <v>42</v>
      </c>
      <c r="C1532" t="s">
        <v>43</v>
      </c>
      <c r="D1532" t="s">
        <v>2011</v>
      </c>
      <c r="E1532" s="2">
        <v>102.16</v>
      </c>
      <c r="F1532" s="3">
        <f>DATE(2025,7,1)</f>
        <v>45839</v>
      </c>
      <c r="G1532" s="3">
        <f>DATE(2025,7,1)</f>
        <v>45839</v>
      </c>
      <c r="H1532">
        <v>2399631697</v>
      </c>
      <c r="I1532" t="s">
        <v>21</v>
      </c>
      <c r="K1532" t="s">
        <v>22</v>
      </c>
      <c r="L1532" t="s">
        <v>23</v>
      </c>
      <c r="M1532" t="s">
        <v>24</v>
      </c>
      <c r="N1532" t="s">
        <v>24</v>
      </c>
      <c r="O1532" t="s">
        <v>25</v>
      </c>
      <c r="P1532" s="8" t="s">
        <v>2012</v>
      </c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11"/>
      <c r="AG1532" s="11"/>
      <c r="AH1532" s="11"/>
      <c r="AI1532" s="11"/>
      <c r="AJ1532" s="11"/>
      <c r="AK1532" s="11"/>
      <c r="AL1532" s="11"/>
      <c r="AM1532" s="11"/>
      <c r="AN1532" s="11"/>
      <c r="AO1532" s="11"/>
      <c r="AP1532" s="11"/>
      <c r="AQ1532" s="11"/>
      <c r="AR1532" s="11"/>
      <c r="AS1532" s="11"/>
      <c r="AT1532" s="11"/>
      <c r="AU1532" s="11"/>
      <c r="AV1532" s="11"/>
      <c r="AW1532" s="11"/>
      <c r="AX1532" s="11"/>
      <c r="AY1532" s="11"/>
    </row>
    <row r="1533" spans="1:51" hidden="1" x14ac:dyDescent="0.2">
      <c r="A1533" s="6"/>
      <c r="E1533" s="2"/>
      <c r="F1533" s="3"/>
      <c r="G1533" s="3"/>
      <c r="P1533" s="8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1"/>
      <c r="AJ1533" s="11"/>
      <c r="AK1533" s="11"/>
      <c r="AL1533" s="11"/>
      <c r="AM1533" s="11"/>
      <c r="AN1533" s="11"/>
      <c r="AO1533" s="11"/>
      <c r="AP1533" s="11"/>
      <c r="AQ1533" s="11"/>
      <c r="AR1533" s="11"/>
      <c r="AS1533" s="11"/>
      <c r="AT1533" s="11"/>
      <c r="AU1533" s="11"/>
      <c r="AV1533" s="11"/>
      <c r="AW1533" s="11"/>
      <c r="AX1533" s="11"/>
      <c r="AY1533" s="11"/>
    </row>
    <row r="1534" spans="1:51" hidden="1" x14ac:dyDescent="0.2">
      <c r="A1534" s="6" t="s">
        <v>17</v>
      </c>
      <c r="B1534" t="s">
        <v>118</v>
      </c>
      <c r="C1534" t="s">
        <v>119</v>
      </c>
      <c r="D1534" t="s">
        <v>2013</v>
      </c>
      <c r="E1534" s="2">
        <v>655.02</v>
      </c>
      <c r="F1534" s="3">
        <f t="shared" ref="F1534:G1537" si="147">DATE(2025,6,30)</f>
        <v>45838</v>
      </c>
      <c r="G1534" s="3">
        <f t="shared" si="147"/>
        <v>45838</v>
      </c>
      <c r="H1534">
        <v>2399631699</v>
      </c>
      <c r="I1534" t="s">
        <v>21</v>
      </c>
      <c r="K1534" t="s">
        <v>22</v>
      </c>
      <c r="L1534" t="s">
        <v>23</v>
      </c>
      <c r="M1534" t="s">
        <v>24</v>
      </c>
      <c r="N1534" t="s">
        <v>24</v>
      </c>
      <c r="O1534" t="s">
        <v>25</v>
      </c>
      <c r="P1534" s="8" t="s">
        <v>2014</v>
      </c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1"/>
      <c r="AF1534" s="11"/>
      <c r="AG1534" s="11"/>
      <c r="AH1534" s="11"/>
      <c r="AI1534" s="11"/>
      <c r="AJ1534" s="11"/>
      <c r="AK1534" s="11"/>
      <c r="AL1534" s="11"/>
      <c r="AM1534" s="11"/>
      <c r="AN1534" s="11"/>
      <c r="AO1534" s="11"/>
      <c r="AP1534" s="11"/>
      <c r="AQ1534" s="11"/>
      <c r="AR1534" s="11"/>
      <c r="AS1534" s="11"/>
      <c r="AT1534" s="11"/>
      <c r="AU1534" s="11"/>
      <c r="AV1534" s="11"/>
      <c r="AW1534" s="11"/>
      <c r="AX1534" s="11"/>
      <c r="AY1534" s="11"/>
    </row>
    <row r="1535" spans="1:51" hidden="1" x14ac:dyDescent="0.2">
      <c r="A1535" s="6" t="s">
        <v>17</v>
      </c>
      <c r="B1535" t="s">
        <v>18</v>
      </c>
      <c r="C1535" t="s">
        <v>19</v>
      </c>
      <c r="D1535" t="s">
        <v>2015</v>
      </c>
      <c r="E1535" s="2">
        <v>136.08000000000001</v>
      </c>
      <c r="F1535" s="3">
        <f t="shared" si="147"/>
        <v>45838</v>
      </c>
      <c r="G1535" s="3">
        <f t="shared" si="147"/>
        <v>45838</v>
      </c>
      <c r="H1535">
        <v>2399631700</v>
      </c>
      <c r="I1535" t="s">
        <v>21</v>
      </c>
      <c r="K1535" t="s">
        <v>22</v>
      </c>
      <c r="L1535" t="s">
        <v>23</v>
      </c>
      <c r="M1535" t="s">
        <v>24</v>
      </c>
      <c r="N1535" t="s">
        <v>24</v>
      </c>
      <c r="O1535" t="s">
        <v>25</v>
      </c>
      <c r="P1535" s="8" t="s">
        <v>2016</v>
      </c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1"/>
      <c r="AF1535" s="11"/>
      <c r="AG1535" s="11"/>
      <c r="AH1535" s="11"/>
      <c r="AI1535" s="11"/>
      <c r="AJ1535" s="11"/>
      <c r="AK1535" s="11"/>
      <c r="AL1535" s="11"/>
      <c r="AM1535" s="11"/>
      <c r="AN1535" s="11"/>
      <c r="AO1535" s="11"/>
      <c r="AP1535" s="11"/>
      <c r="AQ1535" s="11"/>
      <c r="AR1535" s="11"/>
      <c r="AS1535" s="11"/>
      <c r="AT1535" s="11"/>
      <c r="AU1535" s="11"/>
      <c r="AV1535" s="11"/>
      <c r="AW1535" s="11"/>
      <c r="AX1535" s="11"/>
      <c r="AY1535" s="11"/>
    </row>
    <row r="1536" spans="1:51" hidden="1" x14ac:dyDescent="0.2">
      <c r="A1536" s="6" t="s">
        <v>17</v>
      </c>
      <c r="B1536" t="s">
        <v>46</v>
      </c>
      <c r="C1536" t="s">
        <v>47</v>
      </c>
      <c r="D1536" t="s">
        <v>2017</v>
      </c>
      <c r="E1536" s="2">
        <v>234</v>
      </c>
      <c r="F1536" s="3">
        <f t="shared" si="147"/>
        <v>45838</v>
      </c>
      <c r="G1536" s="3">
        <f t="shared" si="147"/>
        <v>45838</v>
      </c>
      <c r="H1536">
        <v>2399631701</v>
      </c>
      <c r="I1536" t="s">
        <v>21</v>
      </c>
      <c r="K1536" t="s">
        <v>22</v>
      </c>
      <c r="L1536" t="s">
        <v>23</v>
      </c>
      <c r="M1536" t="s">
        <v>24</v>
      </c>
      <c r="N1536" t="s">
        <v>24</v>
      </c>
      <c r="O1536" t="s">
        <v>25</v>
      </c>
      <c r="P1536" s="8" t="s">
        <v>2018</v>
      </c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11"/>
      <c r="AG1536" s="11"/>
      <c r="AH1536" s="11"/>
      <c r="AI1536" s="11"/>
      <c r="AJ1536" s="11"/>
      <c r="AK1536" s="11"/>
      <c r="AL1536" s="11"/>
      <c r="AM1536" s="11"/>
      <c r="AN1536" s="11"/>
      <c r="AO1536" s="11"/>
      <c r="AP1536" s="11"/>
      <c r="AQ1536" s="11"/>
      <c r="AR1536" s="11"/>
      <c r="AS1536" s="11"/>
      <c r="AT1536" s="11"/>
      <c r="AU1536" s="11"/>
      <c r="AV1536" s="11"/>
      <c r="AW1536" s="11"/>
      <c r="AX1536" s="11"/>
      <c r="AY1536" s="11"/>
    </row>
    <row r="1537" spans="1:51" x14ac:dyDescent="0.2">
      <c r="A1537" s="6" t="s">
        <v>17</v>
      </c>
      <c r="B1537" t="s">
        <v>342</v>
      </c>
      <c r="C1537" t="s">
        <v>342</v>
      </c>
      <c r="D1537" t="s">
        <v>359</v>
      </c>
      <c r="E1537" s="2">
        <v>4878.59</v>
      </c>
      <c r="F1537" s="3">
        <f t="shared" si="147"/>
        <v>45838</v>
      </c>
      <c r="G1537" s="3">
        <f t="shared" si="147"/>
        <v>45838</v>
      </c>
      <c r="H1537">
        <v>2399631702</v>
      </c>
      <c r="I1537" t="s">
        <v>21</v>
      </c>
      <c r="K1537" t="s">
        <v>22</v>
      </c>
      <c r="L1537" t="s">
        <v>23</v>
      </c>
      <c r="M1537" t="s">
        <v>24</v>
      </c>
      <c r="N1537" t="s">
        <v>25</v>
      </c>
      <c r="O1537" t="s">
        <v>25</v>
      </c>
      <c r="P1537" s="8" t="s">
        <v>2019</v>
      </c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1"/>
      <c r="AF1537" s="11"/>
      <c r="AG1537" s="11"/>
      <c r="AH1537" s="11"/>
      <c r="AI1537" s="11"/>
      <c r="AJ1537" s="11"/>
      <c r="AK1537" s="11"/>
      <c r="AL1537" s="11"/>
      <c r="AM1537" s="11"/>
      <c r="AN1537" s="11"/>
      <c r="AO1537" s="11"/>
      <c r="AP1537" s="11"/>
      <c r="AQ1537" s="11"/>
      <c r="AR1537" s="11"/>
      <c r="AS1537" s="11"/>
      <c r="AT1537" s="11"/>
      <c r="AU1537" s="11"/>
      <c r="AV1537" s="11"/>
      <c r="AW1537" s="11"/>
      <c r="AX1537" s="11"/>
      <c r="AY1537" s="11"/>
    </row>
    <row r="1538" spans="1:51" hidden="1" x14ac:dyDescent="0.2">
      <c r="A1538" s="6" t="s">
        <v>17</v>
      </c>
      <c r="B1538" t="s">
        <v>90</v>
      </c>
      <c r="C1538" t="s">
        <v>91</v>
      </c>
      <c r="D1538" t="s">
        <v>2020</v>
      </c>
      <c r="E1538" s="2">
        <v>2495.34</v>
      </c>
      <c r="F1538" s="3">
        <f t="shared" ref="F1538:G1540" si="148">DATE(2025,7,1)</f>
        <v>45839</v>
      </c>
      <c r="G1538" s="3">
        <f t="shared" si="148"/>
        <v>45839</v>
      </c>
      <c r="H1538">
        <v>2399631703</v>
      </c>
      <c r="I1538" t="s">
        <v>21</v>
      </c>
      <c r="K1538" t="s">
        <v>22</v>
      </c>
      <c r="L1538" t="s">
        <v>23</v>
      </c>
      <c r="M1538" t="s">
        <v>24</v>
      </c>
      <c r="N1538" t="s">
        <v>24</v>
      </c>
      <c r="O1538" t="s">
        <v>25</v>
      </c>
      <c r="P1538" s="8" t="s">
        <v>2021</v>
      </c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11"/>
      <c r="AG1538" s="11"/>
      <c r="AH1538" s="11"/>
      <c r="AI1538" s="11"/>
      <c r="AJ1538" s="11"/>
      <c r="AK1538" s="11"/>
      <c r="AL1538" s="11"/>
      <c r="AM1538" s="11"/>
      <c r="AN1538" s="11"/>
      <c r="AO1538" s="11"/>
      <c r="AP1538" s="11"/>
      <c r="AQ1538" s="11"/>
      <c r="AR1538" s="11"/>
      <c r="AS1538" s="11"/>
      <c r="AT1538" s="11"/>
      <c r="AU1538" s="11"/>
      <c r="AV1538" s="11"/>
      <c r="AW1538" s="11"/>
      <c r="AX1538" s="11"/>
      <c r="AY1538" s="11"/>
    </row>
    <row r="1539" spans="1:51" hidden="1" x14ac:dyDescent="0.2">
      <c r="A1539" s="6" t="s">
        <v>17</v>
      </c>
      <c r="B1539" t="s">
        <v>27</v>
      </c>
      <c r="C1539" t="s">
        <v>28</v>
      </c>
      <c r="D1539" t="s">
        <v>2022</v>
      </c>
      <c r="E1539" s="2">
        <v>1313.46</v>
      </c>
      <c r="F1539" s="3">
        <f t="shared" si="148"/>
        <v>45839</v>
      </c>
      <c r="G1539" s="3">
        <f t="shared" si="148"/>
        <v>45839</v>
      </c>
      <c r="H1539">
        <v>2399631704</v>
      </c>
      <c r="I1539" t="s">
        <v>21</v>
      </c>
      <c r="K1539" t="s">
        <v>22</v>
      </c>
      <c r="L1539" t="s">
        <v>23</v>
      </c>
      <c r="M1539" t="s">
        <v>24</v>
      </c>
      <c r="N1539" t="s">
        <v>24</v>
      </c>
      <c r="O1539" t="s">
        <v>25</v>
      </c>
      <c r="P1539" s="8" t="s">
        <v>2023</v>
      </c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11"/>
      <c r="AG1539" s="11"/>
      <c r="AH1539" s="11"/>
      <c r="AI1539" s="11"/>
      <c r="AJ1539" s="11"/>
      <c r="AK1539" s="11"/>
      <c r="AL1539" s="11"/>
      <c r="AM1539" s="11"/>
      <c r="AN1539" s="11"/>
      <c r="AO1539" s="11"/>
      <c r="AP1539" s="11"/>
      <c r="AQ1539" s="11"/>
      <c r="AR1539" s="11"/>
      <c r="AS1539" s="11"/>
      <c r="AT1539" s="11"/>
      <c r="AU1539" s="11"/>
      <c r="AV1539" s="11"/>
      <c r="AW1539" s="11"/>
      <c r="AX1539" s="11"/>
      <c r="AY1539" s="11"/>
    </row>
    <row r="1540" spans="1:51" hidden="1" x14ac:dyDescent="0.2">
      <c r="A1540" s="6" t="s">
        <v>17</v>
      </c>
      <c r="B1540" t="s">
        <v>90</v>
      </c>
      <c r="C1540" t="s">
        <v>91</v>
      </c>
      <c r="D1540" t="s">
        <v>2024</v>
      </c>
      <c r="E1540" s="2">
        <v>30794.94</v>
      </c>
      <c r="F1540" s="3">
        <f t="shared" si="148"/>
        <v>45839</v>
      </c>
      <c r="G1540" s="3">
        <f t="shared" si="148"/>
        <v>45839</v>
      </c>
      <c r="H1540">
        <v>2399631705</v>
      </c>
      <c r="I1540" t="s">
        <v>21</v>
      </c>
      <c r="K1540" t="s">
        <v>22</v>
      </c>
      <c r="L1540" t="s">
        <v>23</v>
      </c>
      <c r="M1540" t="s">
        <v>24</v>
      </c>
      <c r="N1540" t="s">
        <v>24</v>
      </c>
      <c r="O1540" t="s">
        <v>25</v>
      </c>
      <c r="P1540" s="8" t="s">
        <v>2025</v>
      </c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11"/>
      <c r="AG1540" s="11"/>
      <c r="AH1540" s="11"/>
      <c r="AI1540" s="11"/>
      <c r="AJ1540" s="11"/>
      <c r="AK1540" s="11"/>
      <c r="AL1540" s="11"/>
      <c r="AM1540" s="11"/>
      <c r="AN1540" s="11"/>
      <c r="AO1540" s="11"/>
      <c r="AP1540" s="11"/>
      <c r="AQ1540" s="11"/>
      <c r="AR1540" s="11"/>
      <c r="AS1540" s="11"/>
      <c r="AT1540" s="11"/>
      <c r="AU1540" s="11"/>
      <c r="AV1540" s="11"/>
      <c r="AW1540" s="11"/>
      <c r="AX1540" s="11"/>
      <c r="AY1540" s="11"/>
    </row>
    <row r="1541" spans="1:51" hidden="1" x14ac:dyDescent="0.2">
      <c r="A1541" s="6"/>
      <c r="E1541" s="2"/>
      <c r="F1541" s="3"/>
      <c r="G1541" s="3"/>
      <c r="P1541" s="8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11"/>
      <c r="AG1541" s="11"/>
      <c r="AH1541" s="11"/>
      <c r="AI1541" s="11"/>
      <c r="AJ1541" s="11"/>
      <c r="AK1541" s="11"/>
      <c r="AL1541" s="11"/>
      <c r="AM1541" s="11"/>
      <c r="AN1541" s="11"/>
      <c r="AO1541" s="11"/>
      <c r="AP1541" s="11"/>
      <c r="AQ1541" s="11"/>
      <c r="AR1541" s="11"/>
      <c r="AS1541" s="11"/>
      <c r="AT1541" s="11"/>
      <c r="AU1541" s="11"/>
      <c r="AV1541" s="11"/>
      <c r="AW1541" s="11"/>
      <c r="AX1541" s="11"/>
      <c r="AY1541" s="11"/>
    </row>
    <row r="1542" spans="1:51" hidden="1" x14ac:dyDescent="0.2">
      <c r="A1542" s="6"/>
      <c r="E1542" s="2"/>
      <c r="F1542" s="3"/>
      <c r="G1542" s="3"/>
      <c r="P1542" s="8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11"/>
      <c r="AG1542" s="11"/>
      <c r="AH1542" s="11"/>
      <c r="AI1542" s="11"/>
      <c r="AJ1542" s="11"/>
      <c r="AK1542" s="11"/>
      <c r="AL1542" s="11"/>
      <c r="AM1542" s="11"/>
      <c r="AN1542" s="11"/>
      <c r="AO1542" s="11"/>
      <c r="AP1542" s="11"/>
      <c r="AQ1542" s="11"/>
      <c r="AR1542" s="11"/>
      <c r="AS1542" s="11"/>
      <c r="AT1542" s="11"/>
      <c r="AU1542" s="11"/>
      <c r="AV1542" s="11"/>
      <c r="AW1542" s="11"/>
      <c r="AX1542" s="11"/>
      <c r="AY1542" s="11"/>
    </row>
    <row r="1543" spans="1:51" hidden="1" x14ac:dyDescent="0.2">
      <c r="A1543" s="6"/>
      <c r="E1543" s="2"/>
      <c r="F1543" s="3"/>
      <c r="G1543" s="3"/>
      <c r="P1543" s="8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1"/>
      <c r="AF1543" s="11"/>
      <c r="AG1543" s="11"/>
      <c r="AH1543" s="11"/>
      <c r="AI1543" s="11"/>
      <c r="AJ1543" s="11"/>
      <c r="AK1543" s="11"/>
      <c r="AL1543" s="11"/>
      <c r="AM1543" s="11"/>
      <c r="AN1543" s="11"/>
      <c r="AO1543" s="11"/>
      <c r="AP1543" s="11"/>
      <c r="AQ1543" s="11"/>
      <c r="AR1543" s="11"/>
      <c r="AS1543" s="11"/>
      <c r="AT1543" s="11"/>
      <c r="AU1543" s="11"/>
      <c r="AV1543" s="11"/>
      <c r="AW1543" s="11"/>
      <c r="AX1543" s="11"/>
      <c r="AY1543" s="11"/>
    </row>
    <row r="1544" spans="1:51" hidden="1" x14ac:dyDescent="0.2">
      <c r="A1544" s="6"/>
      <c r="E1544" s="2"/>
      <c r="F1544" s="3"/>
      <c r="G1544" s="3"/>
      <c r="P1544" s="8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  <c r="AS1544" s="11"/>
      <c r="AT1544" s="11"/>
      <c r="AU1544" s="11"/>
      <c r="AV1544" s="11"/>
      <c r="AW1544" s="11"/>
      <c r="AX1544" s="11"/>
      <c r="AY1544" s="11"/>
    </row>
    <row r="1545" spans="1:51" hidden="1" x14ac:dyDescent="0.2">
      <c r="A1545" s="6" t="s">
        <v>17</v>
      </c>
      <c r="B1545" t="s">
        <v>118</v>
      </c>
      <c r="C1545" t="s">
        <v>119</v>
      </c>
      <c r="D1545" t="s">
        <v>2026</v>
      </c>
      <c r="E1545" s="2">
        <v>311.77999999999997</v>
      </c>
      <c r="F1545" s="3">
        <f t="shared" ref="F1545:G1546" si="149">DATE(2025,6,30)</f>
        <v>45838</v>
      </c>
      <c r="G1545" s="3">
        <f t="shared" si="149"/>
        <v>45838</v>
      </c>
      <c r="H1545">
        <v>2399656134</v>
      </c>
      <c r="I1545" t="s">
        <v>192</v>
      </c>
      <c r="K1545" t="s">
        <v>22</v>
      </c>
      <c r="L1545" t="s">
        <v>23</v>
      </c>
      <c r="M1545" t="s">
        <v>24</v>
      </c>
      <c r="N1545" t="s">
        <v>24</v>
      </c>
      <c r="O1545" t="s">
        <v>25</v>
      </c>
      <c r="P1545" s="8" t="s">
        <v>2027</v>
      </c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11"/>
      <c r="AG1545" s="11"/>
      <c r="AH1545" s="11"/>
      <c r="AI1545" s="11"/>
      <c r="AJ1545" s="11"/>
      <c r="AK1545" s="11"/>
      <c r="AL1545" s="11"/>
      <c r="AM1545" s="11"/>
      <c r="AN1545" s="11"/>
      <c r="AO1545" s="11"/>
      <c r="AP1545" s="11"/>
      <c r="AQ1545" s="11"/>
      <c r="AR1545" s="11"/>
      <c r="AS1545" s="11"/>
      <c r="AT1545" s="11"/>
      <c r="AU1545" s="11"/>
      <c r="AV1545" s="11"/>
      <c r="AW1545" s="11"/>
      <c r="AX1545" s="11"/>
      <c r="AY1545" s="11"/>
    </row>
    <row r="1546" spans="1:51" hidden="1" x14ac:dyDescent="0.2">
      <c r="A1546" s="6" t="s">
        <v>17</v>
      </c>
      <c r="B1546" t="s">
        <v>18</v>
      </c>
      <c r="C1546" t="s">
        <v>19</v>
      </c>
      <c r="D1546" t="s">
        <v>2028</v>
      </c>
      <c r="E1546" s="2">
        <v>1.47</v>
      </c>
      <c r="F1546" s="3">
        <f t="shared" si="149"/>
        <v>45838</v>
      </c>
      <c r="G1546" s="3">
        <f t="shared" si="149"/>
        <v>45838</v>
      </c>
      <c r="H1546">
        <v>2399656135</v>
      </c>
      <c r="I1546" t="s">
        <v>192</v>
      </c>
      <c r="K1546" t="s">
        <v>22</v>
      </c>
      <c r="L1546" t="s">
        <v>23</v>
      </c>
      <c r="M1546" t="s">
        <v>24</v>
      </c>
      <c r="N1546" t="s">
        <v>24</v>
      </c>
      <c r="O1546" t="s">
        <v>25</v>
      </c>
      <c r="P1546" s="8" t="s">
        <v>2029</v>
      </c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1"/>
      <c r="AF1546" s="11"/>
      <c r="AG1546" s="11"/>
      <c r="AH1546" s="11"/>
      <c r="AI1546" s="11"/>
      <c r="AJ1546" s="11"/>
      <c r="AK1546" s="11"/>
      <c r="AL1546" s="11"/>
      <c r="AM1546" s="11"/>
      <c r="AN1546" s="11"/>
      <c r="AO1546" s="11"/>
      <c r="AP1546" s="11"/>
      <c r="AQ1546" s="11"/>
      <c r="AR1546" s="11"/>
      <c r="AS1546" s="11"/>
      <c r="AT1546" s="11"/>
      <c r="AU1546" s="11"/>
      <c r="AV1546" s="11"/>
      <c r="AW1546" s="11"/>
      <c r="AX1546" s="11"/>
      <c r="AY1546" s="11"/>
    </row>
    <row r="1547" spans="1:51" hidden="1" x14ac:dyDescent="0.2">
      <c r="A1547" s="6"/>
      <c r="E1547" s="2"/>
      <c r="F1547" s="3"/>
      <c r="G1547" s="3"/>
      <c r="P1547" s="8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11"/>
      <c r="AG1547" s="11"/>
      <c r="AH1547" s="11"/>
      <c r="AI1547" s="11"/>
      <c r="AJ1547" s="11"/>
      <c r="AK1547" s="11"/>
      <c r="AL1547" s="11"/>
      <c r="AM1547" s="11"/>
      <c r="AN1547" s="11"/>
      <c r="AO1547" s="11"/>
      <c r="AP1547" s="11"/>
      <c r="AQ1547" s="11"/>
      <c r="AR1547" s="11"/>
      <c r="AS1547" s="11"/>
      <c r="AT1547" s="11"/>
      <c r="AU1547" s="11"/>
      <c r="AV1547" s="11"/>
      <c r="AW1547" s="11"/>
      <c r="AX1547" s="11"/>
      <c r="AY1547" s="11"/>
    </row>
    <row r="1548" spans="1:51" hidden="1" x14ac:dyDescent="0.2">
      <c r="A1548" s="6" t="s">
        <v>17</v>
      </c>
      <c r="B1548" t="s">
        <v>118</v>
      </c>
      <c r="C1548" t="s">
        <v>119</v>
      </c>
      <c r="D1548" t="s">
        <v>2030</v>
      </c>
      <c r="E1548" s="2">
        <v>168.51</v>
      </c>
      <c r="F1548" s="3">
        <f>DATE(2025,6,30)</f>
        <v>45838</v>
      </c>
      <c r="G1548" s="3">
        <f>DATE(2025,6,30)</f>
        <v>45838</v>
      </c>
      <c r="H1548">
        <v>2399656137</v>
      </c>
      <c r="I1548" t="s">
        <v>192</v>
      </c>
      <c r="K1548" t="s">
        <v>22</v>
      </c>
      <c r="L1548" t="s">
        <v>23</v>
      </c>
      <c r="M1548" t="s">
        <v>24</v>
      </c>
      <c r="N1548" t="s">
        <v>24</v>
      </c>
      <c r="O1548" t="s">
        <v>25</v>
      </c>
      <c r="P1548" s="8" t="s">
        <v>2031</v>
      </c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11"/>
      <c r="AL1548" s="11"/>
      <c r="AM1548" s="11"/>
      <c r="AN1548" s="11"/>
      <c r="AO1548" s="11"/>
      <c r="AP1548" s="11"/>
      <c r="AQ1548" s="11"/>
      <c r="AR1548" s="11"/>
      <c r="AS1548" s="11"/>
      <c r="AT1548" s="11"/>
      <c r="AU1548" s="11"/>
      <c r="AV1548" s="11"/>
      <c r="AW1548" s="11"/>
      <c r="AX1548" s="11"/>
      <c r="AY1548" s="11"/>
    </row>
    <row r="1549" spans="1:51" hidden="1" x14ac:dyDescent="0.2">
      <c r="A1549" s="6"/>
      <c r="E1549" s="2"/>
      <c r="F1549" s="3"/>
      <c r="G1549" s="3"/>
      <c r="P1549" s="8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1"/>
      <c r="AF1549" s="11"/>
      <c r="AG1549" s="11"/>
      <c r="AH1549" s="11"/>
      <c r="AI1549" s="11"/>
      <c r="AJ1549" s="11"/>
      <c r="AK1549" s="11"/>
      <c r="AL1549" s="11"/>
      <c r="AM1549" s="11"/>
      <c r="AN1549" s="11"/>
      <c r="AO1549" s="11"/>
      <c r="AP1549" s="11"/>
      <c r="AQ1549" s="11"/>
      <c r="AR1549" s="11"/>
      <c r="AS1549" s="11"/>
      <c r="AT1549" s="11"/>
      <c r="AU1549" s="11"/>
      <c r="AV1549" s="11"/>
      <c r="AW1549" s="11"/>
      <c r="AX1549" s="11"/>
      <c r="AY1549" s="11"/>
    </row>
    <row r="1550" spans="1:51" hidden="1" x14ac:dyDescent="0.2">
      <c r="A1550" s="6"/>
      <c r="E1550" s="2"/>
      <c r="F1550" s="3"/>
      <c r="G1550" s="3"/>
      <c r="P1550" s="8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11"/>
      <c r="AG1550" s="11"/>
      <c r="AH1550" s="11"/>
      <c r="AI1550" s="11"/>
      <c r="AJ1550" s="11"/>
      <c r="AK1550" s="11"/>
      <c r="AL1550" s="11"/>
      <c r="AM1550" s="11"/>
      <c r="AN1550" s="11"/>
      <c r="AO1550" s="11"/>
      <c r="AP1550" s="11"/>
      <c r="AQ1550" s="11"/>
      <c r="AR1550" s="11"/>
      <c r="AS1550" s="11"/>
      <c r="AT1550" s="11"/>
      <c r="AU1550" s="11"/>
      <c r="AV1550" s="11"/>
      <c r="AW1550" s="11"/>
      <c r="AX1550" s="11"/>
      <c r="AY1550" s="11"/>
    </row>
    <row r="1551" spans="1:51" hidden="1" x14ac:dyDescent="0.2">
      <c r="A1551" s="6" t="s">
        <v>17</v>
      </c>
      <c r="B1551" t="s">
        <v>18</v>
      </c>
      <c r="C1551" t="s">
        <v>19</v>
      </c>
      <c r="D1551" t="s">
        <v>2032</v>
      </c>
      <c r="E1551" s="2">
        <v>0.61</v>
      </c>
      <c r="F1551" s="3">
        <f t="shared" ref="F1551:G1556" si="150">DATE(2025,7,1)</f>
        <v>45839</v>
      </c>
      <c r="G1551" s="3">
        <f t="shared" si="150"/>
        <v>45839</v>
      </c>
      <c r="H1551">
        <v>2399656140</v>
      </c>
      <c r="I1551" t="s">
        <v>192</v>
      </c>
      <c r="K1551" t="s">
        <v>22</v>
      </c>
      <c r="L1551" t="s">
        <v>23</v>
      </c>
      <c r="M1551" t="s">
        <v>24</v>
      </c>
      <c r="N1551" t="s">
        <v>24</v>
      </c>
      <c r="O1551" t="s">
        <v>25</v>
      </c>
      <c r="P1551" s="8" t="s">
        <v>2033</v>
      </c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1"/>
      <c r="AJ1551" s="11"/>
      <c r="AK1551" s="11"/>
      <c r="AL1551" s="11"/>
      <c r="AM1551" s="11"/>
      <c r="AN1551" s="11"/>
      <c r="AO1551" s="11"/>
      <c r="AP1551" s="11"/>
      <c r="AQ1551" s="11"/>
      <c r="AR1551" s="11"/>
      <c r="AS1551" s="11"/>
      <c r="AT1551" s="11"/>
      <c r="AU1551" s="11"/>
      <c r="AV1551" s="11"/>
      <c r="AW1551" s="11"/>
      <c r="AX1551" s="11"/>
      <c r="AY1551" s="11"/>
    </row>
    <row r="1552" spans="1:51" hidden="1" x14ac:dyDescent="0.2">
      <c r="A1552" s="6"/>
      <c r="E1552" s="2"/>
      <c r="F1552" s="3"/>
      <c r="G1552" s="3"/>
      <c r="P1552" s="8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11"/>
      <c r="AG1552" s="11"/>
      <c r="AH1552" s="11"/>
      <c r="AI1552" s="11"/>
      <c r="AJ1552" s="11"/>
      <c r="AK1552" s="11"/>
      <c r="AL1552" s="11"/>
      <c r="AM1552" s="11"/>
      <c r="AN1552" s="11"/>
      <c r="AO1552" s="11"/>
      <c r="AP1552" s="11"/>
      <c r="AQ1552" s="11"/>
      <c r="AR1552" s="11"/>
      <c r="AS1552" s="11"/>
      <c r="AT1552" s="11"/>
      <c r="AU1552" s="11"/>
      <c r="AV1552" s="11"/>
      <c r="AW1552" s="11"/>
      <c r="AX1552" s="11"/>
      <c r="AY1552" s="11"/>
    </row>
    <row r="1553" spans="1:51" hidden="1" x14ac:dyDescent="0.2">
      <c r="A1553" s="6" t="s">
        <v>17</v>
      </c>
      <c r="B1553" t="s">
        <v>35</v>
      </c>
      <c r="C1553" t="s">
        <v>35</v>
      </c>
      <c r="D1553" t="s">
        <v>204</v>
      </c>
      <c r="E1553" s="2">
        <v>12</v>
      </c>
      <c r="F1553" s="3">
        <f t="shared" si="150"/>
        <v>45839</v>
      </c>
      <c r="G1553" s="3">
        <f t="shared" si="150"/>
        <v>45839</v>
      </c>
      <c r="H1553">
        <v>2399656142</v>
      </c>
      <c r="I1553" t="s">
        <v>192</v>
      </c>
      <c r="K1553" t="s">
        <v>22</v>
      </c>
      <c r="L1553" t="s">
        <v>23</v>
      </c>
      <c r="M1553" t="s">
        <v>24</v>
      </c>
      <c r="N1553" t="s">
        <v>24</v>
      </c>
      <c r="O1553" t="s">
        <v>25</v>
      </c>
      <c r="P1553" s="8" t="s">
        <v>2034</v>
      </c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1"/>
      <c r="AF1553" s="11"/>
      <c r="AG1553" s="11"/>
      <c r="AH1553" s="11"/>
      <c r="AI1553" s="11"/>
      <c r="AJ1553" s="11"/>
      <c r="AK1553" s="11"/>
      <c r="AL1553" s="11"/>
      <c r="AM1553" s="11"/>
      <c r="AN1553" s="11"/>
      <c r="AO1553" s="11"/>
      <c r="AP1553" s="11"/>
      <c r="AQ1553" s="11"/>
      <c r="AR1553" s="11"/>
      <c r="AS1553" s="11"/>
      <c r="AT1553" s="11"/>
      <c r="AU1553" s="11"/>
      <c r="AV1553" s="11"/>
      <c r="AW1553" s="11"/>
      <c r="AX1553" s="11"/>
      <c r="AY1553" s="11"/>
    </row>
    <row r="1554" spans="1:51" hidden="1" x14ac:dyDescent="0.2">
      <c r="A1554" s="6" t="s">
        <v>17</v>
      </c>
      <c r="B1554" t="s">
        <v>46</v>
      </c>
      <c r="C1554" t="s">
        <v>47</v>
      </c>
      <c r="D1554" t="s">
        <v>2035</v>
      </c>
      <c r="E1554" s="2">
        <v>13.64</v>
      </c>
      <c r="F1554" s="3">
        <f t="shared" si="150"/>
        <v>45839</v>
      </c>
      <c r="G1554" s="3">
        <f t="shared" si="150"/>
        <v>45839</v>
      </c>
      <c r="H1554">
        <v>2408797569</v>
      </c>
      <c r="I1554" t="s">
        <v>158</v>
      </c>
      <c r="K1554" t="s">
        <v>22</v>
      </c>
      <c r="L1554" t="s">
        <v>23</v>
      </c>
      <c r="M1554" t="s">
        <v>24</v>
      </c>
      <c r="N1554" t="s">
        <v>24</v>
      </c>
      <c r="O1554" t="s">
        <v>25</v>
      </c>
      <c r="P1554" s="8" t="s">
        <v>2036</v>
      </c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1"/>
      <c r="AF1554" s="11"/>
      <c r="AG1554" s="11"/>
      <c r="AH1554" s="11"/>
      <c r="AI1554" s="11"/>
      <c r="AJ1554" s="11"/>
      <c r="AK1554" s="11"/>
      <c r="AL1554" s="11"/>
      <c r="AM1554" s="11"/>
      <c r="AN1554" s="11"/>
      <c r="AO1554" s="11"/>
      <c r="AP1554" s="11"/>
      <c r="AQ1554" s="11"/>
      <c r="AR1554" s="11"/>
      <c r="AS1554" s="11"/>
      <c r="AT1554" s="11"/>
      <c r="AU1554" s="11"/>
      <c r="AV1554" s="11"/>
      <c r="AW1554" s="11"/>
      <c r="AX1554" s="11"/>
      <c r="AY1554" s="11"/>
    </row>
    <row r="1555" spans="1:51" hidden="1" x14ac:dyDescent="0.2">
      <c r="A1555" s="6" t="s">
        <v>17</v>
      </c>
      <c r="B1555" t="s">
        <v>173</v>
      </c>
      <c r="C1555" t="s">
        <v>154</v>
      </c>
      <c r="D1555" t="s">
        <v>2037</v>
      </c>
      <c r="E1555" s="2">
        <v>2.35</v>
      </c>
      <c r="F1555" s="3">
        <f t="shared" si="150"/>
        <v>45839</v>
      </c>
      <c r="G1555" s="3">
        <f t="shared" si="150"/>
        <v>45839</v>
      </c>
      <c r="H1555">
        <v>2408797570</v>
      </c>
      <c r="I1555" t="s">
        <v>158</v>
      </c>
      <c r="K1555" t="s">
        <v>22</v>
      </c>
      <c r="L1555" t="s">
        <v>23</v>
      </c>
      <c r="M1555" t="s">
        <v>24</v>
      </c>
      <c r="N1555" t="s">
        <v>24</v>
      </c>
      <c r="O1555" t="s">
        <v>25</v>
      </c>
      <c r="P1555" s="8" t="s">
        <v>2038</v>
      </c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1"/>
      <c r="AF1555" s="11"/>
      <c r="AG1555" s="11"/>
      <c r="AH1555" s="11"/>
      <c r="AI1555" s="11"/>
      <c r="AJ1555" s="11"/>
      <c r="AK1555" s="11"/>
      <c r="AL1555" s="11"/>
      <c r="AM1555" s="11"/>
      <c r="AN1555" s="11"/>
      <c r="AO1555" s="11"/>
      <c r="AP1555" s="11"/>
      <c r="AQ1555" s="11"/>
      <c r="AR1555" s="11"/>
      <c r="AS1555" s="11"/>
      <c r="AT1555" s="11"/>
      <c r="AU1555" s="11"/>
      <c r="AV1555" s="11"/>
      <c r="AW1555" s="11"/>
      <c r="AX1555" s="11"/>
      <c r="AY1555" s="11"/>
    </row>
    <row r="1556" spans="1:51" hidden="1" x14ac:dyDescent="0.2">
      <c r="A1556" s="6" t="s">
        <v>17</v>
      </c>
      <c r="B1556" t="s">
        <v>399</v>
      </c>
      <c r="C1556" t="s">
        <v>400</v>
      </c>
      <c r="D1556" t="s">
        <v>2039</v>
      </c>
      <c r="E1556" s="2">
        <v>8.8000000000000007</v>
      </c>
      <c r="F1556" s="3">
        <f t="shared" si="150"/>
        <v>45839</v>
      </c>
      <c r="G1556" s="3">
        <f t="shared" si="150"/>
        <v>45839</v>
      </c>
      <c r="H1556">
        <v>2408797571</v>
      </c>
      <c r="I1556" t="s">
        <v>158</v>
      </c>
      <c r="K1556" t="s">
        <v>22</v>
      </c>
      <c r="L1556" t="s">
        <v>23</v>
      </c>
      <c r="M1556" t="s">
        <v>24</v>
      </c>
      <c r="N1556" t="s">
        <v>24</v>
      </c>
      <c r="O1556" t="s">
        <v>25</v>
      </c>
      <c r="P1556" s="8" t="s">
        <v>2040</v>
      </c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1"/>
      <c r="AF1556" s="11"/>
      <c r="AG1556" s="11"/>
      <c r="AH1556" s="11"/>
      <c r="AI1556" s="11"/>
      <c r="AJ1556" s="11"/>
      <c r="AK1556" s="11"/>
      <c r="AL1556" s="11"/>
      <c r="AM1556" s="11"/>
      <c r="AN1556" s="11"/>
      <c r="AO1556" s="11"/>
      <c r="AP1556" s="11"/>
      <c r="AQ1556" s="11"/>
      <c r="AR1556" s="11"/>
      <c r="AS1556" s="11"/>
      <c r="AT1556" s="11"/>
      <c r="AU1556" s="11"/>
      <c r="AV1556" s="11"/>
      <c r="AW1556" s="11"/>
      <c r="AX1556" s="11"/>
      <c r="AY1556" s="11"/>
    </row>
    <row r="1557" spans="1:51" hidden="1" x14ac:dyDescent="0.2">
      <c r="A1557" s="6" t="s">
        <v>17</v>
      </c>
      <c r="B1557" t="s">
        <v>118</v>
      </c>
      <c r="C1557" t="s">
        <v>119</v>
      </c>
      <c r="D1557" t="s">
        <v>2041</v>
      </c>
      <c r="E1557" s="2">
        <v>206.4</v>
      </c>
      <c r="F1557" s="3">
        <f>DATE(2025,6,28)</f>
        <v>45836</v>
      </c>
      <c r="G1557" s="3">
        <f>DATE(2025,6,28)</f>
        <v>45836</v>
      </c>
      <c r="H1557">
        <v>2408797572</v>
      </c>
      <c r="I1557" t="s">
        <v>158</v>
      </c>
      <c r="K1557" t="s">
        <v>22</v>
      </c>
      <c r="L1557" t="s">
        <v>23</v>
      </c>
      <c r="M1557" t="s">
        <v>24</v>
      </c>
      <c r="N1557" t="s">
        <v>24</v>
      </c>
      <c r="O1557" t="s">
        <v>25</v>
      </c>
      <c r="P1557" s="8" t="s">
        <v>2042</v>
      </c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1"/>
      <c r="AF1557" s="11"/>
      <c r="AG1557" s="11"/>
      <c r="AH1557" s="11"/>
      <c r="AI1557" s="11"/>
      <c r="AJ1557" s="11"/>
      <c r="AK1557" s="11"/>
      <c r="AL1557" s="11"/>
      <c r="AM1557" s="11"/>
      <c r="AN1557" s="11"/>
      <c r="AO1557" s="11"/>
      <c r="AP1557" s="11"/>
      <c r="AQ1557" s="11"/>
      <c r="AR1557" s="11"/>
      <c r="AS1557" s="11"/>
      <c r="AT1557" s="11"/>
      <c r="AU1557" s="11"/>
      <c r="AV1557" s="11"/>
      <c r="AW1557" s="11"/>
      <c r="AX1557" s="11"/>
      <c r="AY1557" s="11"/>
    </row>
    <row r="1558" spans="1:51" hidden="1" x14ac:dyDescent="0.2">
      <c r="A1558" s="6"/>
      <c r="E1558" s="2"/>
      <c r="F1558" s="3"/>
      <c r="G1558" s="3"/>
      <c r="P1558" s="8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1"/>
      <c r="AF1558" s="11"/>
      <c r="AG1558" s="11"/>
      <c r="AH1558" s="11"/>
      <c r="AI1558" s="11"/>
      <c r="AJ1558" s="11"/>
      <c r="AK1558" s="11"/>
      <c r="AL1558" s="11"/>
      <c r="AM1558" s="11"/>
      <c r="AN1558" s="11"/>
      <c r="AO1558" s="11"/>
      <c r="AP1558" s="11"/>
      <c r="AQ1558" s="11"/>
      <c r="AR1558" s="11"/>
      <c r="AS1558" s="11"/>
      <c r="AT1558" s="11"/>
      <c r="AU1558" s="11"/>
      <c r="AV1558" s="11"/>
      <c r="AW1558" s="11"/>
      <c r="AX1558" s="11"/>
      <c r="AY1558" s="11"/>
    </row>
    <row r="1559" spans="1:51" hidden="1" x14ac:dyDescent="0.2">
      <c r="A1559" s="6" t="s">
        <v>17</v>
      </c>
      <c r="B1559" t="s">
        <v>42</v>
      </c>
      <c r="C1559" t="s">
        <v>43</v>
      </c>
      <c r="D1559" t="s">
        <v>2043</v>
      </c>
      <c r="E1559" s="2">
        <v>89</v>
      </c>
      <c r="F1559" s="3">
        <f t="shared" ref="F1559:G1565" si="151">DATE(2025,7,2)</f>
        <v>45840</v>
      </c>
      <c r="G1559" s="3">
        <f t="shared" si="151"/>
        <v>45840</v>
      </c>
      <c r="H1559">
        <v>2408797574</v>
      </c>
      <c r="I1559" t="s">
        <v>21</v>
      </c>
      <c r="K1559" t="s">
        <v>22</v>
      </c>
      <c r="L1559" t="s">
        <v>23</v>
      </c>
      <c r="M1559" t="s">
        <v>24</v>
      </c>
      <c r="N1559" t="s">
        <v>24</v>
      </c>
      <c r="O1559" t="s">
        <v>25</v>
      </c>
      <c r="P1559" s="8" t="s">
        <v>2044</v>
      </c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11"/>
      <c r="AG1559" s="11"/>
      <c r="AH1559" s="11"/>
      <c r="AI1559" s="11"/>
      <c r="AJ1559" s="11"/>
      <c r="AK1559" s="11"/>
      <c r="AL1559" s="11"/>
      <c r="AM1559" s="11"/>
      <c r="AN1559" s="11"/>
      <c r="AO1559" s="11"/>
      <c r="AP1559" s="11"/>
      <c r="AQ1559" s="11"/>
      <c r="AR1559" s="11"/>
      <c r="AS1559" s="11"/>
      <c r="AT1559" s="11"/>
      <c r="AU1559" s="11"/>
      <c r="AV1559" s="11"/>
      <c r="AW1559" s="11"/>
      <c r="AX1559" s="11"/>
      <c r="AY1559" s="11"/>
    </row>
    <row r="1560" spans="1:51" hidden="1" x14ac:dyDescent="0.2">
      <c r="A1560" s="6" t="s">
        <v>17</v>
      </c>
      <c r="B1560" t="s">
        <v>90</v>
      </c>
      <c r="C1560" t="s">
        <v>91</v>
      </c>
      <c r="D1560" t="s">
        <v>2045</v>
      </c>
      <c r="E1560" s="2">
        <v>56.57</v>
      </c>
      <c r="F1560" s="3">
        <f t="shared" si="151"/>
        <v>45840</v>
      </c>
      <c r="G1560" s="3">
        <f t="shared" si="151"/>
        <v>45840</v>
      </c>
      <c r="H1560">
        <v>2408797575</v>
      </c>
      <c r="I1560" t="s">
        <v>21</v>
      </c>
      <c r="K1560" t="s">
        <v>22</v>
      </c>
      <c r="L1560" t="s">
        <v>23</v>
      </c>
      <c r="M1560" t="s">
        <v>24</v>
      </c>
      <c r="N1560" t="s">
        <v>24</v>
      </c>
      <c r="O1560" t="s">
        <v>25</v>
      </c>
      <c r="P1560" s="8" t="s">
        <v>2046</v>
      </c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1"/>
      <c r="AF1560" s="11"/>
      <c r="AG1560" s="11"/>
      <c r="AH1560" s="11"/>
      <c r="AI1560" s="11"/>
      <c r="AJ1560" s="11"/>
      <c r="AK1560" s="11"/>
      <c r="AL1560" s="11"/>
      <c r="AM1560" s="11"/>
      <c r="AN1560" s="11"/>
      <c r="AO1560" s="11"/>
      <c r="AP1560" s="11"/>
      <c r="AQ1560" s="11"/>
      <c r="AR1560" s="11"/>
      <c r="AS1560" s="11"/>
      <c r="AT1560" s="11"/>
      <c r="AU1560" s="11"/>
      <c r="AV1560" s="11"/>
      <c r="AW1560" s="11"/>
      <c r="AX1560" s="11"/>
      <c r="AY1560" s="11"/>
    </row>
    <row r="1561" spans="1:51" hidden="1" x14ac:dyDescent="0.2">
      <c r="A1561" s="6"/>
      <c r="E1561" s="2"/>
      <c r="F1561" s="3"/>
      <c r="G1561" s="3"/>
      <c r="P1561" s="8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11"/>
      <c r="AG1561" s="11"/>
      <c r="AH1561" s="11"/>
      <c r="AI1561" s="11"/>
      <c r="AJ1561" s="11"/>
      <c r="AK1561" s="11"/>
      <c r="AL1561" s="11"/>
      <c r="AM1561" s="11"/>
      <c r="AN1561" s="11"/>
      <c r="AO1561" s="11"/>
      <c r="AP1561" s="11"/>
      <c r="AQ1561" s="11"/>
      <c r="AR1561" s="11"/>
      <c r="AS1561" s="11"/>
      <c r="AT1561" s="11"/>
      <c r="AU1561" s="11"/>
      <c r="AV1561" s="11"/>
      <c r="AW1561" s="11"/>
      <c r="AX1561" s="11"/>
      <c r="AY1561" s="11"/>
    </row>
    <row r="1562" spans="1:51" hidden="1" x14ac:dyDescent="0.2">
      <c r="A1562" s="6" t="s">
        <v>17</v>
      </c>
      <c r="B1562" t="s">
        <v>244</v>
      </c>
      <c r="C1562" t="s">
        <v>245</v>
      </c>
      <c r="D1562" t="s">
        <v>2047</v>
      </c>
      <c r="E1562" s="2">
        <v>2234</v>
      </c>
      <c r="F1562" s="3">
        <f t="shared" si="151"/>
        <v>45840</v>
      </c>
      <c r="G1562" s="3">
        <f t="shared" si="151"/>
        <v>45840</v>
      </c>
      <c r="H1562">
        <v>2408797577</v>
      </c>
      <c r="I1562" t="s">
        <v>21</v>
      </c>
      <c r="K1562" t="s">
        <v>22</v>
      </c>
      <c r="L1562" t="s">
        <v>23</v>
      </c>
      <c r="M1562" t="s">
        <v>24</v>
      </c>
      <c r="N1562" t="s">
        <v>24</v>
      </c>
      <c r="O1562" t="s">
        <v>25</v>
      </c>
      <c r="P1562" s="8" t="s">
        <v>2048</v>
      </c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11"/>
      <c r="AG1562" s="11"/>
      <c r="AH1562" s="11"/>
      <c r="AI1562" s="11"/>
      <c r="AJ1562" s="11"/>
      <c r="AK1562" s="11"/>
      <c r="AL1562" s="11"/>
      <c r="AM1562" s="11"/>
      <c r="AN1562" s="11"/>
      <c r="AO1562" s="11"/>
      <c r="AP1562" s="11"/>
      <c r="AQ1562" s="11"/>
      <c r="AR1562" s="11"/>
      <c r="AS1562" s="11"/>
      <c r="AT1562" s="11"/>
      <c r="AU1562" s="11"/>
      <c r="AV1562" s="11"/>
      <c r="AW1562" s="11"/>
      <c r="AX1562" s="11"/>
      <c r="AY1562" s="11"/>
    </row>
    <row r="1563" spans="1:51" hidden="1" x14ac:dyDescent="0.2">
      <c r="A1563" s="6" t="s">
        <v>17</v>
      </c>
      <c r="B1563" t="s">
        <v>565</v>
      </c>
      <c r="C1563" t="s">
        <v>566</v>
      </c>
      <c r="D1563" t="s">
        <v>2049</v>
      </c>
      <c r="E1563" s="2">
        <v>332.94</v>
      </c>
      <c r="F1563" s="3">
        <f t="shared" si="151"/>
        <v>45840</v>
      </c>
      <c r="G1563" s="3">
        <f t="shared" si="151"/>
        <v>45840</v>
      </c>
      <c r="H1563">
        <v>2408797578</v>
      </c>
      <c r="I1563" t="s">
        <v>21</v>
      </c>
      <c r="K1563" t="s">
        <v>22</v>
      </c>
      <c r="L1563" t="s">
        <v>23</v>
      </c>
      <c r="M1563" t="s">
        <v>24</v>
      </c>
      <c r="N1563" t="s">
        <v>24</v>
      </c>
      <c r="O1563" t="s">
        <v>25</v>
      </c>
      <c r="P1563" s="8" t="s">
        <v>2050</v>
      </c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11"/>
      <c r="AG1563" s="11"/>
      <c r="AH1563" s="11"/>
      <c r="AI1563" s="11"/>
      <c r="AJ1563" s="11"/>
      <c r="AK1563" s="11"/>
      <c r="AL1563" s="11"/>
      <c r="AM1563" s="11"/>
      <c r="AN1563" s="11"/>
      <c r="AO1563" s="11"/>
      <c r="AP1563" s="11"/>
      <c r="AQ1563" s="11"/>
      <c r="AR1563" s="11"/>
      <c r="AS1563" s="11"/>
      <c r="AT1563" s="11"/>
      <c r="AU1563" s="11"/>
      <c r="AV1563" s="11"/>
      <c r="AW1563" s="11"/>
      <c r="AX1563" s="11"/>
      <c r="AY1563" s="11"/>
    </row>
    <row r="1564" spans="1:51" hidden="1" x14ac:dyDescent="0.2">
      <c r="A1564" s="6" t="s">
        <v>17</v>
      </c>
      <c r="B1564" t="s">
        <v>70</v>
      </c>
      <c r="C1564" t="s">
        <v>71</v>
      </c>
      <c r="D1564" t="s">
        <v>2051</v>
      </c>
      <c r="E1564" s="2">
        <v>2295.42</v>
      </c>
      <c r="F1564" s="3">
        <f t="shared" si="151"/>
        <v>45840</v>
      </c>
      <c r="G1564" s="3">
        <f t="shared" si="151"/>
        <v>45840</v>
      </c>
      <c r="H1564">
        <v>2408797579</v>
      </c>
      <c r="I1564" t="s">
        <v>21</v>
      </c>
      <c r="K1564" t="s">
        <v>22</v>
      </c>
      <c r="L1564" t="s">
        <v>23</v>
      </c>
      <c r="M1564" t="s">
        <v>24</v>
      </c>
      <c r="N1564" t="s">
        <v>24</v>
      </c>
      <c r="O1564" t="s">
        <v>25</v>
      </c>
      <c r="P1564" s="8" t="s">
        <v>2052</v>
      </c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11"/>
      <c r="AG1564" s="11"/>
      <c r="AH1564" s="11"/>
      <c r="AI1564" s="11"/>
      <c r="AJ1564" s="11"/>
      <c r="AK1564" s="11"/>
      <c r="AL1564" s="11"/>
      <c r="AM1564" s="11"/>
      <c r="AN1564" s="11"/>
      <c r="AO1564" s="11"/>
      <c r="AP1564" s="11"/>
      <c r="AQ1564" s="11"/>
      <c r="AR1564" s="11"/>
      <c r="AS1564" s="11"/>
      <c r="AT1564" s="11"/>
      <c r="AU1564" s="11"/>
      <c r="AV1564" s="11"/>
      <c r="AW1564" s="11"/>
      <c r="AX1564" s="11"/>
      <c r="AY1564" s="11"/>
    </row>
    <row r="1565" spans="1:51" hidden="1" x14ac:dyDescent="0.2">
      <c r="A1565" s="6" t="s">
        <v>17</v>
      </c>
      <c r="B1565" t="s">
        <v>244</v>
      </c>
      <c r="C1565" t="s">
        <v>245</v>
      </c>
      <c r="D1565" t="s">
        <v>2053</v>
      </c>
      <c r="E1565" s="2">
        <v>1313</v>
      </c>
      <c r="F1565" s="3">
        <f t="shared" si="151"/>
        <v>45840</v>
      </c>
      <c r="G1565" s="3">
        <f t="shared" si="151"/>
        <v>45840</v>
      </c>
      <c r="H1565">
        <v>2408797580</v>
      </c>
      <c r="I1565" t="s">
        <v>21</v>
      </c>
      <c r="K1565" t="s">
        <v>22</v>
      </c>
      <c r="L1565" t="s">
        <v>23</v>
      </c>
      <c r="M1565" t="s">
        <v>24</v>
      </c>
      <c r="N1565" t="s">
        <v>24</v>
      </c>
      <c r="O1565" t="s">
        <v>25</v>
      </c>
      <c r="P1565" s="8" t="s">
        <v>2054</v>
      </c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1"/>
      <c r="AF1565" s="11"/>
      <c r="AG1565" s="11"/>
      <c r="AH1565" s="11"/>
      <c r="AI1565" s="11"/>
      <c r="AJ1565" s="11"/>
      <c r="AK1565" s="11"/>
      <c r="AL1565" s="11"/>
      <c r="AM1565" s="11"/>
      <c r="AN1565" s="11"/>
      <c r="AO1565" s="11"/>
      <c r="AP1565" s="11"/>
      <c r="AQ1565" s="11"/>
      <c r="AR1565" s="11"/>
      <c r="AS1565" s="11"/>
      <c r="AT1565" s="11"/>
      <c r="AU1565" s="11"/>
      <c r="AV1565" s="11"/>
      <c r="AW1565" s="11"/>
      <c r="AX1565" s="11"/>
      <c r="AY1565" s="11"/>
    </row>
    <row r="1566" spans="1:51" hidden="1" x14ac:dyDescent="0.2">
      <c r="A1566" s="6" t="s">
        <v>17</v>
      </c>
      <c r="B1566" t="s">
        <v>27</v>
      </c>
      <c r="C1566" t="s">
        <v>28</v>
      </c>
      <c r="D1566" t="s">
        <v>2055</v>
      </c>
      <c r="E1566" s="2">
        <v>3829.92</v>
      </c>
      <c r="F1566" s="3">
        <f>DATE(2025,7,3)</f>
        <v>45841</v>
      </c>
      <c r="G1566" s="3">
        <f>DATE(2025,7,3)</f>
        <v>45841</v>
      </c>
      <c r="H1566">
        <v>2408797581</v>
      </c>
      <c r="I1566" t="s">
        <v>21</v>
      </c>
      <c r="K1566" t="s">
        <v>22</v>
      </c>
      <c r="L1566" t="s">
        <v>23</v>
      </c>
      <c r="M1566" t="s">
        <v>24</v>
      </c>
      <c r="N1566" t="s">
        <v>24</v>
      </c>
      <c r="O1566" t="s">
        <v>25</v>
      </c>
      <c r="P1566" s="8" t="s">
        <v>2056</v>
      </c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s="11"/>
      <c r="AR1566" s="11"/>
      <c r="AS1566" s="11"/>
      <c r="AT1566" s="11"/>
      <c r="AU1566" s="11"/>
      <c r="AV1566" s="11"/>
      <c r="AW1566" s="11"/>
      <c r="AX1566" s="11"/>
      <c r="AY1566" s="11"/>
    </row>
    <row r="1567" spans="1:51" hidden="1" x14ac:dyDescent="0.2">
      <c r="A1567" s="6" t="s">
        <v>17</v>
      </c>
      <c r="B1567" t="s">
        <v>42</v>
      </c>
      <c r="C1567" t="s">
        <v>43</v>
      </c>
      <c r="D1567" t="s">
        <v>2057</v>
      </c>
      <c r="E1567" s="2">
        <v>147.69999999999999</v>
      </c>
      <c r="F1567" s="3">
        <f t="shared" ref="F1567:G1581" si="152">DATE(2025,7,2)</f>
        <v>45840</v>
      </c>
      <c r="G1567" s="3">
        <f t="shared" si="152"/>
        <v>45840</v>
      </c>
      <c r="H1567">
        <v>2408797582</v>
      </c>
      <c r="I1567" t="s">
        <v>21</v>
      </c>
      <c r="K1567" t="s">
        <v>22</v>
      </c>
      <c r="L1567" t="s">
        <v>23</v>
      </c>
      <c r="M1567" t="s">
        <v>24</v>
      </c>
      <c r="N1567" t="s">
        <v>24</v>
      </c>
      <c r="O1567" t="s">
        <v>25</v>
      </c>
      <c r="P1567" s="8" t="s">
        <v>2058</v>
      </c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1"/>
      <c r="AF1567" s="11"/>
      <c r="AG1567" s="11"/>
      <c r="AH1567" s="11"/>
      <c r="AI1567" s="11"/>
      <c r="AJ1567" s="11"/>
      <c r="AK1567" s="11"/>
      <c r="AL1567" s="11"/>
      <c r="AM1567" s="11"/>
      <c r="AN1567" s="11"/>
      <c r="AO1567" s="11"/>
      <c r="AP1567" s="11"/>
      <c r="AQ1567" s="11"/>
      <c r="AR1567" s="11"/>
      <c r="AS1567" s="11"/>
      <c r="AT1567" s="11"/>
      <c r="AU1567" s="11"/>
      <c r="AV1567" s="11"/>
      <c r="AW1567" s="11"/>
      <c r="AX1567" s="11"/>
      <c r="AY1567" s="11"/>
    </row>
    <row r="1568" spans="1:51" hidden="1" x14ac:dyDescent="0.2">
      <c r="A1568" s="6" t="s">
        <v>17</v>
      </c>
      <c r="B1568" t="s">
        <v>878</v>
      </c>
      <c r="C1568" t="s">
        <v>879</v>
      </c>
      <c r="D1568" t="s">
        <v>2059</v>
      </c>
      <c r="E1568" s="2">
        <v>1439.88</v>
      </c>
      <c r="F1568" s="3">
        <f t="shared" si="152"/>
        <v>45840</v>
      </c>
      <c r="G1568" s="3">
        <f t="shared" si="152"/>
        <v>45840</v>
      </c>
      <c r="H1568">
        <v>2408797583</v>
      </c>
      <c r="I1568" t="s">
        <v>21</v>
      </c>
      <c r="K1568" t="s">
        <v>22</v>
      </c>
      <c r="L1568" t="s">
        <v>23</v>
      </c>
      <c r="M1568" t="s">
        <v>24</v>
      </c>
      <c r="N1568" t="s">
        <v>24</v>
      </c>
      <c r="O1568" t="s">
        <v>25</v>
      </c>
      <c r="P1568" s="8" t="s">
        <v>2060</v>
      </c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11"/>
      <c r="AL1568" s="11"/>
      <c r="AM1568" s="11"/>
      <c r="AN1568" s="11"/>
      <c r="AO1568" s="11"/>
      <c r="AP1568" s="11"/>
      <c r="AQ1568" s="11"/>
      <c r="AR1568" s="11"/>
      <c r="AS1568" s="11"/>
      <c r="AT1568" s="11"/>
      <c r="AU1568" s="11"/>
      <c r="AV1568" s="11"/>
      <c r="AW1568" s="11"/>
      <c r="AX1568" s="11"/>
      <c r="AY1568" s="11"/>
    </row>
    <row r="1569" spans="1:51" x14ac:dyDescent="0.2">
      <c r="A1569" s="6" t="s">
        <v>17</v>
      </c>
      <c r="B1569" t="s">
        <v>342</v>
      </c>
      <c r="C1569" t="s">
        <v>342</v>
      </c>
      <c r="D1569" t="s">
        <v>2061</v>
      </c>
      <c r="E1569" s="2">
        <v>2002.13</v>
      </c>
      <c r="F1569" s="3">
        <f t="shared" si="152"/>
        <v>45840</v>
      </c>
      <c r="G1569" s="3">
        <f t="shared" si="152"/>
        <v>45840</v>
      </c>
      <c r="H1569">
        <v>2408797584</v>
      </c>
      <c r="I1569" t="s">
        <v>21</v>
      </c>
      <c r="K1569" t="s">
        <v>22</v>
      </c>
      <c r="L1569" t="s">
        <v>23</v>
      </c>
      <c r="M1569" t="s">
        <v>24</v>
      </c>
      <c r="N1569" t="s">
        <v>24</v>
      </c>
      <c r="O1569" t="s">
        <v>25</v>
      </c>
      <c r="P1569" s="8" t="s">
        <v>2062</v>
      </c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1"/>
      <c r="AJ1569" s="11"/>
      <c r="AK1569" s="11"/>
      <c r="AL1569" s="11"/>
      <c r="AM1569" s="11"/>
      <c r="AN1569" s="11"/>
      <c r="AO1569" s="11"/>
      <c r="AP1569" s="11"/>
      <c r="AQ1569" s="11"/>
      <c r="AR1569" s="11"/>
      <c r="AS1569" s="11"/>
      <c r="AT1569" s="11"/>
      <c r="AU1569" s="11"/>
      <c r="AV1569" s="11"/>
      <c r="AW1569" s="11"/>
      <c r="AX1569" s="11"/>
      <c r="AY1569" s="11"/>
    </row>
    <row r="1570" spans="1:51" hidden="1" x14ac:dyDescent="0.2">
      <c r="A1570" s="6" t="s">
        <v>17</v>
      </c>
      <c r="B1570" t="s">
        <v>46</v>
      </c>
      <c r="C1570" t="s">
        <v>47</v>
      </c>
      <c r="D1570" t="s">
        <v>2063</v>
      </c>
      <c r="E1570" s="2">
        <v>1394.4</v>
      </c>
      <c r="F1570" s="3">
        <f t="shared" si="152"/>
        <v>45840</v>
      </c>
      <c r="G1570" s="3">
        <f t="shared" si="152"/>
        <v>45840</v>
      </c>
      <c r="H1570">
        <v>2408797585</v>
      </c>
      <c r="I1570" t="s">
        <v>21</v>
      </c>
      <c r="K1570" t="s">
        <v>22</v>
      </c>
      <c r="L1570" t="s">
        <v>23</v>
      </c>
      <c r="M1570" t="s">
        <v>24</v>
      </c>
      <c r="N1570" t="s">
        <v>24</v>
      </c>
      <c r="O1570" t="s">
        <v>25</v>
      </c>
      <c r="P1570" s="8" t="s">
        <v>2064</v>
      </c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1"/>
      <c r="AF1570" s="11"/>
      <c r="AG1570" s="11"/>
      <c r="AH1570" s="11"/>
      <c r="AI1570" s="11"/>
      <c r="AJ1570" s="11"/>
      <c r="AK1570" s="11"/>
      <c r="AL1570" s="11"/>
      <c r="AM1570" s="11"/>
      <c r="AN1570" s="11"/>
      <c r="AO1570" s="11"/>
      <c r="AP1570" s="11"/>
      <c r="AQ1570" s="11"/>
      <c r="AR1570" s="11"/>
      <c r="AS1570" s="11"/>
      <c r="AT1570" s="11"/>
      <c r="AU1570" s="11"/>
      <c r="AV1570" s="11"/>
      <c r="AW1570" s="11"/>
      <c r="AX1570" s="11"/>
      <c r="AY1570" s="11"/>
    </row>
    <row r="1571" spans="1:51" hidden="1" x14ac:dyDescent="0.2">
      <c r="A1571" s="6" t="s">
        <v>17</v>
      </c>
      <c r="B1571" t="s">
        <v>35</v>
      </c>
      <c r="C1571" t="s">
        <v>35</v>
      </c>
      <c r="D1571" t="s">
        <v>2065</v>
      </c>
      <c r="E1571" s="2">
        <v>4.76</v>
      </c>
      <c r="F1571" s="3">
        <f t="shared" si="152"/>
        <v>45840</v>
      </c>
      <c r="G1571" s="3">
        <f t="shared" si="152"/>
        <v>45840</v>
      </c>
      <c r="H1571">
        <v>2408797586</v>
      </c>
      <c r="I1571" t="s">
        <v>21</v>
      </c>
      <c r="K1571" t="s">
        <v>22</v>
      </c>
      <c r="L1571" t="s">
        <v>23</v>
      </c>
      <c r="M1571" t="s">
        <v>24</v>
      </c>
      <c r="N1571" t="s">
        <v>24</v>
      </c>
      <c r="O1571" t="s">
        <v>25</v>
      </c>
      <c r="P1571" s="8" t="s">
        <v>2066</v>
      </c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11"/>
      <c r="AG1571" s="11"/>
      <c r="AH1571" s="11"/>
      <c r="AI1571" s="11"/>
      <c r="AJ1571" s="11"/>
      <c r="AK1571" s="11"/>
      <c r="AL1571" s="11"/>
      <c r="AM1571" s="11"/>
      <c r="AN1571" s="11"/>
      <c r="AO1571" s="11"/>
      <c r="AP1571" s="11"/>
      <c r="AQ1571" s="11"/>
      <c r="AR1571" s="11"/>
      <c r="AS1571" s="11"/>
      <c r="AT1571" s="11"/>
      <c r="AU1571" s="11"/>
      <c r="AV1571" s="11"/>
      <c r="AW1571" s="11"/>
      <c r="AX1571" s="11"/>
      <c r="AY1571" s="11"/>
    </row>
    <row r="1572" spans="1:51" hidden="1" x14ac:dyDescent="0.2">
      <c r="A1572" s="6" t="s">
        <v>17</v>
      </c>
      <c r="B1572" t="s">
        <v>244</v>
      </c>
      <c r="C1572" t="s">
        <v>245</v>
      </c>
      <c r="D1572" t="s">
        <v>2067</v>
      </c>
      <c r="E1572" s="2">
        <v>1006</v>
      </c>
      <c r="F1572" s="3">
        <f t="shared" si="152"/>
        <v>45840</v>
      </c>
      <c r="G1572" s="3">
        <f t="shared" si="152"/>
        <v>45840</v>
      </c>
      <c r="H1572">
        <v>2408797587</v>
      </c>
      <c r="I1572" t="s">
        <v>21</v>
      </c>
      <c r="K1572" t="s">
        <v>22</v>
      </c>
      <c r="L1572" t="s">
        <v>23</v>
      </c>
      <c r="M1572" t="s">
        <v>24</v>
      </c>
      <c r="N1572" t="s">
        <v>24</v>
      </c>
      <c r="O1572" t="s">
        <v>25</v>
      </c>
      <c r="P1572" s="8" t="s">
        <v>2068</v>
      </c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11"/>
      <c r="AG1572" s="11"/>
      <c r="AH1572" s="11"/>
      <c r="AI1572" s="11"/>
      <c r="AJ1572" s="11"/>
      <c r="AK1572" s="11"/>
      <c r="AL1572" s="11"/>
      <c r="AM1572" s="11"/>
      <c r="AN1572" s="11"/>
      <c r="AO1572" s="11"/>
      <c r="AP1572" s="11"/>
      <c r="AQ1572" s="11"/>
      <c r="AR1572" s="11"/>
      <c r="AS1572" s="11"/>
      <c r="AT1572" s="11"/>
      <c r="AU1572" s="11"/>
      <c r="AV1572" s="11"/>
      <c r="AW1572" s="11"/>
      <c r="AX1572" s="11"/>
      <c r="AY1572" s="11"/>
    </row>
    <row r="1573" spans="1:51" hidden="1" x14ac:dyDescent="0.2">
      <c r="A1573" s="6" t="s">
        <v>17</v>
      </c>
      <c r="B1573" t="s">
        <v>50</v>
      </c>
      <c r="C1573" t="s">
        <v>51</v>
      </c>
      <c r="D1573" t="s">
        <v>2069</v>
      </c>
      <c r="E1573" s="2">
        <v>812.16</v>
      </c>
      <c r="F1573" s="3">
        <f t="shared" si="152"/>
        <v>45840</v>
      </c>
      <c r="G1573" s="3">
        <f t="shared" si="152"/>
        <v>45840</v>
      </c>
      <c r="H1573">
        <v>2408797588</v>
      </c>
      <c r="I1573" t="s">
        <v>21</v>
      </c>
      <c r="K1573" t="s">
        <v>22</v>
      </c>
      <c r="L1573" t="s">
        <v>23</v>
      </c>
      <c r="M1573" t="s">
        <v>24</v>
      </c>
      <c r="N1573" t="s">
        <v>24</v>
      </c>
      <c r="O1573" t="s">
        <v>25</v>
      </c>
      <c r="P1573" s="8" t="s">
        <v>2070</v>
      </c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1"/>
      <c r="AF1573" s="11"/>
      <c r="AG1573" s="11"/>
      <c r="AH1573" s="11"/>
      <c r="AI1573" s="11"/>
      <c r="AJ1573" s="11"/>
      <c r="AK1573" s="11"/>
      <c r="AL1573" s="11"/>
      <c r="AM1573" s="11"/>
      <c r="AN1573" s="11"/>
      <c r="AO1573" s="11"/>
      <c r="AP1573" s="11"/>
      <c r="AQ1573" s="11"/>
      <c r="AR1573" s="11"/>
      <c r="AS1573" s="11"/>
      <c r="AT1573" s="11"/>
      <c r="AU1573" s="11"/>
      <c r="AV1573" s="11"/>
      <c r="AW1573" s="11"/>
      <c r="AX1573" s="11"/>
      <c r="AY1573" s="11"/>
    </row>
    <row r="1574" spans="1:51" hidden="1" x14ac:dyDescent="0.2">
      <c r="A1574" s="6" t="s">
        <v>17</v>
      </c>
      <c r="B1574" t="s">
        <v>173</v>
      </c>
      <c r="C1574" t="s">
        <v>154</v>
      </c>
      <c r="D1574" t="s">
        <v>2071</v>
      </c>
      <c r="E1574" s="2">
        <v>8</v>
      </c>
      <c r="F1574" s="3">
        <f t="shared" si="152"/>
        <v>45840</v>
      </c>
      <c r="G1574" s="3">
        <f t="shared" si="152"/>
        <v>45840</v>
      </c>
      <c r="H1574">
        <v>2408819822</v>
      </c>
      <c r="I1574" t="s">
        <v>192</v>
      </c>
      <c r="K1574" t="s">
        <v>22</v>
      </c>
      <c r="L1574" t="s">
        <v>23</v>
      </c>
      <c r="M1574" t="s">
        <v>24</v>
      </c>
      <c r="N1574" t="s">
        <v>24</v>
      </c>
      <c r="O1574" t="s">
        <v>25</v>
      </c>
      <c r="P1574" s="8" t="s">
        <v>2072</v>
      </c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11"/>
      <c r="AG1574" s="11"/>
      <c r="AH1574" s="11"/>
      <c r="AI1574" s="11"/>
      <c r="AJ1574" s="11"/>
      <c r="AK1574" s="11"/>
      <c r="AL1574" s="11"/>
      <c r="AM1574" s="11"/>
      <c r="AN1574" s="11"/>
      <c r="AO1574" s="11"/>
      <c r="AP1574" s="11"/>
      <c r="AQ1574" s="11"/>
      <c r="AR1574" s="11"/>
      <c r="AS1574" s="11"/>
      <c r="AT1574" s="11"/>
      <c r="AU1574" s="11"/>
      <c r="AV1574" s="11"/>
      <c r="AW1574" s="11"/>
      <c r="AX1574" s="11"/>
      <c r="AY1574" s="11"/>
    </row>
    <row r="1575" spans="1:51" hidden="1" x14ac:dyDescent="0.2">
      <c r="A1575" s="6"/>
      <c r="E1575" s="2"/>
      <c r="F1575" s="3"/>
      <c r="G1575" s="3"/>
      <c r="P1575" s="8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11"/>
      <c r="AG1575" s="11"/>
      <c r="AH1575" s="11"/>
      <c r="AI1575" s="11"/>
      <c r="AJ1575" s="11"/>
      <c r="AK1575" s="11"/>
      <c r="AL1575" s="11"/>
      <c r="AM1575" s="11"/>
      <c r="AN1575" s="11"/>
      <c r="AO1575" s="11"/>
      <c r="AP1575" s="11"/>
      <c r="AQ1575" s="11"/>
      <c r="AR1575" s="11"/>
      <c r="AS1575" s="11"/>
      <c r="AT1575" s="11"/>
      <c r="AU1575" s="11"/>
      <c r="AV1575" s="11"/>
      <c r="AW1575" s="11"/>
      <c r="AX1575" s="11"/>
      <c r="AY1575" s="11"/>
    </row>
    <row r="1576" spans="1:51" hidden="1" x14ac:dyDescent="0.2">
      <c r="A1576" s="6" t="s">
        <v>17</v>
      </c>
      <c r="B1576" t="s">
        <v>18</v>
      </c>
      <c r="C1576" t="s">
        <v>19</v>
      </c>
      <c r="D1576" t="s">
        <v>2073</v>
      </c>
      <c r="E1576" s="2">
        <v>2.48</v>
      </c>
      <c r="F1576" s="3">
        <f t="shared" si="152"/>
        <v>45840</v>
      </c>
      <c r="G1576" s="3">
        <f t="shared" si="152"/>
        <v>45840</v>
      </c>
      <c r="H1576">
        <v>2408819824</v>
      </c>
      <c r="I1576" t="s">
        <v>192</v>
      </c>
      <c r="K1576" t="s">
        <v>22</v>
      </c>
      <c r="L1576" t="s">
        <v>23</v>
      </c>
      <c r="M1576" t="s">
        <v>24</v>
      </c>
      <c r="N1576" t="s">
        <v>24</v>
      </c>
      <c r="O1576" t="s">
        <v>25</v>
      </c>
      <c r="P1576" s="8" t="s">
        <v>2074</v>
      </c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11"/>
      <c r="AG1576" s="11"/>
      <c r="AH1576" s="11"/>
      <c r="AI1576" s="11"/>
      <c r="AJ1576" s="11"/>
      <c r="AK1576" s="11"/>
      <c r="AL1576" s="11"/>
      <c r="AM1576" s="11"/>
      <c r="AN1576" s="11"/>
      <c r="AO1576" s="11"/>
      <c r="AP1576" s="11"/>
      <c r="AQ1576" s="11"/>
      <c r="AR1576" s="11"/>
      <c r="AS1576" s="11"/>
      <c r="AT1576" s="11"/>
      <c r="AU1576" s="11"/>
      <c r="AV1576" s="11"/>
      <c r="AW1576" s="11"/>
      <c r="AX1576" s="11"/>
      <c r="AY1576" s="11"/>
    </row>
    <row r="1577" spans="1:51" hidden="1" x14ac:dyDescent="0.2">
      <c r="A1577" s="6"/>
      <c r="E1577" s="2"/>
      <c r="F1577" s="3"/>
      <c r="G1577" s="3"/>
      <c r="P1577" s="8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11"/>
      <c r="AG1577" s="11"/>
      <c r="AH1577" s="11"/>
      <c r="AI1577" s="11"/>
      <c r="AJ1577" s="11"/>
      <c r="AK1577" s="11"/>
      <c r="AL1577" s="11"/>
      <c r="AM1577" s="11"/>
      <c r="AN1577" s="11"/>
      <c r="AO1577" s="11"/>
      <c r="AP1577" s="11"/>
      <c r="AQ1577" s="11"/>
      <c r="AR1577" s="11"/>
      <c r="AS1577" s="11"/>
      <c r="AT1577" s="11"/>
      <c r="AU1577" s="11"/>
      <c r="AV1577" s="11"/>
      <c r="AW1577" s="11"/>
      <c r="AX1577" s="11"/>
      <c r="AY1577" s="11"/>
    </row>
    <row r="1578" spans="1:51" hidden="1" x14ac:dyDescent="0.2">
      <c r="A1578" s="6" t="s">
        <v>17</v>
      </c>
      <c r="B1578" t="s">
        <v>173</v>
      </c>
      <c r="C1578" t="s">
        <v>154</v>
      </c>
      <c r="D1578" t="s">
        <v>2071</v>
      </c>
      <c r="E1578" s="2">
        <v>40.03</v>
      </c>
      <c r="F1578" s="3">
        <f t="shared" si="152"/>
        <v>45840</v>
      </c>
      <c r="G1578" s="3">
        <f t="shared" si="152"/>
        <v>45840</v>
      </c>
      <c r="H1578">
        <v>2408819826</v>
      </c>
      <c r="I1578" t="s">
        <v>192</v>
      </c>
      <c r="K1578" t="s">
        <v>22</v>
      </c>
      <c r="L1578" t="s">
        <v>23</v>
      </c>
      <c r="M1578" t="s">
        <v>24</v>
      </c>
      <c r="N1578" t="s">
        <v>24</v>
      </c>
      <c r="O1578" t="s">
        <v>25</v>
      </c>
      <c r="P1578" s="8" t="s">
        <v>2075</v>
      </c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11"/>
      <c r="AG1578" s="11"/>
      <c r="AH1578" s="11"/>
      <c r="AI1578" s="11"/>
      <c r="AJ1578" s="11"/>
      <c r="AK1578" s="11"/>
      <c r="AL1578" s="11"/>
      <c r="AM1578" s="11"/>
      <c r="AN1578" s="11"/>
      <c r="AO1578" s="11"/>
      <c r="AP1578" s="11"/>
      <c r="AQ1578" s="11"/>
      <c r="AR1578" s="11"/>
      <c r="AS1578" s="11"/>
      <c r="AT1578" s="11"/>
      <c r="AU1578" s="11"/>
      <c r="AV1578" s="11"/>
      <c r="AW1578" s="11"/>
      <c r="AX1578" s="11"/>
      <c r="AY1578" s="11"/>
    </row>
    <row r="1579" spans="1:51" hidden="1" x14ac:dyDescent="0.2">
      <c r="A1579" s="6"/>
      <c r="E1579" s="2"/>
      <c r="F1579" s="3"/>
      <c r="G1579" s="3"/>
      <c r="P1579" s="8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11"/>
      <c r="AG1579" s="11"/>
      <c r="AH1579" s="11"/>
      <c r="AI1579" s="11"/>
      <c r="AJ1579" s="11"/>
      <c r="AK1579" s="11"/>
      <c r="AL1579" s="11"/>
      <c r="AM1579" s="11"/>
      <c r="AN1579" s="11"/>
      <c r="AO1579" s="11"/>
      <c r="AP1579" s="11"/>
      <c r="AQ1579" s="11"/>
      <c r="AR1579" s="11"/>
      <c r="AS1579" s="11"/>
      <c r="AT1579" s="11"/>
      <c r="AU1579" s="11"/>
      <c r="AV1579" s="11"/>
      <c r="AW1579" s="11"/>
      <c r="AX1579" s="11"/>
      <c r="AY1579" s="11"/>
    </row>
    <row r="1580" spans="1:51" hidden="1" x14ac:dyDescent="0.2">
      <c r="A1580" s="6" t="s">
        <v>17</v>
      </c>
      <c r="B1580" t="s">
        <v>173</v>
      </c>
      <c r="C1580" t="s">
        <v>154</v>
      </c>
      <c r="D1580" t="s">
        <v>2076</v>
      </c>
      <c r="E1580" s="2">
        <v>31.52</v>
      </c>
      <c r="F1580" s="3">
        <f t="shared" si="152"/>
        <v>45840</v>
      </c>
      <c r="G1580" s="3">
        <f t="shared" si="152"/>
        <v>45840</v>
      </c>
      <c r="H1580">
        <v>2415744290</v>
      </c>
      <c r="I1580" t="s">
        <v>158</v>
      </c>
      <c r="K1580" t="s">
        <v>22</v>
      </c>
      <c r="L1580" t="s">
        <v>23</v>
      </c>
      <c r="M1580" t="s">
        <v>24</v>
      </c>
      <c r="N1580" t="s">
        <v>24</v>
      </c>
      <c r="O1580" t="s">
        <v>25</v>
      </c>
      <c r="P1580" s="8" t="s">
        <v>2077</v>
      </c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11"/>
      <c r="AG1580" s="11"/>
      <c r="AH1580" s="11"/>
      <c r="AI1580" s="11"/>
      <c r="AJ1580" s="11"/>
      <c r="AK1580" s="11"/>
      <c r="AL1580" s="11"/>
      <c r="AM1580" s="11"/>
      <c r="AN1580" s="11"/>
      <c r="AO1580" s="11"/>
      <c r="AP1580" s="11"/>
      <c r="AQ1580" s="11"/>
      <c r="AR1580" s="11"/>
      <c r="AS1580" s="11"/>
      <c r="AT1580" s="11"/>
      <c r="AU1580" s="11"/>
      <c r="AV1580" s="11"/>
      <c r="AW1580" s="11"/>
      <c r="AX1580" s="11"/>
      <c r="AY1580" s="11"/>
    </row>
    <row r="1581" spans="1:51" hidden="1" x14ac:dyDescent="0.2">
      <c r="A1581" s="6" t="s">
        <v>17</v>
      </c>
      <c r="B1581" t="s">
        <v>118</v>
      </c>
      <c r="C1581" t="s">
        <v>119</v>
      </c>
      <c r="D1581" t="s">
        <v>2078</v>
      </c>
      <c r="E1581" s="2">
        <v>142.41</v>
      </c>
      <c r="F1581" s="3">
        <f t="shared" si="152"/>
        <v>45840</v>
      </c>
      <c r="G1581" s="3">
        <f t="shared" si="152"/>
        <v>45840</v>
      </c>
      <c r="H1581">
        <v>2415744291</v>
      </c>
      <c r="I1581" t="s">
        <v>158</v>
      </c>
      <c r="K1581" t="s">
        <v>22</v>
      </c>
      <c r="L1581" t="s">
        <v>23</v>
      </c>
      <c r="M1581" t="s">
        <v>24</v>
      </c>
      <c r="N1581" t="s">
        <v>24</v>
      </c>
      <c r="O1581" t="s">
        <v>25</v>
      </c>
      <c r="P1581" s="8" t="s">
        <v>2079</v>
      </c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11"/>
      <c r="AG1581" s="11"/>
      <c r="AH1581" s="11"/>
      <c r="AI1581" s="11"/>
      <c r="AJ1581" s="11"/>
      <c r="AK1581" s="11"/>
      <c r="AL1581" s="11"/>
      <c r="AM1581" s="11"/>
      <c r="AN1581" s="11"/>
      <c r="AO1581" s="11"/>
      <c r="AP1581" s="11"/>
      <c r="AQ1581" s="11"/>
      <c r="AR1581" s="11"/>
      <c r="AS1581" s="11"/>
      <c r="AT1581" s="11"/>
      <c r="AU1581" s="11"/>
      <c r="AV1581" s="11"/>
      <c r="AW1581" s="11"/>
      <c r="AX1581" s="11"/>
      <c r="AY1581" s="11"/>
    </row>
    <row r="1582" spans="1:51" hidden="1" x14ac:dyDescent="0.2">
      <c r="A1582" s="6" t="s">
        <v>17</v>
      </c>
      <c r="B1582" t="s">
        <v>589</v>
      </c>
      <c r="C1582" t="s">
        <v>590</v>
      </c>
      <c r="D1582" t="s">
        <v>2080</v>
      </c>
      <c r="E1582" s="2">
        <v>1381.13</v>
      </c>
      <c r="F1582" s="3">
        <f t="shared" ref="F1582:G1585" si="153">DATE(2025,7,3)</f>
        <v>45841</v>
      </c>
      <c r="G1582" s="3">
        <f t="shared" si="153"/>
        <v>45841</v>
      </c>
      <c r="H1582">
        <v>2415744292</v>
      </c>
      <c r="I1582" t="s">
        <v>21</v>
      </c>
      <c r="K1582" t="s">
        <v>22</v>
      </c>
      <c r="L1582" t="s">
        <v>23</v>
      </c>
      <c r="M1582" t="s">
        <v>24</v>
      </c>
      <c r="N1582" t="s">
        <v>24</v>
      </c>
      <c r="O1582" t="s">
        <v>25</v>
      </c>
      <c r="P1582" s="8" t="s">
        <v>2081</v>
      </c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1"/>
      <c r="AF1582" s="11"/>
      <c r="AG1582" s="11"/>
      <c r="AH1582" s="11"/>
      <c r="AI1582" s="11"/>
      <c r="AJ1582" s="11"/>
      <c r="AK1582" s="11"/>
      <c r="AL1582" s="11"/>
      <c r="AM1582" s="11"/>
      <c r="AN1582" s="11"/>
      <c r="AO1582" s="11"/>
      <c r="AP1582" s="11"/>
      <c r="AQ1582" s="11"/>
      <c r="AR1582" s="11"/>
      <c r="AS1582" s="11"/>
      <c r="AT1582" s="11"/>
      <c r="AU1582" s="11"/>
      <c r="AV1582" s="11"/>
      <c r="AW1582" s="11"/>
      <c r="AX1582" s="11"/>
      <c r="AY1582" s="11"/>
    </row>
    <row r="1583" spans="1:51" hidden="1" x14ac:dyDescent="0.2">
      <c r="A1583" s="6"/>
      <c r="E1583" s="2"/>
      <c r="F1583" s="3"/>
      <c r="G1583" s="3"/>
      <c r="P1583" s="8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11"/>
      <c r="AG1583" s="11"/>
      <c r="AH1583" s="11"/>
      <c r="AI1583" s="11"/>
      <c r="AJ1583" s="11"/>
      <c r="AK1583" s="11"/>
      <c r="AL1583" s="11"/>
      <c r="AM1583" s="11"/>
      <c r="AN1583" s="11"/>
      <c r="AO1583" s="11"/>
      <c r="AP1583" s="11"/>
      <c r="AQ1583" s="11"/>
      <c r="AR1583" s="11"/>
      <c r="AS1583" s="11"/>
      <c r="AT1583" s="11"/>
      <c r="AU1583" s="11"/>
      <c r="AV1583" s="11"/>
      <c r="AW1583" s="11"/>
      <c r="AX1583" s="11"/>
      <c r="AY1583" s="11"/>
    </row>
    <row r="1584" spans="1:51" hidden="1" x14ac:dyDescent="0.2">
      <c r="A1584" s="6" t="s">
        <v>17</v>
      </c>
      <c r="B1584" t="s">
        <v>50</v>
      </c>
      <c r="C1584" t="s">
        <v>51</v>
      </c>
      <c r="D1584" t="s">
        <v>2082</v>
      </c>
      <c r="E1584" s="2">
        <v>1170.6300000000001</v>
      </c>
      <c r="F1584" s="3">
        <f t="shared" si="153"/>
        <v>45841</v>
      </c>
      <c r="G1584" s="3">
        <f t="shared" si="153"/>
        <v>45841</v>
      </c>
      <c r="H1584">
        <v>2415744294</v>
      </c>
      <c r="I1584" t="s">
        <v>21</v>
      </c>
      <c r="K1584" t="s">
        <v>22</v>
      </c>
      <c r="L1584" t="s">
        <v>23</v>
      </c>
      <c r="M1584" t="s">
        <v>24</v>
      </c>
      <c r="N1584" t="s">
        <v>24</v>
      </c>
      <c r="O1584" t="s">
        <v>25</v>
      </c>
      <c r="P1584" s="8" t="s">
        <v>2083</v>
      </c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1"/>
      <c r="AL1584" s="11"/>
      <c r="AM1584" s="11"/>
      <c r="AN1584" s="11"/>
      <c r="AO1584" s="11"/>
      <c r="AP1584" s="11"/>
      <c r="AQ1584" s="11"/>
      <c r="AR1584" s="11"/>
      <c r="AS1584" s="11"/>
      <c r="AT1584" s="11"/>
      <c r="AU1584" s="11"/>
      <c r="AV1584" s="11"/>
      <c r="AW1584" s="11"/>
      <c r="AX1584" s="11"/>
      <c r="AY1584" s="11"/>
    </row>
    <row r="1585" spans="1:51" hidden="1" x14ac:dyDescent="0.2">
      <c r="A1585" s="6" t="s">
        <v>17</v>
      </c>
      <c r="B1585" t="s">
        <v>60</v>
      </c>
      <c r="C1585" t="s">
        <v>61</v>
      </c>
      <c r="D1585" t="s">
        <v>2084</v>
      </c>
      <c r="E1585" s="2">
        <v>335.36</v>
      </c>
      <c r="F1585" s="3">
        <f t="shared" si="153"/>
        <v>45841</v>
      </c>
      <c r="G1585" s="3">
        <f t="shared" si="153"/>
        <v>45841</v>
      </c>
      <c r="H1585">
        <v>2415744295</v>
      </c>
      <c r="I1585" t="s">
        <v>21</v>
      </c>
      <c r="K1585" t="s">
        <v>22</v>
      </c>
      <c r="L1585" t="s">
        <v>23</v>
      </c>
      <c r="M1585" t="s">
        <v>24</v>
      </c>
      <c r="N1585" t="s">
        <v>24</v>
      </c>
      <c r="O1585" t="s">
        <v>25</v>
      </c>
      <c r="P1585" s="8" t="s">
        <v>2085</v>
      </c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11"/>
      <c r="AG1585" s="11"/>
      <c r="AH1585" s="11"/>
      <c r="AI1585" s="11"/>
      <c r="AJ1585" s="11"/>
      <c r="AK1585" s="11"/>
      <c r="AL1585" s="11"/>
      <c r="AM1585" s="11"/>
      <c r="AN1585" s="11"/>
      <c r="AO1585" s="11"/>
      <c r="AP1585" s="11"/>
      <c r="AQ1585" s="11"/>
      <c r="AR1585" s="11"/>
      <c r="AS1585" s="11"/>
      <c r="AT1585" s="11"/>
      <c r="AU1585" s="11"/>
      <c r="AV1585" s="11"/>
      <c r="AW1585" s="11"/>
      <c r="AX1585" s="11"/>
      <c r="AY1585" s="11"/>
    </row>
    <row r="1586" spans="1:51" hidden="1" x14ac:dyDescent="0.2">
      <c r="A1586" s="6"/>
      <c r="E1586" s="2"/>
      <c r="F1586" s="3"/>
      <c r="G1586" s="3"/>
      <c r="P1586" s="8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11"/>
      <c r="AL1586" s="11"/>
      <c r="AM1586" s="11"/>
      <c r="AN1586" s="11"/>
      <c r="AO1586" s="11"/>
      <c r="AP1586" s="11"/>
      <c r="AQ1586" s="11"/>
      <c r="AR1586" s="11"/>
      <c r="AS1586" s="11"/>
      <c r="AT1586" s="11"/>
      <c r="AU1586" s="11"/>
      <c r="AV1586" s="11"/>
      <c r="AW1586" s="11"/>
      <c r="AX1586" s="11"/>
      <c r="AY1586" s="11"/>
    </row>
    <row r="1587" spans="1:51" hidden="1" x14ac:dyDescent="0.2">
      <c r="A1587" s="6" t="s">
        <v>17</v>
      </c>
      <c r="B1587" t="s">
        <v>173</v>
      </c>
      <c r="C1587" t="s">
        <v>154</v>
      </c>
      <c r="D1587" t="s">
        <v>2086</v>
      </c>
      <c r="E1587" s="2">
        <v>87.36</v>
      </c>
      <c r="F1587" s="3">
        <f>DATE(2025,7,1)</f>
        <v>45839</v>
      </c>
      <c r="G1587" s="3">
        <f>DATE(2025,7,1)</f>
        <v>45839</v>
      </c>
      <c r="H1587">
        <v>2420122681</v>
      </c>
      <c r="I1587" t="s">
        <v>158</v>
      </c>
      <c r="K1587" t="s">
        <v>22</v>
      </c>
      <c r="L1587" t="s">
        <v>23</v>
      </c>
      <c r="M1587" t="s">
        <v>24</v>
      </c>
      <c r="N1587" t="s">
        <v>24</v>
      </c>
      <c r="O1587" t="s">
        <v>25</v>
      </c>
      <c r="P1587" s="8" t="s">
        <v>2087</v>
      </c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1"/>
      <c r="AJ1587" s="11"/>
      <c r="AK1587" s="11"/>
      <c r="AL1587" s="11"/>
      <c r="AM1587" s="11"/>
      <c r="AN1587" s="11"/>
      <c r="AO1587" s="11"/>
      <c r="AP1587" s="11"/>
      <c r="AQ1587" s="11"/>
      <c r="AR1587" s="11"/>
      <c r="AS1587" s="11"/>
      <c r="AT1587" s="11"/>
      <c r="AU1587" s="11"/>
      <c r="AV1587" s="11"/>
      <c r="AW1587" s="11"/>
      <c r="AX1587" s="11"/>
      <c r="AY1587" s="11"/>
    </row>
    <row r="1588" spans="1:51" hidden="1" x14ac:dyDescent="0.2">
      <c r="A1588" s="6" t="s">
        <v>17</v>
      </c>
      <c r="B1588" t="s">
        <v>118</v>
      </c>
      <c r="C1588" t="s">
        <v>119</v>
      </c>
      <c r="D1588" t="s">
        <v>2088</v>
      </c>
      <c r="E1588" s="2">
        <v>23.38</v>
      </c>
      <c r="F1588" s="3">
        <f>DATE(2025,7,3)</f>
        <v>45841</v>
      </c>
      <c r="G1588" s="3">
        <f>DATE(2025,7,3)</f>
        <v>45841</v>
      </c>
      <c r="H1588">
        <v>2420122682</v>
      </c>
      <c r="I1588" t="s">
        <v>158</v>
      </c>
      <c r="K1588" t="s">
        <v>22</v>
      </c>
      <c r="L1588" t="s">
        <v>23</v>
      </c>
      <c r="M1588" t="s">
        <v>24</v>
      </c>
      <c r="N1588" t="s">
        <v>24</v>
      </c>
      <c r="O1588" t="s">
        <v>25</v>
      </c>
      <c r="P1588" s="8" t="s">
        <v>2089</v>
      </c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1"/>
      <c r="AF1588" s="11"/>
      <c r="AG1588" s="11"/>
      <c r="AH1588" s="11"/>
      <c r="AI1588" s="11"/>
      <c r="AJ1588" s="11"/>
      <c r="AK1588" s="11"/>
      <c r="AL1588" s="11"/>
      <c r="AM1588" s="11"/>
      <c r="AN1588" s="11"/>
      <c r="AO1588" s="11"/>
      <c r="AP1588" s="11"/>
      <c r="AQ1588" s="11"/>
      <c r="AR1588" s="11"/>
      <c r="AS1588" s="11"/>
      <c r="AT1588" s="11"/>
      <c r="AU1588" s="11"/>
      <c r="AV1588" s="11"/>
      <c r="AW1588" s="11"/>
      <c r="AX1588" s="11"/>
      <c r="AY1588" s="11"/>
    </row>
    <row r="1589" spans="1:51" hidden="1" x14ac:dyDescent="0.2">
      <c r="A1589" s="6" t="s">
        <v>17</v>
      </c>
      <c r="B1589" t="s">
        <v>980</v>
      </c>
      <c r="C1589" t="s">
        <v>981</v>
      </c>
      <c r="D1589" t="s">
        <v>2090</v>
      </c>
      <c r="E1589" s="2">
        <v>353.22</v>
      </c>
      <c r="F1589" s="3">
        <f t="shared" ref="F1589:G1595" si="154">DATE(2025,7,4)</f>
        <v>45842</v>
      </c>
      <c r="G1589" s="3">
        <f t="shared" si="154"/>
        <v>45842</v>
      </c>
      <c r="H1589">
        <v>2420122737</v>
      </c>
      <c r="I1589" t="s">
        <v>21</v>
      </c>
      <c r="K1589" t="s">
        <v>22</v>
      </c>
      <c r="L1589" t="s">
        <v>23</v>
      </c>
      <c r="M1589" t="s">
        <v>24</v>
      </c>
      <c r="N1589" t="s">
        <v>24</v>
      </c>
      <c r="O1589" t="s">
        <v>25</v>
      </c>
      <c r="P1589" s="8" t="s">
        <v>2091</v>
      </c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1"/>
      <c r="AF1589" s="11"/>
      <c r="AG1589" s="11"/>
      <c r="AH1589" s="11"/>
      <c r="AI1589" s="11"/>
      <c r="AJ1589" s="11"/>
      <c r="AK1589" s="11"/>
      <c r="AL1589" s="11"/>
      <c r="AM1589" s="11"/>
      <c r="AN1589" s="11"/>
      <c r="AO1589" s="11"/>
      <c r="AP1589" s="11"/>
      <c r="AQ1589" s="11"/>
      <c r="AR1589" s="11"/>
      <c r="AS1589" s="11"/>
      <c r="AT1589" s="11"/>
      <c r="AU1589" s="11"/>
      <c r="AV1589" s="11"/>
      <c r="AW1589" s="11"/>
      <c r="AX1589" s="11"/>
      <c r="AY1589" s="11"/>
    </row>
    <row r="1590" spans="1:51" hidden="1" x14ac:dyDescent="0.2">
      <c r="A1590" s="6"/>
      <c r="E1590" s="2"/>
      <c r="F1590" s="3"/>
      <c r="G1590" s="3"/>
      <c r="P1590" s="8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1"/>
      <c r="AF1590" s="11"/>
      <c r="AG1590" s="11"/>
      <c r="AH1590" s="11"/>
      <c r="AI1590" s="11"/>
      <c r="AJ1590" s="11"/>
      <c r="AK1590" s="11"/>
      <c r="AL1590" s="11"/>
      <c r="AM1590" s="11"/>
      <c r="AN1590" s="11"/>
      <c r="AO1590" s="11"/>
      <c r="AP1590" s="11"/>
      <c r="AQ1590" s="11"/>
      <c r="AR1590" s="11"/>
      <c r="AS1590" s="11"/>
      <c r="AT1590" s="11"/>
      <c r="AU1590" s="11"/>
      <c r="AV1590" s="11"/>
      <c r="AW1590" s="11"/>
      <c r="AX1590" s="11"/>
      <c r="AY1590" s="11"/>
    </row>
    <row r="1591" spans="1:51" hidden="1" x14ac:dyDescent="0.2">
      <c r="A1591" s="6" t="s">
        <v>17</v>
      </c>
      <c r="B1591" t="s">
        <v>980</v>
      </c>
      <c r="C1591" t="s">
        <v>981</v>
      </c>
      <c r="D1591" t="s">
        <v>2092</v>
      </c>
      <c r="E1591" s="2">
        <v>111.26</v>
      </c>
      <c r="F1591" s="3">
        <f t="shared" si="154"/>
        <v>45842</v>
      </c>
      <c r="G1591" s="3">
        <f t="shared" si="154"/>
        <v>45842</v>
      </c>
      <c r="H1591">
        <v>2420122739</v>
      </c>
      <c r="I1591" t="s">
        <v>21</v>
      </c>
      <c r="K1591" t="s">
        <v>22</v>
      </c>
      <c r="L1591" t="s">
        <v>23</v>
      </c>
      <c r="M1591" t="s">
        <v>24</v>
      </c>
      <c r="N1591" t="s">
        <v>24</v>
      </c>
      <c r="O1591" t="s">
        <v>25</v>
      </c>
      <c r="P1591" s="8" t="s">
        <v>2093</v>
      </c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1"/>
      <c r="AF1591" s="11"/>
      <c r="AG1591" s="11"/>
      <c r="AH1591" s="11"/>
      <c r="AI1591" s="11"/>
      <c r="AJ1591" s="11"/>
      <c r="AK1591" s="11"/>
      <c r="AL1591" s="11"/>
      <c r="AM1591" s="11"/>
      <c r="AN1591" s="11"/>
      <c r="AO1591" s="11"/>
      <c r="AP1591" s="11"/>
      <c r="AQ1591" s="11"/>
      <c r="AR1591" s="11"/>
      <c r="AS1591" s="11"/>
      <c r="AT1591" s="11"/>
      <c r="AU1591" s="11"/>
      <c r="AV1591" s="11"/>
      <c r="AW1591" s="11"/>
      <c r="AX1591" s="11"/>
      <c r="AY1591" s="11"/>
    </row>
    <row r="1592" spans="1:51" hidden="1" x14ac:dyDescent="0.2">
      <c r="A1592" s="6" t="s">
        <v>17</v>
      </c>
      <c r="B1592" t="s">
        <v>18</v>
      </c>
      <c r="C1592" t="s">
        <v>19</v>
      </c>
      <c r="D1592" t="s">
        <v>2094</v>
      </c>
      <c r="E1592" s="2">
        <v>0.7</v>
      </c>
      <c r="F1592" s="3">
        <f t="shared" si="154"/>
        <v>45842</v>
      </c>
      <c r="G1592" s="3">
        <f t="shared" si="154"/>
        <v>45842</v>
      </c>
      <c r="H1592">
        <v>2420128997</v>
      </c>
      <c r="I1592" t="s">
        <v>192</v>
      </c>
      <c r="K1592" t="s">
        <v>22</v>
      </c>
      <c r="L1592" t="s">
        <v>23</v>
      </c>
      <c r="M1592" t="s">
        <v>24</v>
      </c>
      <c r="N1592" t="s">
        <v>24</v>
      </c>
      <c r="O1592" t="s">
        <v>25</v>
      </c>
      <c r="P1592" s="8" t="s">
        <v>2095</v>
      </c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11"/>
      <c r="AG1592" s="11"/>
      <c r="AH1592" s="11"/>
      <c r="AI1592" s="11"/>
      <c r="AJ1592" s="11"/>
      <c r="AK1592" s="11"/>
      <c r="AL1592" s="11"/>
      <c r="AM1592" s="11"/>
      <c r="AN1592" s="11"/>
      <c r="AO1592" s="11"/>
      <c r="AP1592" s="11"/>
      <c r="AQ1592" s="11"/>
      <c r="AR1592" s="11"/>
      <c r="AS1592" s="11"/>
      <c r="AT1592" s="11"/>
      <c r="AU1592" s="11"/>
      <c r="AV1592" s="11"/>
      <c r="AW1592" s="11"/>
      <c r="AX1592" s="11"/>
      <c r="AY1592" s="11"/>
    </row>
    <row r="1593" spans="1:51" hidden="1" x14ac:dyDescent="0.2">
      <c r="A1593" s="6"/>
      <c r="E1593" s="2"/>
      <c r="F1593" s="3"/>
      <c r="G1593" s="3"/>
      <c r="P1593" s="8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11"/>
      <c r="AG1593" s="11"/>
      <c r="AH1593" s="11"/>
      <c r="AI1593" s="11"/>
      <c r="AJ1593" s="11"/>
      <c r="AK1593" s="11"/>
      <c r="AL1593" s="11"/>
      <c r="AM1593" s="11"/>
      <c r="AN1593" s="11"/>
      <c r="AO1593" s="11"/>
      <c r="AP1593" s="11"/>
      <c r="AQ1593" s="11"/>
      <c r="AR1593" s="11"/>
      <c r="AS1593" s="11"/>
      <c r="AT1593" s="11"/>
      <c r="AU1593" s="11"/>
      <c r="AV1593" s="11"/>
      <c r="AW1593" s="11"/>
      <c r="AX1593" s="11"/>
      <c r="AY1593" s="11"/>
    </row>
    <row r="1594" spans="1:51" hidden="1" x14ac:dyDescent="0.2">
      <c r="A1594" s="6" t="s">
        <v>17</v>
      </c>
      <c r="B1594" t="s">
        <v>244</v>
      </c>
      <c r="C1594" t="s">
        <v>245</v>
      </c>
      <c r="D1594" t="s">
        <v>2096</v>
      </c>
      <c r="E1594" s="2">
        <v>18.600000000000001</v>
      </c>
      <c r="F1594" s="3">
        <f t="shared" si="154"/>
        <v>45842</v>
      </c>
      <c r="G1594" s="3">
        <f t="shared" si="154"/>
        <v>45842</v>
      </c>
      <c r="H1594">
        <v>2420128999</v>
      </c>
      <c r="I1594" t="s">
        <v>192</v>
      </c>
      <c r="K1594" t="s">
        <v>22</v>
      </c>
      <c r="L1594" t="s">
        <v>23</v>
      </c>
      <c r="M1594" t="s">
        <v>24</v>
      </c>
      <c r="N1594" t="s">
        <v>24</v>
      </c>
      <c r="O1594" t="s">
        <v>25</v>
      </c>
      <c r="P1594" s="8" t="s">
        <v>2097</v>
      </c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11"/>
      <c r="AG1594" s="11"/>
      <c r="AH1594" s="11"/>
      <c r="AI1594" s="11"/>
      <c r="AJ1594" s="11"/>
      <c r="AK1594" s="11"/>
      <c r="AL1594" s="11"/>
      <c r="AM1594" s="11"/>
      <c r="AN1594" s="11"/>
      <c r="AO1594" s="11"/>
      <c r="AP1594" s="11"/>
      <c r="AQ1594" s="11"/>
      <c r="AR1594" s="11"/>
      <c r="AS1594" s="11"/>
      <c r="AT1594" s="11"/>
      <c r="AU1594" s="11"/>
      <c r="AV1594" s="11"/>
      <c r="AW1594" s="11"/>
      <c r="AX1594" s="11"/>
      <c r="AY1594" s="11"/>
    </row>
    <row r="1595" spans="1:51" hidden="1" x14ac:dyDescent="0.2">
      <c r="A1595" s="6" t="s">
        <v>17</v>
      </c>
      <c r="B1595" t="s">
        <v>118</v>
      </c>
      <c r="C1595" t="s">
        <v>119</v>
      </c>
      <c r="D1595" t="s">
        <v>2098</v>
      </c>
      <c r="E1595" s="2">
        <v>13.5</v>
      </c>
      <c r="F1595" s="3">
        <f t="shared" si="154"/>
        <v>45842</v>
      </c>
      <c r="G1595" s="3">
        <f t="shared" si="154"/>
        <v>45842</v>
      </c>
      <c r="H1595">
        <v>2420129000</v>
      </c>
      <c r="I1595" t="s">
        <v>192</v>
      </c>
      <c r="K1595" t="s">
        <v>22</v>
      </c>
      <c r="L1595" t="s">
        <v>23</v>
      </c>
      <c r="M1595" t="s">
        <v>24</v>
      </c>
      <c r="N1595" t="s">
        <v>24</v>
      </c>
      <c r="O1595" t="s">
        <v>25</v>
      </c>
      <c r="P1595" s="8" t="s">
        <v>2099</v>
      </c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11"/>
      <c r="AG1595" s="11"/>
      <c r="AH1595" s="11"/>
      <c r="AI1595" s="11"/>
      <c r="AJ1595" s="11"/>
      <c r="AK1595" s="11"/>
      <c r="AL1595" s="11"/>
      <c r="AM1595" s="11"/>
      <c r="AN1595" s="11"/>
      <c r="AO1595" s="11"/>
      <c r="AP1595" s="11"/>
      <c r="AQ1595" s="11"/>
      <c r="AR1595" s="11"/>
      <c r="AS1595" s="11"/>
      <c r="AT1595" s="11"/>
      <c r="AU1595" s="11"/>
      <c r="AV1595" s="11"/>
      <c r="AW1595" s="11"/>
      <c r="AX1595" s="11"/>
      <c r="AY1595" s="11"/>
    </row>
    <row r="1596" spans="1:51" hidden="1" x14ac:dyDescent="0.2">
      <c r="A1596" s="6" t="s">
        <v>17</v>
      </c>
      <c r="B1596" t="s">
        <v>198</v>
      </c>
      <c r="C1596" t="s">
        <v>199</v>
      </c>
      <c r="D1596" t="s">
        <v>2100</v>
      </c>
      <c r="E1596" s="2">
        <v>224.67</v>
      </c>
      <c r="F1596" s="3">
        <f>DATE(2025,7,5)</f>
        <v>45843</v>
      </c>
      <c r="G1596" s="3">
        <f>DATE(2025,7,5)</f>
        <v>45843</v>
      </c>
      <c r="H1596">
        <v>2420129001</v>
      </c>
      <c r="I1596" t="s">
        <v>192</v>
      </c>
      <c r="K1596" t="s">
        <v>22</v>
      </c>
      <c r="L1596" t="s">
        <v>23</v>
      </c>
      <c r="M1596" t="s">
        <v>24</v>
      </c>
      <c r="N1596" t="s">
        <v>24</v>
      </c>
      <c r="O1596" t="s">
        <v>25</v>
      </c>
      <c r="P1596" s="8" t="s">
        <v>2101</v>
      </c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1"/>
      <c r="AF1596" s="11"/>
      <c r="AG1596" s="11"/>
      <c r="AH1596" s="11"/>
      <c r="AI1596" s="11"/>
      <c r="AJ1596" s="11"/>
      <c r="AK1596" s="11"/>
      <c r="AL1596" s="11"/>
      <c r="AM1596" s="11"/>
      <c r="AN1596" s="11"/>
      <c r="AO1596" s="11"/>
      <c r="AP1596" s="11"/>
      <c r="AQ1596" s="11"/>
      <c r="AR1596" s="11"/>
      <c r="AS1596" s="11"/>
      <c r="AT1596" s="11"/>
      <c r="AU1596" s="11"/>
      <c r="AV1596" s="11"/>
      <c r="AW1596" s="11"/>
      <c r="AX1596" s="11"/>
      <c r="AY1596" s="11"/>
    </row>
    <row r="1597" spans="1:51" hidden="1" x14ac:dyDescent="0.2">
      <c r="A1597" s="6"/>
      <c r="E1597" s="2"/>
      <c r="F1597" s="3"/>
      <c r="G1597" s="3"/>
      <c r="P1597" s="8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11"/>
      <c r="AG1597" s="11"/>
      <c r="AH1597" s="11"/>
      <c r="AI1597" s="11"/>
      <c r="AJ1597" s="11"/>
      <c r="AK1597" s="11"/>
      <c r="AL1597" s="11"/>
      <c r="AM1597" s="11"/>
      <c r="AN1597" s="11"/>
      <c r="AO1597" s="11"/>
      <c r="AP1597" s="11"/>
      <c r="AQ1597" s="11"/>
      <c r="AR1597" s="11"/>
      <c r="AS1597" s="11"/>
      <c r="AT1597" s="11"/>
      <c r="AU1597" s="11"/>
      <c r="AV1597" s="11"/>
      <c r="AW1597" s="11"/>
      <c r="AX1597" s="11"/>
      <c r="AY1597" s="11"/>
    </row>
    <row r="1598" spans="1:51" hidden="1" x14ac:dyDescent="0.2">
      <c r="A1598" s="6"/>
      <c r="E1598" s="2"/>
      <c r="F1598" s="3"/>
      <c r="G1598" s="3"/>
      <c r="P1598" s="8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11"/>
      <c r="AG1598" s="11"/>
      <c r="AH1598" s="11"/>
      <c r="AI1598" s="11"/>
      <c r="AJ1598" s="11"/>
      <c r="AK1598" s="11"/>
      <c r="AL1598" s="11"/>
      <c r="AM1598" s="11"/>
      <c r="AN1598" s="11"/>
      <c r="AO1598" s="11"/>
      <c r="AP1598" s="11"/>
      <c r="AQ1598" s="11"/>
      <c r="AR1598" s="11"/>
      <c r="AS1598" s="11"/>
      <c r="AT1598" s="11"/>
      <c r="AU1598" s="11"/>
      <c r="AV1598" s="11"/>
      <c r="AW1598" s="11"/>
      <c r="AX1598" s="11"/>
      <c r="AY1598" s="11"/>
    </row>
    <row r="1599" spans="1:51" hidden="1" x14ac:dyDescent="0.2">
      <c r="A1599" s="6"/>
      <c r="E1599" s="2"/>
      <c r="F1599" s="3"/>
      <c r="G1599" s="3"/>
      <c r="P1599" s="8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11"/>
      <c r="AG1599" s="11"/>
      <c r="AH1599" s="11"/>
      <c r="AI1599" s="11"/>
      <c r="AJ1599" s="11"/>
      <c r="AK1599" s="11"/>
      <c r="AL1599" s="11"/>
      <c r="AM1599" s="11"/>
      <c r="AN1599" s="11"/>
      <c r="AO1599" s="11"/>
      <c r="AP1599" s="11"/>
      <c r="AQ1599" s="11"/>
      <c r="AR1599" s="11"/>
      <c r="AS1599" s="11"/>
      <c r="AT1599" s="11"/>
      <c r="AU1599" s="11"/>
      <c r="AV1599" s="11"/>
      <c r="AW1599" s="11"/>
      <c r="AX1599" s="11"/>
      <c r="AY1599" s="11"/>
    </row>
    <row r="1600" spans="1:51" hidden="1" x14ac:dyDescent="0.2">
      <c r="A1600" s="6" t="s">
        <v>17</v>
      </c>
      <c r="B1600" t="s">
        <v>198</v>
      </c>
      <c r="C1600" t="s">
        <v>199</v>
      </c>
      <c r="D1600" t="s">
        <v>2102</v>
      </c>
      <c r="E1600" s="2">
        <v>3628.19</v>
      </c>
      <c r="F1600" s="3">
        <f>DATE(2025,7,5)</f>
        <v>45843</v>
      </c>
      <c r="G1600" s="3">
        <f>DATE(2025,7,5)</f>
        <v>45843</v>
      </c>
      <c r="H1600">
        <v>2420129005</v>
      </c>
      <c r="I1600" t="s">
        <v>192</v>
      </c>
      <c r="K1600" t="s">
        <v>22</v>
      </c>
      <c r="L1600" t="s">
        <v>23</v>
      </c>
      <c r="M1600" t="s">
        <v>24</v>
      </c>
      <c r="N1600" t="s">
        <v>24</v>
      </c>
      <c r="O1600" t="s">
        <v>25</v>
      </c>
      <c r="P1600" s="8" t="s">
        <v>2103</v>
      </c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1"/>
      <c r="AF1600" s="11"/>
      <c r="AG1600" s="11"/>
      <c r="AH1600" s="11"/>
      <c r="AI1600" s="11"/>
      <c r="AJ1600" s="11"/>
      <c r="AK1600" s="11"/>
      <c r="AL1600" s="11"/>
      <c r="AM1600" s="11"/>
      <c r="AN1600" s="11"/>
      <c r="AO1600" s="11"/>
      <c r="AP1600" s="11"/>
      <c r="AQ1600" s="11"/>
      <c r="AR1600" s="11"/>
      <c r="AS1600" s="11"/>
      <c r="AT1600" s="11"/>
      <c r="AU1600" s="11"/>
      <c r="AV1600" s="11"/>
      <c r="AW1600" s="11"/>
      <c r="AX1600" s="11"/>
      <c r="AY1600" s="11"/>
    </row>
    <row r="1601" spans="1:51" hidden="1" x14ac:dyDescent="0.2">
      <c r="A1601" s="6" t="s">
        <v>17</v>
      </c>
      <c r="B1601" t="s">
        <v>35</v>
      </c>
      <c r="C1601" t="s">
        <v>35</v>
      </c>
      <c r="D1601" t="s">
        <v>2104</v>
      </c>
      <c r="E1601" s="2">
        <v>323.94</v>
      </c>
      <c r="F1601" s="3">
        <f>DATE(2025,7,7)</f>
        <v>45845</v>
      </c>
      <c r="G1601" s="3">
        <f>DATE(2025,7,7)</f>
        <v>45845</v>
      </c>
      <c r="H1601">
        <v>2428885627</v>
      </c>
      <c r="I1601" t="s">
        <v>21</v>
      </c>
      <c r="K1601" t="s">
        <v>22</v>
      </c>
      <c r="L1601" t="s">
        <v>23</v>
      </c>
      <c r="M1601" t="s">
        <v>24</v>
      </c>
      <c r="N1601" t="s">
        <v>24</v>
      </c>
      <c r="O1601" t="s">
        <v>25</v>
      </c>
      <c r="P1601" s="8" t="s">
        <v>2105</v>
      </c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1"/>
      <c r="AM1601" s="11"/>
      <c r="AN1601" s="11"/>
      <c r="AO1601" s="11"/>
      <c r="AP1601" s="11"/>
      <c r="AQ1601" s="11"/>
      <c r="AR1601" s="11"/>
      <c r="AS1601" s="11"/>
      <c r="AT1601" s="11"/>
      <c r="AU1601" s="11"/>
      <c r="AV1601" s="11"/>
      <c r="AW1601" s="11"/>
      <c r="AX1601" s="11"/>
      <c r="AY1601" s="11"/>
    </row>
    <row r="1602" spans="1:51" hidden="1" x14ac:dyDescent="0.2">
      <c r="A1602" s="6"/>
      <c r="E1602" s="2"/>
      <c r="F1602" s="3"/>
      <c r="G1602" s="3"/>
      <c r="P1602" s="8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s="11"/>
      <c r="AR1602" s="11"/>
      <c r="AS1602" s="11"/>
      <c r="AT1602" s="11"/>
      <c r="AU1602" s="11"/>
      <c r="AV1602" s="11"/>
      <c r="AW1602" s="11"/>
      <c r="AX1602" s="11"/>
      <c r="AY1602" s="11"/>
    </row>
    <row r="1603" spans="1:51" hidden="1" x14ac:dyDescent="0.2">
      <c r="A1603" s="6" t="s">
        <v>17</v>
      </c>
      <c r="B1603" t="s">
        <v>42</v>
      </c>
      <c r="C1603" t="s">
        <v>43</v>
      </c>
      <c r="D1603" t="s">
        <v>44</v>
      </c>
      <c r="E1603" s="2">
        <v>500</v>
      </c>
      <c r="F1603" s="3">
        <f t="shared" ref="F1603:G1605" si="155">DATE(2025,7,7)</f>
        <v>45845</v>
      </c>
      <c r="G1603" s="3">
        <f t="shared" si="155"/>
        <v>45845</v>
      </c>
      <c r="H1603">
        <v>2428885629</v>
      </c>
      <c r="I1603" t="s">
        <v>21</v>
      </c>
      <c r="K1603" t="s">
        <v>22</v>
      </c>
      <c r="L1603" t="s">
        <v>23</v>
      </c>
      <c r="M1603" t="s">
        <v>24</v>
      </c>
      <c r="N1603" t="s">
        <v>24</v>
      </c>
      <c r="O1603" t="s">
        <v>25</v>
      </c>
      <c r="P1603" s="8" t="s">
        <v>2106</v>
      </c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11"/>
      <c r="AG1603" s="11"/>
      <c r="AH1603" s="11"/>
      <c r="AI1603" s="11"/>
      <c r="AJ1603" s="11"/>
      <c r="AK1603" s="11"/>
      <c r="AL1603" s="11"/>
      <c r="AM1603" s="11"/>
      <c r="AN1603" s="11"/>
      <c r="AO1603" s="11"/>
      <c r="AP1603" s="11"/>
      <c r="AQ1603" s="11"/>
      <c r="AR1603" s="11"/>
      <c r="AS1603" s="11"/>
      <c r="AT1603" s="11"/>
      <c r="AU1603" s="11"/>
      <c r="AV1603" s="11"/>
      <c r="AW1603" s="11"/>
      <c r="AX1603" s="11"/>
      <c r="AY1603" s="11"/>
    </row>
    <row r="1604" spans="1:51" hidden="1" x14ac:dyDescent="0.2">
      <c r="A1604" s="6"/>
      <c r="E1604" s="2"/>
      <c r="F1604" s="3"/>
      <c r="G1604" s="3"/>
      <c r="P1604" s="8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1"/>
      <c r="AF1604" s="11"/>
      <c r="AG1604" s="11"/>
      <c r="AH1604" s="11"/>
      <c r="AI1604" s="11"/>
      <c r="AJ1604" s="11"/>
      <c r="AK1604" s="11"/>
      <c r="AL1604" s="11"/>
      <c r="AM1604" s="11"/>
      <c r="AN1604" s="11"/>
      <c r="AO1604" s="11"/>
      <c r="AP1604" s="11"/>
      <c r="AQ1604" s="11"/>
      <c r="AR1604" s="11"/>
      <c r="AS1604" s="11"/>
      <c r="AT1604" s="11"/>
      <c r="AU1604" s="11"/>
      <c r="AV1604" s="11"/>
      <c r="AW1604" s="11"/>
      <c r="AX1604" s="11"/>
      <c r="AY1604" s="11"/>
    </row>
    <row r="1605" spans="1:51" hidden="1" x14ac:dyDescent="0.2">
      <c r="A1605" s="6" t="s">
        <v>17</v>
      </c>
      <c r="B1605" t="s">
        <v>35</v>
      </c>
      <c r="C1605" t="s">
        <v>35</v>
      </c>
      <c r="D1605" t="s">
        <v>2107</v>
      </c>
      <c r="E1605" s="2">
        <v>5.55</v>
      </c>
      <c r="F1605" s="3">
        <f t="shared" si="155"/>
        <v>45845</v>
      </c>
      <c r="G1605" s="3">
        <f t="shared" si="155"/>
        <v>45845</v>
      </c>
      <c r="H1605">
        <v>2428885631</v>
      </c>
      <c r="I1605" t="s">
        <v>21</v>
      </c>
      <c r="K1605" t="s">
        <v>22</v>
      </c>
      <c r="L1605" t="s">
        <v>23</v>
      </c>
      <c r="M1605" t="s">
        <v>24</v>
      </c>
      <c r="N1605" t="s">
        <v>24</v>
      </c>
      <c r="O1605" t="s">
        <v>25</v>
      </c>
      <c r="P1605" s="8" t="s">
        <v>2108</v>
      </c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1"/>
      <c r="AJ1605" s="11"/>
      <c r="AK1605" s="11"/>
      <c r="AL1605" s="11"/>
      <c r="AM1605" s="11"/>
      <c r="AN1605" s="11"/>
      <c r="AO1605" s="11"/>
      <c r="AP1605" s="11"/>
      <c r="AQ1605" s="11"/>
      <c r="AR1605" s="11"/>
      <c r="AS1605" s="11"/>
      <c r="AT1605" s="11"/>
      <c r="AU1605" s="11"/>
      <c r="AV1605" s="11"/>
      <c r="AW1605" s="11"/>
      <c r="AX1605" s="11"/>
      <c r="AY1605" s="11"/>
    </row>
    <row r="1606" spans="1:51" hidden="1" x14ac:dyDescent="0.2">
      <c r="A1606" s="6"/>
      <c r="E1606" s="2"/>
      <c r="F1606" s="3"/>
      <c r="G1606" s="3"/>
      <c r="P1606" s="8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11"/>
      <c r="AG1606" s="11"/>
      <c r="AH1606" s="11"/>
      <c r="AI1606" s="11"/>
      <c r="AJ1606" s="11"/>
      <c r="AK1606" s="11"/>
      <c r="AL1606" s="11"/>
      <c r="AM1606" s="11"/>
      <c r="AN1606" s="11"/>
      <c r="AO1606" s="11"/>
      <c r="AP1606" s="11"/>
      <c r="AQ1606" s="11"/>
      <c r="AR1606" s="11"/>
      <c r="AS1606" s="11"/>
      <c r="AT1606" s="11"/>
      <c r="AU1606" s="11"/>
      <c r="AV1606" s="11"/>
      <c r="AW1606" s="11"/>
      <c r="AX1606" s="11"/>
      <c r="AY1606" s="11"/>
    </row>
    <row r="1607" spans="1:51" hidden="1" x14ac:dyDescent="0.2">
      <c r="A1607" s="6" t="s">
        <v>17</v>
      </c>
      <c r="B1607" t="s">
        <v>1002</v>
      </c>
      <c r="C1607" t="s">
        <v>1003</v>
      </c>
      <c r="D1607" t="s">
        <v>2109</v>
      </c>
      <c r="E1607" s="2">
        <v>1517.02</v>
      </c>
      <c r="F1607" s="3">
        <f>DATE(2025,7,7)</f>
        <v>45845</v>
      </c>
      <c r="G1607" s="3">
        <f>DATE(2025,7,7)</f>
        <v>45845</v>
      </c>
      <c r="H1607">
        <v>2435751766</v>
      </c>
      <c r="I1607" t="s">
        <v>21</v>
      </c>
      <c r="K1607" t="s">
        <v>22</v>
      </c>
      <c r="L1607" t="s">
        <v>23</v>
      </c>
      <c r="M1607" t="s">
        <v>24</v>
      </c>
      <c r="N1607" t="s">
        <v>24</v>
      </c>
      <c r="O1607" t="s">
        <v>25</v>
      </c>
      <c r="P1607" s="8" t="s">
        <v>2110</v>
      </c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11"/>
      <c r="AG1607" s="11"/>
      <c r="AH1607" s="11"/>
      <c r="AI1607" s="11"/>
      <c r="AJ1607" s="11"/>
      <c r="AK1607" s="11"/>
      <c r="AL1607" s="11"/>
      <c r="AM1607" s="11"/>
      <c r="AN1607" s="11"/>
      <c r="AO1607" s="11"/>
      <c r="AP1607" s="11"/>
      <c r="AQ1607" s="11"/>
      <c r="AR1607" s="11"/>
      <c r="AS1607" s="11"/>
      <c r="AT1607" s="11"/>
      <c r="AU1607" s="11"/>
      <c r="AV1607" s="11"/>
      <c r="AW1607" s="11"/>
      <c r="AX1607" s="11"/>
      <c r="AY1607" s="11"/>
    </row>
    <row r="1608" spans="1:51" hidden="1" x14ac:dyDescent="0.2">
      <c r="A1608" s="6"/>
      <c r="E1608" s="2"/>
      <c r="F1608" s="3"/>
      <c r="G1608" s="3"/>
      <c r="P1608" s="8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1"/>
      <c r="AF1608" s="11"/>
      <c r="AG1608" s="11"/>
      <c r="AH1608" s="11"/>
      <c r="AI1608" s="11"/>
      <c r="AJ1608" s="11"/>
      <c r="AK1608" s="11"/>
      <c r="AL1608" s="11"/>
      <c r="AM1608" s="11"/>
      <c r="AN1608" s="11"/>
      <c r="AO1608" s="11"/>
      <c r="AP1608" s="11"/>
      <c r="AQ1608" s="11"/>
      <c r="AR1608" s="11"/>
      <c r="AS1608" s="11"/>
      <c r="AT1608" s="11"/>
      <c r="AU1608" s="11"/>
      <c r="AV1608" s="11"/>
      <c r="AW1608" s="11"/>
      <c r="AX1608" s="11"/>
      <c r="AY1608" s="11"/>
    </row>
    <row r="1609" spans="1:51" hidden="1" x14ac:dyDescent="0.2">
      <c r="A1609" s="6"/>
      <c r="E1609" s="2"/>
      <c r="F1609" s="3"/>
      <c r="G1609" s="3"/>
      <c r="P1609" s="8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11"/>
      <c r="AG1609" s="11"/>
      <c r="AH1609" s="11"/>
      <c r="AI1609" s="11"/>
      <c r="AJ1609" s="11"/>
      <c r="AK1609" s="11"/>
      <c r="AL1609" s="11"/>
      <c r="AM1609" s="11"/>
      <c r="AN1609" s="11"/>
      <c r="AO1609" s="11"/>
      <c r="AP1609" s="11"/>
      <c r="AQ1609" s="11"/>
      <c r="AR1609" s="11"/>
      <c r="AS1609" s="11"/>
      <c r="AT1609" s="11"/>
      <c r="AU1609" s="11"/>
      <c r="AV1609" s="11"/>
      <c r="AW1609" s="11"/>
      <c r="AX1609" s="11"/>
      <c r="AY1609" s="11"/>
    </row>
    <row r="1610" spans="1:51" hidden="1" x14ac:dyDescent="0.2">
      <c r="A1610" s="6"/>
      <c r="E1610" s="2"/>
      <c r="F1610" s="3"/>
      <c r="G1610" s="3"/>
      <c r="P1610" s="8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1"/>
      <c r="AF1610" s="11"/>
      <c r="AG1610" s="11"/>
      <c r="AH1610" s="11"/>
      <c r="AI1610" s="11"/>
      <c r="AJ1610" s="11"/>
      <c r="AK1610" s="11"/>
      <c r="AL1610" s="11"/>
      <c r="AM1610" s="11"/>
      <c r="AN1610" s="11"/>
      <c r="AO1610" s="11"/>
      <c r="AP1610" s="11"/>
      <c r="AQ1610" s="11"/>
      <c r="AR1610" s="11"/>
      <c r="AS1610" s="11"/>
      <c r="AT1610" s="11"/>
      <c r="AU1610" s="11"/>
      <c r="AV1610" s="11"/>
      <c r="AW1610" s="11"/>
      <c r="AX1610" s="11"/>
      <c r="AY1610" s="11"/>
    </row>
    <row r="1611" spans="1:51" hidden="1" x14ac:dyDescent="0.2">
      <c r="A1611" s="6"/>
      <c r="E1611" s="2"/>
      <c r="F1611" s="3"/>
      <c r="G1611" s="3"/>
      <c r="P1611" s="8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11"/>
      <c r="AG1611" s="11"/>
      <c r="AH1611" s="11"/>
      <c r="AI1611" s="11"/>
      <c r="AJ1611" s="11"/>
      <c r="AK1611" s="11"/>
      <c r="AL1611" s="11"/>
      <c r="AM1611" s="11"/>
      <c r="AN1611" s="11"/>
      <c r="AO1611" s="11"/>
      <c r="AP1611" s="11"/>
      <c r="AQ1611" s="11"/>
      <c r="AR1611" s="11"/>
      <c r="AS1611" s="11"/>
      <c r="AT1611" s="11"/>
      <c r="AU1611" s="11"/>
      <c r="AV1611" s="11"/>
      <c r="AW1611" s="11"/>
      <c r="AX1611" s="11"/>
      <c r="AY1611" s="11"/>
    </row>
    <row r="1612" spans="1:51" hidden="1" x14ac:dyDescent="0.2">
      <c r="A1612" s="6"/>
      <c r="E1612" s="2"/>
      <c r="F1612" s="3"/>
      <c r="G1612" s="3"/>
      <c r="P1612" s="8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1"/>
      <c r="AF1612" s="11"/>
      <c r="AG1612" s="11"/>
      <c r="AH1612" s="11"/>
      <c r="AI1612" s="11"/>
      <c r="AJ1612" s="11"/>
      <c r="AK1612" s="11"/>
      <c r="AL1612" s="11"/>
      <c r="AM1612" s="11"/>
      <c r="AN1612" s="11"/>
      <c r="AO1612" s="11"/>
      <c r="AP1612" s="11"/>
      <c r="AQ1612" s="11"/>
      <c r="AR1612" s="11"/>
      <c r="AS1612" s="11"/>
      <c r="AT1612" s="11"/>
      <c r="AU1612" s="11"/>
      <c r="AV1612" s="11"/>
      <c r="AW1612" s="11"/>
      <c r="AX1612" s="11"/>
      <c r="AY1612" s="11"/>
    </row>
    <row r="1613" spans="1:51" hidden="1" x14ac:dyDescent="0.2">
      <c r="A1613" s="6" t="s">
        <v>17</v>
      </c>
      <c r="B1613" t="s">
        <v>155</v>
      </c>
      <c r="C1613" t="s">
        <v>156</v>
      </c>
      <c r="D1613" t="s">
        <v>2111</v>
      </c>
      <c r="E1613" s="2">
        <v>400</v>
      </c>
      <c r="F1613" s="3">
        <f t="shared" ref="F1613:G1614" si="156">DATE(2025,7,8)</f>
        <v>45846</v>
      </c>
      <c r="G1613" s="3">
        <f t="shared" si="156"/>
        <v>45846</v>
      </c>
      <c r="H1613">
        <v>2435751791</v>
      </c>
      <c r="I1613" t="s">
        <v>21</v>
      </c>
      <c r="K1613" t="s">
        <v>22</v>
      </c>
      <c r="L1613" t="s">
        <v>23</v>
      </c>
      <c r="M1613" t="s">
        <v>24</v>
      </c>
      <c r="N1613" t="s">
        <v>24</v>
      </c>
      <c r="O1613" t="s">
        <v>25</v>
      </c>
      <c r="P1613" s="8" t="s">
        <v>2112</v>
      </c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11"/>
      <c r="AL1613" s="11"/>
      <c r="AM1613" s="11"/>
      <c r="AN1613" s="11"/>
      <c r="AO1613" s="11"/>
      <c r="AP1613" s="11"/>
      <c r="AQ1613" s="11"/>
      <c r="AR1613" s="11"/>
      <c r="AS1613" s="11"/>
      <c r="AT1613" s="11"/>
      <c r="AU1613" s="11"/>
      <c r="AV1613" s="11"/>
      <c r="AW1613" s="11"/>
      <c r="AX1613" s="11"/>
      <c r="AY1613" s="11"/>
    </row>
    <row r="1614" spans="1:51" hidden="1" x14ac:dyDescent="0.2">
      <c r="A1614" s="6" t="s">
        <v>17</v>
      </c>
      <c r="B1614" t="s">
        <v>35</v>
      </c>
      <c r="C1614" t="s">
        <v>35</v>
      </c>
      <c r="D1614" t="s">
        <v>2113</v>
      </c>
      <c r="E1614" s="2">
        <v>1.02</v>
      </c>
      <c r="F1614" s="3">
        <f t="shared" si="156"/>
        <v>45846</v>
      </c>
      <c r="G1614" s="3">
        <f t="shared" si="156"/>
        <v>45846</v>
      </c>
      <c r="H1614">
        <v>2435751793</v>
      </c>
      <c r="I1614" t="s">
        <v>21</v>
      </c>
      <c r="K1614" t="s">
        <v>22</v>
      </c>
      <c r="L1614" t="s">
        <v>23</v>
      </c>
      <c r="M1614" t="s">
        <v>24</v>
      </c>
      <c r="N1614" t="s">
        <v>24</v>
      </c>
      <c r="O1614" t="s">
        <v>25</v>
      </c>
      <c r="P1614" s="8" t="s">
        <v>2114</v>
      </c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11"/>
      <c r="AG1614" s="11"/>
      <c r="AH1614" s="11"/>
      <c r="AI1614" s="11"/>
      <c r="AJ1614" s="11"/>
      <c r="AK1614" s="11"/>
      <c r="AL1614" s="11"/>
      <c r="AM1614" s="11"/>
      <c r="AN1614" s="11"/>
      <c r="AO1614" s="11"/>
      <c r="AP1614" s="11"/>
      <c r="AQ1614" s="11"/>
      <c r="AR1614" s="11"/>
      <c r="AS1614" s="11"/>
      <c r="AT1614" s="11"/>
      <c r="AU1614" s="11"/>
      <c r="AV1614" s="11"/>
      <c r="AW1614" s="11"/>
      <c r="AX1614" s="11"/>
      <c r="AY1614" s="11"/>
    </row>
    <row r="1615" spans="1:51" hidden="1" x14ac:dyDescent="0.2">
      <c r="A1615" s="6"/>
      <c r="E1615" s="2"/>
      <c r="F1615" s="3"/>
      <c r="G1615" s="3"/>
      <c r="P1615" s="8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11"/>
      <c r="AG1615" s="11"/>
      <c r="AH1615" s="11"/>
      <c r="AI1615" s="11"/>
      <c r="AJ1615" s="11"/>
      <c r="AK1615" s="11"/>
      <c r="AL1615" s="11"/>
      <c r="AM1615" s="11"/>
      <c r="AN1615" s="11"/>
      <c r="AO1615" s="11"/>
      <c r="AP1615" s="11"/>
      <c r="AQ1615" s="11"/>
      <c r="AR1615" s="11"/>
      <c r="AS1615" s="11"/>
      <c r="AT1615" s="11"/>
      <c r="AU1615" s="11"/>
      <c r="AV1615" s="11"/>
      <c r="AW1615" s="11"/>
      <c r="AX1615" s="11"/>
      <c r="AY1615" s="11"/>
    </row>
    <row r="1616" spans="1:51" hidden="1" x14ac:dyDescent="0.2">
      <c r="A1616" s="6"/>
      <c r="E1616" s="2"/>
      <c r="F1616" s="3"/>
      <c r="G1616" s="3"/>
      <c r="P1616" s="8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11"/>
      <c r="AL1616" s="11"/>
      <c r="AM1616" s="11"/>
      <c r="AN1616" s="11"/>
      <c r="AO1616" s="11"/>
      <c r="AP1616" s="11"/>
      <c r="AQ1616" s="11"/>
      <c r="AR1616" s="11"/>
      <c r="AS1616" s="11"/>
      <c r="AT1616" s="11"/>
      <c r="AU1616" s="11"/>
      <c r="AV1616" s="11"/>
      <c r="AW1616" s="11"/>
      <c r="AX1616" s="11"/>
      <c r="AY1616" s="11"/>
    </row>
    <row r="1617" spans="1:51" hidden="1" x14ac:dyDescent="0.2">
      <c r="A1617" s="6"/>
      <c r="E1617" s="2"/>
      <c r="F1617" s="3"/>
      <c r="G1617" s="3"/>
      <c r="P1617" s="8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11"/>
      <c r="AG1617" s="11"/>
      <c r="AH1617" s="11"/>
      <c r="AI1617" s="11"/>
      <c r="AJ1617" s="11"/>
      <c r="AK1617" s="11"/>
      <c r="AL1617" s="11"/>
      <c r="AM1617" s="11"/>
      <c r="AN1617" s="11"/>
      <c r="AO1617" s="11"/>
      <c r="AP1617" s="11"/>
      <c r="AQ1617" s="11"/>
      <c r="AR1617" s="11"/>
      <c r="AS1617" s="11"/>
      <c r="AT1617" s="11"/>
      <c r="AU1617" s="11"/>
      <c r="AV1617" s="11"/>
      <c r="AW1617" s="11"/>
      <c r="AX1617" s="11"/>
      <c r="AY1617" s="11"/>
    </row>
    <row r="1618" spans="1:51" hidden="1" x14ac:dyDescent="0.2">
      <c r="A1618" s="6"/>
      <c r="E1618" s="2"/>
      <c r="F1618" s="3"/>
      <c r="G1618" s="3"/>
      <c r="P1618" s="8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11"/>
      <c r="AG1618" s="11"/>
      <c r="AH1618" s="11"/>
      <c r="AI1618" s="11"/>
      <c r="AJ1618" s="11"/>
      <c r="AK1618" s="11"/>
      <c r="AL1618" s="11"/>
      <c r="AM1618" s="11"/>
      <c r="AN1618" s="11"/>
      <c r="AO1618" s="11"/>
      <c r="AP1618" s="11"/>
      <c r="AQ1618" s="11"/>
      <c r="AR1618" s="11"/>
      <c r="AS1618" s="11"/>
      <c r="AT1618" s="11"/>
      <c r="AU1618" s="11"/>
      <c r="AV1618" s="11"/>
      <c r="AW1618" s="11"/>
      <c r="AX1618" s="11"/>
      <c r="AY1618" s="11"/>
    </row>
    <row r="1619" spans="1:51" hidden="1" x14ac:dyDescent="0.2">
      <c r="A1619" s="6" t="s">
        <v>17</v>
      </c>
      <c r="B1619" t="s">
        <v>118</v>
      </c>
      <c r="C1619" t="s">
        <v>119</v>
      </c>
      <c r="D1619" t="s">
        <v>2115</v>
      </c>
      <c r="E1619" s="2">
        <v>107.9</v>
      </c>
      <c r="F1619" s="3">
        <f>DATE(2025,7,7)</f>
        <v>45845</v>
      </c>
      <c r="G1619" s="3">
        <f>DATE(2025,7,7)</f>
        <v>45845</v>
      </c>
      <c r="H1619">
        <v>2435751810</v>
      </c>
      <c r="I1619" t="s">
        <v>21</v>
      </c>
      <c r="K1619" t="s">
        <v>22</v>
      </c>
      <c r="L1619" t="s">
        <v>23</v>
      </c>
      <c r="M1619" t="s">
        <v>24</v>
      </c>
      <c r="N1619" t="s">
        <v>24</v>
      </c>
      <c r="O1619" t="s">
        <v>25</v>
      </c>
      <c r="P1619" s="8" t="s">
        <v>2116</v>
      </c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11"/>
      <c r="AG1619" s="11"/>
      <c r="AH1619" s="11"/>
      <c r="AI1619" s="11"/>
      <c r="AJ1619" s="11"/>
      <c r="AK1619" s="11"/>
      <c r="AL1619" s="11"/>
      <c r="AM1619" s="11"/>
      <c r="AN1619" s="11"/>
      <c r="AO1619" s="11"/>
      <c r="AP1619" s="11"/>
      <c r="AQ1619" s="11"/>
      <c r="AR1619" s="11"/>
      <c r="AS1619" s="11"/>
      <c r="AT1619" s="11"/>
      <c r="AU1619" s="11"/>
      <c r="AV1619" s="11"/>
      <c r="AW1619" s="11"/>
      <c r="AX1619" s="11"/>
      <c r="AY1619" s="11"/>
    </row>
    <row r="1620" spans="1:51" hidden="1" x14ac:dyDescent="0.2">
      <c r="A1620" s="6"/>
      <c r="E1620" s="2"/>
      <c r="F1620" s="3"/>
      <c r="G1620" s="3"/>
      <c r="P1620" s="8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s="11"/>
      <c r="AR1620" s="11"/>
      <c r="AS1620" s="11"/>
      <c r="AT1620" s="11"/>
      <c r="AU1620" s="11"/>
      <c r="AV1620" s="11"/>
      <c r="AW1620" s="11"/>
      <c r="AX1620" s="11"/>
      <c r="AY1620" s="11"/>
    </row>
    <row r="1621" spans="1:51" hidden="1" x14ac:dyDescent="0.2">
      <c r="A1621" s="6"/>
      <c r="E1621" s="2"/>
      <c r="F1621" s="3"/>
      <c r="G1621" s="3"/>
      <c r="P1621" s="8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11"/>
      <c r="AG1621" s="11"/>
      <c r="AH1621" s="11"/>
      <c r="AI1621" s="11"/>
      <c r="AJ1621" s="11"/>
      <c r="AK1621" s="11"/>
      <c r="AL1621" s="11"/>
      <c r="AM1621" s="11"/>
      <c r="AN1621" s="11"/>
      <c r="AO1621" s="11"/>
      <c r="AP1621" s="11"/>
      <c r="AQ1621" s="11"/>
      <c r="AR1621" s="11"/>
      <c r="AS1621" s="11"/>
      <c r="AT1621" s="11"/>
      <c r="AU1621" s="11"/>
      <c r="AV1621" s="11"/>
      <c r="AW1621" s="11"/>
      <c r="AX1621" s="11"/>
      <c r="AY1621" s="11"/>
    </row>
    <row r="1622" spans="1:51" hidden="1" x14ac:dyDescent="0.2">
      <c r="A1622" s="6"/>
      <c r="E1622" s="2"/>
      <c r="F1622" s="3"/>
      <c r="G1622" s="3"/>
      <c r="P1622" s="8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11"/>
      <c r="AL1622" s="11"/>
      <c r="AM1622" s="11"/>
      <c r="AN1622" s="11"/>
      <c r="AO1622" s="11"/>
      <c r="AP1622" s="11"/>
      <c r="AQ1622" s="11"/>
      <c r="AR1622" s="11"/>
      <c r="AS1622" s="11"/>
      <c r="AT1622" s="11"/>
      <c r="AU1622" s="11"/>
      <c r="AV1622" s="11"/>
      <c r="AW1622" s="11"/>
      <c r="AX1622" s="11"/>
      <c r="AY1622" s="11"/>
    </row>
    <row r="1623" spans="1:51" hidden="1" x14ac:dyDescent="0.2">
      <c r="A1623" s="6"/>
      <c r="E1623" s="2"/>
      <c r="F1623" s="3"/>
      <c r="G1623" s="3"/>
      <c r="P1623" s="8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1"/>
      <c r="AJ1623" s="11"/>
      <c r="AK1623" s="11"/>
      <c r="AL1623" s="11"/>
      <c r="AM1623" s="11"/>
      <c r="AN1623" s="11"/>
      <c r="AO1623" s="11"/>
      <c r="AP1623" s="11"/>
      <c r="AQ1623" s="11"/>
      <c r="AR1623" s="11"/>
      <c r="AS1623" s="11"/>
      <c r="AT1623" s="11"/>
      <c r="AU1623" s="11"/>
      <c r="AV1623" s="11"/>
      <c r="AW1623" s="11"/>
      <c r="AX1623" s="11"/>
      <c r="AY1623" s="11"/>
    </row>
    <row r="1624" spans="1:51" hidden="1" x14ac:dyDescent="0.2">
      <c r="A1624" s="6"/>
      <c r="E1624" s="2"/>
      <c r="F1624" s="3"/>
      <c r="G1624" s="3"/>
      <c r="P1624" s="8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11"/>
      <c r="AG1624" s="11"/>
      <c r="AH1624" s="11"/>
      <c r="AI1624" s="11"/>
      <c r="AJ1624" s="11"/>
      <c r="AK1624" s="11"/>
      <c r="AL1624" s="11"/>
      <c r="AM1624" s="11"/>
      <c r="AN1624" s="11"/>
      <c r="AO1624" s="11"/>
      <c r="AP1624" s="11"/>
      <c r="AQ1624" s="11"/>
      <c r="AR1624" s="11"/>
      <c r="AS1624" s="11"/>
      <c r="AT1624" s="11"/>
      <c r="AU1624" s="11"/>
      <c r="AV1624" s="11"/>
      <c r="AW1624" s="11"/>
      <c r="AX1624" s="11"/>
      <c r="AY1624" s="11"/>
    </row>
    <row r="1625" spans="1:51" hidden="1" x14ac:dyDescent="0.2">
      <c r="A1625" s="6"/>
      <c r="E1625" s="2"/>
      <c r="F1625" s="3"/>
      <c r="G1625" s="3"/>
      <c r="P1625" s="8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1"/>
      <c r="AF1625" s="11"/>
      <c r="AG1625" s="11"/>
      <c r="AH1625" s="11"/>
      <c r="AI1625" s="11"/>
      <c r="AJ1625" s="11"/>
      <c r="AK1625" s="11"/>
      <c r="AL1625" s="11"/>
      <c r="AM1625" s="11"/>
      <c r="AN1625" s="11"/>
      <c r="AO1625" s="11"/>
      <c r="AP1625" s="11"/>
      <c r="AQ1625" s="11"/>
      <c r="AR1625" s="11"/>
      <c r="AS1625" s="11"/>
      <c r="AT1625" s="11"/>
      <c r="AU1625" s="11"/>
      <c r="AV1625" s="11"/>
      <c r="AW1625" s="11"/>
      <c r="AX1625" s="11"/>
      <c r="AY1625" s="11"/>
    </row>
    <row r="1626" spans="1:51" hidden="1" x14ac:dyDescent="0.2">
      <c r="A1626" s="6"/>
      <c r="E1626" s="2"/>
      <c r="F1626" s="3"/>
      <c r="G1626" s="3"/>
      <c r="P1626" s="8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11"/>
      <c r="AG1626" s="11"/>
      <c r="AH1626" s="11"/>
      <c r="AI1626" s="11"/>
      <c r="AJ1626" s="11"/>
      <c r="AK1626" s="11"/>
      <c r="AL1626" s="11"/>
      <c r="AM1626" s="11"/>
      <c r="AN1626" s="11"/>
      <c r="AO1626" s="11"/>
      <c r="AP1626" s="11"/>
      <c r="AQ1626" s="11"/>
      <c r="AR1626" s="11"/>
      <c r="AS1626" s="11"/>
      <c r="AT1626" s="11"/>
      <c r="AU1626" s="11"/>
      <c r="AV1626" s="11"/>
      <c r="AW1626" s="11"/>
      <c r="AX1626" s="11"/>
      <c r="AY1626" s="11"/>
    </row>
    <row r="1627" spans="1:51" hidden="1" x14ac:dyDescent="0.2">
      <c r="A1627" s="6"/>
      <c r="E1627" s="2"/>
      <c r="F1627" s="3"/>
      <c r="G1627" s="3"/>
      <c r="P1627" s="8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1"/>
      <c r="AF1627" s="11"/>
      <c r="AG1627" s="11"/>
      <c r="AH1627" s="11"/>
      <c r="AI1627" s="11"/>
      <c r="AJ1627" s="11"/>
      <c r="AK1627" s="11"/>
      <c r="AL1627" s="11"/>
      <c r="AM1627" s="11"/>
      <c r="AN1627" s="11"/>
      <c r="AO1627" s="11"/>
      <c r="AP1627" s="11"/>
      <c r="AQ1627" s="11"/>
      <c r="AR1627" s="11"/>
      <c r="AS1627" s="11"/>
      <c r="AT1627" s="11"/>
      <c r="AU1627" s="11"/>
      <c r="AV1627" s="11"/>
      <c r="AW1627" s="11"/>
      <c r="AX1627" s="11"/>
      <c r="AY1627" s="11"/>
    </row>
    <row r="1628" spans="1:51" hidden="1" x14ac:dyDescent="0.2">
      <c r="A1628" s="6" t="s">
        <v>17</v>
      </c>
      <c r="B1628" t="s">
        <v>27</v>
      </c>
      <c r="C1628" t="s">
        <v>28</v>
      </c>
      <c r="D1628" t="s">
        <v>2117</v>
      </c>
      <c r="E1628" s="2">
        <v>871.08</v>
      </c>
      <c r="F1628" s="3">
        <f>DATE(2025,7,9)</f>
        <v>45847</v>
      </c>
      <c r="G1628" s="3">
        <f>DATE(2025,7,9)</f>
        <v>45847</v>
      </c>
      <c r="H1628">
        <v>2435751829</v>
      </c>
      <c r="I1628" t="s">
        <v>21</v>
      </c>
      <c r="K1628" t="s">
        <v>22</v>
      </c>
      <c r="L1628" t="s">
        <v>23</v>
      </c>
      <c r="M1628" t="s">
        <v>24</v>
      </c>
      <c r="N1628" t="s">
        <v>24</v>
      </c>
      <c r="O1628" t="s">
        <v>25</v>
      </c>
      <c r="P1628" s="8" t="s">
        <v>2118</v>
      </c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1"/>
      <c r="AF1628" s="11"/>
      <c r="AG1628" s="11"/>
      <c r="AH1628" s="11"/>
      <c r="AI1628" s="11"/>
      <c r="AJ1628" s="11"/>
      <c r="AK1628" s="11"/>
      <c r="AL1628" s="11"/>
      <c r="AM1628" s="11"/>
      <c r="AN1628" s="11"/>
      <c r="AO1628" s="11"/>
      <c r="AP1628" s="11"/>
      <c r="AQ1628" s="11"/>
      <c r="AR1628" s="11"/>
      <c r="AS1628" s="11"/>
      <c r="AT1628" s="11"/>
      <c r="AU1628" s="11"/>
      <c r="AV1628" s="11"/>
      <c r="AW1628" s="11"/>
      <c r="AX1628" s="11"/>
      <c r="AY1628" s="11"/>
    </row>
    <row r="1629" spans="1:51" hidden="1" x14ac:dyDescent="0.2">
      <c r="A1629" s="6" t="s">
        <v>17</v>
      </c>
      <c r="B1629" t="s">
        <v>27</v>
      </c>
      <c r="C1629" t="s">
        <v>28</v>
      </c>
      <c r="D1629" t="s">
        <v>2119</v>
      </c>
      <c r="E1629" s="2">
        <v>1156.0999999999999</v>
      </c>
      <c r="F1629" s="3">
        <f>DATE(2025,7,9)</f>
        <v>45847</v>
      </c>
      <c r="G1629" s="3">
        <f>DATE(2025,7,9)</f>
        <v>45847</v>
      </c>
      <c r="H1629">
        <v>2435751830</v>
      </c>
      <c r="I1629" t="s">
        <v>21</v>
      </c>
      <c r="K1629" t="s">
        <v>22</v>
      </c>
      <c r="L1629" t="s">
        <v>23</v>
      </c>
      <c r="M1629" t="s">
        <v>24</v>
      </c>
      <c r="N1629" t="s">
        <v>24</v>
      </c>
      <c r="O1629" t="s">
        <v>25</v>
      </c>
      <c r="P1629" s="8" t="s">
        <v>2120</v>
      </c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11"/>
      <c r="AG1629" s="11"/>
      <c r="AH1629" s="11"/>
      <c r="AI1629" s="11"/>
      <c r="AJ1629" s="11"/>
      <c r="AK1629" s="11"/>
      <c r="AL1629" s="11"/>
      <c r="AM1629" s="11"/>
      <c r="AN1629" s="11"/>
      <c r="AO1629" s="11"/>
      <c r="AP1629" s="11"/>
      <c r="AQ1629" s="11"/>
      <c r="AR1629" s="11"/>
      <c r="AS1629" s="11"/>
      <c r="AT1629" s="11"/>
      <c r="AU1629" s="11"/>
      <c r="AV1629" s="11"/>
      <c r="AW1629" s="11"/>
      <c r="AX1629" s="11"/>
      <c r="AY1629" s="11"/>
    </row>
    <row r="1630" spans="1:51" hidden="1" x14ac:dyDescent="0.2">
      <c r="A1630" s="6"/>
      <c r="E1630" s="2"/>
      <c r="F1630" s="3"/>
      <c r="G1630" s="3"/>
      <c r="P1630" s="8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11"/>
      <c r="AG1630" s="11"/>
      <c r="AH1630" s="11"/>
      <c r="AI1630" s="11"/>
      <c r="AJ1630" s="11"/>
      <c r="AK1630" s="11"/>
      <c r="AL1630" s="11"/>
      <c r="AM1630" s="11"/>
      <c r="AN1630" s="11"/>
      <c r="AO1630" s="11"/>
      <c r="AP1630" s="11"/>
      <c r="AQ1630" s="11"/>
      <c r="AR1630" s="11"/>
      <c r="AS1630" s="11"/>
      <c r="AT1630" s="11"/>
      <c r="AU1630" s="11"/>
      <c r="AV1630" s="11"/>
      <c r="AW1630" s="11"/>
      <c r="AX1630" s="11"/>
      <c r="AY1630" s="11"/>
    </row>
    <row r="1631" spans="1:51" hidden="1" x14ac:dyDescent="0.2">
      <c r="A1631" s="6" t="s">
        <v>17</v>
      </c>
      <c r="B1631" t="s">
        <v>84</v>
      </c>
      <c r="C1631" t="s">
        <v>85</v>
      </c>
      <c r="D1631" t="s">
        <v>2121</v>
      </c>
      <c r="E1631" s="2">
        <v>1556.27</v>
      </c>
      <c r="F1631" s="3">
        <f t="shared" ref="F1631:G1633" si="157">DATE(2025,7,7)</f>
        <v>45845</v>
      </c>
      <c r="G1631" s="3">
        <f t="shared" si="157"/>
        <v>45845</v>
      </c>
      <c r="H1631">
        <v>2435751832</v>
      </c>
      <c r="I1631" t="s">
        <v>21</v>
      </c>
      <c r="K1631" t="s">
        <v>22</v>
      </c>
      <c r="L1631" t="s">
        <v>23</v>
      </c>
      <c r="M1631" t="s">
        <v>24</v>
      </c>
      <c r="N1631" t="s">
        <v>24</v>
      </c>
      <c r="O1631" t="s">
        <v>25</v>
      </c>
      <c r="P1631" s="8" t="s">
        <v>2122</v>
      </c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11"/>
      <c r="AL1631" s="11"/>
      <c r="AM1631" s="11"/>
      <c r="AN1631" s="11"/>
      <c r="AO1631" s="11"/>
      <c r="AP1631" s="11"/>
      <c r="AQ1631" s="11"/>
      <c r="AR1631" s="11"/>
      <c r="AS1631" s="11"/>
      <c r="AT1631" s="11"/>
      <c r="AU1631" s="11"/>
      <c r="AV1631" s="11"/>
      <c r="AW1631" s="11"/>
      <c r="AX1631" s="11"/>
      <c r="AY1631" s="11"/>
    </row>
    <row r="1632" spans="1:51" hidden="1" x14ac:dyDescent="0.2">
      <c r="A1632" s="6" t="s">
        <v>17</v>
      </c>
      <c r="B1632" t="s">
        <v>84</v>
      </c>
      <c r="C1632" t="s">
        <v>85</v>
      </c>
      <c r="D1632" t="s">
        <v>2123</v>
      </c>
      <c r="E1632" s="2">
        <v>621.5</v>
      </c>
      <c r="F1632" s="3">
        <f t="shared" si="157"/>
        <v>45845</v>
      </c>
      <c r="G1632" s="3">
        <f t="shared" si="157"/>
        <v>45845</v>
      </c>
      <c r="H1632">
        <v>2435751833</v>
      </c>
      <c r="I1632" t="s">
        <v>21</v>
      </c>
      <c r="K1632" t="s">
        <v>22</v>
      </c>
      <c r="L1632" t="s">
        <v>23</v>
      </c>
      <c r="M1632" t="s">
        <v>24</v>
      </c>
      <c r="N1632" t="s">
        <v>24</v>
      </c>
      <c r="O1632" t="s">
        <v>25</v>
      </c>
      <c r="P1632" s="8" t="s">
        <v>2124</v>
      </c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11"/>
      <c r="AG1632" s="11"/>
      <c r="AH1632" s="11"/>
      <c r="AI1632" s="11"/>
      <c r="AJ1632" s="11"/>
      <c r="AK1632" s="11"/>
      <c r="AL1632" s="11"/>
      <c r="AM1632" s="11"/>
      <c r="AN1632" s="11"/>
      <c r="AO1632" s="11"/>
      <c r="AP1632" s="11"/>
      <c r="AQ1632" s="11"/>
      <c r="AR1632" s="11"/>
      <c r="AS1632" s="11"/>
      <c r="AT1632" s="11"/>
      <c r="AU1632" s="11"/>
      <c r="AV1632" s="11"/>
      <c r="AW1632" s="11"/>
      <c r="AX1632" s="11"/>
      <c r="AY1632" s="11"/>
    </row>
    <row r="1633" spans="1:51" hidden="1" x14ac:dyDescent="0.2">
      <c r="A1633" s="6" t="s">
        <v>17</v>
      </c>
      <c r="B1633" t="s">
        <v>50</v>
      </c>
      <c r="C1633" t="s">
        <v>51</v>
      </c>
      <c r="D1633" t="s">
        <v>2125</v>
      </c>
      <c r="E1633" s="2">
        <v>205.2</v>
      </c>
      <c r="F1633" s="3">
        <f t="shared" si="157"/>
        <v>45845</v>
      </c>
      <c r="G1633" s="3">
        <f t="shared" si="157"/>
        <v>45845</v>
      </c>
      <c r="H1633">
        <v>2435751834</v>
      </c>
      <c r="I1633" t="s">
        <v>21</v>
      </c>
      <c r="K1633" t="s">
        <v>22</v>
      </c>
      <c r="L1633" t="s">
        <v>23</v>
      </c>
      <c r="M1633" t="s">
        <v>24</v>
      </c>
      <c r="N1633" t="s">
        <v>24</v>
      </c>
      <c r="O1633" t="s">
        <v>25</v>
      </c>
      <c r="P1633" s="8" t="s">
        <v>2126</v>
      </c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11"/>
      <c r="AG1633" s="11"/>
      <c r="AH1633" s="11"/>
      <c r="AI1633" s="11"/>
      <c r="AJ1633" s="11"/>
      <c r="AK1633" s="11"/>
      <c r="AL1633" s="11"/>
      <c r="AM1633" s="11"/>
      <c r="AN1633" s="11"/>
      <c r="AO1633" s="11"/>
      <c r="AP1633" s="11"/>
      <c r="AQ1633" s="11"/>
      <c r="AR1633" s="11"/>
      <c r="AS1633" s="11"/>
      <c r="AT1633" s="11"/>
      <c r="AU1633" s="11"/>
      <c r="AV1633" s="11"/>
      <c r="AW1633" s="11"/>
      <c r="AX1633" s="11"/>
      <c r="AY1633" s="11"/>
    </row>
    <row r="1634" spans="1:51" hidden="1" x14ac:dyDescent="0.2">
      <c r="A1634" s="6"/>
      <c r="E1634" s="2"/>
      <c r="F1634" s="3"/>
      <c r="G1634" s="3"/>
      <c r="P1634" s="8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11"/>
      <c r="AG1634" s="11"/>
      <c r="AH1634" s="11"/>
      <c r="AI1634" s="11"/>
      <c r="AJ1634" s="11"/>
      <c r="AK1634" s="11"/>
      <c r="AL1634" s="11"/>
      <c r="AM1634" s="11"/>
      <c r="AN1634" s="11"/>
      <c r="AO1634" s="11"/>
      <c r="AP1634" s="11"/>
      <c r="AQ1634" s="11"/>
      <c r="AR1634" s="11"/>
      <c r="AS1634" s="11"/>
      <c r="AT1634" s="11"/>
      <c r="AU1634" s="11"/>
      <c r="AV1634" s="11"/>
      <c r="AW1634" s="11"/>
      <c r="AX1634" s="11"/>
      <c r="AY1634" s="11"/>
    </row>
    <row r="1635" spans="1:51" hidden="1" x14ac:dyDescent="0.2">
      <c r="A1635" s="6" t="s">
        <v>17</v>
      </c>
      <c r="B1635" t="s">
        <v>118</v>
      </c>
      <c r="C1635" t="s">
        <v>119</v>
      </c>
      <c r="D1635" t="s">
        <v>2127</v>
      </c>
      <c r="E1635" s="2">
        <v>11.18</v>
      </c>
      <c r="F1635" s="3">
        <f>DATE(2025,7,6)</f>
        <v>45844</v>
      </c>
      <c r="G1635" s="3">
        <f>DATE(2025,7,6)</f>
        <v>45844</v>
      </c>
      <c r="H1635">
        <v>2435751962</v>
      </c>
      <c r="I1635" t="s">
        <v>158</v>
      </c>
      <c r="K1635" t="s">
        <v>22</v>
      </c>
      <c r="L1635" t="s">
        <v>23</v>
      </c>
      <c r="M1635" t="s">
        <v>24</v>
      </c>
      <c r="N1635" t="s">
        <v>24</v>
      </c>
      <c r="O1635" t="s">
        <v>25</v>
      </c>
      <c r="P1635" s="8" t="s">
        <v>2128</v>
      </c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1"/>
      <c r="AF1635" s="11"/>
      <c r="AG1635" s="11"/>
      <c r="AH1635" s="11"/>
      <c r="AI1635" s="11"/>
      <c r="AJ1635" s="11"/>
      <c r="AK1635" s="11"/>
      <c r="AL1635" s="11"/>
      <c r="AM1635" s="11"/>
      <c r="AN1635" s="11"/>
      <c r="AO1635" s="11"/>
      <c r="AP1635" s="11"/>
      <c r="AQ1635" s="11"/>
      <c r="AR1635" s="11"/>
      <c r="AS1635" s="11"/>
      <c r="AT1635" s="11"/>
      <c r="AU1635" s="11"/>
      <c r="AV1635" s="11"/>
      <c r="AW1635" s="11"/>
      <c r="AX1635" s="11"/>
      <c r="AY1635" s="11"/>
    </row>
    <row r="1636" spans="1:51" hidden="1" x14ac:dyDescent="0.2">
      <c r="A1636" s="6" t="s">
        <v>17</v>
      </c>
      <c r="B1636" t="s">
        <v>118</v>
      </c>
      <c r="C1636" t="s">
        <v>119</v>
      </c>
      <c r="D1636" t="s">
        <v>2129</v>
      </c>
      <c r="E1636" s="2">
        <v>19.989999999999998</v>
      </c>
      <c r="F1636" s="3">
        <f>DATE(2025,7,7)</f>
        <v>45845</v>
      </c>
      <c r="G1636" s="3">
        <f>DATE(2025,7,7)</f>
        <v>45845</v>
      </c>
      <c r="H1636">
        <v>2435751963</v>
      </c>
      <c r="I1636" t="s">
        <v>158</v>
      </c>
      <c r="K1636" t="s">
        <v>22</v>
      </c>
      <c r="L1636" t="s">
        <v>23</v>
      </c>
      <c r="M1636" t="s">
        <v>24</v>
      </c>
      <c r="N1636" t="s">
        <v>24</v>
      </c>
      <c r="O1636" t="s">
        <v>25</v>
      </c>
      <c r="P1636" s="8" t="s">
        <v>2130</v>
      </c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11"/>
      <c r="AG1636" s="11"/>
      <c r="AH1636" s="11"/>
      <c r="AI1636" s="11"/>
      <c r="AJ1636" s="11"/>
      <c r="AK1636" s="11"/>
      <c r="AL1636" s="11"/>
      <c r="AM1636" s="11"/>
      <c r="AN1636" s="11"/>
      <c r="AO1636" s="11"/>
      <c r="AP1636" s="11"/>
      <c r="AQ1636" s="11"/>
      <c r="AR1636" s="11"/>
      <c r="AS1636" s="11"/>
      <c r="AT1636" s="11"/>
      <c r="AU1636" s="11"/>
      <c r="AV1636" s="11"/>
      <c r="AW1636" s="11"/>
      <c r="AX1636" s="11"/>
      <c r="AY1636" s="11"/>
    </row>
    <row r="1637" spans="1:51" hidden="1" x14ac:dyDescent="0.2">
      <c r="A1637" s="6" t="s">
        <v>17</v>
      </c>
      <c r="B1637" t="s">
        <v>118</v>
      </c>
      <c r="C1637" t="s">
        <v>119</v>
      </c>
      <c r="D1637" t="s">
        <v>2131</v>
      </c>
      <c r="E1637" s="2">
        <v>6.1</v>
      </c>
      <c r="F1637" s="3">
        <f>DATE(2025,7,7)</f>
        <v>45845</v>
      </c>
      <c r="G1637" s="3">
        <f>DATE(2025,7,7)</f>
        <v>45845</v>
      </c>
      <c r="H1637">
        <v>2435751964</v>
      </c>
      <c r="I1637" t="s">
        <v>158</v>
      </c>
      <c r="K1637" t="s">
        <v>22</v>
      </c>
      <c r="L1637" t="s">
        <v>23</v>
      </c>
      <c r="M1637" t="s">
        <v>24</v>
      </c>
      <c r="N1637" t="s">
        <v>24</v>
      </c>
      <c r="O1637" t="s">
        <v>25</v>
      </c>
      <c r="P1637" s="8" t="s">
        <v>2132</v>
      </c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s="11"/>
      <c r="AR1637" s="11"/>
      <c r="AS1637" s="11"/>
      <c r="AT1637" s="11"/>
      <c r="AU1637" s="11"/>
      <c r="AV1637" s="11"/>
      <c r="AW1637" s="11"/>
      <c r="AX1637" s="11"/>
      <c r="AY1637" s="11"/>
    </row>
    <row r="1638" spans="1:51" hidden="1" x14ac:dyDescent="0.2">
      <c r="A1638" s="6"/>
      <c r="E1638" s="2"/>
      <c r="F1638" s="3"/>
      <c r="G1638" s="3"/>
      <c r="P1638" s="8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11"/>
      <c r="AL1638" s="11"/>
      <c r="AM1638" s="11"/>
      <c r="AN1638" s="11"/>
      <c r="AO1638" s="11"/>
      <c r="AP1638" s="11"/>
      <c r="AQ1638" s="11"/>
      <c r="AR1638" s="11"/>
      <c r="AS1638" s="11"/>
      <c r="AT1638" s="11"/>
      <c r="AU1638" s="11"/>
      <c r="AV1638" s="11"/>
      <c r="AW1638" s="11"/>
      <c r="AX1638" s="11"/>
      <c r="AY1638" s="11"/>
    </row>
    <row r="1639" spans="1:51" hidden="1" x14ac:dyDescent="0.2">
      <c r="A1639" s="6"/>
      <c r="E1639" s="2"/>
      <c r="F1639" s="3"/>
      <c r="G1639" s="3"/>
      <c r="P1639" s="8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11"/>
      <c r="AG1639" s="11"/>
      <c r="AH1639" s="11"/>
      <c r="AI1639" s="11"/>
      <c r="AJ1639" s="11"/>
      <c r="AK1639" s="11"/>
      <c r="AL1639" s="11"/>
      <c r="AM1639" s="11"/>
      <c r="AN1639" s="11"/>
      <c r="AO1639" s="11"/>
      <c r="AP1639" s="11"/>
      <c r="AQ1639" s="11"/>
      <c r="AR1639" s="11"/>
      <c r="AS1639" s="11"/>
      <c r="AT1639" s="11"/>
      <c r="AU1639" s="11"/>
      <c r="AV1639" s="11"/>
      <c r="AW1639" s="11"/>
      <c r="AX1639" s="11"/>
      <c r="AY1639" s="11"/>
    </row>
    <row r="1640" spans="1:51" hidden="1" x14ac:dyDescent="0.2">
      <c r="A1640" s="6"/>
      <c r="E1640" s="2"/>
      <c r="F1640" s="3"/>
      <c r="G1640" s="3"/>
      <c r="P1640" s="8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11"/>
      <c r="AG1640" s="11"/>
      <c r="AH1640" s="11"/>
      <c r="AI1640" s="11"/>
      <c r="AJ1640" s="11"/>
      <c r="AK1640" s="11"/>
      <c r="AL1640" s="11"/>
      <c r="AM1640" s="11"/>
      <c r="AN1640" s="11"/>
      <c r="AO1640" s="11"/>
      <c r="AP1640" s="11"/>
      <c r="AQ1640" s="11"/>
      <c r="AR1640" s="11"/>
      <c r="AS1640" s="11"/>
      <c r="AT1640" s="11"/>
      <c r="AU1640" s="11"/>
      <c r="AV1640" s="11"/>
      <c r="AW1640" s="11"/>
      <c r="AX1640" s="11"/>
      <c r="AY1640" s="11"/>
    </row>
    <row r="1641" spans="1:51" hidden="1" x14ac:dyDescent="0.2">
      <c r="A1641" s="6" t="s">
        <v>17</v>
      </c>
      <c r="B1641" t="s">
        <v>18</v>
      </c>
      <c r="C1641" t="s">
        <v>19</v>
      </c>
      <c r="D1641" t="s">
        <v>2133</v>
      </c>
      <c r="E1641" s="2">
        <v>0.77</v>
      </c>
      <c r="F1641" s="3">
        <f>DATE(2025,7,8)</f>
        <v>45846</v>
      </c>
      <c r="G1641" s="3">
        <f>DATE(2025,7,8)</f>
        <v>45846</v>
      </c>
      <c r="H1641">
        <v>2435792851</v>
      </c>
      <c r="I1641" t="s">
        <v>192</v>
      </c>
      <c r="K1641" t="s">
        <v>22</v>
      </c>
      <c r="L1641" t="s">
        <v>23</v>
      </c>
      <c r="M1641" t="s">
        <v>24</v>
      </c>
      <c r="N1641" t="s">
        <v>24</v>
      </c>
      <c r="O1641" t="s">
        <v>25</v>
      </c>
      <c r="P1641" s="8" t="s">
        <v>2134</v>
      </c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1"/>
      <c r="AJ1641" s="11"/>
      <c r="AK1641" s="11"/>
      <c r="AL1641" s="11"/>
      <c r="AM1641" s="11"/>
      <c r="AN1641" s="11"/>
      <c r="AO1641" s="11"/>
      <c r="AP1641" s="11"/>
      <c r="AQ1641" s="11"/>
      <c r="AR1641" s="11"/>
      <c r="AS1641" s="11"/>
      <c r="AT1641" s="11"/>
      <c r="AU1641" s="11"/>
      <c r="AV1641" s="11"/>
      <c r="AW1641" s="11"/>
      <c r="AX1641" s="11"/>
      <c r="AY1641" s="11"/>
    </row>
    <row r="1642" spans="1:51" hidden="1" x14ac:dyDescent="0.2">
      <c r="A1642" s="6" t="s">
        <v>17</v>
      </c>
      <c r="B1642" t="s">
        <v>18</v>
      </c>
      <c r="C1642" t="s">
        <v>19</v>
      </c>
      <c r="D1642" t="s">
        <v>2135</v>
      </c>
      <c r="E1642" s="2">
        <v>0.63</v>
      </c>
      <c r="F1642" s="3">
        <f>DATE(2025,7,7)</f>
        <v>45845</v>
      </c>
      <c r="G1642" s="3">
        <f>DATE(2025,7,7)</f>
        <v>45845</v>
      </c>
      <c r="H1642">
        <v>2435792852</v>
      </c>
      <c r="I1642" t="s">
        <v>192</v>
      </c>
      <c r="K1642" t="s">
        <v>22</v>
      </c>
      <c r="L1642" t="s">
        <v>23</v>
      </c>
      <c r="M1642" t="s">
        <v>24</v>
      </c>
      <c r="N1642" t="s">
        <v>24</v>
      </c>
      <c r="O1642" t="s">
        <v>25</v>
      </c>
      <c r="P1642" s="8" t="s">
        <v>2136</v>
      </c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11"/>
      <c r="AG1642" s="11"/>
      <c r="AH1642" s="11"/>
      <c r="AI1642" s="11"/>
      <c r="AJ1642" s="11"/>
      <c r="AK1642" s="11"/>
      <c r="AL1642" s="11"/>
      <c r="AM1642" s="11"/>
      <c r="AN1642" s="11"/>
      <c r="AO1642" s="11"/>
      <c r="AP1642" s="11"/>
      <c r="AQ1642" s="11"/>
      <c r="AR1642" s="11"/>
      <c r="AS1642" s="11"/>
      <c r="AT1642" s="11"/>
      <c r="AU1642" s="11"/>
      <c r="AV1642" s="11"/>
      <c r="AW1642" s="11"/>
      <c r="AX1642" s="11"/>
      <c r="AY1642" s="11"/>
    </row>
    <row r="1643" spans="1:51" hidden="1" x14ac:dyDescent="0.2">
      <c r="A1643" s="6"/>
      <c r="E1643" s="2"/>
      <c r="F1643" s="3"/>
      <c r="G1643" s="3"/>
      <c r="P1643" s="8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11"/>
      <c r="AG1643" s="11"/>
      <c r="AH1643" s="11"/>
      <c r="AI1643" s="11"/>
      <c r="AJ1643" s="11"/>
      <c r="AK1643" s="11"/>
      <c r="AL1643" s="11"/>
      <c r="AM1643" s="11"/>
      <c r="AN1643" s="11"/>
      <c r="AO1643" s="11"/>
      <c r="AP1643" s="11"/>
      <c r="AQ1643" s="11"/>
      <c r="AR1643" s="11"/>
      <c r="AS1643" s="11"/>
      <c r="AT1643" s="11"/>
      <c r="AU1643" s="11"/>
      <c r="AV1643" s="11"/>
      <c r="AW1643" s="11"/>
      <c r="AX1643" s="11"/>
      <c r="AY1643" s="11"/>
    </row>
    <row r="1644" spans="1:51" hidden="1" x14ac:dyDescent="0.2">
      <c r="A1644" s="6" t="s">
        <v>17</v>
      </c>
      <c r="B1644" t="s">
        <v>589</v>
      </c>
      <c r="C1644" t="s">
        <v>590</v>
      </c>
      <c r="D1644" t="s">
        <v>2137</v>
      </c>
      <c r="E1644" s="2">
        <v>78.02</v>
      </c>
      <c r="F1644" s="3">
        <f>DATE(2025,7,8)</f>
        <v>45846</v>
      </c>
      <c r="G1644" s="3">
        <f>DATE(2025,7,8)</f>
        <v>45846</v>
      </c>
      <c r="H1644">
        <v>2444534764</v>
      </c>
      <c r="I1644" t="s">
        <v>158</v>
      </c>
      <c r="K1644" t="s">
        <v>22</v>
      </c>
      <c r="L1644" t="s">
        <v>23</v>
      </c>
      <c r="M1644" t="s">
        <v>24</v>
      </c>
      <c r="N1644" t="s">
        <v>24</v>
      </c>
      <c r="O1644" t="s">
        <v>25</v>
      </c>
      <c r="P1644" s="8" t="s">
        <v>2138</v>
      </c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11"/>
      <c r="AG1644" s="11"/>
      <c r="AH1644" s="11"/>
      <c r="AI1644" s="11"/>
      <c r="AJ1644" s="11"/>
      <c r="AK1644" s="11"/>
      <c r="AL1644" s="11"/>
      <c r="AM1644" s="11"/>
      <c r="AN1644" s="11"/>
      <c r="AO1644" s="11"/>
      <c r="AP1644" s="11"/>
      <c r="AQ1644" s="11"/>
      <c r="AR1644" s="11"/>
      <c r="AS1644" s="11"/>
      <c r="AT1644" s="11"/>
      <c r="AU1644" s="11"/>
      <c r="AV1644" s="11"/>
      <c r="AW1644" s="11"/>
      <c r="AX1644" s="11"/>
      <c r="AY1644" s="11"/>
    </row>
    <row r="1645" spans="1:51" hidden="1" x14ac:dyDescent="0.2">
      <c r="A1645" s="6"/>
      <c r="E1645" s="2"/>
      <c r="F1645" s="3"/>
      <c r="G1645" s="3"/>
      <c r="P1645" s="8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11"/>
      <c r="AG1645" s="11"/>
      <c r="AH1645" s="11"/>
      <c r="AI1645" s="11"/>
      <c r="AJ1645" s="11"/>
      <c r="AK1645" s="11"/>
      <c r="AL1645" s="11"/>
      <c r="AM1645" s="11"/>
      <c r="AN1645" s="11"/>
      <c r="AO1645" s="11"/>
      <c r="AP1645" s="11"/>
      <c r="AQ1645" s="11"/>
      <c r="AR1645" s="11"/>
      <c r="AS1645" s="11"/>
      <c r="AT1645" s="11"/>
      <c r="AU1645" s="11"/>
      <c r="AV1645" s="11"/>
      <c r="AW1645" s="11"/>
      <c r="AX1645" s="11"/>
      <c r="AY1645" s="11"/>
    </row>
    <row r="1646" spans="1:51" hidden="1" x14ac:dyDescent="0.2">
      <c r="A1646" s="6"/>
      <c r="E1646" s="2"/>
      <c r="F1646" s="3"/>
      <c r="G1646" s="3"/>
      <c r="P1646" s="8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11"/>
      <c r="AG1646" s="11"/>
      <c r="AH1646" s="11"/>
      <c r="AI1646" s="11"/>
      <c r="AJ1646" s="11"/>
      <c r="AK1646" s="11"/>
      <c r="AL1646" s="11"/>
      <c r="AM1646" s="11"/>
      <c r="AN1646" s="11"/>
      <c r="AO1646" s="11"/>
      <c r="AP1646" s="11"/>
      <c r="AQ1646" s="11"/>
      <c r="AR1646" s="11"/>
      <c r="AS1646" s="11"/>
      <c r="AT1646" s="11"/>
      <c r="AU1646" s="11"/>
      <c r="AV1646" s="11"/>
      <c r="AW1646" s="11"/>
      <c r="AX1646" s="11"/>
      <c r="AY1646" s="11"/>
    </row>
    <row r="1647" spans="1:51" hidden="1" x14ac:dyDescent="0.2">
      <c r="A1647" s="6" t="s">
        <v>17</v>
      </c>
      <c r="B1647" t="s">
        <v>31</v>
      </c>
      <c r="C1647" t="s">
        <v>32</v>
      </c>
      <c r="D1647" t="s">
        <v>2139</v>
      </c>
      <c r="E1647" s="2">
        <v>538.03</v>
      </c>
      <c r="F1647" s="3">
        <f>DATE(2025,7,9)</f>
        <v>45847</v>
      </c>
      <c r="G1647" s="3">
        <f>DATE(2025,7,9)</f>
        <v>45847</v>
      </c>
      <c r="H1647">
        <v>2444534767</v>
      </c>
      <c r="I1647" t="s">
        <v>21</v>
      </c>
      <c r="K1647" t="s">
        <v>22</v>
      </c>
      <c r="L1647" t="s">
        <v>23</v>
      </c>
      <c r="M1647" t="s">
        <v>24</v>
      </c>
      <c r="N1647" t="s">
        <v>24</v>
      </c>
      <c r="O1647" t="s">
        <v>25</v>
      </c>
      <c r="P1647" s="8" t="s">
        <v>2140</v>
      </c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11"/>
      <c r="AG1647" s="11"/>
      <c r="AH1647" s="11"/>
      <c r="AI1647" s="11"/>
      <c r="AJ1647" s="11"/>
      <c r="AK1647" s="11"/>
      <c r="AL1647" s="11"/>
      <c r="AM1647" s="11"/>
      <c r="AN1647" s="11"/>
      <c r="AO1647" s="11"/>
      <c r="AP1647" s="11"/>
      <c r="AQ1647" s="11"/>
      <c r="AR1647" s="11"/>
      <c r="AS1647" s="11"/>
      <c r="AT1647" s="11"/>
      <c r="AU1647" s="11"/>
      <c r="AV1647" s="11"/>
      <c r="AW1647" s="11"/>
      <c r="AX1647" s="11"/>
      <c r="AY1647" s="11"/>
    </row>
    <row r="1648" spans="1:51" hidden="1" x14ac:dyDescent="0.2">
      <c r="A1648" s="6" t="s">
        <v>17</v>
      </c>
      <c r="B1648" t="s">
        <v>1048</v>
      </c>
      <c r="C1648" t="s">
        <v>1049</v>
      </c>
      <c r="D1648" t="s">
        <v>2141</v>
      </c>
      <c r="E1648" s="2">
        <v>2317.64</v>
      </c>
      <c r="F1648" s="3">
        <f>DATE(2025,7,10)</f>
        <v>45848</v>
      </c>
      <c r="G1648" s="3">
        <f>DATE(2025,7,10)</f>
        <v>45848</v>
      </c>
      <c r="H1648">
        <v>2444534768</v>
      </c>
      <c r="I1648" t="s">
        <v>21</v>
      </c>
      <c r="K1648" t="s">
        <v>22</v>
      </c>
      <c r="L1648" t="s">
        <v>23</v>
      </c>
      <c r="M1648" t="s">
        <v>24</v>
      </c>
      <c r="N1648" t="s">
        <v>24</v>
      </c>
      <c r="O1648" t="s">
        <v>25</v>
      </c>
      <c r="P1648" s="8" t="s">
        <v>2142</v>
      </c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11"/>
      <c r="AG1648" s="11"/>
      <c r="AH1648" s="11"/>
      <c r="AI1648" s="11"/>
      <c r="AJ1648" s="11"/>
      <c r="AK1648" s="11"/>
      <c r="AL1648" s="11"/>
      <c r="AM1648" s="11"/>
      <c r="AN1648" s="11"/>
      <c r="AO1648" s="11"/>
      <c r="AP1648" s="11"/>
      <c r="AQ1648" s="11"/>
      <c r="AR1648" s="11"/>
      <c r="AS1648" s="11"/>
      <c r="AT1648" s="11"/>
      <c r="AU1648" s="11"/>
      <c r="AV1648" s="11"/>
      <c r="AW1648" s="11"/>
      <c r="AX1648" s="11"/>
      <c r="AY1648" s="11"/>
    </row>
    <row r="1649" spans="1:51" hidden="1" x14ac:dyDescent="0.2">
      <c r="A1649" s="6"/>
      <c r="E1649" s="2"/>
      <c r="F1649" s="3"/>
      <c r="G1649" s="3"/>
      <c r="P1649" s="8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s="11"/>
      <c r="AR1649" s="11"/>
      <c r="AS1649" s="11"/>
      <c r="AT1649" s="11"/>
      <c r="AU1649" s="11"/>
      <c r="AV1649" s="11"/>
      <c r="AW1649" s="11"/>
      <c r="AX1649" s="11"/>
      <c r="AY1649" s="11"/>
    </row>
    <row r="1650" spans="1:51" hidden="1" x14ac:dyDescent="0.2">
      <c r="A1650" s="6" t="s">
        <v>17</v>
      </c>
      <c r="B1650" t="s">
        <v>589</v>
      </c>
      <c r="C1650" t="s">
        <v>590</v>
      </c>
      <c r="D1650" t="s">
        <v>2143</v>
      </c>
      <c r="E1650" s="2">
        <v>50.09</v>
      </c>
      <c r="F1650" s="3">
        <f t="shared" ref="F1650:G1653" si="158">DATE(2025,7,9)</f>
        <v>45847</v>
      </c>
      <c r="G1650" s="3">
        <f t="shared" si="158"/>
        <v>45847</v>
      </c>
      <c r="H1650">
        <v>2444566039</v>
      </c>
      <c r="I1650" t="s">
        <v>192</v>
      </c>
      <c r="K1650" t="s">
        <v>22</v>
      </c>
      <c r="L1650" t="s">
        <v>23</v>
      </c>
      <c r="M1650" t="s">
        <v>24</v>
      </c>
      <c r="N1650" t="s">
        <v>24</v>
      </c>
      <c r="O1650" t="s">
        <v>25</v>
      </c>
      <c r="P1650" s="8" t="s">
        <v>2144</v>
      </c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1"/>
      <c r="AF1650" s="11"/>
      <c r="AG1650" s="11"/>
      <c r="AH1650" s="11"/>
      <c r="AI1650" s="11"/>
      <c r="AJ1650" s="11"/>
      <c r="AK1650" s="11"/>
      <c r="AL1650" s="11"/>
      <c r="AM1650" s="11"/>
      <c r="AN1650" s="11"/>
      <c r="AO1650" s="11"/>
      <c r="AP1650" s="11"/>
      <c r="AQ1650" s="11"/>
      <c r="AR1650" s="11"/>
      <c r="AS1650" s="11"/>
      <c r="AT1650" s="11"/>
      <c r="AU1650" s="11"/>
      <c r="AV1650" s="11"/>
      <c r="AW1650" s="11"/>
      <c r="AX1650" s="11"/>
      <c r="AY1650" s="11"/>
    </row>
    <row r="1651" spans="1:51" hidden="1" x14ac:dyDescent="0.2">
      <c r="A1651" s="6"/>
      <c r="E1651" s="2"/>
      <c r="F1651" s="3"/>
      <c r="G1651" s="3"/>
      <c r="P1651" s="8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11"/>
      <c r="AG1651" s="11"/>
      <c r="AH1651" s="11"/>
      <c r="AI1651" s="11"/>
      <c r="AJ1651" s="11"/>
      <c r="AK1651" s="11"/>
      <c r="AL1651" s="11"/>
      <c r="AM1651" s="11"/>
      <c r="AN1651" s="11"/>
      <c r="AO1651" s="11"/>
      <c r="AP1651" s="11"/>
      <c r="AQ1651" s="11"/>
      <c r="AR1651" s="11"/>
      <c r="AS1651" s="11"/>
      <c r="AT1651" s="11"/>
      <c r="AU1651" s="11"/>
      <c r="AV1651" s="11"/>
      <c r="AW1651" s="11"/>
      <c r="AX1651" s="11"/>
      <c r="AY1651" s="11"/>
    </row>
    <row r="1652" spans="1:51" hidden="1" x14ac:dyDescent="0.2">
      <c r="A1652" s="6"/>
      <c r="E1652" s="2"/>
      <c r="F1652" s="3"/>
      <c r="G1652" s="3"/>
      <c r="P1652" s="8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1"/>
      <c r="AF1652" s="11"/>
      <c r="AG1652" s="11"/>
      <c r="AH1652" s="11"/>
      <c r="AI1652" s="11"/>
      <c r="AJ1652" s="11"/>
      <c r="AK1652" s="11"/>
      <c r="AL1652" s="11"/>
      <c r="AM1652" s="11"/>
      <c r="AN1652" s="11"/>
      <c r="AO1652" s="11"/>
      <c r="AP1652" s="11"/>
      <c r="AQ1652" s="11"/>
      <c r="AR1652" s="11"/>
      <c r="AS1652" s="11"/>
      <c r="AT1652" s="11"/>
      <c r="AU1652" s="11"/>
      <c r="AV1652" s="11"/>
      <c r="AW1652" s="11"/>
      <c r="AX1652" s="11"/>
      <c r="AY1652" s="11"/>
    </row>
    <row r="1653" spans="1:51" hidden="1" x14ac:dyDescent="0.2">
      <c r="A1653" s="6" t="s">
        <v>17</v>
      </c>
      <c r="B1653" t="s">
        <v>118</v>
      </c>
      <c r="C1653" t="s">
        <v>119</v>
      </c>
      <c r="D1653" t="s">
        <v>2145</v>
      </c>
      <c r="E1653" s="2">
        <v>28.32</v>
      </c>
      <c r="F1653" s="3">
        <f t="shared" si="158"/>
        <v>45847</v>
      </c>
      <c r="G1653" s="3">
        <f t="shared" si="158"/>
        <v>45847</v>
      </c>
      <c r="H1653">
        <v>2451509733</v>
      </c>
      <c r="I1653" t="s">
        <v>158</v>
      </c>
      <c r="K1653" t="s">
        <v>22</v>
      </c>
      <c r="L1653" t="s">
        <v>23</v>
      </c>
      <c r="M1653" t="s">
        <v>24</v>
      </c>
      <c r="N1653" t="s">
        <v>24</v>
      </c>
      <c r="O1653" t="s">
        <v>25</v>
      </c>
      <c r="P1653" s="8" t="s">
        <v>2146</v>
      </c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11"/>
      <c r="AG1653" s="11"/>
      <c r="AH1653" s="11"/>
      <c r="AI1653" s="11"/>
      <c r="AJ1653" s="11"/>
      <c r="AK1653" s="11"/>
      <c r="AL1653" s="11"/>
      <c r="AM1653" s="11"/>
      <c r="AN1653" s="11"/>
      <c r="AO1653" s="11"/>
      <c r="AP1653" s="11"/>
      <c r="AQ1653" s="11"/>
      <c r="AR1653" s="11"/>
      <c r="AS1653" s="11"/>
      <c r="AT1653" s="11"/>
      <c r="AU1653" s="11"/>
      <c r="AV1653" s="11"/>
      <c r="AW1653" s="11"/>
      <c r="AX1653" s="11"/>
      <c r="AY1653" s="11"/>
    </row>
    <row r="1654" spans="1:51" hidden="1" x14ac:dyDescent="0.2">
      <c r="A1654" s="6" t="s">
        <v>17</v>
      </c>
      <c r="B1654" t="s">
        <v>42</v>
      </c>
      <c r="C1654" t="s">
        <v>43</v>
      </c>
      <c r="D1654" t="s">
        <v>2147</v>
      </c>
      <c r="E1654" s="2">
        <v>143.30000000000001</v>
      </c>
      <c r="F1654" s="3">
        <f t="shared" ref="F1654:G1659" si="159">DATE(2025,7,10)</f>
        <v>45848</v>
      </c>
      <c r="G1654" s="3">
        <f t="shared" si="159"/>
        <v>45848</v>
      </c>
      <c r="H1654">
        <v>2451509734</v>
      </c>
      <c r="I1654" t="s">
        <v>21</v>
      </c>
      <c r="K1654" t="s">
        <v>22</v>
      </c>
      <c r="L1654" t="s">
        <v>23</v>
      </c>
      <c r="M1654" t="s">
        <v>24</v>
      </c>
      <c r="N1654" t="s">
        <v>24</v>
      </c>
      <c r="O1654" t="s">
        <v>25</v>
      </c>
      <c r="P1654" s="8" t="s">
        <v>2148</v>
      </c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11"/>
      <c r="AG1654" s="11"/>
      <c r="AH1654" s="11"/>
      <c r="AI1654" s="11"/>
      <c r="AJ1654" s="11"/>
      <c r="AK1654" s="11"/>
      <c r="AL1654" s="11"/>
      <c r="AM1654" s="11"/>
      <c r="AN1654" s="11"/>
      <c r="AO1654" s="11"/>
      <c r="AP1654" s="11"/>
      <c r="AQ1654" s="11"/>
      <c r="AR1654" s="11"/>
      <c r="AS1654" s="11"/>
      <c r="AT1654" s="11"/>
      <c r="AU1654" s="11"/>
      <c r="AV1654" s="11"/>
      <c r="AW1654" s="11"/>
      <c r="AX1654" s="11"/>
      <c r="AY1654" s="11"/>
    </row>
    <row r="1655" spans="1:51" hidden="1" x14ac:dyDescent="0.2">
      <c r="A1655" s="6" t="s">
        <v>17</v>
      </c>
      <c r="B1655" t="s">
        <v>46</v>
      </c>
      <c r="C1655" t="s">
        <v>47</v>
      </c>
      <c r="D1655" t="s">
        <v>2149</v>
      </c>
      <c r="E1655" s="2">
        <v>4.0999999999999996</v>
      </c>
      <c r="F1655" s="3">
        <f t="shared" si="159"/>
        <v>45848</v>
      </c>
      <c r="G1655" s="3">
        <f t="shared" si="159"/>
        <v>45848</v>
      </c>
      <c r="H1655">
        <v>2451509735</v>
      </c>
      <c r="I1655" t="s">
        <v>21</v>
      </c>
      <c r="K1655" t="s">
        <v>22</v>
      </c>
      <c r="L1655" t="s">
        <v>23</v>
      </c>
      <c r="M1655" t="s">
        <v>24</v>
      </c>
      <c r="N1655" t="s">
        <v>24</v>
      </c>
      <c r="O1655" t="s">
        <v>25</v>
      </c>
      <c r="P1655" s="8" t="s">
        <v>2150</v>
      </c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s="11"/>
      <c r="AR1655" s="11"/>
      <c r="AS1655" s="11"/>
      <c r="AT1655" s="11"/>
      <c r="AU1655" s="11"/>
      <c r="AV1655" s="11"/>
      <c r="AW1655" s="11"/>
      <c r="AX1655" s="11"/>
      <c r="AY1655" s="11"/>
    </row>
    <row r="1656" spans="1:51" hidden="1" x14ac:dyDescent="0.2">
      <c r="A1656" s="6" t="s">
        <v>17</v>
      </c>
      <c r="B1656" t="s">
        <v>46</v>
      </c>
      <c r="C1656" t="s">
        <v>47</v>
      </c>
      <c r="D1656" t="s">
        <v>2151</v>
      </c>
      <c r="E1656" s="2">
        <v>324</v>
      </c>
      <c r="F1656" s="3">
        <f t="shared" si="159"/>
        <v>45848</v>
      </c>
      <c r="G1656" s="3">
        <f t="shared" si="159"/>
        <v>45848</v>
      </c>
      <c r="H1656">
        <v>2451509736</v>
      </c>
      <c r="I1656" t="s">
        <v>21</v>
      </c>
      <c r="K1656" t="s">
        <v>22</v>
      </c>
      <c r="L1656" t="s">
        <v>23</v>
      </c>
      <c r="M1656" t="s">
        <v>24</v>
      </c>
      <c r="N1656" t="s">
        <v>24</v>
      </c>
      <c r="O1656" t="s">
        <v>25</v>
      </c>
      <c r="P1656" s="8" t="s">
        <v>2152</v>
      </c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11"/>
      <c r="AL1656" s="11"/>
      <c r="AM1656" s="11"/>
      <c r="AN1656" s="11"/>
      <c r="AO1656" s="11"/>
      <c r="AP1656" s="11"/>
      <c r="AQ1656" s="11"/>
      <c r="AR1656" s="11"/>
      <c r="AS1656" s="11"/>
      <c r="AT1656" s="11"/>
      <c r="AU1656" s="11"/>
      <c r="AV1656" s="11"/>
      <c r="AW1656" s="11"/>
      <c r="AX1656" s="11"/>
      <c r="AY1656" s="11"/>
    </row>
    <row r="1657" spans="1:51" hidden="1" x14ac:dyDescent="0.2">
      <c r="A1657" s="6" t="s">
        <v>17</v>
      </c>
      <c r="B1657" t="s">
        <v>565</v>
      </c>
      <c r="C1657" t="s">
        <v>566</v>
      </c>
      <c r="D1657" t="s">
        <v>2153</v>
      </c>
      <c r="E1657" s="2">
        <v>2326.48</v>
      </c>
      <c r="F1657" s="3">
        <f t="shared" si="159"/>
        <v>45848</v>
      </c>
      <c r="G1657" s="3">
        <f t="shared" si="159"/>
        <v>45848</v>
      </c>
      <c r="H1657">
        <v>2451509737</v>
      </c>
      <c r="I1657" t="s">
        <v>21</v>
      </c>
      <c r="K1657" t="s">
        <v>22</v>
      </c>
      <c r="L1657" t="s">
        <v>23</v>
      </c>
      <c r="M1657" t="s">
        <v>24</v>
      </c>
      <c r="N1657" t="s">
        <v>24</v>
      </c>
      <c r="O1657" t="s">
        <v>25</v>
      </c>
      <c r="P1657" s="8" t="s">
        <v>2154</v>
      </c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11"/>
      <c r="AG1657" s="11"/>
      <c r="AH1657" s="11"/>
      <c r="AI1657" s="11"/>
      <c r="AJ1657" s="11"/>
      <c r="AK1657" s="11"/>
      <c r="AL1657" s="11"/>
      <c r="AM1657" s="11"/>
      <c r="AN1657" s="11"/>
      <c r="AO1657" s="11"/>
      <c r="AP1657" s="11"/>
      <c r="AQ1657" s="11"/>
      <c r="AR1657" s="11"/>
      <c r="AS1657" s="11"/>
      <c r="AT1657" s="11"/>
      <c r="AU1657" s="11"/>
      <c r="AV1657" s="11"/>
      <c r="AW1657" s="11"/>
      <c r="AX1657" s="11"/>
      <c r="AY1657" s="11"/>
    </row>
    <row r="1658" spans="1:51" hidden="1" x14ac:dyDescent="0.2">
      <c r="A1658" s="6" t="s">
        <v>17</v>
      </c>
      <c r="B1658" t="s">
        <v>1002</v>
      </c>
      <c r="C1658" t="s">
        <v>1003</v>
      </c>
      <c r="D1658" t="s">
        <v>2155</v>
      </c>
      <c r="E1658" s="2">
        <v>3078.33</v>
      </c>
      <c r="F1658" s="3">
        <f t="shared" si="159"/>
        <v>45848</v>
      </c>
      <c r="G1658" s="3">
        <f t="shared" si="159"/>
        <v>45848</v>
      </c>
      <c r="H1658">
        <v>2451509738</v>
      </c>
      <c r="I1658" t="s">
        <v>21</v>
      </c>
      <c r="K1658" t="s">
        <v>22</v>
      </c>
      <c r="L1658" t="s">
        <v>23</v>
      </c>
      <c r="M1658" t="s">
        <v>24</v>
      </c>
      <c r="N1658" t="s">
        <v>24</v>
      </c>
      <c r="O1658" t="s">
        <v>25</v>
      </c>
      <c r="P1658" s="8" t="s">
        <v>2156</v>
      </c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11"/>
      <c r="AG1658" s="11"/>
      <c r="AH1658" s="11"/>
      <c r="AI1658" s="11"/>
      <c r="AJ1658" s="11"/>
      <c r="AK1658" s="11"/>
      <c r="AL1658" s="11"/>
      <c r="AM1658" s="11"/>
      <c r="AN1658" s="11"/>
      <c r="AO1658" s="11"/>
      <c r="AP1658" s="11"/>
      <c r="AQ1658" s="11"/>
      <c r="AR1658" s="11"/>
      <c r="AS1658" s="11"/>
      <c r="AT1658" s="11"/>
      <c r="AU1658" s="11"/>
      <c r="AV1658" s="11"/>
      <c r="AW1658" s="11"/>
      <c r="AX1658" s="11"/>
      <c r="AY1658" s="11"/>
    </row>
    <row r="1659" spans="1:51" hidden="1" x14ac:dyDescent="0.2">
      <c r="A1659" s="6" t="s">
        <v>17</v>
      </c>
      <c r="B1659" t="s">
        <v>64</v>
      </c>
      <c r="C1659" t="s">
        <v>65</v>
      </c>
      <c r="D1659" t="s">
        <v>2157</v>
      </c>
      <c r="E1659" s="2">
        <v>209.71</v>
      </c>
      <c r="F1659" s="3">
        <f t="shared" si="159"/>
        <v>45848</v>
      </c>
      <c r="G1659" s="3">
        <f t="shared" si="159"/>
        <v>45848</v>
      </c>
      <c r="H1659">
        <v>2451509739</v>
      </c>
      <c r="I1659" t="s">
        <v>21</v>
      </c>
      <c r="K1659" t="s">
        <v>22</v>
      </c>
      <c r="L1659" t="s">
        <v>23</v>
      </c>
      <c r="M1659" t="s">
        <v>24</v>
      </c>
      <c r="N1659" t="s">
        <v>24</v>
      </c>
      <c r="O1659" t="s">
        <v>25</v>
      </c>
      <c r="P1659" s="8" t="s">
        <v>2158</v>
      </c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1"/>
      <c r="AJ1659" s="11"/>
      <c r="AK1659" s="11"/>
      <c r="AL1659" s="11"/>
      <c r="AM1659" s="11"/>
      <c r="AN1659" s="11"/>
      <c r="AO1659" s="11"/>
      <c r="AP1659" s="11"/>
      <c r="AQ1659" s="11"/>
      <c r="AR1659" s="11"/>
      <c r="AS1659" s="11"/>
      <c r="AT1659" s="11"/>
      <c r="AU1659" s="11"/>
      <c r="AV1659" s="11"/>
      <c r="AW1659" s="11"/>
      <c r="AX1659" s="11"/>
      <c r="AY1659" s="11"/>
    </row>
    <row r="1660" spans="1:51" hidden="1" x14ac:dyDescent="0.2">
      <c r="A1660" s="6" t="s">
        <v>17</v>
      </c>
      <c r="B1660" t="s">
        <v>118</v>
      </c>
      <c r="C1660" t="s">
        <v>119</v>
      </c>
      <c r="D1660" t="s">
        <v>2159</v>
      </c>
      <c r="E1660" s="2">
        <v>30</v>
      </c>
      <c r="F1660" s="3">
        <f>DATE(2025,7,11)</f>
        <v>45849</v>
      </c>
      <c r="G1660" s="3">
        <f>DATE(2025,7,11)</f>
        <v>45849</v>
      </c>
      <c r="H1660">
        <v>2451509740</v>
      </c>
      <c r="I1660" t="s">
        <v>21</v>
      </c>
      <c r="K1660" t="s">
        <v>22</v>
      </c>
      <c r="L1660" t="s">
        <v>23</v>
      </c>
      <c r="M1660" t="s">
        <v>24</v>
      </c>
      <c r="N1660" t="s">
        <v>24</v>
      </c>
      <c r="O1660" t="s">
        <v>25</v>
      </c>
      <c r="P1660" s="8" t="s">
        <v>2160</v>
      </c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11"/>
      <c r="AG1660" s="11"/>
      <c r="AH1660" s="11"/>
      <c r="AI1660" s="11"/>
      <c r="AJ1660" s="11"/>
      <c r="AK1660" s="11"/>
      <c r="AL1660" s="11"/>
      <c r="AM1660" s="11"/>
      <c r="AN1660" s="11"/>
      <c r="AO1660" s="11"/>
      <c r="AP1660" s="11"/>
      <c r="AQ1660" s="11"/>
      <c r="AR1660" s="11"/>
      <c r="AS1660" s="11"/>
      <c r="AT1660" s="11"/>
      <c r="AU1660" s="11"/>
      <c r="AV1660" s="11"/>
      <c r="AW1660" s="11"/>
      <c r="AX1660" s="11"/>
      <c r="AY1660" s="11"/>
    </row>
    <row r="1661" spans="1:51" hidden="1" x14ac:dyDescent="0.2">
      <c r="A1661" s="6"/>
      <c r="E1661" s="2"/>
      <c r="F1661" s="3"/>
      <c r="G1661" s="3"/>
      <c r="P1661" s="8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11"/>
      <c r="AG1661" s="11"/>
      <c r="AH1661" s="11"/>
      <c r="AI1661" s="11"/>
      <c r="AJ1661" s="11"/>
      <c r="AK1661" s="11"/>
      <c r="AL1661" s="11"/>
      <c r="AM1661" s="11"/>
      <c r="AN1661" s="11"/>
      <c r="AO1661" s="11"/>
      <c r="AP1661" s="11"/>
      <c r="AQ1661" s="11"/>
      <c r="AR1661" s="11"/>
      <c r="AS1661" s="11"/>
      <c r="AT1661" s="11"/>
      <c r="AU1661" s="11"/>
      <c r="AV1661" s="11"/>
      <c r="AW1661" s="11"/>
      <c r="AX1661" s="11"/>
      <c r="AY1661" s="11"/>
    </row>
    <row r="1662" spans="1:51" hidden="1" x14ac:dyDescent="0.2">
      <c r="A1662" s="6"/>
      <c r="E1662" s="2"/>
      <c r="F1662" s="3"/>
      <c r="G1662" s="3"/>
      <c r="P1662" s="8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  <c r="AF1662" s="11"/>
      <c r="AG1662" s="11"/>
      <c r="AH1662" s="11"/>
      <c r="AI1662" s="11"/>
      <c r="AJ1662" s="11"/>
      <c r="AK1662" s="11"/>
      <c r="AL1662" s="11"/>
      <c r="AM1662" s="11"/>
      <c r="AN1662" s="11"/>
      <c r="AO1662" s="11"/>
      <c r="AP1662" s="11"/>
      <c r="AQ1662" s="11"/>
      <c r="AR1662" s="11"/>
      <c r="AS1662" s="11"/>
      <c r="AT1662" s="11"/>
      <c r="AU1662" s="11"/>
      <c r="AV1662" s="11"/>
      <c r="AW1662" s="11"/>
      <c r="AX1662" s="11"/>
      <c r="AY1662" s="11"/>
    </row>
    <row r="1663" spans="1:51" hidden="1" x14ac:dyDescent="0.2">
      <c r="A1663" s="6"/>
      <c r="E1663" s="2"/>
      <c r="F1663" s="3"/>
      <c r="G1663" s="3"/>
      <c r="P1663" s="8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11"/>
      <c r="AG1663" s="11"/>
      <c r="AH1663" s="11"/>
      <c r="AI1663" s="11"/>
      <c r="AJ1663" s="11"/>
      <c r="AK1663" s="11"/>
      <c r="AL1663" s="11"/>
      <c r="AM1663" s="11"/>
      <c r="AN1663" s="11"/>
      <c r="AO1663" s="11"/>
      <c r="AP1663" s="11"/>
      <c r="AQ1663" s="11"/>
      <c r="AR1663" s="11"/>
      <c r="AS1663" s="11"/>
      <c r="AT1663" s="11"/>
      <c r="AU1663" s="11"/>
      <c r="AV1663" s="11"/>
      <c r="AW1663" s="11"/>
      <c r="AX1663" s="11"/>
      <c r="AY1663" s="11"/>
    </row>
    <row r="1664" spans="1:51" hidden="1" x14ac:dyDescent="0.2">
      <c r="A1664" s="6" t="s">
        <v>17</v>
      </c>
      <c r="B1664" t="s">
        <v>980</v>
      </c>
      <c r="C1664" t="s">
        <v>981</v>
      </c>
      <c r="D1664" t="s">
        <v>2161</v>
      </c>
      <c r="E1664" s="2">
        <v>184.15</v>
      </c>
      <c r="F1664" s="3">
        <f t="shared" ref="F1664:G1667" si="160">DATE(2025,7,11)</f>
        <v>45849</v>
      </c>
      <c r="G1664" s="3">
        <f t="shared" si="160"/>
        <v>45849</v>
      </c>
      <c r="H1664">
        <v>2455709752</v>
      </c>
      <c r="I1664" t="s">
        <v>21</v>
      </c>
      <c r="K1664" t="s">
        <v>22</v>
      </c>
      <c r="L1664" t="s">
        <v>23</v>
      </c>
      <c r="M1664" t="s">
        <v>24</v>
      </c>
      <c r="N1664" t="s">
        <v>24</v>
      </c>
      <c r="O1664" t="s">
        <v>25</v>
      </c>
      <c r="P1664" s="8" t="s">
        <v>2162</v>
      </c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11"/>
      <c r="AG1664" s="11"/>
      <c r="AH1664" s="11"/>
      <c r="AI1664" s="11"/>
      <c r="AJ1664" s="11"/>
      <c r="AK1664" s="11"/>
      <c r="AL1664" s="11"/>
      <c r="AM1664" s="11"/>
      <c r="AN1664" s="11"/>
      <c r="AO1664" s="11"/>
      <c r="AP1664" s="11"/>
      <c r="AQ1664" s="11"/>
      <c r="AR1664" s="11"/>
      <c r="AS1664" s="11"/>
      <c r="AT1664" s="11"/>
      <c r="AU1664" s="11"/>
      <c r="AV1664" s="11"/>
      <c r="AW1664" s="11"/>
      <c r="AX1664" s="11"/>
      <c r="AY1664" s="11"/>
    </row>
    <row r="1665" spans="1:51" hidden="1" x14ac:dyDescent="0.2">
      <c r="A1665" s="6" t="s">
        <v>17</v>
      </c>
      <c r="B1665" t="s">
        <v>35</v>
      </c>
      <c r="C1665" t="s">
        <v>35</v>
      </c>
      <c r="D1665" t="s">
        <v>2163</v>
      </c>
      <c r="E1665" s="2">
        <v>30.98</v>
      </c>
      <c r="F1665" s="3">
        <f t="shared" si="160"/>
        <v>45849</v>
      </c>
      <c r="G1665" s="3">
        <f t="shared" si="160"/>
        <v>45849</v>
      </c>
      <c r="H1665">
        <v>2455713966</v>
      </c>
      <c r="I1665" t="s">
        <v>192</v>
      </c>
      <c r="K1665" t="s">
        <v>22</v>
      </c>
      <c r="L1665" t="s">
        <v>23</v>
      </c>
      <c r="M1665" t="s">
        <v>24</v>
      </c>
      <c r="N1665" t="s">
        <v>24</v>
      </c>
      <c r="O1665" t="s">
        <v>25</v>
      </c>
      <c r="P1665" s="8" t="s">
        <v>2164</v>
      </c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11"/>
      <c r="AG1665" s="11"/>
      <c r="AH1665" s="11"/>
      <c r="AI1665" s="11"/>
      <c r="AJ1665" s="11"/>
      <c r="AK1665" s="11"/>
      <c r="AL1665" s="11"/>
      <c r="AM1665" s="11"/>
      <c r="AN1665" s="11"/>
      <c r="AO1665" s="11"/>
      <c r="AP1665" s="11"/>
      <c r="AQ1665" s="11"/>
      <c r="AR1665" s="11"/>
      <c r="AS1665" s="11"/>
      <c r="AT1665" s="11"/>
      <c r="AU1665" s="11"/>
      <c r="AV1665" s="11"/>
      <c r="AW1665" s="11"/>
      <c r="AX1665" s="11"/>
      <c r="AY1665" s="11"/>
    </row>
    <row r="1666" spans="1:51" hidden="1" x14ac:dyDescent="0.2">
      <c r="A1666" s="6"/>
      <c r="E1666" s="2"/>
      <c r="F1666" s="3"/>
      <c r="G1666" s="3"/>
      <c r="P1666" s="8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11"/>
      <c r="AG1666" s="11"/>
      <c r="AH1666" s="11"/>
      <c r="AI1666" s="11"/>
      <c r="AJ1666" s="11"/>
      <c r="AK1666" s="11"/>
      <c r="AL1666" s="11"/>
      <c r="AM1666" s="11"/>
      <c r="AN1666" s="11"/>
      <c r="AO1666" s="11"/>
      <c r="AP1666" s="11"/>
      <c r="AQ1666" s="11"/>
      <c r="AR1666" s="11"/>
      <c r="AS1666" s="11"/>
      <c r="AT1666" s="11"/>
      <c r="AU1666" s="11"/>
      <c r="AV1666" s="11"/>
      <c r="AW1666" s="11"/>
      <c r="AX1666" s="11"/>
      <c r="AY1666" s="11"/>
    </row>
    <row r="1667" spans="1:51" hidden="1" x14ac:dyDescent="0.2">
      <c r="A1667" s="6" t="s">
        <v>17</v>
      </c>
      <c r="B1667" t="s">
        <v>18</v>
      </c>
      <c r="C1667" t="s">
        <v>19</v>
      </c>
      <c r="D1667" t="s">
        <v>2165</v>
      </c>
      <c r="E1667" s="2">
        <v>0.73</v>
      </c>
      <c r="F1667" s="3">
        <f t="shared" si="160"/>
        <v>45849</v>
      </c>
      <c r="G1667" s="3">
        <f t="shared" si="160"/>
        <v>45849</v>
      </c>
      <c r="H1667">
        <v>2455713968</v>
      </c>
      <c r="I1667" t="s">
        <v>192</v>
      </c>
      <c r="K1667" t="s">
        <v>22</v>
      </c>
      <c r="L1667" t="s">
        <v>23</v>
      </c>
      <c r="M1667" t="s">
        <v>24</v>
      </c>
      <c r="N1667" t="s">
        <v>24</v>
      </c>
      <c r="O1667" t="s">
        <v>25</v>
      </c>
      <c r="P1667" s="8" t="s">
        <v>2166</v>
      </c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11"/>
      <c r="AG1667" s="11"/>
      <c r="AH1667" s="11"/>
      <c r="AI1667" s="11"/>
      <c r="AJ1667" s="11"/>
      <c r="AK1667" s="11"/>
      <c r="AL1667" s="11"/>
      <c r="AM1667" s="11"/>
      <c r="AN1667" s="11"/>
      <c r="AO1667" s="11"/>
      <c r="AP1667" s="11"/>
      <c r="AQ1667" s="11"/>
      <c r="AR1667" s="11"/>
      <c r="AS1667" s="11"/>
      <c r="AT1667" s="11"/>
      <c r="AU1667" s="11"/>
      <c r="AV1667" s="11"/>
      <c r="AW1667" s="11"/>
      <c r="AX1667" s="11"/>
      <c r="AY1667" s="11"/>
    </row>
    <row r="1668" spans="1:51" hidden="1" x14ac:dyDescent="0.2">
      <c r="A1668" s="6"/>
      <c r="E1668" s="2"/>
      <c r="F1668" s="3"/>
      <c r="G1668" s="3"/>
      <c r="P1668" s="8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11"/>
      <c r="AG1668" s="11"/>
      <c r="AH1668" s="11"/>
      <c r="AI1668" s="11"/>
      <c r="AJ1668" s="11"/>
      <c r="AK1668" s="11"/>
      <c r="AL1668" s="11"/>
      <c r="AM1668" s="11"/>
      <c r="AN1668" s="11"/>
      <c r="AO1668" s="11"/>
      <c r="AP1668" s="11"/>
      <c r="AQ1668" s="11"/>
      <c r="AR1668" s="11"/>
      <c r="AS1668" s="11"/>
      <c r="AT1668" s="11"/>
      <c r="AU1668" s="11"/>
      <c r="AV1668" s="11"/>
      <c r="AW1668" s="11"/>
      <c r="AX1668" s="11"/>
      <c r="AY1668" s="11"/>
    </row>
    <row r="1669" spans="1:51" hidden="1" x14ac:dyDescent="0.2">
      <c r="A1669" s="6"/>
      <c r="E1669" s="2"/>
      <c r="F1669" s="3"/>
      <c r="G1669" s="3"/>
      <c r="P1669" s="8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11"/>
      <c r="AG1669" s="11"/>
      <c r="AH1669" s="11"/>
      <c r="AI1669" s="11"/>
      <c r="AJ1669" s="11"/>
      <c r="AK1669" s="11"/>
      <c r="AL1669" s="11"/>
      <c r="AM1669" s="11"/>
      <c r="AN1669" s="11"/>
      <c r="AO1669" s="11"/>
      <c r="AP1669" s="11"/>
      <c r="AQ1669" s="11"/>
      <c r="AR1669" s="11"/>
      <c r="AS1669" s="11"/>
      <c r="AT1669" s="11"/>
      <c r="AU1669" s="11"/>
      <c r="AV1669" s="11"/>
      <c r="AW1669" s="11"/>
      <c r="AX1669" s="11"/>
      <c r="AY1669" s="11"/>
    </row>
    <row r="1670" spans="1:51" hidden="1" x14ac:dyDescent="0.2">
      <c r="A1670" s="6"/>
      <c r="E1670" s="2"/>
      <c r="F1670" s="3"/>
      <c r="G1670" s="3"/>
      <c r="P1670" s="8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11"/>
      <c r="AG1670" s="11"/>
      <c r="AH1670" s="11"/>
      <c r="AI1670" s="11"/>
      <c r="AJ1670" s="11"/>
      <c r="AK1670" s="11"/>
      <c r="AL1670" s="11"/>
      <c r="AM1670" s="11"/>
      <c r="AN1670" s="11"/>
      <c r="AO1670" s="11"/>
      <c r="AP1670" s="11"/>
      <c r="AQ1670" s="11"/>
      <c r="AR1670" s="11"/>
      <c r="AS1670" s="11"/>
      <c r="AT1670" s="11"/>
      <c r="AU1670" s="11"/>
      <c r="AV1670" s="11"/>
      <c r="AW1670" s="11"/>
      <c r="AX1670" s="11"/>
      <c r="AY1670" s="11"/>
    </row>
    <row r="1671" spans="1:51" hidden="1" x14ac:dyDescent="0.2">
      <c r="A1671" s="6" t="s">
        <v>17</v>
      </c>
      <c r="B1671" t="s">
        <v>31</v>
      </c>
      <c r="C1671" t="s">
        <v>32</v>
      </c>
      <c r="D1671" t="s">
        <v>2167</v>
      </c>
      <c r="E1671" s="2">
        <v>40</v>
      </c>
      <c r="F1671" s="3">
        <f>DATE(2025,7,13)</f>
        <v>45851</v>
      </c>
      <c r="G1671" s="3">
        <f>DATE(2025,7,13)</f>
        <v>45851</v>
      </c>
      <c r="H1671">
        <v>2471271252</v>
      </c>
      <c r="I1671" t="s">
        <v>158</v>
      </c>
      <c r="K1671" t="s">
        <v>22</v>
      </c>
      <c r="L1671" t="s">
        <v>23</v>
      </c>
      <c r="M1671" t="s">
        <v>24</v>
      </c>
      <c r="N1671" t="s">
        <v>24</v>
      </c>
      <c r="O1671" t="s">
        <v>25</v>
      </c>
      <c r="P1671" s="8" t="s">
        <v>2168</v>
      </c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11"/>
      <c r="AG1671" s="11"/>
      <c r="AH1671" s="11"/>
      <c r="AI1671" s="11"/>
      <c r="AJ1671" s="11"/>
      <c r="AK1671" s="11"/>
      <c r="AL1671" s="11"/>
      <c r="AM1671" s="11"/>
      <c r="AN1671" s="11"/>
      <c r="AO1671" s="11"/>
      <c r="AP1671" s="11"/>
      <c r="AQ1671" s="11"/>
      <c r="AR1671" s="11"/>
      <c r="AS1671" s="11"/>
      <c r="AT1671" s="11"/>
      <c r="AU1671" s="11"/>
      <c r="AV1671" s="11"/>
      <c r="AW1671" s="11"/>
      <c r="AX1671" s="11"/>
      <c r="AY1671" s="11"/>
    </row>
    <row r="1672" spans="1:51" hidden="1" x14ac:dyDescent="0.2">
      <c r="A1672" s="6" t="s">
        <v>17</v>
      </c>
      <c r="B1672" t="s">
        <v>155</v>
      </c>
      <c r="C1672" t="s">
        <v>156</v>
      </c>
      <c r="D1672" t="s">
        <v>2169</v>
      </c>
      <c r="E1672" s="2">
        <v>250</v>
      </c>
      <c r="F1672" s="3">
        <f>DATE(2025,7,15)</f>
        <v>45853</v>
      </c>
      <c r="G1672" s="3">
        <f>DATE(2025,7,15)</f>
        <v>45853</v>
      </c>
      <c r="H1672">
        <v>2471271253</v>
      </c>
      <c r="I1672" t="s">
        <v>21</v>
      </c>
      <c r="K1672" t="s">
        <v>22</v>
      </c>
      <c r="L1672" t="s">
        <v>23</v>
      </c>
      <c r="M1672" t="s">
        <v>24</v>
      </c>
      <c r="N1672" t="s">
        <v>24</v>
      </c>
      <c r="O1672" t="s">
        <v>25</v>
      </c>
      <c r="P1672" s="8" t="s">
        <v>2170</v>
      </c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1"/>
      <c r="AF1672" s="11"/>
      <c r="AG1672" s="11"/>
      <c r="AH1672" s="11"/>
      <c r="AI1672" s="11"/>
      <c r="AJ1672" s="11"/>
      <c r="AK1672" s="11"/>
      <c r="AL1672" s="11"/>
      <c r="AM1672" s="11"/>
      <c r="AN1672" s="11"/>
      <c r="AO1672" s="11"/>
      <c r="AP1672" s="11"/>
      <c r="AQ1672" s="11"/>
      <c r="AR1672" s="11"/>
      <c r="AS1672" s="11"/>
      <c r="AT1672" s="11"/>
      <c r="AU1672" s="11"/>
      <c r="AV1672" s="11"/>
      <c r="AW1672" s="11"/>
      <c r="AX1672" s="11"/>
      <c r="AY1672" s="11"/>
    </row>
    <row r="1673" spans="1:51" hidden="1" x14ac:dyDescent="0.2">
      <c r="A1673" s="6" t="s">
        <v>17</v>
      </c>
      <c r="B1673" t="s">
        <v>84</v>
      </c>
      <c r="C1673" t="s">
        <v>85</v>
      </c>
      <c r="D1673" t="s">
        <v>2171</v>
      </c>
      <c r="E1673" s="2">
        <v>58</v>
      </c>
      <c r="F1673" s="3">
        <f>DATE(2025,7,14)</f>
        <v>45852</v>
      </c>
      <c r="G1673" s="3">
        <f>DATE(2025,7,14)</f>
        <v>45852</v>
      </c>
      <c r="H1673">
        <v>2471271254</v>
      </c>
      <c r="I1673" t="s">
        <v>21</v>
      </c>
      <c r="K1673" t="s">
        <v>22</v>
      </c>
      <c r="L1673" t="s">
        <v>23</v>
      </c>
      <c r="M1673" t="s">
        <v>24</v>
      </c>
      <c r="N1673" t="s">
        <v>24</v>
      </c>
      <c r="O1673" t="s">
        <v>25</v>
      </c>
      <c r="P1673" s="8" t="s">
        <v>2172</v>
      </c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11"/>
      <c r="AG1673" s="11"/>
      <c r="AH1673" s="11"/>
      <c r="AI1673" s="11"/>
      <c r="AJ1673" s="11"/>
      <c r="AK1673" s="11"/>
      <c r="AL1673" s="11"/>
      <c r="AM1673" s="11"/>
      <c r="AN1673" s="11"/>
      <c r="AO1673" s="11"/>
      <c r="AP1673" s="11"/>
      <c r="AQ1673" s="11"/>
      <c r="AR1673" s="11"/>
      <c r="AS1673" s="11"/>
      <c r="AT1673" s="11"/>
      <c r="AU1673" s="11"/>
      <c r="AV1673" s="11"/>
      <c r="AW1673" s="11"/>
      <c r="AX1673" s="11"/>
      <c r="AY1673" s="11"/>
    </row>
    <row r="1674" spans="1:51" hidden="1" x14ac:dyDescent="0.2">
      <c r="A1674" s="6" t="s">
        <v>17</v>
      </c>
      <c r="B1674" t="s">
        <v>46</v>
      </c>
      <c r="C1674" t="s">
        <v>47</v>
      </c>
      <c r="D1674" t="s">
        <v>2173</v>
      </c>
      <c r="E1674" s="2">
        <v>398.4</v>
      </c>
      <c r="F1674" s="3">
        <f t="shared" ref="F1674:G1675" si="161">DATE(2025,7,15)</f>
        <v>45853</v>
      </c>
      <c r="G1674" s="3">
        <f t="shared" si="161"/>
        <v>45853</v>
      </c>
      <c r="H1674">
        <v>2471271255</v>
      </c>
      <c r="I1674" t="s">
        <v>21</v>
      </c>
      <c r="K1674" t="s">
        <v>22</v>
      </c>
      <c r="L1674" t="s">
        <v>23</v>
      </c>
      <c r="M1674" t="s">
        <v>24</v>
      </c>
      <c r="N1674" t="s">
        <v>24</v>
      </c>
      <c r="O1674" t="s">
        <v>25</v>
      </c>
      <c r="P1674" s="8" t="s">
        <v>2174</v>
      </c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11"/>
      <c r="AL1674" s="11"/>
      <c r="AM1674" s="11"/>
      <c r="AN1674" s="11"/>
      <c r="AO1674" s="11"/>
      <c r="AP1674" s="11"/>
      <c r="AQ1674" s="11"/>
      <c r="AR1674" s="11"/>
      <c r="AS1674" s="11"/>
      <c r="AT1674" s="11"/>
      <c r="AU1674" s="11"/>
      <c r="AV1674" s="11"/>
      <c r="AW1674" s="11"/>
      <c r="AX1674" s="11"/>
      <c r="AY1674" s="11"/>
    </row>
    <row r="1675" spans="1:51" hidden="1" x14ac:dyDescent="0.2">
      <c r="A1675" s="6" t="s">
        <v>17</v>
      </c>
      <c r="B1675" t="s">
        <v>31</v>
      </c>
      <c r="C1675" t="s">
        <v>32</v>
      </c>
      <c r="D1675" t="s">
        <v>2175</v>
      </c>
      <c r="E1675" s="2">
        <v>143.91999999999999</v>
      </c>
      <c r="F1675" s="3">
        <f t="shared" si="161"/>
        <v>45853</v>
      </c>
      <c r="G1675" s="3">
        <f t="shared" si="161"/>
        <v>45853</v>
      </c>
      <c r="H1675">
        <v>2471271256</v>
      </c>
      <c r="I1675" t="s">
        <v>21</v>
      </c>
      <c r="K1675" t="s">
        <v>22</v>
      </c>
      <c r="L1675" t="s">
        <v>23</v>
      </c>
      <c r="M1675" t="s">
        <v>24</v>
      </c>
      <c r="N1675" t="s">
        <v>24</v>
      </c>
      <c r="O1675" t="s">
        <v>25</v>
      </c>
      <c r="P1675" s="8" t="s">
        <v>2176</v>
      </c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1"/>
      <c r="AF1675" s="11"/>
      <c r="AG1675" s="11"/>
      <c r="AH1675" s="11"/>
      <c r="AI1675" s="11"/>
      <c r="AJ1675" s="11"/>
      <c r="AK1675" s="11"/>
      <c r="AL1675" s="11"/>
      <c r="AM1675" s="11"/>
      <c r="AN1675" s="11"/>
      <c r="AO1675" s="11"/>
      <c r="AP1675" s="11"/>
      <c r="AQ1675" s="11"/>
      <c r="AR1675" s="11"/>
      <c r="AS1675" s="11"/>
      <c r="AT1675" s="11"/>
      <c r="AU1675" s="11"/>
      <c r="AV1675" s="11"/>
      <c r="AW1675" s="11"/>
      <c r="AX1675" s="11"/>
      <c r="AY1675" s="11"/>
    </row>
    <row r="1676" spans="1:51" hidden="1" x14ac:dyDescent="0.2">
      <c r="A1676" s="6"/>
      <c r="E1676" s="2"/>
      <c r="F1676" s="3"/>
      <c r="G1676" s="3"/>
      <c r="P1676" s="8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11"/>
      <c r="AG1676" s="11"/>
      <c r="AH1676" s="11"/>
      <c r="AI1676" s="11"/>
      <c r="AJ1676" s="11"/>
      <c r="AK1676" s="11"/>
      <c r="AL1676" s="11"/>
      <c r="AM1676" s="11"/>
      <c r="AN1676" s="11"/>
      <c r="AO1676" s="11"/>
      <c r="AP1676" s="11"/>
      <c r="AQ1676" s="11"/>
      <c r="AR1676" s="11"/>
      <c r="AS1676" s="11"/>
      <c r="AT1676" s="11"/>
      <c r="AU1676" s="11"/>
      <c r="AV1676" s="11"/>
      <c r="AW1676" s="11"/>
      <c r="AX1676" s="11"/>
      <c r="AY1676" s="11"/>
    </row>
    <row r="1677" spans="1:51" hidden="1" x14ac:dyDescent="0.2">
      <c r="A1677" s="6"/>
      <c r="E1677" s="2"/>
      <c r="F1677" s="3"/>
      <c r="G1677" s="3"/>
      <c r="P1677" s="8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1"/>
      <c r="AJ1677" s="11"/>
      <c r="AK1677" s="11"/>
      <c r="AL1677" s="11"/>
      <c r="AM1677" s="11"/>
      <c r="AN1677" s="11"/>
      <c r="AO1677" s="11"/>
      <c r="AP1677" s="11"/>
      <c r="AQ1677" s="11"/>
      <c r="AR1677" s="11"/>
      <c r="AS1677" s="11"/>
      <c r="AT1677" s="11"/>
      <c r="AU1677" s="11"/>
      <c r="AV1677" s="11"/>
      <c r="AW1677" s="11"/>
      <c r="AX1677" s="11"/>
      <c r="AY1677" s="11"/>
    </row>
    <row r="1678" spans="1:51" hidden="1" x14ac:dyDescent="0.2">
      <c r="A1678" s="6"/>
      <c r="E1678" s="2"/>
      <c r="F1678" s="3"/>
      <c r="G1678" s="3"/>
      <c r="P1678" s="8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1"/>
      <c r="AF1678" s="11"/>
      <c r="AG1678" s="11"/>
      <c r="AH1678" s="11"/>
      <c r="AI1678" s="11"/>
      <c r="AJ1678" s="11"/>
      <c r="AK1678" s="11"/>
      <c r="AL1678" s="11"/>
      <c r="AM1678" s="11"/>
      <c r="AN1678" s="11"/>
      <c r="AO1678" s="11"/>
      <c r="AP1678" s="11"/>
      <c r="AQ1678" s="11"/>
      <c r="AR1678" s="11"/>
      <c r="AS1678" s="11"/>
      <c r="AT1678" s="11"/>
      <c r="AU1678" s="11"/>
      <c r="AV1678" s="11"/>
      <c r="AW1678" s="11"/>
      <c r="AX1678" s="11"/>
      <c r="AY1678" s="11"/>
    </row>
    <row r="1679" spans="1:51" hidden="1" x14ac:dyDescent="0.2">
      <c r="A1679" s="6" t="s">
        <v>17</v>
      </c>
      <c r="B1679" t="s">
        <v>31</v>
      </c>
      <c r="C1679" t="s">
        <v>32</v>
      </c>
      <c r="D1679" t="s">
        <v>2177</v>
      </c>
      <c r="E1679" s="2">
        <v>127.2</v>
      </c>
      <c r="F1679" s="3">
        <f>DATE(2025,7,15)</f>
        <v>45853</v>
      </c>
      <c r="G1679" s="3">
        <f>DATE(2025,7,15)</f>
        <v>45853</v>
      </c>
      <c r="H1679">
        <v>2471271260</v>
      </c>
      <c r="I1679" t="s">
        <v>21</v>
      </c>
      <c r="K1679" t="s">
        <v>22</v>
      </c>
      <c r="L1679" t="s">
        <v>23</v>
      </c>
      <c r="M1679" t="s">
        <v>24</v>
      </c>
      <c r="N1679" t="s">
        <v>24</v>
      </c>
      <c r="O1679" t="s">
        <v>25</v>
      </c>
      <c r="P1679" s="8" t="s">
        <v>2178</v>
      </c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  <c r="AV1679" s="11"/>
      <c r="AW1679" s="11"/>
      <c r="AX1679" s="11"/>
      <c r="AY1679" s="11"/>
    </row>
    <row r="1680" spans="1:51" hidden="1" x14ac:dyDescent="0.2">
      <c r="A1680" s="6"/>
      <c r="E1680" s="2"/>
      <c r="F1680" s="3"/>
      <c r="G1680" s="3"/>
      <c r="P1680" s="8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1"/>
      <c r="AF1680" s="11"/>
      <c r="AG1680" s="11"/>
      <c r="AH1680" s="11"/>
      <c r="AI1680" s="11"/>
      <c r="AJ1680" s="11"/>
      <c r="AK1680" s="11"/>
      <c r="AL1680" s="11"/>
      <c r="AM1680" s="11"/>
      <c r="AN1680" s="11"/>
      <c r="AO1680" s="11"/>
      <c r="AP1680" s="11"/>
      <c r="AQ1680" s="11"/>
      <c r="AR1680" s="11"/>
      <c r="AS1680" s="11"/>
      <c r="AT1680" s="11"/>
      <c r="AU1680" s="11"/>
      <c r="AV1680" s="11"/>
      <c r="AW1680" s="11"/>
      <c r="AX1680" s="11"/>
      <c r="AY1680" s="11"/>
    </row>
    <row r="1681" spans="1:51" hidden="1" x14ac:dyDescent="0.2">
      <c r="A1681" s="6"/>
      <c r="E1681" s="2"/>
      <c r="F1681" s="3"/>
      <c r="G1681" s="3"/>
      <c r="P1681" s="8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1"/>
      <c r="AF1681" s="11"/>
      <c r="AG1681" s="11"/>
      <c r="AH1681" s="11"/>
      <c r="AI1681" s="11"/>
      <c r="AJ1681" s="11"/>
      <c r="AK1681" s="11"/>
      <c r="AL1681" s="11"/>
      <c r="AM1681" s="11"/>
      <c r="AN1681" s="11"/>
      <c r="AO1681" s="11"/>
      <c r="AP1681" s="11"/>
      <c r="AQ1681" s="11"/>
      <c r="AR1681" s="11"/>
      <c r="AS1681" s="11"/>
      <c r="AT1681" s="11"/>
      <c r="AU1681" s="11"/>
      <c r="AV1681" s="11"/>
      <c r="AW1681" s="11"/>
      <c r="AX1681" s="11"/>
      <c r="AY1681" s="11"/>
    </row>
    <row r="1682" spans="1:51" hidden="1" x14ac:dyDescent="0.2">
      <c r="A1682" s="6" t="s">
        <v>17</v>
      </c>
      <c r="B1682" t="s">
        <v>18</v>
      </c>
      <c r="C1682" t="s">
        <v>19</v>
      </c>
      <c r="D1682" t="s">
        <v>2179</v>
      </c>
      <c r="E1682" s="2">
        <v>1.03</v>
      </c>
      <c r="F1682" s="3">
        <f>DATE(2025,7,15)</f>
        <v>45853</v>
      </c>
      <c r="G1682" s="3">
        <f>DATE(2025,7,15)</f>
        <v>45853</v>
      </c>
      <c r="H1682">
        <v>2471294415</v>
      </c>
      <c r="I1682" t="s">
        <v>192</v>
      </c>
      <c r="K1682" t="s">
        <v>22</v>
      </c>
      <c r="L1682" t="s">
        <v>23</v>
      </c>
      <c r="M1682" t="s">
        <v>24</v>
      </c>
      <c r="N1682" t="s">
        <v>24</v>
      </c>
      <c r="O1682" t="s">
        <v>25</v>
      </c>
      <c r="P1682" s="8" t="s">
        <v>2180</v>
      </c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1"/>
      <c r="AF1682" s="11"/>
      <c r="AG1682" s="11"/>
      <c r="AH1682" s="11"/>
      <c r="AI1682" s="11"/>
      <c r="AJ1682" s="11"/>
      <c r="AK1682" s="11"/>
      <c r="AL1682" s="11"/>
      <c r="AM1682" s="11"/>
      <c r="AN1682" s="11"/>
      <c r="AO1682" s="11"/>
      <c r="AP1682" s="11"/>
      <c r="AQ1682" s="11"/>
      <c r="AR1682" s="11"/>
      <c r="AS1682" s="11"/>
      <c r="AT1682" s="11"/>
      <c r="AU1682" s="11"/>
      <c r="AV1682" s="11"/>
      <c r="AW1682" s="11"/>
      <c r="AX1682" s="11"/>
      <c r="AY1682" s="11"/>
    </row>
    <row r="1683" spans="1:51" hidden="1" x14ac:dyDescent="0.2">
      <c r="A1683" s="6"/>
      <c r="E1683" s="2"/>
      <c r="F1683" s="3"/>
      <c r="G1683" s="3"/>
      <c r="P1683" s="8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11"/>
      <c r="AG1683" s="11"/>
      <c r="AH1683" s="11"/>
      <c r="AI1683" s="11"/>
      <c r="AJ1683" s="11"/>
      <c r="AK1683" s="11"/>
      <c r="AL1683" s="11"/>
      <c r="AM1683" s="11"/>
      <c r="AN1683" s="11"/>
      <c r="AO1683" s="11"/>
      <c r="AP1683" s="11"/>
      <c r="AQ1683" s="11"/>
      <c r="AR1683" s="11"/>
      <c r="AS1683" s="11"/>
      <c r="AT1683" s="11"/>
      <c r="AU1683" s="11"/>
      <c r="AV1683" s="11"/>
      <c r="AW1683" s="11"/>
      <c r="AX1683" s="11"/>
      <c r="AY1683" s="11"/>
    </row>
    <row r="1684" spans="1:51" x14ac:dyDescent="0.2">
      <c r="A1684" s="6" t="s">
        <v>17</v>
      </c>
      <c r="B1684" t="s">
        <v>342</v>
      </c>
      <c r="C1684" t="s">
        <v>342</v>
      </c>
      <c r="D1684" t="s">
        <v>2181</v>
      </c>
      <c r="E1684" s="2">
        <v>44.6</v>
      </c>
      <c r="F1684" s="3">
        <f>DATE(2025,7,18)</f>
        <v>45856</v>
      </c>
      <c r="G1684" s="3">
        <f>DATE(2025,7,18)</f>
        <v>45856</v>
      </c>
      <c r="H1684">
        <v>2558349074</v>
      </c>
      <c r="I1684" t="s">
        <v>192</v>
      </c>
      <c r="K1684" t="s">
        <v>22</v>
      </c>
      <c r="L1684" t="s">
        <v>23</v>
      </c>
      <c r="M1684" t="s">
        <v>24</v>
      </c>
      <c r="N1684" t="s">
        <v>24</v>
      </c>
      <c r="O1684" t="s">
        <v>25</v>
      </c>
      <c r="P1684" s="8" t="s">
        <v>2182</v>
      </c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1"/>
      <c r="AF1684" s="11"/>
      <c r="AG1684" s="11"/>
      <c r="AH1684" s="11"/>
      <c r="AI1684" s="11"/>
      <c r="AJ1684" s="11"/>
      <c r="AK1684" s="11"/>
      <c r="AL1684" s="11"/>
      <c r="AM1684" s="11"/>
      <c r="AN1684" s="11"/>
      <c r="AO1684" s="11"/>
      <c r="AP1684" s="11"/>
      <c r="AQ1684" s="11"/>
      <c r="AR1684" s="11"/>
      <c r="AS1684" s="11"/>
      <c r="AT1684" s="11"/>
      <c r="AU1684" s="11"/>
      <c r="AV1684" s="11"/>
      <c r="AW1684" s="11"/>
      <c r="AX1684" s="11"/>
      <c r="AY1684" s="11"/>
    </row>
    <row r="1685" spans="1:51" hidden="1" x14ac:dyDescent="0.2">
      <c r="A1685" s="6"/>
      <c r="E1685" s="2"/>
      <c r="F1685" s="3"/>
      <c r="G1685" s="3"/>
      <c r="P1685" s="8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11"/>
      <c r="AG1685" s="11"/>
      <c r="AH1685" s="11"/>
      <c r="AI1685" s="11"/>
      <c r="AJ1685" s="11"/>
      <c r="AK1685" s="11"/>
      <c r="AL1685" s="11"/>
      <c r="AM1685" s="11"/>
      <c r="AN1685" s="11"/>
      <c r="AO1685" s="11"/>
      <c r="AP1685" s="11"/>
      <c r="AQ1685" s="11"/>
      <c r="AR1685" s="11"/>
      <c r="AS1685" s="11"/>
      <c r="AT1685" s="11"/>
      <c r="AU1685" s="11"/>
      <c r="AV1685" s="11"/>
      <c r="AW1685" s="11"/>
      <c r="AX1685" s="11"/>
      <c r="AY1685" s="11"/>
    </row>
    <row r="1686" spans="1:51" hidden="1" x14ac:dyDescent="0.2">
      <c r="A1686" s="6" t="s">
        <v>17</v>
      </c>
      <c r="B1686" t="s">
        <v>18</v>
      </c>
      <c r="C1686" t="s">
        <v>19</v>
      </c>
      <c r="D1686" t="s">
        <v>2183</v>
      </c>
      <c r="E1686" s="2">
        <v>0.39</v>
      </c>
      <c r="F1686" s="3">
        <f>DATE(2025,7,30)</f>
        <v>45868</v>
      </c>
      <c r="G1686" s="3">
        <f>DATE(2025,7,30)</f>
        <v>45868</v>
      </c>
      <c r="H1686">
        <v>2558349076</v>
      </c>
      <c r="I1686" t="s">
        <v>192</v>
      </c>
      <c r="K1686" t="s">
        <v>22</v>
      </c>
      <c r="L1686" t="s">
        <v>23</v>
      </c>
      <c r="M1686" t="s">
        <v>24</v>
      </c>
      <c r="N1686" t="s">
        <v>24</v>
      </c>
      <c r="O1686" t="s">
        <v>25</v>
      </c>
      <c r="P1686" s="8" t="s">
        <v>2184</v>
      </c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11"/>
      <c r="AG1686" s="11"/>
      <c r="AH1686" s="11"/>
      <c r="AI1686" s="11"/>
      <c r="AJ1686" s="11"/>
      <c r="AK1686" s="11"/>
      <c r="AL1686" s="11"/>
      <c r="AM1686" s="11"/>
      <c r="AN1686" s="11"/>
      <c r="AO1686" s="11"/>
      <c r="AP1686" s="11"/>
      <c r="AQ1686" s="11"/>
      <c r="AR1686" s="11"/>
      <c r="AS1686" s="11"/>
      <c r="AT1686" s="11"/>
      <c r="AU1686" s="11"/>
      <c r="AV1686" s="11"/>
      <c r="AW1686" s="11"/>
      <c r="AX1686" s="11"/>
      <c r="AY1686" s="11"/>
    </row>
    <row r="1687" spans="1:51" hidden="1" x14ac:dyDescent="0.2">
      <c r="A1687" s="6"/>
      <c r="E1687" s="2"/>
      <c r="F1687" s="3"/>
      <c r="G1687" s="3"/>
      <c r="P1687" s="8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1"/>
      <c r="AF1687" s="11"/>
      <c r="AG1687" s="11"/>
      <c r="AH1687" s="11"/>
      <c r="AI1687" s="11"/>
      <c r="AJ1687" s="11"/>
      <c r="AK1687" s="11"/>
      <c r="AL1687" s="11"/>
      <c r="AM1687" s="11"/>
      <c r="AN1687" s="11"/>
      <c r="AO1687" s="11"/>
      <c r="AP1687" s="11"/>
      <c r="AQ1687" s="11"/>
      <c r="AR1687" s="11"/>
      <c r="AS1687" s="11"/>
      <c r="AT1687" s="11"/>
      <c r="AU1687" s="11"/>
      <c r="AV1687" s="11"/>
      <c r="AW1687" s="11"/>
      <c r="AX1687" s="11"/>
      <c r="AY1687" s="11"/>
    </row>
    <row r="1688" spans="1:51" hidden="1" x14ac:dyDescent="0.2">
      <c r="A1688" s="6"/>
      <c r="E1688" s="2"/>
      <c r="F1688" s="3"/>
      <c r="G1688" s="3"/>
      <c r="P1688" s="8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11"/>
      <c r="AG1688" s="11"/>
      <c r="AH1688" s="11"/>
      <c r="AI1688" s="11"/>
      <c r="AJ1688" s="11"/>
      <c r="AK1688" s="11"/>
      <c r="AL1688" s="11"/>
      <c r="AM1688" s="11"/>
      <c r="AN1688" s="11"/>
      <c r="AO1688" s="11"/>
      <c r="AP1688" s="11"/>
      <c r="AQ1688" s="11"/>
      <c r="AR1688" s="11"/>
      <c r="AS1688" s="11"/>
      <c r="AT1688" s="11"/>
      <c r="AU1688" s="11"/>
      <c r="AV1688" s="11"/>
      <c r="AW1688" s="11"/>
      <c r="AX1688" s="11"/>
      <c r="AY1688" s="11"/>
    </row>
    <row r="1689" spans="1:51" x14ac:dyDescent="0.2">
      <c r="A1689" s="6" t="s">
        <v>17</v>
      </c>
      <c r="B1689" t="s">
        <v>342</v>
      </c>
      <c r="C1689" t="s">
        <v>342</v>
      </c>
      <c r="D1689" t="s">
        <v>2185</v>
      </c>
      <c r="E1689" s="2">
        <v>54.23</v>
      </c>
      <c r="F1689" s="3">
        <f>DATE(2025,7,25)</f>
        <v>45863</v>
      </c>
      <c r="G1689" s="3">
        <f>DATE(2025,7,25)</f>
        <v>45863</v>
      </c>
      <c r="H1689">
        <v>2558349079</v>
      </c>
      <c r="I1689" t="s">
        <v>192</v>
      </c>
      <c r="K1689" t="s">
        <v>22</v>
      </c>
      <c r="L1689" t="s">
        <v>23</v>
      </c>
      <c r="M1689" t="s">
        <v>24</v>
      </c>
      <c r="N1689" t="s">
        <v>24</v>
      </c>
      <c r="O1689" t="s">
        <v>25</v>
      </c>
      <c r="P1689" s="8" t="s">
        <v>2186</v>
      </c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11"/>
      <c r="AG1689" s="11"/>
      <c r="AH1689" s="11"/>
      <c r="AI1689" s="11"/>
      <c r="AJ1689" s="11"/>
      <c r="AK1689" s="11"/>
      <c r="AL1689" s="11"/>
      <c r="AM1689" s="11"/>
      <c r="AN1689" s="11"/>
      <c r="AO1689" s="11"/>
      <c r="AP1689" s="11"/>
      <c r="AQ1689" s="11"/>
      <c r="AR1689" s="11"/>
      <c r="AS1689" s="11"/>
      <c r="AT1689" s="11"/>
      <c r="AU1689" s="11"/>
      <c r="AV1689" s="11"/>
      <c r="AW1689" s="11"/>
      <c r="AX1689" s="11"/>
      <c r="AY1689" s="11"/>
    </row>
    <row r="1690" spans="1:51" hidden="1" x14ac:dyDescent="0.2">
      <c r="A1690" s="6"/>
      <c r="E1690" s="2"/>
      <c r="F1690" s="3"/>
      <c r="G1690" s="3"/>
      <c r="P1690" s="8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11"/>
      <c r="AG1690" s="11"/>
      <c r="AH1690" s="11"/>
      <c r="AI1690" s="11"/>
      <c r="AJ1690" s="11"/>
      <c r="AK1690" s="11"/>
      <c r="AL1690" s="11"/>
      <c r="AM1690" s="11"/>
      <c r="AN1690" s="11"/>
      <c r="AO1690" s="11"/>
      <c r="AP1690" s="11"/>
      <c r="AQ1690" s="11"/>
      <c r="AR1690" s="11"/>
      <c r="AS1690" s="11"/>
      <c r="AT1690" s="11"/>
      <c r="AU1690" s="11"/>
      <c r="AV1690" s="11"/>
      <c r="AW1690" s="11"/>
      <c r="AX1690" s="11"/>
      <c r="AY1690" s="11"/>
    </row>
    <row r="1691" spans="1:51" hidden="1" x14ac:dyDescent="0.2">
      <c r="A1691" s="6"/>
      <c r="E1691" s="2"/>
      <c r="F1691" s="3"/>
      <c r="G1691" s="3"/>
      <c r="P1691" s="8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11"/>
      <c r="AG1691" s="11"/>
      <c r="AH1691" s="11"/>
      <c r="AI1691" s="11"/>
      <c r="AJ1691" s="11"/>
      <c r="AK1691" s="11"/>
      <c r="AL1691" s="11"/>
      <c r="AM1691" s="11"/>
      <c r="AN1691" s="11"/>
      <c r="AO1691" s="11"/>
      <c r="AP1691" s="11"/>
      <c r="AQ1691" s="11"/>
      <c r="AR1691" s="11"/>
      <c r="AS1691" s="11"/>
      <c r="AT1691" s="11"/>
      <c r="AU1691" s="11"/>
      <c r="AV1691" s="11"/>
      <c r="AW1691" s="11"/>
      <c r="AX1691" s="11"/>
      <c r="AY1691" s="11"/>
    </row>
    <row r="1692" spans="1:51" hidden="1" x14ac:dyDescent="0.2">
      <c r="A1692" s="6"/>
      <c r="E1692" s="2"/>
      <c r="F1692" s="3"/>
      <c r="G1692" s="3"/>
      <c r="P1692" s="8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s="11"/>
      <c r="AR1692" s="11"/>
      <c r="AS1692" s="11"/>
      <c r="AT1692" s="11"/>
      <c r="AU1692" s="11"/>
      <c r="AV1692" s="11"/>
      <c r="AW1692" s="11"/>
      <c r="AX1692" s="11"/>
      <c r="AY1692" s="11"/>
    </row>
    <row r="1693" spans="1:51" hidden="1" x14ac:dyDescent="0.2">
      <c r="A1693" s="6" t="s">
        <v>17</v>
      </c>
      <c r="B1693" t="s">
        <v>18</v>
      </c>
      <c r="C1693" t="s">
        <v>19</v>
      </c>
      <c r="D1693" t="s">
        <v>2187</v>
      </c>
      <c r="E1693" s="2">
        <v>3.02</v>
      </c>
      <c r="F1693" s="3">
        <f>DATE(2025,7,29)</f>
        <v>45867</v>
      </c>
      <c r="G1693" s="3">
        <f>DATE(2025,7,29)</f>
        <v>45867</v>
      </c>
      <c r="H1693">
        <v>2558349083</v>
      </c>
      <c r="I1693" t="s">
        <v>192</v>
      </c>
      <c r="K1693" t="s">
        <v>22</v>
      </c>
      <c r="L1693" t="s">
        <v>23</v>
      </c>
      <c r="M1693" t="s">
        <v>24</v>
      </c>
      <c r="N1693" t="s">
        <v>24</v>
      </c>
      <c r="O1693" t="s">
        <v>25</v>
      </c>
      <c r="P1693" s="8" t="s">
        <v>2188</v>
      </c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1"/>
      <c r="AF1693" s="11"/>
      <c r="AG1693" s="11"/>
      <c r="AH1693" s="11"/>
      <c r="AI1693" s="11"/>
      <c r="AJ1693" s="11"/>
      <c r="AK1693" s="11"/>
      <c r="AL1693" s="11"/>
      <c r="AM1693" s="11"/>
      <c r="AN1693" s="11"/>
      <c r="AO1693" s="11"/>
      <c r="AP1693" s="11"/>
      <c r="AQ1693" s="11"/>
      <c r="AR1693" s="11"/>
      <c r="AS1693" s="11"/>
      <c r="AT1693" s="11"/>
      <c r="AU1693" s="11"/>
      <c r="AV1693" s="11"/>
      <c r="AW1693" s="11"/>
      <c r="AX1693" s="11"/>
      <c r="AY1693" s="11"/>
    </row>
    <row r="1694" spans="1:51" hidden="1" x14ac:dyDescent="0.2">
      <c r="A1694" s="6" t="s">
        <v>17</v>
      </c>
      <c r="B1694" t="s">
        <v>18</v>
      </c>
      <c r="C1694" t="s">
        <v>19</v>
      </c>
      <c r="D1694" t="s">
        <v>2189</v>
      </c>
      <c r="E1694" s="2">
        <v>2.62</v>
      </c>
      <c r="F1694" s="3">
        <f>DATE(2025,7,18)</f>
        <v>45856</v>
      </c>
      <c r="G1694" s="3">
        <f>DATE(2025,7,18)</f>
        <v>45856</v>
      </c>
      <c r="H1694">
        <v>2558349084</v>
      </c>
      <c r="I1694" t="s">
        <v>192</v>
      </c>
      <c r="K1694" t="s">
        <v>22</v>
      </c>
      <c r="L1694" t="s">
        <v>23</v>
      </c>
      <c r="M1694" t="s">
        <v>24</v>
      </c>
      <c r="N1694" t="s">
        <v>24</v>
      </c>
      <c r="O1694" t="s">
        <v>25</v>
      </c>
      <c r="P1694" s="8" t="s">
        <v>2190</v>
      </c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11"/>
      <c r="AG1694" s="11"/>
      <c r="AH1694" s="11"/>
      <c r="AI1694" s="11"/>
      <c r="AJ1694" s="11"/>
      <c r="AK1694" s="11"/>
      <c r="AL1694" s="11"/>
      <c r="AM1694" s="11"/>
      <c r="AN1694" s="11"/>
      <c r="AO1694" s="11"/>
      <c r="AP1694" s="11"/>
      <c r="AQ1694" s="11"/>
      <c r="AR1694" s="11"/>
      <c r="AS1694" s="11"/>
      <c r="AT1694" s="11"/>
      <c r="AU1694" s="11"/>
      <c r="AV1694" s="11"/>
      <c r="AW1694" s="11"/>
      <c r="AX1694" s="11"/>
      <c r="AY1694" s="11"/>
    </row>
    <row r="1695" spans="1:51" hidden="1" x14ac:dyDescent="0.2">
      <c r="A1695" s="6"/>
      <c r="E1695" s="2"/>
      <c r="F1695" s="3"/>
      <c r="G1695" s="3"/>
      <c r="P1695" s="8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1"/>
      <c r="AJ1695" s="11"/>
      <c r="AK1695" s="11"/>
      <c r="AL1695" s="11"/>
      <c r="AM1695" s="11"/>
      <c r="AN1695" s="11"/>
      <c r="AO1695" s="11"/>
      <c r="AP1695" s="11"/>
      <c r="AQ1695" s="11"/>
      <c r="AR1695" s="11"/>
      <c r="AS1695" s="11"/>
      <c r="AT1695" s="11"/>
      <c r="AU1695" s="11"/>
      <c r="AV1695" s="11"/>
      <c r="AW1695" s="11"/>
      <c r="AX1695" s="11"/>
      <c r="AY1695" s="11"/>
    </row>
    <row r="1696" spans="1:51" hidden="1" x14ac:dyDescent="0.2">
      <c r="A1696" s="6"/>
      <c r="E1696" s="2"/>
      <c r="F1696" s="3"/>
      <c r="G1696" s="3"/>
      <c r="P1696" s="8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1"/>
      <c r="AF1696" s="11"/>
      <c r="AG1696" s="11"/>
      <c r="AH1696" s="11"/>
      <c r="AI1696" s="11"/>
      <c r="AJ1696" s="11"/>
      <c r="AK1696" s="11"/>
      <c r="AL1696" s="11"/>
      <c r="AM1696" s="11"/>
      <c r="AN1696" s="11"/>
      <c r="AO1696" s="11"/>
      <c r="AP1696" s="11"/>
      <c r="AQ1696" s="11"/>
      <c r="AR1696" s="11"/>
      <c r="AS1696" s="11"/>
      <c r="AT1696" s="11"/>
      <c r="AU1696" s="11"/>
      <c r="AV1696" s="11"/>
      <c r="AW1696" s="11"/>
      <c r="AX1696" s="11"/>
      <c r="AY1696" s="11"/>
    </row>
    <row r="1697" spans="1:51" hidden="1" x14ac:dyDescent="0.2">
      <c r="A1697" s="6"/>
      <c r="E1697" s="2"/>
      <c r="F1697" s="3"/>
      <c r="G1697" s="3"/>
      <c r="P1697" s="8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11"/>
      <c r="AG1697" s="11"/>
      <c r="AH1697" s="11"/>
      <c r="AI1697" s="11"/>
      <c r="AJ1697" s="11"/>
      <c r="AK1697" s="11"/>
      <c r="AL1697" s="11"/>
      <c r="AM1697" s="11"/>
      <c r="AN1697" s="11"/>
      <c r="AO1697" s="11"/>
      <c r="AP1697" s="11"/>
      <c r="AQ1697" s="11"/>
      <c r="AR1697" s="11"/>
      <c r="AS1697" s="11"/>
      <c r="AT1697" s="11"/>
      <c r="AU1697" s="11"/>
      <c r="AV1697" s="11"/>
      <c r="AW1697" s="11"/>
      <c r="AX1697" s="11"/>
      <c r="AY1697" s="11"/>
    </row>
    <row r="1698" spans="1:51" hidden="1" x14ac:dyDescent="0.2">
      <c r="A1698" s="6"/>
      <c r="E1698" s="2"/>
      <c r="F1698" s="3"/>
      <c r="G1698" s="3"/>
      <c r="P1698" s="8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1"/>
      <c r="AF1698" s="11"/>
      <c r="AG1698" s="11"/>
      <c r="AH1698" s="11"/>
      <c r="AI1698" s="11"/>
      <c r="AJ1698" s="11"/>
      <c r="AK1698" s="11"/>
      <c r="AL1698" s="11"/>
      <c r="AM1698" s="11"/>
      <c r="AN1698" s="11"/>
      <c r="AO1698" s="11"/>
      <c r="AP1698" s="11"/>
      <c r="AQ1698" s="11"/>
      <c r="AR1698" s="11"/>
      <c r="AS1698" s="11"/>
      <c r="AT1698" s="11"/>
      <c r="AU1698" s="11"/>
      <c r="AV1698" s="11"/>
      <c r="AW1698" s="11"/>
      <c r="AX1698" s="11"/>
      <c r="AY1698" s="11"/>
    </row>
    <row r="1699" spans="1:51" hidden="1" x14ac:dyDescent="0.2">
      <c r="A1699" s="6" t="s">
        <v>17</v>
      </c>
      <c r="B1699" t="s">
        <v>18</v>
      </c>
      <c r="C1699" t="s">
        <v>19</v>
      </c>
      <c r="D1699" t="s">
        <v>2191</v>
      </c>
      <c r="E1699" s="2">
        <v>2.95</v>
      </c>
      <c r="F1699" s="3">
        <f>DATE(2025,7,21)</f>
        <v>45859</v>
      </c>
      <c r="G1699" s="3">
        <f>DATE(2025,7,21)</f>
        <v>45859</v>
      </c>
      <c r="H1699">
        <v>2558349089</v>
      </c>
      <c r="I1699" t="s">
        <v>192</v>
      </c>
      <c r="K1699" t="s">
        <v>22</v>
      </c>
      <c r="L1699" t="s">
        <v>23</v>
      </c>
      <c r="M1699" t="s">
        <v>24</v>
      </c>
      <c r="N1699" t="s">
        <v>24</v>
      </c>
      <c r="O1699" t="s">
        <v>25</v>
      </c>
      <c r="P1699" s="8" t="s">
        <v>2192</v>
      </c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1"/>
      <c r="AF1699" s="11"/>
      <c r="AG1699" s="11"/>
      <c r="AH1699" s="11"/>
      <c r="AI1699" s="11"/>
      <c r="AJ1699" s="11"/>
      <c r="AK1699" s="11"/>
      <c r="AL1699" s="11"/>
      <c r="AM1699" s="11"/>
      <c r="AN1699" s="11"/>
      <c r="AO1699" s="11"/>
      <c r="AP1699" s="11"/>
      <c r="AQ1699" s="11"/>
      <c r="AR1699" s="11"/>
      <c r="AS1699" s="11"/>
      <c r="AT1699" s="11"/>
      <c r="AU1699" s="11"/>
      <c r="AV1699" s="11"/>
      <c r="AW1699" s="11"/>
      <c r="AX1699" s="11"/>
      <c r="AY1699" s="11"/>
    </row>
    <row r="1700" spans="1:51" hidden="1" x14ac:dyDescent="0.2">
      <c r="A1700" s="6"/>
      <c r="E1700" s="2"/>
      <c r="F1700" s="3"/>
      <c r="G1700" s="3"/>
      <c r="P1700" s="8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1"/>
      <c r="AF1700" s="11"/>
      <c r="AG1700" s="11"/>
      <c r="AH1700" s="11"/>
      <c r="AI1700" s="11"/>
      <c r="AJ1700" s="11"/>
      <c r="AK1700" s="11"/>
      <c r="AL1700" s="11"/>
      <c r="AM1700" s="11"/>
      <c r="AN1700" s="11"/>
      <c r="AO1700" s="11"/>
      <c r="AP1700" s="11"/>
      <c r="AQ1700" s="11"/>
      <c r="AR1700" s="11"/>
      <c r="AS1700" s="11"/>
      <c r="AT1700" s="11"/>
      <c r="AU1700" s="11"/>
      <c r="AV1700" s="11"/>
      <c r="AW1700" s="11"/>
      <c r="AX1700" s="11"/>
      <c r="AY1700" s="11"/>
    </row>
    <row r="1701" spans="1:51" hidden="1" x14ac:dyDescent="0.2">
      <c r="A1701" s="6"/>
      <c r="E1701" s="2"/>
      <c r="F1701" s="3"/>
      <c r="G1701" s="3"/>
      <c r="P1701" s="8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11"/>
      <c r="AG1701" s="11"/>
      <c r="AH1701" s="11"/>
      <c r="AI1701" s="11"/>
      <c r="AJ1701" s="11"/>
      <c r="AK1701" s="11"/>
      <c r="AL1701" s="11"/>
      <c r="AM1701" s="11"/>
      <c r="AN1701" s="11"/>
      <c r="AO1701" s="11"/>
      <c r="AP1701" s="11"/>
      <c r="AQ1701" s="11"/>
      <c r="AR1701" s="11"/>
      <c r="AS1701" s="11"/>
      <c r="AT1701" s="11"/>
      <c r="AU1701" s="11"/>
      <c r="AV1701" s="11"/>
      <c r="AW1701" s="11"/>
      <c r="AX1701" s="11"/>
      <c r="AY1701" s="11"/>
    </row>
    <row r="1702" spans="1:51" hidden="1" x14ac:dyDescent="0.2">
      <c r="A1702" s="6"/>
      <c r="E1702" s="2"/>
      <c r="F1702" s="3"/>
      <c r="G1702" s="3"/>
      <c r="P1702" s="8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1"/>
      <c r="AF1702" s="11"/>
      <c r="AG1702" s="11"/>
      <c r="AH1702" s="11"/>
      <c r="AI1702" s="11"/>
      <c r="AJ1702" s="11"/>
      <c r="AK1702" s="11"/>
      <c r="AL1702" s="11"/>
      <c r="AM1702" s="11"/>
      <c r="AN1702" s="11"/>
      <c r="AO1702" s="11"/>
      <c r="AP1702" s="11"/>
      <c r="AQ1702" s="11"/>
      <c r="AR1702" s="11"/>
      <c r="AS1702" s="11"/>
      <c r="AT1702" s="11"/>
      <c r="AU1702" s="11"/>
      <c r="AV1702" s="11"/>
      <c r="AW1702" s="11"/>
      <c r="AX1702" s="11"/>
      <c r="AY1702" s="11"/>
    </row>
    <row r="1703" spans="1:51" hidden="1" x14ac:dyDescent="0.2">
      <c r="A1703" s="6"/>
      <c r="E1703" s="2"/>
      <c r="F1703" s="3"/>
      <c r="G1703" s="3"/>
      <c r="P1703" s="8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s="11"/>
      <c r="AR1703" s="11"/>
      <c r="AS1703" s="11"/>
      <c r="AT1703" s="11"/>
      <c r="AU1703" s="11"/>
      <c r="AV1703" s="11"/>
      <c r="AW1703" s="11"/>
      <c r="AX1703" s="11"/>
      <c r="AY1703" s="11"/>
    </row>
    <row r="1704" spans="1:51" hidden="1" x14ac:dyDescent="0.2">
      <c r="A1704" s="6"/>
      <c r="E1704" s="2"/>
      <c r="F1704" s="3"/>
      <c r="G1704" s="3"/>
      <c r="P1704" s="8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1"/>
      <c r="AF1704" s="11"/>
      <c r="AG1704" s="11"/>
      <c r="AH1704" s="11"/>
      <c r="AI1704" s="11"/>
      <c r="AJ1704" s="11"/>
      <c r="AK1704" s="11"/>
      <c r="AL1704" s="11"/>
      <c r="AM1704" s="11"/>
      <c r="AN1704" s="11"/>
      <c r="AO1704" s="11"/>
      <c r="AP1704" s="11"/>
      <c r="AQ1704" s="11"/>
      <c r="AR1704" s="11"/>
      <c r="AS1704" s="11"/>
      <c r="AT1704" s="11"/>
      <c r="AU1704" s="11"/>
      <c r="AV1704" s="11"/>
      <c r="AW1704" s="11"/>
      <c r="AX1704" s="11"/>
      <c r="AY1704" s="11"/>
    </row>
    <row r="1705" spans="1:51" hidden="1" x14ac:dyDescent="0.2">
      <c r="A1705" s="6" t="s">
        <v>17</v>
      </c>
      <c r="B1705" t="s">
        <v>173</v>
      </c>
      <c r="C1705" t="s">
        <v>154</v>
      </c>
      <c r="D1705" t="s">
        <v>2193</v>
      </c>
      <c r="E1705" s="2">
        <v>30.16</v>
      </c>
      <c r="F1705" s="3">
        <f>DATE(2025,7,18)</f>
        <v>45856</v>
      </c>
      <c r="G1705" s="3">
        <f>DATE(2025,7,18)</f>
        <v>45856</v>
      </c>
      <c r="H1705">
        <v>2558349095</v>
      </c>
      <c r="I1705" t="s">
        <v>192</v>
      </c>
      <c r="K1705" t="s">
        <v>22</v>
      </c>
      <c r="L1705" t="s">
        <v>23</v>
      </c>
      <c r="M1705" t="s">
        <v>24</v>
      </c>
      <c r="N1705" t="s">
        <v>24</v>
      </c>
      <c r="O1705" t="s">
        <v>25</v>
      </c>
      <c r="P1705" s="8" t="s">
        <v>2194</v>
      </c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1"/>
      <c r="AF1705" s="11"/>
      <c r="AG1705" s="11"/>
      <c r="AH1705" s="11"/>
      <c r="AI1705" s="11"/>
      <c r="AJ1705" s="11"/>
      <c r="AK1705" s="11"/>
      <c r="AL1705" s="11"/>
      <c r="AM1705" s="11"/>
      <c r="AN1705" s="11"/>
      <c r="AO1705" s="11"/>
      <c r="AP1705" s="11"/>
      <c r="AQ1705" s="11"/>
      <c r="AR1705" s="11"/>
      <c r="AS1705" s="11"/>
      <c r="AT1705" s="11"/>
      <c r="AU1705" s="11"/>
      <c r="AV1705" s="11"/>
      <c r="AW1705" s="11"/>
      <c r="AX1705" s="11"/>
      <c r="AY1705" s="11"/>
    </row>
    <row r="1706" spans="1:51" hidden="1" x14ac:dyDescent="0.2">
      <c r="A1706" s="6" t="s">
        <v>17</v>
      </c>
      <c r="B1706" t="s">
        <v>18</v>
      </c>
      <c r="C1706" t="s">
        <v>19</v>
      </c>
      <c r="D1706" t="s">
        <v>2195</v>
      </c>
      <c r="E1706" s="2">
        <v>1.57</v>
      </c>
      <c r="F1706" s="3">
        <f>DATE(2025,7,25)</f>
        <v>45863</v>
      </c>
      <c r="G1706" s="3">
        <f>DATE(2025,7,25)</f>
        <v>45863</v>
      </c>
      <c r="H1706">
        <v>2558349096</v>
      </c>
      <c r="I1706" t="s">
        <v>192</v>
      </c>
      <c r="K1706" t="s">
        <v>22</v>
      </c>
      <c r="L1706" t="s">
        <v>23</v>
      </c>
      <c r="M1706" t="s">
        <v>24</v>
      </c>
      <c r="N1706" t="s">
        <v>24</v>
      </c>
      <c r="O1706" t="s">
        <v>25</v>
      </c>
      <c r="P1706" s="8" t="s">
        <v>2196</v>
      </c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11"/>
      <c r="AG1706" s="11"/>
      <c r="AH1706" s="11"/>
      <c r="AI1706" s="11"/>
      <c r="AJ1706" s="11"/>
      <c r="AK1706" s="11"/>
      <c r="AL1706" s="11"/>
      <c r="AM1706" s="11"/>
      <c r="AN1706" s="11"/>
      <c r="AO1706" s="11"/>
      <c r="AP1706" s="11"/>
      <c r="AQ1706" s="11"/>
      <c r="AR1706" s="11"/>
      <c r="AS1706" s="11"/>
      <c r="AT1706" s="11"/>
      <c r="AU1706" s="11"/>
      <c r="AV1706" s="11"/>
      <c r="AW1706" s="11"/>
      <c r="AX1706" s="11"/>
      <c r="AY1706" s="11"/>
    </row>
    <row r="1707" spans="1:51" hidden="1" x14ac:dyDescent="0.2">
      <c r="A1707" s="6"/>
      <c r="E1707" s="2"/>
      <c r="F1707" s="3"/>
      <c r="G1707" s="3"/>
      <c r="P1707" s="8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11"/>
      <c r="AG1707" s="11"/>
      <c r="AH1707" s="11"/>
      <c r="AI1707" s="11"/>
      <c r="AJ1707" s="11"/>
      <c r="AK1707" s="11"/>
      <c r="AL1707" s="11"/>
      <c r="AM1707" s="11"/>
      <c r="AN1707" s="11"/>
      <c r="AO1707" s="11"/>
      <c r="AP1707" s="11"/>
      <c r="AQ1707" s="11"/>
      <c r="AR1707" s="11"/>
      <c r="AS1707" s="11"/>
      <c r="AT1707" s="11"/>
      <c r="AU1707" s="11"/>
      <c r="AV1707" s="11"/>
      <c r="AW1707" s="11"/>
      <c r="AX1707" s="11"/>
      <c r="AY1707" s="11"/>
    </row>
    <row r="1708" spans="1:51" hidden="1" x14ac:dyDescent="0.2">
      <c r="A1708" s="6"/>
      <c r="E1708" s="2"/>
      <c r="F1708" s="3"/>
      <c r="G1708" s="3"/>
      <c r="P1708" s="8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11"/>
      <c r="AG1708" s="11"/>
      <c r="AH1708" s="11"/>
      <c r="AI1708" s="11"/>
      <c r="AJ1708" s="11"/>
      <c r="AK1708" s="11"/>
      <c r="AL1708" s="11"/>
      <c r="AM1708" s="11"/>
      <c r="AN1708" s="11"/>
      <c r="AO1708" s="11"/>
      <c r="AP1708" s="11"/>
      <c r="AQ1708" s="11"/>
      <c r="AR1708" s="11"/>
      <c r="AS1708" s="11"/>
      <c r="AT1708" s="11"/>
      <c r="AU1708" s="11"/>
      <c r="AV1708" s="11"/>
      <c r="AW1708" s="11"/>
      <c r="AX1708" s="11"/>
      <c r="AY1708" s="11"/>
    </row>
    <row r="1709" spans="1:51" hidden="1" x14ac:dyDescent="0.2">
      <c r="A1709" s="6"/>
      <c r="E1709" s="2"/>
      <c r="F1709" s="3"/>
      <c r="G1709" s="3"/>
      <c r="P1709" s="8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11"/>
      <c r="AG1709" s="11"/>
      <c r="AH1709" s="11"/>
      <c r="AI1709" s="11"/>
      <c r="AJ1709" s="11"/>
      <c r="AK1709" s="11"/>
      <c r="AL1709" s="11"/>
      <c r="AM1709" s="11"/>
      <c r="AN1709" s="11"/>
      <c r="AO1709" s="11"/>
      <c r="AP1709" s="11"/>
      <c r="AQ1709" s="11"/>
      <c r="AR1709" s="11"/>
      <c r="AS1709" s="11"/>
      <c r="AT1709" s="11"/>
      <c r="AU1709" s="11"/>
      <c r="AV1709" s="11"/>
      <c r="AW1709" s="11"/>
      <c r="AX1709" s="11"/>
      <c r="AY1709" s="11"/>
    </row>
    <row r="1710" spans="1:51" x14ac:dyDescent="0.2">
      <c r="A1710" s="6" t="s">
        <v>17</v>
      </c>
      <c r="B1710" t="s">
        <v>342</v>
      </c>
      <c r="C1710" t="s">
        <v>342</v>
      </c>
      <c r="D1710" t="s">
        <v>2181</v>
      </c>
      <c r="E1710" s="2">
        <v>44.6</v>
      </c>
      <c r="F1710" s="3">
        <f>DATE(2025,7,18)</f>
        <v>45856</v>
      </c>
      <c r="G1710" s="3">
        <f>DATE(2025,7,18)</f>
        <v>45856</v>
      </c>
      <c r="H1710">
        <v>2558349100</v>
      </c>
      <c r="I1710" t="s">
        <v>192</v>
      </c>
      <c r="K1710" t="s">
        <v>22</v>
      </c>
      <c r="L1710" t="s">
        <v>23</v>
      </c>
      <c r="M1710" t="s">
        <v>24</v>
      </c>
      <c r="N1710" t="s">
        <v>24</v>
      </c>
      <c r="O1710" t="s">
        <v>25</v>
      </c>
      <c r="P1710" s="8" t="s">
        <v>2197</v>
      </c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1"/>
      <c r="AL1710" s="11"/>
      <c r="AM1710" s="11"/>
      <c r="AN1710" s="11"/>
      <c r="AO1710" s="11"/>
      <c r="AP1710" s="11"/>
      <c r="AQ1710" s="11"/>
      <c r="AR1710" s="11"/>
      <c r="AS1710" s="11"/>
      <c r="AT1710" s="11"/>
      <c r="AU1710" s="11"/>
      <c r="AV1710" s="11"/>
      <c r="AW1710" s="11"/>
      <c r="AX1710" s="11"/>
      <c r="AY1710" s="11"/>
    </row>
    <row r="1711" spans="1:51" hidden="1" x14ac:dyDescent="0.2">
      <c r="A1711" s="6"/>
      <c r="E1711" s="2"/>
      <c r="F1711" s="3"/>
      <c r="G1711" s="3"/>
      <c r="P1711" s="8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1"/>
      <c r="AF1711" s="11"/>
      <c r="AG1711" s="11"/>
      <c r="AH1711" s="11"/>
      <c r="AI1711" s="11"/>
      <c r="AJ1711" s="11"/>
      <c r="AK1711" s="11"/>
      <c r="AL1711" s="11"/>
      <c r="AM1711" s="11"/>
      <c r="AN1711" s="11"/>
      <c r="AO1711" s="11"/>
      <c r="AP1711" s="11"/>
      <c r="AQ1711" s="11"/>
      <c r="AR1711" s="11"/>
      <c r="AS1711" s="11"/>
      <c r="AT1711" s="11"/>
      <c r="AU1711" s="11"/>
      <c r="AV1711" s="11"/>
      <c r="AW1711" s="11"/>
      <c r="AX1711" s="11"/>
      <c r="AY1711" s="11"/>
    </row>
    <row r="1712" spans="1:51" hidden="1" x14ac:dyDescent="0.2">
      <c r="A1712" s="6"/>
      <c r="E1712" s="2"/>
      <c r="F1712" s="3"/>
      <c r="G1712" s="3"/>
      <c r="P1712" s="8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s="11"/>
      <c r="AR1712" s="11"/>
      <c r="AS1712" s="11"/>
      <c r="AT1712" s="11"/>
      <c r="AU1712" s="11"/>
      <c r="AV1712" s="11"/>
      <c r="AW1712" s="11"/>
      <c r="AX1712" s="11"/>
      <c r="AY1712" s="11"/>
    </row>
    <row r="1713" spans="1:51" hidden="1" x14ac:dyDescent="0.2">
      <c r="A1713" s="6" t="s">
        <v>17</v>
      </c>
      <c r="B1713" t="s">
        <v>118</v>
      </c>
      <c r="C1713" t="s">
        <v>119</v>
      </c>
      <c r="D1713" t="s">
        <v>2198</v>
      </c>
      <c r="E1713" s="2">
        <v>126.48</v>
      </c>
      <c r="F1713" s="3">
        <f>DATE(2025,7,23)</f>
        <v>45861</v>
      </c>
      <c r="G1713" s="3">
        <f>DATE(2025,7,23)</f>
        <v>45861</v>
      </c>
      <c r="H1713">
        <v>2558349103</v>
      </c>
      <c r="I1713" t="s">
        <v>192</v>
      </c>
      <c r="K1713" t="s">
        <v>22</v>
      </c>
      <c r="L1713" t="s">
        <v>23</v>
      </c>
      <c r="M1713" t="s">
        <v>24</v>
      </c>
      <c r="N1713" t="s">
        <v>24</v>
      </c>
      <c r="O1713" t="s">
        <v>25</v>
      </c>
      <c r="P1713" s="8" t="s">
        <v>2199</v>
      </c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1"/>
      <c r="AJ1713" s="11"/>
      <c r="AK1713" s="11"/>
      <c r="AL1713" s="11"/>
      <c r="AM1713" s="11"/>
      <c r="AN1713" s="11"/>
      <c r="AO1713" s="11"/>
      <c r="AP1713" s="11"/>
      <c r="AQ1713" s="11"/>
      <c r="AR1713" s="11"/>
      <c r="AS1713" s="11"/>
      <c r="AT1713" s="11"/>
      <c r="AU1713" s="11"/>
      <c r="AV1713" s="11"/>
      <c r="AW1713" s="11"/>
      <c r="AX1713" s="11"/>
      <c r="AY1713" s="11"/>
    </row>
    <row r="1714" spans="1:51" hidden="1" x14ac:dyDescent="0.2">
      <c r="A1714" s="6" t="s">
        <v>17</v>
      </c>
      <c r="B1714" t="s">
        <v>118</v>
      </c>
      <c r="C1714" t="s">
        <v>119</v>
      </c>
      <c r="D1714" t="s">
        <v>2200</v>
      </c>
      <c r="E1714" s="2">
        <v>428.63</v>
      </c>
      <c r="F1714" s="3">
        <f>DATE(2025,7,22)</f>
        <v>45860</v>
      </c>
      <c r="G1714" s="3">
        <f>DATE(2025,7,22)</f>
        <v>45860</v>
      </c>
      <c r="H1714">
        <v>2558349104</v>
      </c>
      <c r="I1714" t="s">
        <v>192</v>
      </c>
      <c r="K1714" t="s">
        <v>22</v>
      </c>
      <c r="L1714" t="s">
        <v>23</v>
      </c>
      <c r="M1714" t="s">
        <v>24</v>
      </c>
      <c r="N1714" t="s">
        <v>24</v>
      </c>
      <c r="O1714" t="s">
        <v>25</v>
      </c>
      <c r="P1714" s="8" t="s">
        <v>2201</v>
      </c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1"/>
      <c r="AF1714" s="11"/>
      <c r="AG1714" s="11"/>
      <c r="AH1714" s="11"/>
      <c r="AI1714" s="11"/>
      <c r="AJ1714" s="11"/>
      <c r="AK1714" s="11"/>
      <c r="AL1714" s="11"/>
      <c r="AM1714" s="11"/>
      <c r="AN1714" s="11"/>
      <c r="AO1714" s="11"/>
      <c r="AP1714" s="11"/>
      <c r="AQ1714" s="11"/>
      <c r="AR1714" s="11"/>
      <c r="AS1714" s="11"/>
      <c r="AT1714" s="11"/>
      <c r="AU1714" s="11"/>
      <c r="AV1714" s="11"/>
      <c r="AW1714" s="11"/>
      <c r="AX1714" s="11"/>
      <c r="AY1714" s="11"/>
    </row>
    <row r="1715" spans="1:51" hidden="1" x14ac:dyDescent="0.2">
      <c r="A1715" s="6" t="s">
        <v>17</v>
      </c>
      <c r="B1715" t="s">
        <v>18</v>
      </c>
      <c r="C1715" t="s">
        <v>19</v>
      </c>
      <c r="D1715" t="s">
        <v>2202</v>
      </c>
      <c r="E1715" s="2">
        <v>2.54</v>
      </c>
      <c r="F1715" s="3">
        <f>DATE(2025,7,30)</f>
        <v>45868</v>
      </c>
      <c r="G1715" s="3">
        <f>DATE(2025,7,30)</f>
        <v>45868</v>
      </c>
      <c r="H1715">
        <v>2558349105</v>
      </c>
      <c r="I1715" t="s">
        <v>192</v>
      </c>
      <c r="K1715" t="s">
        <v>22</v>
      </c>
      <c r="L1715" t="s">
        <v>23</v>
      </c>
      <c r="M1715" t="s">
        <v>24</v>
      </c>
      <c r="N1715" t="s">
        <v>24</v>
      </c>
      <c r="O1715" t="s">
        <v>25</v>
      </c>
      <c r="P1715" s="8" t="s">
        <v>2203</v>
      </c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11"/>
      <c r="AG1715" s="11"/>
      <c r="AH1715" s="11"/>
      <c r="AI1715" s="11"/>
      <c r="AJ1715" s="11"/>
      <c r="AK1715" s="11"/>
      <c r="AL1715" s="11"/>
      <c r="AM1715" s="11"/>
      <c r="AN1715" s="11"/>
      <c r="AO1715" s="11"/>
      <c r="AP1715" s="11"/>
      <c r="AQ1715" s="11"/>
      <c r="AR1715" s="11"/>
      <c r="AS1715" s="11"/>
      <c r="AT1715" s="11"/>
      <c r="AU1715" s="11"/>
      <c r="AV1715" s="11"/>
      <c r="AW1715" s="11"/>
      <c r="AX1715" s="11"/>
      <c r="AY1715" s="11"/>
    </row>
    <row r="1716" spans="1:51" hidden="1" x14ac:dyDescent="0.2">
      <c r="A1716" s="6"/>
      <c r="E1716" s="2"/>
      <c r="F1716" s="3"/>
      <c r="G1716" s="3"/>
      <c r="P1716" s="8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1"/>
      <c r="AF1716" s="11"/>
      <c r="AG1716" s="11"/>
      <c r="AH1716" s="11"/>
      <c r="AI1716" s="11"/>
      <c r="AJ1716" s="11"/>
      <c r="AK1716" s="11"/>
      <c r="AL1716" s="11"/>
      <c r="AM1716" s="11"/>
      <c r="AN1716" s="11"/>
      <c r="AO1716" s="11"/>
      <c r="AP1716" s="11"/>
      <c r="AQ1716" s="11"/>
      <c r="AR1716" s="11"/>
      <c r="AS1716" s="11"/>
      <c r="AT1716" s="11"/>
      <c r="AU1716" s="11"/>
      <c r="AV1716" s="11"/>
      <c r="AW1716" s="11"/>
      <c r="AX1716" s="11"/>
      <c r="AY1716" s="11"/>
    </row>
    <row r="1717" spans="1:51" hidden="1" x14ac:dyDescent="0.2">
      <c r="A1717" s="6" t="s">
        <v>17</v>
      </c>
      <c r="B1717" t="s">
        <v>35</v>
      </c>
      <c r="C1717" t="s">
        <v>35</v>
      </c>
      <c r="D1717" t="s">
        <v>242</v>
      </c>
      <c r="E1717" s="2">
        <v>57</v>
      </c>
      <c r="F1717" s="3">
        <f>DATE(2025,7,16)</f>
        <v>45854</v>
      </c>
      <c r="G1717" s="3">
        <f>DATE(2025,7,16)</f>
        <v>45854</v>
      </c>
      <c r="H1717">
        <v>2558349107</v>
      </c>
      <c r="I1717" t="s">
        <v>192</v>
      </c>
      <c r="K1717" t="s">
        <v>22</v>
      </c>
      <c r="L1717" t="s">
        <v>23</v>
      </c>
      <c r="M1717" t="s">
        <v>24</v>
      </c>
      <c r="N1717" t="s">
        <v>24</v>
      </c>
      <c r="O1717" t="s">
        <v>25</v>
      </c>
      <c r="P1717" s="8" t="s">
        <v>2204</v>
      </c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11"/>
      <c r="AG1717" s="11"/>
      <c r="AH1717" s="11"/>
      <c r="AI1717" s="11"/>
      <c r="AJ1717" s="11"/>
      <c r="AK1717" s="11"/>
      <c r="AL1717" s="11"/>
      <c r="AM1717" s="11"/>
      <c r="AN1717" s="11"/>
      <c r="AO1717" s="11"/>
      <c r="AP1717" s="11"/>
      <c r="AQ1717" s="11"/>
      <c r="AR1717" s="11"/>
      <c r="AS1717" s="11"/>
      <c r="AT1717" s="11"/>
      <c r="AU1717" s="11"/>
      <c r="AV1717" s="11"/>
      <c r="AW1717" s="11"/>
      <c r="AX1717" s="11"/>
      <c r="AY1717" s="11"/>
    </row>
    <row r="1718" spans="1:51" hidden="1" x14ac:dyDescent="0.2">
      <c r="A1718" s="6" t="s">
        <v>17</v>
      </c>
      <c r="B1718" t="s">
        <v>18</v>
      </c>
      <c r="C1718" t="s">
        <v>19</v>
      </c>
      <c r="D1718" t="s">
        <v>2205</v>
      </c>
      <c r="E1718" s="2">
        <v>0.31</v>
      </c>
      <c r="F1718" s="3">
        <f>DATE(2025,7,16)</f>
        <v>45854</v>
      </c>
      <c r="G1718" s="3">
        <f>DATE(2025,7,16)</f>
        <v>45854</v>
      </c>
      <c r="H1718">
        <v>2558349108</v>
      </c>
      <c r="I1718" t="s">
        <v>192</v>
      </c>
      <c r="K1718" t="s">
        <v>22</v>
      </c>
      <c r="L1718" t="s">
        <v>23</v>
      </c>
      <c r="M1718" t="s">
        <v>24</v>
      </c>
      <c r="N1718" t="s">
        <v>24</v>
      </c>
      <c r="O1718" t="s">
        <v>25</v>
      </c>
      <c r="P1718" s="8" t="s">
        <v>2206</v>
      </c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11"/>
      <c r="AG1718" s="11"/>
      <c r="AH1718" s="11"/>
      <c r="AI1718" s="11"/>
      <c r="AJ1718" s="11"/>
      <c r="AK1718" s="11"/>
      <c r="AL1718" s="11"/>
      <c r="AM1718" s="11"/>
      <c r="AN1718" s="11"/>
      <c r="AO1718" s="11"/>
      <c r="AP1718" s="11"/>
      <c r="AQ1718" s="11"/>
      <c r="AR1718" s="11"/>
      <c r="AS1718" s="11"/>
      <c r="AT1718" s="11"/>
      <c r="AU1718" s="11"/>
      <c r="AV1718" s="11"/>
      <c r="AW1718" s="11"/>
      <c r="AX1718" s="11"/>
      <c r="AY1718" s="11"/>
    </row>
    <row r="1719" spans="1:51" hidden="1" x14ac:dyDescent="0.2">
      <c r="A1719" s="6"/>
      <c r="E1719" s="2"/>
      <c r="F1719" s="3"/>
      <c r="G1719" s="3"/>
      <c r="P1719" s="8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11"/>
      <c r="AG1719" s="11"/>
      <c r="AH1719" s="11"/>
      <c r="AI1719" s="11"/>
      <c r="AJ1719" s="11"/>
      <c r="AK1719" s="11"/>
      <c r="AL1719" s="11"/>
      <c r="AM1719" s="11"/>
      <c r="AN1719" s="11"/>
      <c r="AO1719" s="11"/>
      <c r="AP1719" s="11"/>
      <c r="AQ1719" s="11"/>
      <c r="AR1719" s="11"/>
      <c r="AS1719" s="11"/>
      <c r="AT1719" s="11"/>
      <c r="AU1719" s="11"/>
      <c r="AV1719" s="11"/>
      <c r="AW1719" s="11"/>
      <c r="AX1719" s="11"/>
      <c r="AY1719" s="11"/>
    </row>
    <row r="1720" spans="1:51" hidden="1" x14ac:dyDescent="0.2">
      <c r="A1720" s="6" t="s">
        <v>17</v>
      </c>
      <c r="B1720" t="s">
        <v>589</v>
      </c>
      <c r="C1720" t="s">
        <v>590</v>
      </c>
      <c r="D1720" t="s">
        <v>2207</v>
      </c>
      <c r="E1720" s="2">
        <v>34.46</v>
      </c>
      <c r="F1720" s="3">
        <f>DATE(2025,7,16)</f>
        <v>45854</v>
      </c>
      <c r="G1720" s="3">
        <f>DATE(2025,7,16)</f>
        <v>45854</v>
      </c>
      <c r="H1720">
        <v>2558349110</v>
      </c>
      <c r="I1720" t="s">
        <v>192</v>
      </c>
      <c r="K1720" t="s">
        <v>22</v>
      </c>
      <c r="L1720" t="s">
        <v>23</v>
      </c>
      <c r="M1720" t="s">
        <v>24</v>
      </c>
      <c r="N1720" t="s">
        <v>24</v>
      </c>
      <c r="O1720" t="s">
        <v>25</v>
      </c>
      <c r="P1720" s="8" t="s">
        <v>2208</v>
      </c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1"/>
      <c r="AF1720" s="11"/>
      <c r="AG1720" s="11"/>
      <c r="AH1720" s="11"/>
      <c r="AI1720" s="11"/>
      <c r="AJ1720" s="11"/>
      <c r="AK1720" s="11"/>
      <c r="AL1720" s="11"/>
      <c r="AM1720" s="11"/>
      <c r="AN1720" s="11"/>
      <c r="AO1720" s="11"/>
      <c r="AP1720" s="11"/>
      <c r="AQ1720" s="11"/>
      <c r="AR1720" s="11"/>
      <c r="AS1720" s="11"/>
      <c r="AT1720" s="11"/>
      <c r="AU1720" s="11"/>
      <c r="AV1720" s="11"/>
      <c r="AW1720" s="11"/>
      <c r="AX1720" s="11"/>
      <c r="AY1720" s="11"/>
    </row>
    <row r="1721" spans="1:51" hidden="1" x14ac:dyDescent="0.2">
      <c r="A1721" s="6"/>
      <c r="E1721" s="2"/>
      <c r="F1721" s="3"/>
      <c r="G1721" s="3"/>
      <c r="P1721" s="8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11"/>
      <c r="AG1721" s="11"/>
      <c r="AH1721" s="11"/>
      <c r="AI1721" s="11"/>
      <c r="AJ1721" s="11"/>
      <c r="AK1721" s="11"/>
      <c r="AL1721" s="11"/>
      <c r="AM1721" s="11"/>
      <c r="AN1721" s="11"/>
      <c r="AO1721" s="11"/>
      <c r="AP1721" s="11"/>
      <c r="AQ1721" s="11"/>
      <c r="AR1721" s="11"/>
      <c r="AS1721" s="11"/>
      <c r="AT1721" s="11"/>
      <c r="AU1721" s="11"/>
      <c r="AV1721" s="11"/>
      <c r="AW1721" s="11"/>
      <c r="AX1721" s="11"/>
      <c r="AY1721" s="11"/>
    </row>
    <row r="1722" spans="1:51" hidden="1" x14ac:dyDescent="0.2">
      <c r="A1722" s="6"/>
      <c r="E1722" s="2"/>
      <c r="F1722" s="3"/>
      <c r="G1722" s="3"/>
      <c r="P1722" s="8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11"/>
      <c r="AG1722" s="11"/>
      <c r="AH1722" s="11"/>
      <c r="AI1722" s="11"/>
      <c r="AJ1722" s="11"/>
      <c r="AK1722" s="11"/>
      <c r="AL1722" s="11"/>
      <c r="AM1722" s="11"/>
      <c r="AN1722" s="11"/>
      <c r="AO1722" s="11"/>
      <c r="AP1722" s="11"/>
      <c r="AQ1722" s="11"/>
      <c r="AR1722" s="11"/>
      <c r="AS1722" s="11"/>
      <c r="AT1722" s="11"/>
      <c r="AU1722" s="11"/>
      <c r="AV1722" s="11"/>
      <c r="AW1722" s="11"/>
      <c r="AX1722" s="11"/>
      <c r="AY1722" s="11"/>
    </row>
    <row r="1723" spans="1:51" hidden="1" x14ac:dyDescent="0.2">
      <c r="A1723" s="6" t="s">
        <v>17</v>
      </c>
      <c r="B1723" t="s">
        <v>18</v>
      </c>
      <c r="C1723" t="s">
        <v>19</v>
      </c>
      <c r="D1723" t="s">
        <v>2209</v>
      </c>
      <c r="E1723" s="2">
        <v>5.29</v>
      </c>
      <c r="F1723" s="3">
        <f>DATE(2025,7,22)</f>
        <v>45860</v>
      </c>
      <c r="G1723" s="3">
        <f>DATE(2025,7,22)</f>
        <v>45860</v>
      </c>
      <c r="H1723">
        <v>2558349113</v>
      </c>
      <c r="I1723" t="s">
        <v>192</v>
      </c>
      <c r="K1723" t="s">
        <v>22</v>
      </c>
      <c r="L1723" t="s">
        <v>23</v>
      </c>
      <c r="M1723" t="s">
        <v>24</v>
      </c>
      <c r="N1723" t="s">
        <v>24</v>
      </c>
      <c r="O1723" t="s">
        <v>25</v>
      </c>
      <c r="P1723" s="8" t="s">
        <v>2210</v>
      </c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1"/>
      <c r="AF1723" s="11"/>
      <c r="AG1723" s="11"/>
      <c r="AH1723" s="11"/>
      <c r="AI1723" s="11"/>
      <c r="AJ1723" s="11"/>
      <c r="AK1723" s="11"/>
      <c r="AL1723" s="11"/>
      <c r="AM1723" s="11"/>
      <c r="AN1723" s="11"/>
      <c r="AO1723" s="11"/>
      <c r="AP1723" s="11"/>
      <c r="AQ1723" s="11"/>
      <c r="AR1723" s="11"/>
      <c r="AS1723" s="11"/>
      <c r="AT1723" s="11"/>
      <c r="AU1723" s="11"/>
      <c r="AV1723" s="11"/>
      <c r="AW1723" s="11"/>
      <c r="AX1723" s="11"/>
      <c r="AY1723" s="11"/>
    </row>
    <row r="1724" spans="1:51" hidden="1" x14ac:dyDescent="0.2">
      <c r="A1724" s="6"/>
      <c r="E1724" s="2"/>
      <c r="F1724" s="3"/>
      <c r="G1724" s="3"/>
      <c r="P1724" s="8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11"/>
      <c r="AG1724" s="11"/>
      <c r="AH1724" s="11"/>
      <c r="AI1724" s="11"/>
      <c r="AJ1724" s="11"/>
      <c r="AK1724" s="11"/>
      <c r="AL1724" s="11"/>
      <c r="AM1724" s="11"/>
      <c r="AN1724" s="11"/>
      <c r="AO1724" s="11"/>
      <c r="AP1724" s="11"/>
      <c r="AQ1724" s="11"/>
      <c r="AR1724" s="11"/>
      <c r="AS1724" s="11"/>
      <c r="AT1724" s="11"/>
      <c r="AU1724" s="11"/>
      <c r="AV1724" s="11"/>
      <c r="AW1724" s="11"/>
      <c r="AX1724" s="11"/>
      <c r="AY1724" s="11"/>
    </row>
    <row r="1725" spans="1:51" hidden="1" x14ac:dyDescent="0.2">
      <c r="A1725" s="6" t="s">
        <v>17</v>
      </c>
      <c r="B1725" t="s">
        <v>118</v>
      </c>
      <c r="C1725" t="s">
        <v>119</v>
      </c>
      <c r="D1725" t="s">
        <v>2211</v>
      </c>
      <c r="E1725" s="2">
        <v>399.99</v>
      </c>
      <c r="F1725" s="3">
        <f>DATE(2025,7,24)</f>
        <v>45862</v>
      </c>
      <c r="G1725" s="3">
        <f>DATE(2025,7,24)</f>
        <v>45862</v>
      </c>
      <c r="H1725">
        <v>2558349115</v>
      </c>
      <c r="I1725" t="s">
        <v>192</v>
      </c>
      <c r="K1725" t="s">
        <v>22</v>
      </c>
      <c r="L1725" t="s">
        <v>23</v>
      </c>
      <c r="M1725" t="s">
        <v>24</v>
      </c>
      <c r="N1725" t="s">
        <v>24</v>
      </c>
      <c r="O1725" t="s">
        <v>25</v>
      </c>
      <c r="P1725" s="8" t="s">
        <v>2212</v>
      </c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/>
      <c r="AF1725" s="11"/>
      <c r="AG1725" s="11"/>
      <c r="AH1725" s="11"/>
      <c r="AI1725" s="11"/>
      <c r="AJ1725" s="11"/>
      <c r="AK1725" s="11"/>
      <c r="AL1725" s="11"/>
      <c r="AM1725" s="11"/>
      <c r="AN1725" s="11"/>
      <c r="AO1725" s="11"/>
      <c r="AP1725" s="11"/>
      <c r="AQ1725" s="11"/>
      <c r="AR1725" s="11"/>
      <c r="AS1725" s="11"/>
      <c r="AT1725" s="11"/>
      <c r="AU1725" s="11"/>
      <c r="AV1725" s="11"/>
      <c r="AW1725" s="11"/>
      <c r="AX1725" s="11"/>
      <c r="AY1725" s="11"/>
    </row>
    <row r="1726" spans="1:51" hidden="1" x14ac:dyDescent="0.2">
      <c r="A1726" s="6"/>
      <c r="E1726" s="2"/>
      <c r="F1726" s="3"/>
      <c r="G1726" s="3"/>
      <c r="P1726" s="8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1"/>
      <c r="AF1726" s="11"/>
      <c r="AG1726" s="11"/>
      <c r="AH1726" s="11"/>
      <c r="AI1726" s="11"/>
      <c r="AJ1726" s="11"/>
      <c r="AK1726" s="11"/>
      <c r="AL1726" s="11"/>
      <c r="AM1726" s="11"/>
      <c r="AN1726" s="11"/>
      <c r="AO1726" s="11"/>
      <c r="AP1726" s="11"/>
      <c r="AQ1726" s="11"/>
      <c r="AR1726" s="11"/>
      <c r="AS1726" s="11"/>
      <c r="AT1726" s="11"/>
      <c r="AU1726" s="11"/>
      <c r="AV1726" s="11"/>
      <c r="AW1726" s="11"/>
      <c r="AX1726" s="11"/>
      <c r="AY1726" s="11"/>
    </row>
    <row r="1727" spans="1:51" hidden="1" x14ac:dyDescent="0.2">
      <c r="A1727" s="6"/>
      <c r="E1727" s="2"/>
      <c r="F1727" s="3"/>
      <c r="G1727" s="3"/>
      <c r="P1727" s="8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1"/>
      <c r="AF1727" s="11"/>
      <c r="AG1727" s="11"/>
      <c r="AH1727" s="11"/>
      <c r="AI1727" s="11"/>
      <c r="AJ1727" s="11"/>
      <c r="AK1727" s="11"/>
      <c r="AL1727" s="11"/>
      <c r="AM1727" s="11"/>
      <c r="AN1727" s="11"/>
      <c r="AO1727" s="11"/>
      <c r="AP1727" s="11"/>
      <c r="AQ1727" s="11"/>
      <c r="AR1727" s="11"/>
      <c r="AS1727" s="11"/>
      <c r="AT1727" s="11"/>
      <c r="AU1727" s="11"/>
      <c r="AV1727" s="11"/>
      <c r="AW1727" s="11"/>
      <c r="AX1727" s="11"/>
      <c r="AY1727" s="11"/>
    </row>
    <row r="1728" spans="1:51" hidden="1" x14ac:dyDescent="0.2">
      <c r="A1728" s="6" t="s">
        <v>17</v>
      </c>
      <c r="B1728" t="s">
        <v>18</v>
      </c>
      <c r="C1728" t="s">
        <v>19</v>
      </c>
      <c r="D1728" t="s">
        <v>2213</v>
      </c>
      <c r="E1728" s="2">
        <v>0.92</v>
      </c>
      <c r="F1728" s="3">
        <f>DATE(2025,7,17)</f>
        <v>45855</v>
      </c>
      <c r="G1728" s="3">
        <f>DATE(2025,7,17)</f>
        <v>45855</v>
      </c>
      <c r="H1728">
        <v>2558349118</v>
      </c>
      <c r="I1728" t="s">
        <v>192</v>
      </c>
      <c r="K1728" t="s">
        <v>22</v>
      </c>
      <c r="L1728" t="s">
        <v>23</v>
      </c>
      <c r="M1728" t="s">
        <v>24</v>
      </c>
      <c r="N1728" t="s">
        <v>24</v>
      </c>
      <c r="O1728" t="s">
        <v>25</v>
      </c>
      <c r="P1728" s="8" t="s">
        <v>2214</v>
      </c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s="11"/>
      <c r="AR1728" s="11"/>
      <c r="AS1728" s="11"/>
      <c r="AT1728" s="11"/>
      <c r="AU1728" s="11"/>
      <c r="AV1728" s="11"/>
      <c r="AW1728" s="11"/>
      <c r="AX1728" s="11"/>
      <c r="AY1728" s="11"/>
    </row>
    <row r="1729" spans="1:51" hidden="1" x14ac:dyDescent="0.2">
      <c r="A1729" s="6"/>
      <c r="E1729" s="2"/>
      <c r="F1729" s="3"/>
      <c r="G1729" s="3"/>
      <c r="P1729" s="8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1"/>
      <c r="AF1729" s="11"/>
      <c r="AG1729" s="11"/>
      <c r="AH1729" s="11"/>
      <c r="AI1729" s="11"/>
      <c r="AJ1729" s="11"/>
      <c r="AK1729" s="11"/>
      <c r="AL1729" s="11"/>
      <c r="AM1729" s="11"/>
      <c r="AN1729" s="11"/>
      <c r="AO1729" s="11"/>
      <c r="AP1729" s="11"/>
      <c r="AQ1729" s="11"/>
      <c r="AR1729" s="11"/>
      <c r="AS1729" s="11"/>
      <c r="AT1729" s="11"/>
      <c r="AU1729" s="11"/>
      <c r="AV1729" s="11"/>
      <c r="AW1729" s="11"/>
      <c r="AX1729" s="11"/>
      <c r="AY1729" s="11"/>
    </row>
    <row r="1730" spans="1:51" hidden="1" x14ac:dyDescent="0.2">
      <c r="A1730" s="6"/>
      <c r="E1730" s="2"/>
      <c r="F1730" s="3"/>
      <c r="G1730" s="3"/>
      <c r="P1730" s="8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11"/>
      <c r="AG1730" s="11"/>
      <c r="AH1730" s="11"/>
      <c r="AI1730" s="11"/>
      <c r="AJ1730" s="11"/>
      <c r="AK1730" s="11"/>
      <c r="AL1730" s="11"/>
      <c r="AM1730" s="11"/>
      <c r="AN1730" s="11"/>
      <c r="AO1730" s="11"/>
      <c r="AP1730" s="11"/>
      <c r="AQ1730" s="11"/>
      <c r="AR1730" s="11"/>
      <c r="AS1730" s="11"/>
      <c r="AT1730" s="11"/>
      <c r="AU1730" s="11"/>
      <c r="AV1730" s="11"/>
      <c r="AW1730" s="11"/>
      <c r="AX1730" s="11"/>
      <c r="AY1730" s="11"/>
    </row>
    <row r="1731" spans="1:51" hidden="1" x14ac:dyDescent="0.2">
      <c r="A1731" s="6"/>
      <c r="E1731" s="2"/>
      <c r="F1731" s="3"/>
      <c r="G1731" s="3"/>
      <c r="P1731" s="8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1"/>
      <c r="AJ1731" s="11"/>
      <c r="AK1731" s="11"/>
      <c r="AL1731" s="11"/>
      <c r="AM1731" s="11"/>
      <c r="AN1731" s="11"/>
      <c r="AO1731" s="11"/>
      <c r="AP1731" s="11"/>
      <c r="AQ1731" s="11"/>
      <c r="AR1731" s="11"/>
      <c r="AS1731" s="11"/>
      <c r="AT1731" s="11"/>
      <c r="AU1731" s="11"/>
      <c r="AV1731" s="11"/>
      <c r="AW1731" s="11"/>
      <c r="AX1731" s="11"/>
      <c r="AY1731" s="11"/>
    </row>
    <row r="1732" spans="1:51" hidden="1" x14ac:dyDescent="0.2">
      <c r="A1732" s="6" t="s">
        <v>17</v>
      </c>
      <c r="B1732" t="s">
        <v>18</v>
      </c>
      <c r="C1732" t="s">
        <v>19</v>
      </c>
      <c r="D1732" t="s">
        <v>2215</v>
      </c>
      <c r="E1732" s="2">
        <v>0.75</v>
      </c>
      <c r="F1732" s="3">
        <f>DATE(2025,7,24)</f>
        <v>45862</v>
      </c>
      <c r="G1732" s="3">
        <f>DATE(2025,7,24)</f>
        <v>45862</v>
      </c>
      <c r="H1732">
        <v>2558349122</v>
      </c>
      <c r="I1732" t="s">
        <v>192</v>
      </c>
      <c r="K1732" t="s">
        <v>22</v>
      </c>
      <c r="L1732" t="s">
        <v>23</v>
      </c>
      <c r="M1732" t="s">
        <v>24</v>
      </c>
      <c r="N1732" t="s">
        <v>24</v>
      </c>
      <c r="O1732" t="s">
        <v>25</v>
      </c>
      <c r="P1732" s="8" t="s">
        <v>2216</v>
      </c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11"/>
      <c r="AG1732" s="11"/>
      <c r="AH1732" s="11"/>
      <c r="AI1732" s="11"/>
      <c r="AJ1732" s="11"/>
      <c r="AK1732" s="11"/>
      <c r="AL1732" s="11"/>
      <c r="AM1732" s="11"/>
      <c r="AN1732" s="11"/>
      <c r="AO1732" s="11"/>
      <c r="AP1732" s="11"/>
      <c r="AQ1732" s="11"/>
      <c r="AR1732" s="11"/>
      <c r="AS1732" s="11"/>
      <c r="AT1732" s="11"/>
      <c r="AU1732" s="11"/>
      <c r="AV1732" s="11"/>
      <c r="AW1732" s="11"/>
      <c r="AX1732" s="11"/>
      <c r="AY1732" s="11"/>
    </row>
    <row r="1733" spans="1:51" hidden="1" x14ac:dyDescent="0.2">
      <c r="A1733" s="6" t="s">
        <v>17</v>
      </c>
      <c r="B1733" t="s">
        <v>118</v>
      </c>
      <c r="C1733" t="s">
        <v>119</v>
      </c>
      <c r="D1733" t="s">
        <v>2217</v>
      </c>
      <c r="E1733" s="2">
        <v>10.79</v>
      </c>
      <c r="F1733" s="3">
        <f>DATE(2025,7,25)</f>
        <v>45863</v>
      </c>
      <c r="G1733" s="3">
        <f>DATE(2025,7,25)</f>
        <v>45863</v>
      </c>
      <c r="H1733">
        <v>2558349123</v>
      </c>
      <c r="I1733" t="s">
        <v>192</v>
      </c>
      <c r="K1733" t="s">
        <v>22</v>
      </c>
      <c r="L1733" t="s">
        <v>23</v>
      </c>
      <c r="M1733" t="s">
        <v>24</v>
      </c>
      <c r="N1733" t="s">
        <v>24</v>
      </c>
      <c r="O1733" t="s">
        <v>25</v>
      </c>
      <c r="P1733" s="8" t="s">
        <v>2218</v>
      </c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s="11"/>
      <c r="AR1733" s="11"/>
      <c r="AS1733" s="11"/>
      <c r="AT1733" s="11"/>
      <c r="AU1733" s="11"/>
      <c r="AV1733" s="11"/>
      <c r="AW1733" s="11"/>
      <c r="AX1733" s="11"/>
      <c r="AY1733" s="11"/>
    </row>
    <row r="1734" spans="1:51" hidden="1" x14ac:dyDescent="0.2">
      <c r="A1734" s="6" t="s">
        <v>17</v>
      </c>
      <c r="B1734" t="s">
        <v>589</v>
      </c>
      <c r="C1734" t="s">
        <v>590</v>
      </c>
      <c r="D1734" t="s">
        <v>2219</v>
      </c>
      <c r="E1734" s="2">
        <v>39.68</v>
      </c>
      <c r="F1734" s="3">
        <f>DATE(2025,7,30)</f>
        <v>45868</v>
      </c>
      <c r="G1734" s="3">
        <f>DATE(2025,7,30)</f>
        <v>45868</v>
      </c>
      <c r="H1734">
        <v>2558349124</v>
      </c>
      <c r="I1734" t="s">
        <v>192</v>
      </c>
      <c r="K1734" t="s">
        <v>22</v>
      </c>
      <c r="L1734" t="s">
        <v>23</v>
      </c>
      <c r="M1734" t="s">
        <v>24</v>
      </c>
      <c r="N1734" t="s">
        <v>24</v>
      </c>
      <c r="O1734" t="s">
        <v>25</v>
      </c>
      <c r="P1734" s="8" t="s">
        <v>2220</v>
      </c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11"/>
      <c r="AG1734" s="11"/>
      <c r="AH1734" s="11"/>
      <c r="AI1734" s="11"/>
      <c r="AJ1734" s="11"/>
      <c r="AK1734" s="11"/>
      <c r="AL1734" s="11"/>
      <c r="AM1734" s="11"/>
      <c r="AN1734" s="11"/>
      <c r="AO1734" s="11"/>
      <c r="AP1734" s="11"/>
      <c r="AQ1734" s="11"/>
      <c r="AR1734" s="11"/>
      <c r="AS1734" s="11"/>
      <c r="AT1734" s="11"/>
      <c r="AU1734" s="11"/>
      <c r="AV1734" s="11"/>
      <c r="AW1734" s="11"/>
      <c r="AX1734" s="11"/>
      <c r="AY1734" s="11"/>
    </row>
    <row r="1735" spans="1:51" hidden="1" x14ac:dyDescent="0.2">
      <c r="A1735" s="6" t="s">
        <v>17</v>
      </c>
      <c r="B1735" t="s">
        <v>980</v>
      </c>
      <c r="C1735" t="s">
        <v>981</v>
      </c>
      <c r="D1735" t="s">
        <v>2221</v>
      </c>
      <c r="E1735" s="2">
        <v>372.63</v>
      </c>
      <c r="F1735" s="3">
        <f>DATE(2025,7,24)</f>
        <v>45862</v>
      </c>
      <c r="G1735" s="3">
        <f>DATE(2025,7,24)</f>
        <v>45862</v>
      </c>
      <c r="H1735">
        <v>2558358722</v>
      </c>
      <c r="I1735" t="s">
        <v>21</v>
      </c>
      <c r="K1735" t="s">
        <v>22</v>
      </c>
      <c r="L1735" t="s">
        <v>23</v>
      </c>
      <c r="M1735" t="s">
        <v>24</v>
      </c>
      <c r="N1735" t="s">
        <v>24</v>
      </c>
      <c r="O1735" t="s">
        <v>25</v>
      </c>
      <c r="P1735" s="8" t="s">
        <v>2222</v>
      </c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1"/>
      <c r="AF1735" s="11"/>
      <c r="AG1735" s="11"/>
      <c r="AH1735" s="11"/>
      <c r="AI1735" s="11"/>
      <c r="AJ1735" s="11"/>
      <c r="AK1735" s="11"/>
      <c r="AL1735" s="11"/>
      <c r="AM1735" s="11"/>
      <c r="AN1735" s="11"/>
      <c r="AO1735" s="11"/>
      <c r="AP1735" s="11"/>
      <c r="AQ1735" s="11"/>
      <c r="AR1735" s="11"/>
      <c r="AS1735" s="11"/>
      <c r="AT1735" s="11"/>
      <c r="AU1735" s="11"/>
      <c r="AV1735" s="11"/>
      <c r="AW1735" s="11"/>
      <c r="AX1735" s="11"/>
      <c r="AY1735" s="11"/>
    </row>
    <row r="1736" spans="1:51" hidden="1" x14ac:dyDescent="0.2">
      <c r="A1736" s="6" t="s">
        <v>17</v>
      </c>
      <c r="B1736" t="s">
        <v>255</v>
      </c>
      <c r="C1736" t="s">
        <v>255</v>
      </c>
      <c r="D1736" t="s">
        <v>2223</v>
      </c>
      <c r="E1736" s="2">
        <v>1231.6600000000001</v>
      </c>
      <c r="F1736" s="3">
        <f>DATE(2025,7,17)</f>
        <v>45855</v>
      </c>
      <c r="G1736" s="3">
        <f>DATE(2025,7,17)</f>
        <v>45855</v>
      </c>
      <c r="H1736">
        <v>2558358723</v>
      </c>
      <c r="I1736" t="s">
        <v>21</v>
      </c>
      <c r="K1736" t="s">
        <v>22</v>
      </c>
      <c r="L1736" t="s">
        <v>23</v>
      </c>
      <c r="M1736" t="s">
        <v>24</v>
      </c>
      <c r="N1736" t="s">
        <v>24</v>
      </c>
      <c r="O1736" t="s">
        <v>25</v>
      </c>
      <c r="P1736" s="8" t="s">
        <v>2224</v>
      </c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11"/>
      <c r="AG1736" s="11"/>
      <c r="AH1736" s="11"/>
      <c r="AI1736" s="11"/>
      <c r="AJ1736" s="11"/>
      <c r="AK1736" s="11"/>
      <c r="AL1736" s="11"/>
      <c r="AM1736" s="11"/>
      <c r="AN1736" s="11"/>
      <c r="AO1736" s="11"/>
      <c r="AP1736" s="11"/>
      <c r="AQ1736" s="11"/>
      <c r="AR1736" s="11"/>
      <c r="AS1736" s="11"/>
      <c r="AT1736" s="11"/>
      <c r="AU1736" s="11"/>
      <c r="AV1736" s="11"/>
      <c r="AW1736" s="11"/>
      <c r="AX1736" s="11"/>
      <c r="AY1736" s="11"/>
    </row>
    <row r="1737" spans="1:51" hidden="1" x14ac:dyDescent="0.2">
      <c r="A1737" s="6"/>
      <c r="E1737" s="2"/>
      <c r="F1737" s="3"/>
      <c r="G1737" s="3"/>
      <c r="P1737" s="8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1"/>
      <c r="AF1737" s="11"/>
      <c r="AG1737" s="11"/>
      <c r="AH1737" s="11"/>
      <c r="AI1737" s="11"/>
      <c r="AJ1737" s="11"/>
      <c r="AK1737" s="11"/>
      <c r="AL1737" s="11"/>
      <c r="AM1737" s="11"/>
      <c r="AN1737" s="11"/>
      <c r="AO1737" s="11"/>
      <c r="AP1737" s="11"/>
      <c r="AQ1737" s="11"/>
      <c r="AR1737" s="11"/>
      <c r="AS1737" s="11"/>
      <c r="AT1737" s="11"/>
      <c r="AU1737" s="11"/>
      <c r="AV1737" s="11"/>
      <c r="AW1737" s="11"/>
      <c r="AX1737" s="11"/>
      <c r="AY1737" s="11"/>
    </row>
    <row r="1738" spans="1:51" hidden="1" x14ac:dyDescent="0.2">
      <c r="A1738" s="6" t="s">
        <v>17</v>
      </c>
      <c r="B1738" t="s">
        <v>50</v>
      </c>
      <c r="C1738" t="s">
        <v>51</v>
      </c>
      <c r="D1738" t="s">
        <v>2225</v>
      </c>
      <c r="E1738" s="2">
        <v>694.72</v>
      </c>
      <c r="F1738" s="3">
        <f>DATE(2025,7,28)</f>
        <v>45866</v>
      </c>
      <c r="G1738" s="3">
        <f>DATE(2025,7,28)</f>
        <v>45866</v>
      </c>
      <c r="H1738">
        <v>2558358725</v>
      </c>
      <c r="I1738" t="s">
        <v>21</v>
      </c>
      <c r="K1738" t="s">
        <v>22</v>
      </c>
      <c r="L1738" t="s">
        <v>23</v>
      </c>
      <c r="M1738" t="s">
        <v>24</v>
      </c>
      <c r="N1738" t="s">
        <v>24</v>
      </c>
      <c r="O1738" t="s">
        <v>25</v>
      </c>
      <c r="P1738" s="8" t="s">
        <v>2226</v>
      </c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1"/>
      <c r="AF1738" s="11"/>
      <c r="AG1738" s="11"/>
      <c r="AH1738" s="11"/>
      <c r="AI1738" s="11"/>
      <c r="AJ1738" s="11"/>
      <c r="AK1738" s="11"/>
      <c r="AL1738" s="11"/>
      <c r="AM1738" s="11"/>
      <c r="AN1738" s="11"/>
      <c r="AO1738" s="11"/>
      <c r="AP1738" s="11"/>
      <c r="AQ1738" s="11"/>
      <c r="AR1738" s="11"/>
      <c r="AS1738" s="11"/>
      <c r="AT1738" s="11"/>
      <c r="AU1738" s="11"/>
      <c r="AV1738" s="11"/>
      <c r="AW1738" s="11"/>
      <c r="AX1738" s="11"/>
      <c r="AY1738" s="11"/>
    </row>
    <row r="1739" spans="1:51" x14ac:dyDescent="0.2">
      <c r="A1739" s="6" t="s">
        <v>17</v>
      </c>
      <c r="B1739" t="s">
        <v>342</v>
      </c>
      <c r="C1739" t="s">
        <v>342</v>
      </c>
      <c r="D1739" t="s">
        <v>2227</v>
      </c>
      <c r="E1739" s="2">
        <v>137.44999999999999</v>
      </c>
      <c r="F1739" s="3">
        <f>DATE(2025,7,28)</f>
        <v>45866</v>
      </c>
      <c r="G1739" s="3">
        <f>DATE(2025,7,28)</f>
        <v>45866</v>
      </c>
      <c r="H1739">
        <v>2558358726</v>
      </c>
      <c r="I1739" t="s">
        <v>21</v>
      </c>
      <c r="K1739" t="s">
        <v>22</v>
      </c>
      <c r="L1739" t="s">
        <v>23</v>
      </c>
      <c r="M1739" t="s">
        <v>24</v>
      </c>
      <c r="N1739" t="s">
        <v>24</v>
      </c>
      <c r="O1739" t="s">
        <v>25</v>
      </c>
      <c r="P1739" s="8" t="s">
        <v>2228</v>
      </c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11"/>
      <c r="AG1739" s="11"/>
      <c r="AH1739" s="11"/>
      <c r="AI1739" s="11"/>
      <c r="AJ1739" s="11"/>
      <c r="AK1739" s="11"/>
      <c r="AL1739" s="11"/>
      <c r="AM1739" s="11"/>
      <c r="AN1739" s="11"/>
      <c r="AO1739" s="11"/>
      <c r="AP1739" s="11"/>
      <c r="AQ1739" s="11"/>
      <c r="AR1739" s="11"/>
      <c r="AS1739" s="11"/>
      <c r="AT1739" s="11"/>
      <c r="AU1739" s="11"/>
      <c r="AV1739" s="11"/>
      <c r="AW1739" s="11"/>
      <c r="AX1739" s="11"/>
      <c r="AY1739" s="11"/>
    </row>
    <row r="1740" spans="1:51" x14ac:dyDescent="0.2">
      <c r="A1740" s="6" t="s">
        <v>17</v>
      </c>
      <c r="B1740" t="s">
        <v>342</v>
      </c>
      <c r="C1740" t="s">
        <v>342</v>
      </c>
      <c r="D1740" t="s">
        <v>2229</v>
      </c>
      <c r="E1740" s="2">
        <v>345</v>
      </c>
      <c r="F1740" s="3">
        <f>DATE(2025,7,31)</f>
        <v>45869</v>
      </c>
      <c r="G1740" s="3">
        <f>DATE(2025,7,31)</f>
        <v>45869</v>
      </c>
      <c r="H1740">
        <v>2558358727</v>
      </c>
      <c r="I1740" t="s">
        <v>21</v>
      </c>
      <c r="K1740" t="s">
        <v>22</v>
      </c>
      <c r="L1740" t="s">
        <v>23</v>
      </c>
      <c r="M1740" t="s">
        <v>24</v>
      </c>
      <c r="N1740" t="s">
        <v>24</v>
      </c>
      <c r="O1740" t="s">
        <v>25</v>
      </c>
      <c r="P1740" s="8" t="s">
        <v>2230</v>
      </c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1"/>
      <c r="AF1740" s="11"/>
      <c r="AG1740" s="11"/>
      <c r="AH1740" s="11"/>
      <c r="AI1740" s="11"/>
      <c r="AJ1740" s="11"/>
      <c r="AK1740" s="11"/>
      <c r="AL1740" s="11"/>
      <c r="AM1740" s="11"/>
      <c r="AN1740" s="11"/>
      <c r="AO1740" s="11"/>
      <c r="AP1740" s="11"/>
      <c r="AQ1740" s="11"/>
      <c r="AR1740" s="11"/>
      <c r="AS1740" s="11"/>
      <c r="AT1740" s="11"/>
      <c r="AU1740" s="11"/>
      <c r="AV1740" s="11"/>
      <c r="AW1740" s="11"/>
      <c r="AX1740" s="11"/>
      <c r="AY1740" s="11"/>
    </row>
    <row r="1741" spans="1:51" hidden="1" x14ac:dyDescent="0.2">
      <c r="A1741" s="6"/>
      <c r="E1741" s="2"/>
      <c r="F1741" s="3"/>
      <c r="G1741" s="3"/>
      <c r="P1741" s="8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1"/>
      <c r="AF1741" s="11"/>
      <c r="AG1741" s="11"/>
      <c r="AH1741" s="11"/>
      <c r="AI1741" s="11"/>
      <c r="AJ1741" s="11"/>
      <c r="AK1741" s="11"/>
      <c r="AL1741" s="11"/>
      <c r="AM1741" s="11"/>
      <c r="AN1741" s="11"/>
      <c r="AO1741" s="11"/>
      <c r="AP1741" s="11"/>
      <c r="AQ1741" s="11"/>
      <c r="AR1741" s="11"/>
      <c r="AS1741" s="11"/>
      <c r="AT1741" s="11"/>
      <c r="AU1741" s="11"/>
      <c r="AV1741" s="11"/>
      <c r="AW1741" s="11"/>
      <c r="AX1741" s="11"/>
      <c r="AY1741" s="11"/>
    </row>
    <row r="1742" spans="1:51" hidden="1" x14ac:dyDescent="0.2">
      <c r="A1742" s="6" t="s">
        <v>17</v>
      </c>
      <c r="B1742" t="s">
        <v>50</v>
      </c>
      <c r="C1742" t="s">
        <v>51</v>
      </c>
      <c r="D1742" t="s">
        <v>2231</v>
      </c>
      <c r="E1742" s="2">
        <v>2151.0700000000002</v>
      </c>
      <c r="F1742" s="3">
        <f>DATE(2025,7,31)</f>
        <v>45869</v>
      </c>
      <c r="G1742" s="3">
        <f>DATE(2025,7,31)</f>
        <v>45869</v>
      </c>
      <c r="H1742">
        <v>2558358729</v>
      </c>
      <c r="I1742" t="s">
        <v>21</v>
      </c>
      <c r="K1742" t="s">
        <v>22</v>
      </c>
      <c r="L1742" t="s">
        <v>23</v>
      </c>
      <c r="M1742" t="s">
        <v>24</v>
      </c>
      <c r="N1742" t="s">
        <v>24</v>
      </c>
      <c r="O1742" t="s">
        <v>25</v>
      </c>
      <c r="P1742" s="8" t="s">
        <v>2232</v>
      </c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1"/>
      <c r="AF1742" s="11"/>
      <c r="AG1742" s="11"/>
      <c r="AH1742" s="11"/>
      <c r="AI1742" s="11"/>
      <c r="AJ1742" s="11"/>
      <c r="AK1742" s="11"/>
      <c r="AL1742" s="11"/>
      <c r="AM1742" s="11"/>
      <c r="AN1742" s="11"/>
      <c r="AO1742" s="11"/>
      <c r="AP1742" s="11"/>
      <c r="AQ1742" s="11"/>
      <c r="AR1742" s="11"/>
      <c r="AS1742" s="11"/>
      <c r="AT1742" s="11"/>
      <c r="AU1742" s="11"/>
      <c r="AV1742" s="11"/>
      <c r="AW1742" s="11"/>
      <c r="AX1742" s="11"/>
      <c r="AY1742" s="11"/>
    </row>
    <row r="1743" spans="1:51" hidden="1" x14ac:dyDescent="0.2">
      <c r="A1743" s="6" t="s">
        <v>17</v>
      </c>
      <c r="B1743" t="s">
        <v>1002</v>
      </c>
      <c r="C1743" t="s">
        <v>1003</v>
      </c>
      <c r="D1743" t="s">
        <v>2233</v>
      </c>
      <c r="E1743" s="2">
        <v>970.93</v>
      </c>
      <c r="F1743" s="3">
        <f>DATE(2025,7,17)</f>
        <v>45855</v>
      </c>
      <c r="G1743" s="3">
        <f>DATE(2025,7,17)</f>
        <v>45855</v>
      </c>
      <c r="H1743">
        <v>2558358730</v>
      </c>
      <c r="I1743" t="s">
        <v>21</v>
      </c>
      <c r="K1743" t="s">
        <v>22</v>
      </c>
      <c r="L1743" t="s">
        <v>23</v>
      </c>
      <c r="M1743" t="s">
        <v>24</v>
      </c>
      <c r="N1743" t="s">
        <v>24</v>
      </c>
      <c r="O1743" t="s">
        <v>25</v>
      </c>
      <c r="P1743" s="8" t="s">
        <v>2234</v>
      </c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11"/>
      <c r="AG1743" s="11"/>
      <c r="AH1743" s="11"/>
      <c r="AI1743" s="11"/>
      <c r="AJ1743" s="11"/>
      <c r="AK1743" s="11"/>
      <c r="AL1743" s="11"/>
      <c r="AM1743" s="11"/>
      <c r="AN1743" s="11"/>
      <c r="AO1743" s="11"/>
      <c r="AP1743" s="11"/>
      <c r="AQ1743" s="11"/>
      <c r="AR1743" s="11"/>
      <c r="AS1743" s="11"/>
      <c r="AT1743" s="11"/>
      <c r="AU1743" s="11"/>
      <c r="AV1743" s="11"/>
      <c r="AW1743" s="11"/>
      <c r="AX1743" s="11"/>
      <c r="AY1743" s="11"/>
    </row>
    <row r="1744" spans="1:51" hidden="1" x14ac:dyDescent="0.2">
      <c r="A1744" s="6" t="s">
        <v>17</v>
      </c>
      <c r="B1744" t="s">
        <v>118</v>
      </c>
      <c r="C1744" t="s">
        <v>119</v>
      </c>
      <c r="D1744" t="s">
        <v>2235</v>
      </c>
      <c r="E1744" s="2">
        <v>129.16999999999999</v>
      </c>
      <c r="F1744" s="3">
        <f>DATE(2025,7,31)</f>
        <v>45869</v>
      </c>
      <c r="G1744" s="3">
        <f>DATE(2025,7,31)</f>
        <v>45869</v>
      </c>
      <c r="H1744">
        <v>2558358731</v>
      </c>
      <c r="I1744" t="s">
        <v>21</v>
      </c>
      <c r="K1744" t="s">
        <v>22</v>
      </c>
      <c r="L1744" t="s">
        <v>23</v>
      </c>
      <c r="M1744" t="s">
        <v>24</v>
      </c>
      <c r="N1744" t="s">
        <v>24</v>
      </c>
      <c r="O1744" t="s">
        <v>25</v>
      </c>
      <c r="P1744" s="8" t="s">
        <v>2236</v>
      </c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11"/>
      <c r="AG1744" s="11"/>
      <c r="AH1744" s="11"/>
      <c r="AI1744" s="11"/>
      <c r="AJ1744" s="11"/>
      <c r="AK1744" s="11"/>
      <c r="AL1744" s="11"/>
      <c r="AM1744" s="11"/>
      <c r="AN1744" s="11"/>
      <c r="AO1744" s="11"/>
      <c r="AP1744" s="11"/>
      <c r="AQ1744" s="11"/>
      <c r="AR1744" s="11"/>
      <c r="AS1744" s="11"/>
      <c r="AT1744" s="11"/>
      <c r="AU1744" s="11"/>
      <c r="AV1744" s="11"/>
      <c r="AW1744" s="11"/>
      <c r="AX1744" s="11"/>
      <c r="AY1744" s="11"/>
    </row>
    <row r="1745" spans="1:51" x14ac:dyDescent="0.2">
      <c r="A1745" s="6" t="s">
        <v>17</v>
      </c>
      <c r="B1745" t="s">
        <v>342</v>
      </c>
      <c r="C1745" t="s">
        <v>342</v>
      </c>
      <c r="D1745" t="s">
        <v>2237</v>
      </c>
      <c r="E1745" s="2">
        <v>780.17</v>
      </c>
      <c r="F1745" s="3">
        <f>DATE(2025,7,21)</f>
        <v>45859</v>
      </c>
      <c r="G1745" s="3">
        <f>DATE(2025,7,21)</f>
        <v>45859</v>
      </c>
      <c r="H1745">
        <v>2558358732</v>
      </c>
      <c r="I1745" t="s">
        <v>21</v>
      </c>
      <c r="K1745" t="s">
        <v>22</v>
      </c>
      <c r="L1745" t="s">
        <v>23</v>
      </c>
      <c r="M1745" t="s">
        <v>24</v>
      </c>
      <c r="N1745" t="s">
        <v>24</v>
      </c>
      <c r="O1745" t="s">
        <v>25</v>
      </c>
      <c r="P1745" s="8" t="s">
        <v>2238</v>
      </c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11"/>
      <c r="AG1745" s="11"/>
      <c r="AH1745" s="11"/>
      <c r="AI1745" s="11"/>
      <c r="AJ1745" s="11"/>
      <c r="AK1745" s="11"/>
      <c r="AL1745" s="11"/>
      <c r="AM1745" s="11"/>
      <c r="AN1745" s="11"/>
      <c r="AO1745" s="11"/>
      <c r="AP1745" s="11"/>
      <c r="AQ1745" s="11"/>
      <c r="AR1745" s="11"/>
      <c r="AS1745" s="11"/>
      <c r="AT1745" s="11"/>
      <c r="AU1745" s="11"/>
      <c r="AV1745" s="11"/>
      <c r="AW1745" s="11"/>
      <c r="AX1745" s="11"/>
      <c r="AY1745" s="11"/>
    </row>
    <row r="1746" spans="1:51" hidden="1" x14ac:dyDescent="0.2">
      <c r="A1746" s="6"/>
      <c r="E1746" s="2"/>
      <c r="F1746" s="3"/>
      <c r="G1746" s="3"/>
      <c r="P1746" s="8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  <c r="AT1746" s="11"/>
      <c r="AU1746" s="11"/>
      <c r="AV1746" s="11"/>
      <c r="AW1746" s="11"/>
      <c r="AX1746" s="11"/>
      <c r="AY1746" s="11"/>
    </row>
    <row r="1747" spans="1:51" hidden="1" x14ac:dyDescent="0.2">
      <c r="A1747" s="6" t="s">
        <v>17</v>
      </c>
      <c r="B1747" t="s">
        <v>825</v>
      </c>
      <c r="C1747" t="s">
        <v>826</v>
      </c>
      <c r="D1747" t="s">
        <v>2239</v>
      </c>
      <c r="E1747" s="2">
        <v>2397.48</v>
      </c>
      <c r="F1747" s="3">
        <f>DATE(2025,7,28)</f>
        <v>45866</v>
      </c>
      <c r="G1747" s="3">
        <f>DATE(2025,7,28)</f>
        <v>45866</v>
      </c>
      <c r="H1747">
        <v>2558358734</v>
      </c>
      <c r="I1747" t="s">
        <v>21</v>
      </c>
      <c r="K1747" t="s">
        <v>22</v>
      </c>
      <c r="L1747" t="s">
        <v>23</v>
      </c>
      <c r="M1747" t="s">
        <v>24</v>
      </c>
      <c r="N1747" t="s">
        <v>24</v>
      </c>
      <c r="O1747" t="s">
        <v>25</v>
      </c>
      <c r="P1747" s="8" t="s">
        <v>2240</v>
      </c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1"/>
      <c r="AF1747" s="11"/>
      <c r="AG1747" s="11"/>
      <c r="AH1747" s="11"/>
      <c r="AI1747" s="11"/>
      <c r="AJ1747" s="11"/>
      <c r="AK1747" s="11"/>
      <c r="AL1747" s="11"/>
      <c r="AM1747" s="11"/>
      <c r="AN1747" s="11"/>
      <c r="AO1747" s="11"/>
      <c r="AP1747" s="11"/>
      <c r="AQ1747" s="11"/>
      <c r="AR1747" s="11"/>
      <c r="AS1747" s="11"/>
      <c r="AT1747" s="11"/>
      <c r="AU1747" s="11"/>
      <c r="AV1747" s="11"/>
      <c r="AW1747" s="11"/>
      <c r="AX1747" s="11"/>
      <c r="AY1747" s="11"/>
    </row>
    <row r="1748" spans="1:51" hidden="1" x14ac:dyDescent="0.2">
      <c r="A1748" s="6" t="s">
        <v>17</v>
      </c>
      <c r="B1748" t="s">
        <v>155</v>
      </c>
      <c r="C1748" t="s">
        <v>156</v>
      </c>
      <c r="D1748" t="s">
        <v>2241</v>
      </c>
      <c r="E1748" s="2">
        <v>22.14</v>
      </c>
      <c r="F1748" s="3">
        <f>DATE(2025,7,18)</f>
        <v>45856</v>
      </c>
      <c r="G1748" s="3">
        <f>DATE(2025,7,18)</f>
        <v>45856</v>
      </c>
      <c r="H1748">
        <v>2558358735</v>
      </c>
      <c r="I1748" t="s">
        <v>21</v>
      </c>
      <c r="K1748" t="s">
        <v>22</v>
      </c>
      <c r="L1748" t="s">
        <v>23</v>
      </c>
      <c r="M1748" t="s">
        <v>24</v>
      </c>
      <c r="N1748" t="s">
        <v>24</v>
      </c>
      <c r="O1748" t="s">
        <v>25</v>
      </c>
      <c r="P1748" s="8" t="s">
        <v>2242</v>
      </c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1"/>
      <c r="AF1748" s="11"/>
      <c r="AG1748" s="11"/>
      <c r="AH1748" s="11"/>
      <c r="AI1748" s="11"/>
      <c r="AJ1748" s="11"/>
      <c r="AK1748" s="11"/>
      <c r="AL1748" s="11"/>
      <c r="AM1748" s="11"/>
      <c r="AN1748" s="11"/>
      <c r="AO1748" s="11"/>
      <c r="AP1748" s="11"/>
      <c r="AQ1748" s="11"/>
      <c r="AR1748" s="11"/>
      <c r="AS1748" s="11"/>
      <c r="AT1748" s="11"/>
      <c r="AU1748" s="11"/>
      <c r="AV1748" s="11"/>
      <c r="AW1748" s="11"/>
      <c r="AX1748" s="11"/>
      <c r="AY1748" s="11"/>
    </row>
    <row r="1749" spans="1:51" hidden="1" x14ac:dyDescent="0.2">
      <c r="A1749" s="6" t="s">
        <v>17</v>
      </c>
      <c r="B1749" t="s">
        <v>173</v>
      </c>
      <c r="C1749" t="s">
        <v>154</v>
      </c>
      <c r="D1749" t="s">
        <v>2243</v>
      </c>
      <c r="E1749" s="2">
        <v>175.67</v>
      </c>
      <c r="F1749" s="3">
        <f>DATE(2025,7,30)</f>
        <v>45868</v>
      </c>
      <c r="G1749" s="3">
        <f>DATE(2025,7,30)</f>
        <v>45868</v>
      </c>
      <c r="H1749">
        <v>2558358736</v>
      </c>
      <c r="I1749" t="s">
        <v>21</v>
      </c>
      <c r="K1749" t="s">
        <v>22</v>
      </c>
      <c r="L1749" t="s">
        <v>23</v>
      </c>
      <c r="M1749" t="s">
        <v>24</v>
      </c>
      <c r="N1749" t="s">
        <v>24</v>
      </c>
      <c r="O1749" t="s">
        <v>25</v>
      </c>
      <c r="P1749" s="8" t="s">
        <v>2244</v>
      </c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1"/>
      <c r="AF1749" s="11"/>
      <c r="AG1749" s="11"/>
      <c r="AH1749" s="11"/>
      <c r="AI1749" s="11"/>
      <c r="AJ1749" s="11"/>
      <c r="AK1749" s="11"/>
      <c r="AL1749" s="11"/>
      <c r="AM1749" s="11"/>
      <c r="AN1749" s="11"/>
      <c r="AO1749" s="11"/>
      <c r="AP1749" s="11"/>
      <c r="AQ1749" s="11"/>
      <c r="AR1749" s="11"/>
      <c r="AS1749" s="11"/>
      <c r="AT1749" s="11"/>
      <c r="AU1749" s="11"/>
      <c r="AV1749" s="11"/>
      <c r="AW1749" s="11"/>
      <c r="AX1749" s="11"/>
      <c r="AY1749" s="11"/>
    </row>
    <row r="1750" spans="1:51" hidden="1" x14ac:dyDescent="0.2">
      <c r="A1750" s="6" t="s">
        <v>17</v>
      </c>
      <c r="B1750" t="s">
        <v>1002</v>
      </c>
      <c r="C1750" t="s">
        <v>1003</v>
      </c>
      <c r="D1750" t="s">
        <v>2245</v>
      </c>
      <c r="E1750" s="2">
        <v>2999.19</v>
      </c>
      <c r="F1750" s="3">
        <f>DATE(2025,7,30)</f>
        <v>45868</v>
      </c>
      <c r="G1750" s="3">
        <f>DATE(2025,7,30)</f>
        <v>45868</v>
      </c>
      <c r="H1750">
        <v>2558358737</v>
      </c>
      <c r="I1750" t="s">
        <v>21</v>
      </c>
      <c r="K1750" t="s">
        <v>22</v>
      </c>
      <c r="L1750" t="s">
        <v>23</v>
      </c>
      <c r="M1750" t="s">
        <v>24</v>
      </c>
      <c r="N1750" t="s">
        <v>24</v>
      </c>
      <c r="O1750" t="s">
        <v>25</v>
      </c>
      <c r="P1750" s="8" t="s">
        <v>2246</v>
      </c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1"/>
      <c r="AF1750" s="11"/>
      <c r="AG1750" s="11"/>
      <c r="AH1750" s="11"/>
      <c r="AI1750" s="11"/>
      <c r="AJ1750" s="11"/>
      <c r="AK1750" s="11"/>
      <c r="AL1750" s="11"/>
      <c r="AM1750" s="11"/>
      <c r="AN1750" s="11"/>
      <c r="AO1750" s="11"/>
      <c r="AP1750" s="11"/>
      <c r="AQ1750" s="11"/>
      <c r="AR1750" s="11"/>
      <c r="AS1750" s="11"/>
      <c r="AT1750" s="11"/>
      <c r="AU1750" s="11"/>
      <c r="AV1750" s="11"/>
      <c r="AW1750" s="11"/>
      <c r="AX1750" s="11"/>
      <c r="AY1750" s="11"/>
    </row>
    <row r="1751" spans="1:51" hidden="1" x14ac:dyDescent="0.2">
      <c r="A1751" s="6"/>
      <c r="E1751" s="2"/>
      <c r="F1751" s="3"/>
      <c r="G1751" s="3"/>
      <c r="P1751" s="8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11"/>
      <c r="AG1751" s="11"/>
      <c r="AH1751" s="11"/>
      <c r="AI1751" s="11"/>
      <c r="AJ1751" s="11"/>
      <c r="AK1751" s="11"/>
      <c r="AL1751" s="11"/>
      <c r="AM1751" s="11"/>
      <c r="AN1751" s="11"/>
      <c r="AO1751" s="11"/>
      <c r="AP1751" s="11"/>
      <c r="AQ1751" s="11"/>
      <c r="AR1751" s="11"/>
      <c r="AS1751" s="11"/>
      <c r="AT1751" s="11"/>
      <c r="AU1751" s="11"/>
      <c r="AV1751" s="11"/>
      <c r="AW1751" s="11"/>
      <c r="AX1751" s="11"/>
      <c r="AY1751" s="11"/>
    </row>
    <row r="1752" spans="1:51" hidden="1" x14ac:dyDescent="0.2">
      <c r="A1752" s="6"/>
      <c r="E1752" s="2"/>
      <c r="F1752" s="3"/>
      <c r="G1752" s="3"/>
      <c r="P1752" s="8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1"/>
      <c r="AF1752" s="11"/>
      <c r="AG1752" s="11"/>
      <c r="AH1752" s="11"/>
      <c r="AI1752" s="11"/>
      <c r="AJ1752" s="11"/>
      <c r="AK1752" s="11"/>
      <c r="AL1752" s="11"/>
      <c r="AM1752" s="11"/>
      <c r="AN1752" s="11"/>
      <c r="AO1752" s="11"/>
      <c r="AP1752" s="11"/>
      <c r="AQ1752" s="11"/>
      <c r="AR1752" s="11"/>
      <c r="AS1752" s="11"/>
      <c r="AT1752" s="11"/>
      <c r="AU1752" s="11"/>
      <c r="AV1752" s="11"/>
      <c r="AW1752" s="11"/>
      <c r="AX1752" s="11"/>
      <c r="AY1752" s="11"/>
    </row>
    <row r="1753" spans="1:51" x14ac:dyDescent="0.2">
      <c r="A1753" s="6" t="s">
        <v>17</v>
      </c>
      <c r="B1753" t="s">
        <v>342</v>
      </c>
      <c r="C1753" t="s">
        <v>342</v>
      </c>
      <c r="D1753" t="s">
        <v>2247</v>
      </c>
      <c r="E1753" s="2">
        <v>12</v>
      </c>
      <c r="F1753" s="3">
        <f>DATE(2025,7,17)</f>
        <v>45855</v>
      </c>
      <c r="G1753" s="3">
        <f>DATE(2025,7,17)</f>
        <v>45855</v>
      </c>
      <c r="H1753">
        <v>2558358740</v>
      </c>
      <c r="I1753" t="s">
        <v>21</v>
      </c>
      <c r="K1753" t="s">
        <v>22</v>
      </c>
      <c r="L1753" t="s">
        <v>23</v>
      </c>
      <c r="M1753" t="s">
        <v>24</v>
      </c>
      <c r="N1753" t="s">
        <v>24</v>
      </c>
      <c r="O1753" t="s">
        <v>25</v>
      </c>
      <c r="P1753" s="8" t="s">
        <v>2248</v>
      </c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1"/>
      <c r="AF1753" s="11"/>
      <c r="AG1753" s="11"/>
      <c r="AH1753" s="11"/>
      <c r="AI1753" s="11"/>
      <c r="AJ1753" s="11"/>
      <c r="AK1753" s="11"/>
      <c r="AL1753" s="11"/>
      <c r="AM1753" s="11"/>
      <c r="AN1753" s="11"/>
      <c r="AO1753" s="11"/>
      <c r="AP1753" s="11"/>
      <c r="AQ1753" s="11"/>
      <c r="AR1753" s="11"/>
      <c r="AS1753" s="11"/>
      <c r="AT1753" s="11"/>
      <c r="AU1753" s="11"/>
      <c r="AV1753" s="11"/>
      <c r="AW1753" s="11"/>
      <c r="AX1753" s="11"/>
      <c r="AY1753" s="11"/>
    </row>
    <row r="1754" spans="1:51" hidden="1" x14ac:dyDescent="0.2">
      <c r="A1754" s="6"/>
      <c r="E1754" s="2"/>
      <c r="F1754" s="3"/>
      <c r="G1754" s="3"/>
      <c r="P1754" s="8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11"/>
      <c r="AG1754" s="11"/>
      <c r="AH1754" s="11"/>
      <c r="AI1754" s="11"/>
      <c r="AJ1754" s="11"/>
      <c r="AK1754" s="11"/>
      <c r="AL1754" s="11"/>
      <c r="AM1754" s="11"/>
      <c r="AN1754" s="11"/>
      <c r="AO1754" s="11"/>
      <c r="AP1754" s="11"/>
      <c r="AQ1754" s="11"/>
      <c r="AR1754" s="11"/>
      <c r="AS1754" s="11"/>
      <c r="AT1754" s="11"/>
      <c r="AU1754" s="11"/>
      <c r="AV1754" s="11"/>
      <c r="AW1754" s="11"/>
      <c r="AX1754" s="11"/>
      <c r="AY1754" s="11"/>
    </row>
    <row r="1755" spans="1:51" hidden="1" x14ac:dyDescent="0.2">
      <c r="A1755" s="6" t="s">
        <v>17</v>
      </c>
      <c r="B1755" t="s">
        <v>90</v>
      </c>
      <c r="C1755" t="s">
        <v>91</v>
      </c>
      <c r="D1755" t="s">
        <v>2249</v>
      </c>
      <c r="E1755" s="2">
        <v>1200</v>
      </c>
      <c r="F1755" s="3">
        <f>DATE(2025,7,27)</f>
        <v>45865</v>
      </c>
      <c r="G1755" s="3">
        <f>DATE(2025,7,27)</f>
        <v>45865</v>
      </c>
      <c r="H1755">
        <v>2558358742</v>
      </c>
      <c r="I1755" t="s">
        <v>21</v>
      </c>
      <c r="K1755" t="s">
        <v>22</v>
      </c>
      <c r="L1755" t="s">
        <v>23</v>
      </c>
      <c r="M1755" t="s">
        <v>24</v>
      </c>
      <c r="N1755" t="s">
        <v>24</v>
      </c>
      <c r="O1755" t="s">
        <v>25</v>
      </c>
      <c r="P1755" s="8" t="s">
        <v>2250</v>
      </c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1"/>
      <c r="AF1755" s="11"/>
      <c r="AG1755" s="11"/>
      <c r="AH1755" s="11"/>
      <c r="AI1755" s="11"/>
      <c r="AJ1755" s="11"/>
      <c r="AK1755" s="11"/>
      <c r="AL1755" s="11"/>
      <c r="AM1755" s="11"/>
      <c r="AN1755" s="11"/>
      <c r="AO1755" s="11"/>
      <c r="AP1755" s="11"/>
      <c r="AQ1755" s="11"/>
      <c r="AR1755" s="11"/>
      <c r="AS1755" s="11"/>
      <c r="AT1755" s="11"/>
      <c r="AU1755" s="11"/>
      <c r="AV1755" s="11"/>
      <c r="AW1755" s="11"/>
      <c r="AX1755" s="11"/>
      <c r="AY1755" s="11"/>
    </row>
    <row r="1756" spans="1:51" hidden="1" x14ac:dyDescent="0.2">
      <c r="A1756" s="6"/>
      <c r="E1756" s="2"/>
      <c r="F1756" s="3"/>
      <c r="G1756" s="3"/>
      <c r="P1756" s="8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1"/>
      <c r="AF1756" s="11"/>
      <c r="AG1756" s="11"/>
      <c r="AH1756" s="11"/>
      <c r="AI1756" s="11"/>
      <c r="AJ1756" s="11"/>
      <c r="AK1756" s="11"/>
      <c r="AL1756" s="11"/>
      <c r="AM1756" s="11"/>
      <c r="AN1756" s="11"/>
      <c r="AO1756" s="11"/>
      <c r="AP1756" s="11"/>
      <c r="AQ1756" s="11"/>
      <c r="AR1756" s="11"/>
      <c r="AS1756" s="11"/>
      <c r="AT1756" s="11"/>
      <c r="AU1756" s="11"/>
      <c r="AV1756" s="11"/>
      <c r="AW1756" s="11"/>
      <c r="AX1756" s="11"/>
      <c r="AY1756" s="11"/>
    </row>
    <row r="1757" spans="1:51" hidden="1" x14ac:dyDescent="0.2">
      <c r="A1757" s="6" t="s">
        <v>17</v>
      </c>
      <c r="B1757" t="s">
        <v>18</v>
      </c>
      <c r="C1757" t="s">
        <v>19</v>
      </c>
      <c r="D1757" t="s">
        <v>2251</v>
      </c>
      <c r="E1757" s="2">
        <v>739.08</v>
      </c>
      <c r="F1757" s="3">
        <f>DATE(2025,7,28)</f>
        <v>45866</v>
      </c>
      <c r="G1757" s="3">
        <f>DATE(2025,7,28)</f>
        <v>45866</v>
      </c>
      <c r="H1757">
        <v>2558358744</v>
      </c>
      <c r="I1757" t="s">
        <v>21</v>
      </c>
      <c r="K1757" t="s">
        <v>22</v>
      </c>
      <c r="L1757" t="s">
        <v>23</v>
      </c>
      <c r="M1757" t="s">
        <v>24</v>
      </c>
      <c r="N1757" t="s">
        <v>24</v>
      </c>
      <c r="O1757" t="s">
        <v>25</v>
      </c>
      <c r="P1757" s="8" t="s">
        <v>2252</v>
      </c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11"/>
      <c r="AG1757" s="11"/>
      <c r="AH1757" s="11"/>
      <c r="AI1757" s="11"/>
      <c r="AJ1757" s="11"/>
      <c r="AK1757" s="11"/>
      <c r="AL1757" s="11"/>
      <c r="AM1757" s="11"/>
      <c r="AN1757" s="11"/>
      <c r="AO1757" s="11"/>
      <c r="AP1757" s="11"/>
      <c r="AQ1757" s="11"/>
      <c r="AR1757" s="11"/>
      <c r="AS1757" s="11"/>
      <c r="AT1757" s="11"/>
      <c r="AU1757" s="11"/>
      <c r="AV1757" s="11"/>
      <c r="AW1757" s="11"/>
      <c r="AX1757" s="11"/>
      <c r="AY1757" s="11"/>
    </row>
    <row r="1758" spans="1:51" hidden="1" x14ac:dyDescent="0.2">
      <c r="A1758" s="6" t="s">
        <v>17</v>
      </c>
      <c r="B1758" t="s">
        <v>1048</v>
      </c>
      <c r="C1758" t="s">
        <v>1049</v>
      </c>
      <c r="D1758" t="s">
        <v>2253</v>
      </c>
      <c r="E1758" s="2">
        <v>1209.18</v>
      </c>
      <c r="F1758" s="3">
        <f>DATE(2025,7,21)</f>
        <v>45859</v>
      </c>
      <c r="G1758" s="3">
        <f>DATE(2025,7,21)</f>
        <v>45859</v>
      </c>
      <c r="H1758">
        <v>2558358745</v>
      </c>
      <c r="I1758" t="s">
        <v>21</v>
      </c>
      <c r="K1758" t="s">
        <v>22</v>
      </c>
      <c r="L1758" t="s">
        <v>23</v>
      </c>
      <c r="M1758" t="s">
        <v>24</v>
      </c>
      <c r="N1758" t="s">
        <v>24</v>
      </c>
      <c r="O1758" t="s">
        <v>25</v>
      </c>
      <c r="P1758" s="8" t="s">
        <v>2254</v>
      </c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1"/>
      <c r="AF1758" s="11"/>
      <c r="AG1758" s="11"/>
      <c r="AH1758" s="11"/>
      <c r="AI1758" s="11"/>
      <c r="AJ1758" s="11"/>
      <c r="AK1758" s="11"/>
      <c r="AL1758" s="11"/>
      <c r="AM1758" s="11"/>
      <c r="AN1758" s="11"/>
      <c r="AO1758" s="11"/>
      <c r="AP1758" s="11"/>
      <c r="AQ1758" s="11"/>
      <c r="AR1758" s="11"/>
      <c r="AS1758" s="11"/>
      <c r="AT1758" s="11"/>
      <c r="AU1758" s="11"/>
      <c r="AV1758" s="11"/>
      <c r="AW1758" s="11"/>
      <c r="AX1758" s="11"/>
      <c r="AY1758" s="11"/>
    </row>
    <row r="1759" spans="1:51" hidden="1" x14ac:dyDescent="0.2">
      <c r="A1759" s="6" t="s">
        <v>17</v>
      </c>
      <c r="B1759" t="s">
        <v>565</v>
      </c>
      <c r="C1759" t="s">
        <v>566</v>
      </c>
      <c r="D1759" t="s">
        <v>2255</v>
      </c>
      <c r="E1759" s="2">
        <v>2636.13</v>
      </c>
      <c r="F1759" s="3">
        <f>DATE(2025,7,31)</f>
        <v>45869</v>
      </c>
      <c r="G1759" s="3">
        <f>DATE(2025,7,31)</f>
        <v>45869</v>
      </c>
      <c r="H1759">
        <v>2558358746</v>
      </c>
      <c r="I1759" t="s">
        <v>21</v>
      </c>
      <c r="K1759" t="s">
        <v>22</v>
      </c>
      <c r="L1759" t="s">
        <v>23</v>
      </c>
      <c r="M1759" t="s">
        <v>24</v>
      </c>
      <c r="N1759" t="s">
        <v>24</v>
      </c>
      <c r="O1759" t="s">
        <v>25</v>
      </c>
      <c r="P1759" s="8" t="s">
        <v>2256</v>
      </c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11"/>
      <c r="AG1759" s="11"/>
      <c r="AH1759" s="11"/>
      <c r="AI1759" s="11"/>
      <c r="AJ1759" s="11"/>
      <c r="AK1759" s="11"/>
      <c r="AL1759" s="11"/>
      <c r="AM1759" s="11"/>
      <c r="AN1759" s="11"/>
      <c r="AO1759" s="11"/>
      <c r="AP1759" s="11"/>
      <c r="AQ1759" s="11"/>
      <c r="AR1759" s="11"/>
      <c r="AS1759" s="11"/>
      <c r="AT1759" s="11"/>
      <c r="AU1759" s="11"/>
      <c r="AV1759" s="11"/>
      <c r="AW1759" s="11"/>
      <c r="AX1759" s="11"/>
      <c r="AY1759" s="11"/>
    </row>
    <row r="1760" spans="1:51" hidden="1" x14ac:dyDescent="0.2">
      <c r="A1760" s="6" t="s">
        <v>17</v>
      </c>
      <c r="B1760" t="s">
        <v>266</v>
      </c>
      <c r="C1760" t="s">
        <v>267</v>
      </c>
      <c r="D1760" t="s">
        <v>2257</v>
      </c>
      <c r="E1760" s="2">
        <v>796.1</v>
      </c>
      <c r="F1760" s="3">
        <f>DATE(2025,7,28)</f>
        <v>45866</v>
      </c>
      <c r="G1760" s="3">
        <f>DATE(2025,7,28)</f>
        <v>45866</v>
      </c>
      <c r="H1760">
        <v>2558358747</v>
      </c>
      <c r="I1760" t="s">
        <v>21</v>
      </c>
      <c r="K1760" t="s">
        <v>22</v>
      </c>
      <c r="L1760" t="s">
        <v>23</v>
      </c>
      <c r="M1760" t="s">
        <v>24</v>
      </c>
      <c r="N1760" t="s">
        <v>24</v>
      </c>
      <c r="O1760" t="s">
        <v>25</v>
      </c>
      <c r="P1760" s="8" t="s">
        <v>2258</v>
      </c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11"/>
      <c r="AG1760" s="11"/>
      <c r="AH1760" s="11"/>
      <c r="AI1760" s="11"/>
      <c r="AJ1760" s="11"/>
      <c r="AK1760" s="11"/>
      <c r="AL1760" s="11"/>
      <c r="AM1760" s="11"/>
      <c r="AN1760" s="11"/>
      <c r="AO1760" s="11"/>
      <c r="AP1760" s="11"/>
      <c r="AQ1760" s="11"/>
      <c r="AR1760" s="11"/>
      <c r="AS1760" s="11"/>
      <c r="AT1760" s="11"/>
      <c r="AU1760" s="11"/>
      <c r="AV1760" s="11"/>
      <c r="AW1760" s="11"/>
      <c r="AX1760" s="11"/>
      <c r="AY1760" s="11"/>
    </row>
    <row r="1761" spans="1:51" hidden="1" x14ac:dyDescent="0.2">
      <c r="A1761" s="6" t="s">
        <v>17</v>
      </c>
      <c r="B1761" t="s">
        <v>309</v>
      </c>
      <c r="C1761" t="s">
        <v>310</v>
      </c>
      <c r="D1761" t="s">
        <v>2259</v>
      </c>
      <c r="E1761" s="2">
        <v>3235.64</v>
      </c>
      <c r="F1761" s="3">
        <f>DATE(2025,7,31)</f>
        <v>45869</v>
      </c>
      <c r="G1761" s="3">
        <f>DATE(2025,7,31)</f>
        <v>45869</v>
      </c>
      <c r="H1761">
        <v>2558358748</v>
      </c>
      <c r="I1761" t="s">
        <v>21</v>
      </c>
      <c r="K1761" t="s">
        <v>22</v>
      </c>
      <c r="L1761" t="s">
        <v>23</v>
      </c>
      <c r="M1761" t="s">
        <v>24</v>
      </c>
      <c r="N1761" t="s">
        <v>24</v>
      </c>
      <c r="O1761" t="s">
        <v>25</v>
      </c>
      <c r="P1761" s="8" t="s">
        <v>2260</v>
      </c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11"/>
      <c r="AG1761" s="11"/>
      <c r="AH1761" s="11"/>
      <c r="AI1761" s="11"/>
      <c r="AJ1761" s="11"/>
      <c r="AK1761" s="11"/>
      <c r="AL1761" s="11"/>
      <c r="AM1761" s="11"/>
      <c r="AN1761" s="11"/>
      <c r="AO1761" s="11"/>
      <c r="AP1761" s="11"/>
      <c r="AQ1761" s="11"/>
      <c r="AR1761" s="11"/>
      <c r="AS1761" s="11"/>
      <c r="AT1761" s="11"/>
      <c r="AU1761" s="11"/>
      <c r="AV1761" s="11"/>
      <c r="AW1761" s="11"/>
      <c r="AX1761" s="11"/>
      <c r="AY1761" s="11"/>
    </row>
    <row r="1762" spans="1:51" hidden="1" x14ac:dyDescent="0.2">
      <c r="A1762" s="6" t="s">
        <v>17</v>
      </c>
      <c r="B1762" t="s">
        <v>565</v>
      </c>
      <c r="C1762" t="s">
        <v>566</v>
      </c>
      <c r="D1762" t="s">
        <v>2261</v>
      </c>
      <c r="E1762" s="2">
        <v>179.93</v>
      </c>
      <c r="F1762" s="3">
        <f>DATE(2025,7,16)</f>
        <v>45854</v>
      </c>
      <c r="G1762" s="3">
        <f>DATE(2025,7,16)</f>
        <v>45854</v>
      </c>
      <c r="H1762">
        <v>2558358749</v>
      </c>
      <c r="I1762" t="s">
        <v>21</v>
      </c>
      <c r="K1762" t="s">
        <v>22</v>
      </c>
      <c r="L1762" t="s">
        <v>23</v>
      </c>
      <c r="M1762" t="s">
        <v>24</v>
      </c>
      <c r="N1762" t="s">
        <v>24</v>
      </c>
      <c r="O1762" t="s">
        <v>25</v>
      </c>
      <c r="P1762" s="8" t="s">
        <v>2262</v>
      </c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1"/>
      <c r="AF1762" s="11"/>
      <c r="AG1762" s="11"/>
      <c r="AH1762" s="11"/>
      <c r="AI1762" s="11"/>
      <c r="AJ1762" s="11"/>
      <c r="AK1762" s="11"/>
      <c r="AL1762" s="11"/>
      <c r="AM1762" s="11"/>
      <c r="AN1762" s="11"/>
      <c r="AO1762" s="11"/>
      <c r="AP1762" s="11"/>
      <c r="AQ1762" s="11"/>
      <c r="AR1762" s="11"/>
      <c r="AS1762" s="11"/>
      <c r="AT1762" s="11"/>
      <c r="AU1762" s="11"/>
      <c r="AV1762" s="11"/>
      <c r="AW1762" s="11"/>
      <c r="AX1762" s="11"/>
      <c r="AY1762" s="11"/>
    </row>
    <row r="1763" spans="1:51" hidden="1" x14ac:dyDescent="0.2">
      <c r="A1763" s="6" t="s">
        <v>17</v>
      </c>
      <c r="B1763" t="s">
        <v>31</v>
      </c>
      <c r="C1763" t="s">
        <v>32</v>
      </c>
      <c r="D1763" t="s">
        <v>2263</v>
      </c>
      <c r="E1763" s="2">
        <v>70.37</v>
      </c>
      <c r="F1763" s="3">
        <f>DATE(2025,7,28)</f>
        <v>45866</v>
      </c>
      <c r="G1763" s="3">
        <f>DATE(2025,7,28)</f>
        <v>45866</v>
      </c>
      <c r="H1763">
        <v>2558358750</v>
      </c>
      <c r="I1763" t="s">
        <v>21</v>
      </c>
      <c r="K1763" t="s">
        <v>22</v>
      </c>
      <c r="L1763" t="s">
        <v>23</v>
      </c>
      <c r="M1763" t="s">
        <v>24</v>
      </c>
      <c r="N1763" t="s">
        <v>24</v>
      </c>
      <c r="O1763" t="s">
        <v>25</v>
      </c>
      <c r="P1763" s="8" t="s">
        <v>2264</v>
      </c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1"/>
      <c r="AF1763" s="11"/>
      <c r="AG1763" s="11"/>
      <c r="AH1763" s="11"/>
      <c r="AI1763" s="11"/>
      <c r="AJ1763" s="11"/>
      <c r="AK1763" s="11"/>
      <c r="AL1763" s="11"/>
      <c r="AM1763" s="11"/>
      <c r="AN1763" s="11"/>
      <c r="AO1763" s="11"/>
      <c r="AP1763" s="11"/>
      <c r="AQ1763" s="11"/>
      <c r="AR1763" s="11"/>
      <c r="AS1763" s="11"/>
      <c r="AT1763" s="11"/>
      <c r="AU1763" s="11"/>
      <c r="AV1763" s="11"/>
      <c r="AW1763" s="11"/>
      <c r="AX1763" s="11"/>
      <c r="AY1763" s="11"/>
    </row>
    <row r="1764" spans="1:51" hidden="1" x14ac:dyDescent="0.2">
      <c r="A1764" s="6" t="s">
        <v>17</v>
      </c>
      <c r="B1764" t="s">
        <v>18</v>
      </c>
      <c r="C1764" t="s">
        <v>19</v>
      </c>
      <c r="D1764" t="s">
        <v>2265</v>
      </c>
      <c r="E1764" s="2">
        <v>631.61</v>
      </c>
      <c r="F1764" s="3">
        <f>DATE(2025,7,17)</f>
        <v>45855</v>
      </c>
      <c r="G1764" s="3">
        <f>DATE(2025,7,17)</f>
        <v>45855</v>
      </c>
      <c r="H1764">
        <v>2558358751</v>
      </c>
      <c r="I1764" t="s">
        <v>21</v>
      </c>
      <c r="K1764" t="s">
        <v>22</v>
      </c>
      <c r="L1764" t="s">
        <v>23</v>
      </c>
      <c r="M1764" t="s">
        <v>24</v>
      </c>
      <c r="N1764" t="s">
        <v>24</v>
      </c>
      <c r="O1764" t="s">
        <v>25</v>
      </c>
      <c r="P1764" s="8" t="s">
        <v>2266</v>
      </c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  <c r="AR1764" s="11"/>
      <c r="AS1764" s="11"/>
      <c r="AT1764" s="11"/>
      <c r="AU1764" s="11"/>
      <c r="AV1764" s="11"/>
      <c r="AW1764" s="11"/>
      <c r="AX1764" s="11"/>
      <c r="AY1764" s="11"/>
    </row>
    <row r="1765" spans="1:51" hidden="1" x14ac:dyDescent="0.2">
      <c r="A1765" s="6" t="s">
        <v>17</v>
      </c>
      <c r="B1765" t="s">
        <v>90</v>
      </c>
      <c r="C1765" t="s">
        <v>91</v>
      </c>
      <c r="D1765" t="s">
        <v>2267</v>
      </c>
      <c r="E1765" s="2">
        <v>100</v>
      </c>
      <c r="F1765" s="3">
        <f>DATE(2025,7,27)</f>
        <v>45865</v>
      </c>
      <c r="G1765" s="3">
        <f>DATE(2025,7,27)</f>
        <v>45865</v>
      </c>
      <c r="H1765">
        <v>2558358752</v>
      </c>
      <c r="I1765" t="s">
        <v>21</v>
      </c>
      <c r="K1765" t="s">
        <v>22</v>
      </c>
      <c r="L1765" t="s">
        <v>23</v>
      </c>
      <c r="M1765" t="s">
        <v>24</v>
      </c>
      <c r="N1765" t="s">
        <v>24</v>
      </c>
      <c r="O1765" t="s">
        <v>25</v>
      </c>
      <c r="P1765" s="8" t="s">
        <v>2268</v>
      </c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1"/>
      <c r="AF1765" s="11"/>
      <c r="AG1765" s="11"/>
      <c r="AH1765" s="11"/>
      <c r="AI1765" s="11"/>
      <c r="AJ1765" s="11"/>
      <c r="AK1765" s="11"/>
      <c r="AL1765" s="11"/>
      <c r="AM1765" s="11"/>
      <c r="AN1765" s="11"/>
      <c r="AO1765" s="11"/>
      <c r="AP1765" s="11"/>
      <c r="AQ1765" s="11"/>
      <c r="AR1765" s="11"/>
      <c r="AS1765" s="11"/>
      <c r="AT1765" s="11"/>
      <c r="AU1765" s="11"/>
      <c r="AV1765" s="11"/>
      <c r="AW1765" s="11"/>
      <c r="AX1765" s="11"/>
      <c r="AY1765" s="11"/>
    </row>
    <row r="1766" spans="1:51" hidden="1" x14ac:dyDescent="0.2">
      <c r="A1766" s="6"/>
      <c r="E1766" s="2"/>
      <c r="F1766" s="3"/>
      <c r="G1766" s="3"/>
      <c r="P1766" s="8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11"/>
      <c r="AG1766" s="11"/>
      <c r="AH1766" s="11"/>
      <c r="AI1766" s="11"/>
      <c r="AJ1766" s="11"/>
      <c r="AK1766" s="11"/>
      <c r="AL1766" s="11"/>
      <c r="AM1766" s="11"/>
      <c r="AN1766" s="11"/>
      <c r="AO1766" s="11"/>
      <c r="AP1766" s="11"/>
      <c r="AQ1766" s="11"/>
      <c r="AR1766" s="11"/>
      <c r="AS1766" s="11"/>
      <c r="AT1766" s="11"/>
      <c r="AU1766" s="11"/>
      <c r="AV1766" s="11"/>
      <c r="AW1766" s="11"/>
      <c r="AX1766" s="11"/>
      <c r="AY1766" s="11"/>
    </row>
    <row r="1767" spans="1:51" hidden="1" x14ac:dyDescent="0.2">
      <c r="A1767" s="6"/>
      <c r="E1767" s="2"/>
      <c r="F1767" s="3"/>
      <c r="G1767" s="3"/>
      <c r="P1767" s="8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1"/>
      <c r="AJ1767" s="11"/>
      <c r="AK1767" s="11"/>
      <c r="AL1767" s="11"/>
      <c r="AM1767" s="11"/>
      <c r="AN1767" s="11"/>
      <c r="AO1767" s="11"/>
      <c r="AP1767" s="11"/>
      <c r="AQ1767" s="11"/>
      <c r="AR1767" s="11"/>
      <c r="AS1767" s="11"/>
      <c r="AT1767" s="11"/>
      <c r="AU1767" s="11"/>
      <c r="AV1767" s="11"/>
      <c r="AW1767" s="11"/>
      <c r="AX1767" s="11"/>
      <c r="AY1767" s="11"/>
    </row>
    <row r="1768" spans="1:51" hidden="1" x14ac:dyDescent="0.2">
      <c r="A1768" s="6" t="s">
        <v>17</v>
      </c>
      <c r="B1768" t="s">
        <v>825</v>
      </c>
      <c r="C1768" t="s">
        <v>826</v>
      </c>
      <c r="D1768" t="s">
        <v>2269</v>
      </c>
      <c r="E1768" s="2">
        <v>168.38</v>
      </c>
      <c r="F1768" s="3">
        <f>DATE(2025,7,28)</f>
        <v>45866</v>
      </c>
      <c r="G1768" s="3">
        <f>DATE(2025,7,28)</f>
        <v>45866</v>
      </c>
      <c r="H1768">
        <v>2558358755</v>
      </c>
      <c r="I1768" t="s">
        <v>21</v>
      </c>
      <c r="K1768" t="s">
        <v>22</v>
      </c>
      <c r="L1768" t="s">
        <v>23</v>
      </c>
      <c r="M1768" t="s">
        <v>24</v>
      </c>
      <c r="N1768" t="s">
        <v>24</v>
      </c>
      <c r="O1768" t="s">
        <v>25</v>
      </c>
      <c r="P1768" s="8" t="s">
        <v>2270</v>
      </c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1"/>
      <c r="AF1768" s="11"/>
      <c r="AG1768" s="11"/>
      <c r="AH1768" s="11"/>
      <c r="AI1768" s="11"/>
      <c r="AJ1768" s="11"/>
      <c r="AK1768" s="11"/>
      <c r="AL1768" s="11"/>
      <c r="AM1768" s="11"/>
      <c r="AN1768" s="11"/>
      <c r="AO1768" s="11"/>
      <c r="AP1768" s="11"/>
      <c r="AQ1768" s="11"/>
      <c r="AR1768" s="11"/>
      <c r="AS1768" s="11"/>
      <c r="AT1768" s="11"/>
      <c r="AU1768" s="11"/>
      <c r="AV1768" s="11"/>
      <c r="AW1768" s="11"/>
      <c r="AX1768" s="11"/>
      <c r="AY1768" s="11"/>
    </row>
    <row r="1769" spans="1:51" hidden="1" x14ac:dyDescent="0.2">
      <c r="A1769" s="6" t="s">
        <v>17</v>
      </c>
      <c r="B1769" t="s">
        <v>255</v>
      </c>
      <c r="C1769" t="s">
        <v>255</v>
      </c>
      <c r="D1769" t="s">
        <v>2271</v>
      </c>
      <c r="E1769" s="2">
        <v>240</v>
      </c>
      <c r="F1769" s="3">
        <f>DATE(2025,7,16)</f>
        <v>45854</v>
      </c>
      <c r="G1769" s="3">
        <f>DATE(2025,7,16)</f>
        <v>45854</v>
      </c>
      <c r="H1769">
        <v>2558358756</v>
      </c>
      <c r="I1769" t="s">
        <v>21</v>
      </c>
      <c r="K1769" t="s">
        <v>22</v>
      </c>
      <c r="L1769" t="s">
        <v>23</v>
      </c>
      <c r="M1769" t="s">
        <v>24</v>
      </c>
      <c r="N1769" t="s">
        <v>24</v>
      </c>
      <c r="O1769" t="s">
        <v>25</v>
      </c>
      <c r="P1769" s="8" t="s">
        <v>2272</v>
      </c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  <c r="AR1769" s="11"/>
      <c r="AS1769" s="11"/>
      <c r="AT1769" s="11"/>
      <c r="AU1769" s="11"/>
      <c r="AV1769" s="11"/>
      <c r="AW1769" s="11"/>
      <c r="AX1769" s="11"/>
      <c r="AY1769" s="11"/>
    </row>
    <row r="1770" spans="1:51" hidden="1" x14ac:dyDescent="0.2">
      <c r="A1770" s="6" t="s">
        <v>17</v>
      </c>
      <c r="B1770" t="s">
        <v>50</v>
      </c>
      <c r="C1770" t="s">
        <v>51</v>
      </c>
      <c r="D1770" t="s">
        <v>2273</v>
      </c>
      <c r="E1770" s="2">
        <v>1170.6300000000001</v>
      </c>
      <c r="F1770" s="3">
        <f>DATE(2025,7,28)</f>
        <v>45866</v>
      </c>
      <c r="G1770" s="3">
        <f>DATE(2025,7,28)</f>
        <v>45866</v>
      </c>
      <c r="H1770">
        <v>2558358757</v>
      </c>
      <c r="I1770" t="s">
        <v>21</v>
      </c>
      <c r="K1770" t="s">
        <v>22</v>
      </c>
      <c r="L1770" t="s">
        <v>23</v>
      </c>
      <c r="M1770" t="s">
        <v>24</v>
      </c>
      <c r="N1770" t="s">
        <v>24</v>
      </c>
      <c r="O1770" t="s">
        <v>25</v>
      </c>
      <c r="P1770" s="8" t="s">
        <v>2274</v>
      </c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11"/>
      <c r="AG1770" s="11"/>
      <c r="AH1770" s="11"/>
      <c r="AI1770" s="11"/>
      <c r="AJ1770" s="11"/>
      <c r="AK1770" s="11"/>
      <c r="AL1770" s="11"/>
      <c r="AM1770" s="11"/>
      <c r="AN1770" s="11"/>
      <c r="AO1770" s="11"/>
      <c r="AP1770" s="11"/>
      <c r="AQ1770" s="11"/>
      <c r="AR1770" s="11"/>
      <c r="AS1770" s="11"/>
      <c r="AT1770" s="11"/>
      <c r="AU1770" s="11"/>
      <c r="AV1770" s="11"/>
      <c r="AW1770" s="11"/>
      <c r="AX1770" s="11"/>
      <c r="AY1770" s="11"/>
    </row>
    <row r="1771" spans="1:51" hidden="1" x14ac:dyDescent="0.2">
      <c r="A1771" s="6" t="s">
        <v>17</v>
      </c>
      <c r="B1771" t="s">
        <v>309</v>
      </c>
      <c r="C1771" t="s">
        <v>310</v>
      </c>
      <c r="D1771" t="s">
        <v>2275</v>
      </c>
      <c r="E1771" s="2">
        <v>1555.87</v>
      </c>
      <c r="F1771" s="3">
        <f>DATE(2025,7,31)</f>
        <v>45869</v>
      </c>
      <c r="G1771" s="3">
        <f>DATE(2025,7,31)</f>
        <v>45869</v>
      </c>
      <c r="H1771">
        <v>2558358758</v>
      </c>
      <c r="I1771" t="s">
        <v>21</v>
      </c>
      <c r="K1771" t="s">
        <v>22</v>
      </c>
      <c r="L1771" t="s">
        <v>23</v>
      </c>
      <c r="M1771" t="s">
        <v>24</v>
      </c>
      <c r="N1771" t="s">
        <v>24</v>
      </c>
      <c r="O1771" t="s">
        <v>25</v>
      </c>
      <c r="P1771" s="8" t="s">
        <v>2276</v>
      </c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11"/>
      <c r="AG1771" s="11"/>
      <c r="AH1771" s="11"/>
      <c r="AI1771" s="11"/>
      <c r="AJ1771" s="11"/>
      <c r="AK1771" s="11"/>
      <c r="AL1771" s="11"/>
      <c r="AM1771" s="11"/>
      <c r="AN1771" s="11"/>
      <c r="AO1771" s="11"/>
      <c r="AP1771" s="11"/>
      <c r="AQ1771" s="11"/>
      <c r="AR1771" s="11"/>
      <c r="AS1771" s="11"/>
      <c r="AT1771" s="11"/>
      <c r="AU1771" s="11"/>
      <c r="AV1771" s="11"/>
      <c r="AW1771" s="11"/>
      <c r="AX1771" s="11"/>
      <c r="AY1771" s="11"/>
    </row>
    <row r="1772" spans="1:51" hidden="1" x14ac:dyDescent="0.2">
      <c r="A1772" s="6"/>
      <c r="E1772" s="2"/>
      <c r="F1772" s="3"/>
      <c r="G1772" s="3"/>
      <c r="P1772" s="8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11"/>
      <c r="AG1772" s="11"/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s="11"/>
      <c r="AR1772" s="11"/>
      <c r="AS1772" s="11"/>
      <c r="AT1772" s="11"/>
      <c r="AU1772" s="11"/>
      <c r="AV1772" s="11"/>
      <c r="AW1772" s="11"/>
      <c r="AX1772" s="11"/>
      <c r="AY1772" s="11"/>
    </row>
    <row r="1773" spans="1:51" hidden="1" x14ac:dyDescent="0.2">
      <c r="A1773" s="6" t="s">
        <v>17</v>
      </c>
      <c r="B1773" t="s">
        <v>878</v>
      </c>
      <c r="C1773" t="s">
        <v>879</v>
      </c>
      <c r="D1773" t="s">
        <v>2277</v>
      </c>
      <c r="E1773" s="2">
        <v>844.51</v>
      </c>
      <c r="F1773" s="3">
        <f>DATE(2025,7,28)</f>
        <v>45866</v>
      </c>
      <c r="G1773" s="3">
        <f>DATE(2025,7,28)</f>
        <v>45866</v>
      </c>
      <c r="H1773">
        <v>2558358760</v>
      </c>
      <c r="I1773" t="s">
        <v>21</v>
      </c>
      <c r="K1773" t="s">
        <v>22</v>
      </c>
      <c r="L1773" t="s">
        <v>23</v>
      </c>
      <c r="M1773" t="s">
        <v>24</v>
      </c>
      <c r="N1773" t="s">
        <v>24</v>
      </c>
      <c r="O1773" t="s">
        <v>25</v>
      </c>
      <c r="P1773" s="8" t="s">
        <v>2278</v>
      </c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11"/>
      <c r="AG1773" s="11"/>
      <c r="AH1773" s="11"/>
      <c r="AI1773" s="11"/>
      <c r="AJ1773" s="11"/>
      <c r="AK1773" s="11"/>
      <c r="AL1773" s="11"/>
      <c r="AM1773" s="11"/>
      <c r="AN1773" s="11"/>
      <c r="AO1773" s="11"/>
      <c r="AP1773" s="11"/>
      <c r="AQ1773" s="11"/>
      <c r="AR1773" s="11"/>
      <c r="AS1773" s="11"/>
      <c r="AT1773" s="11"/>
      <c r="AU1773" s="11"/>
      <c r="AV1773" s="11"/>
      <c r="AW1773" s="11"/>
      <c r="AX1773" s="11"/>
      <c r="AY1773" s="11"/>
    </row>
    <row r="1774" spans="1:51" hidden="1" x14ac:dyDescent="0.2">
      <c r="A1774" s="6" t="s">
        <v>17</v>
      </c>
      <c r="B1774" t="s">
        <v>244</v>
      </c>
      <c r="C1774" t="s">
        <v>245</v>
      </c>
      <c r="D1774" t="s">
        <v>2279</v>
      </c>
      <c r="E1774" s="2">
        <v>1680</v>
      </c>
      <c r="F1774" s="3">
        <f>DATE(2025,7,29)</f>
        <v>45867</v>
      </c>
      <c r="G1774" s="3">
        <f>DATE(2025,7,29)</f>
        <v>45867</v>
      </c>
      <c r="H1774">
        <v>2558358761</v>
      </c>
      <c r="I1774" t="s">
        <v>21</v>
      </c>
      <c r="K1774" t="s">
        <v>22</v>
      </c>
      <c r="L1774" t="s">
        <v>23</v>
      </c>
      <c r="M1774" t="s">
        <v>24</v>
      </c>
      <c r="N1774" t="s">
        <v>24</v>
      </c>
      <c r="O1774" t="s">
        <v>25</v>
      </c>
      <c r="P1774" s="8" t="s">
        <v>2280</v>
      </c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11"/>
      <c r="AG1774" s="11"/>
      <c r="AH1774" s="11"/>
      <c r="AI1774" s="11"/>
      <c r="AJ1774" s="11"/>
      <c r="AK1774" s="11"/>
      <c r="AL1774" s="11"/>
      <c r="AM1774" s="11"/>
      <c r="AN1774" s="11"/>
      <c r="AO1774" s="11"/>
      <c r="AP1774" s="11"/>
      <c r="AQ1774" s="11"/>
      <c r="AR1774" s="11"/>
      <c r="AS1774" s="11"/>
      <c r="AT1774" s="11"/>
      <c r="AU1774" s="11"/>
      <c r="AV1774" s="11"/>
      <c r="AW1774" s="11"/>
      <c r="AX1774" s="11"/>
      <c r="AY1774" s="11"/>
    </row>
    <row r="1775" spans="1:51" hidden="1" x14ac:dyDescent="0.2">
      <c r="A1775" s="6" t="s">
        <v>17</v>
      </c>
      <c r="B1775" t="s">
        <v>589</v>
      </c>
      <c r="C1775" t="s">
        <v>590</v>
      </c>
      <c r="D1775" t="s">
        <v>2281</v>
      </c>
      <c r="E1775" s="2">
        <v>1027.3599999999999</v>
      </c>
      <c r="F1775" s="3">
        <f>DATE(2025,7,28)</f>
        <v>45866</v>
      </c>
      <c r="G1775" s="3">
        <f>DATE(2025,7,28)</f>
        <v>45866</v>
      </c>
      <c r="H1775">
        <v>2558358762</v>
      </c>
      <c r="I1775" t="s">
        <v>21</v>
      </c>
      <c r="K1775" t="s">
        <v>22</v>
      </c>
      <c r="L1775" t="s">
        <v>23</v>
      </c>
      <c r="M1775" t="s">
        <v>24</v>
      </c>
      <c r="N1775" t="s">
        <v>24</v>
      </c>
      <c r="O1775" t="s">
        <v>25</v>
      </c>
      <c r="P1775" s="8" t="s">
        <v>2282</v>
      </c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11"/>
      <c r="AG1775" s="11"/>
      <c r="AH1775" s="11"/>
      <c r="AI1775" s="11"/>
      <c r="AJ1775" s="11"/>
      <c r="AK1775" s="11"/>
      <c r="AL1775" s="11"/>
      <c r="AM1775" s="11"/>
      <c r="AN1775" s="11"/>
      <c r="AO1775" s="11"/>
      <c r="AP1775" s="11"/>
      <c r="AQ1775" s="11"/>
      <c r="AR1775" s="11"/>
      <c r="AS1775" s="11"/>
      <c r="AT1775" s="11"/>
      <c r="AU1775" s="11"/>
      <c r="AV1775" s="11"/>
      <c r="AW1775" s="11"/>
      <c r="AX1775" s="11"/>
      <c r="AY1775" s="11"/>
    </row>
    <row r="1776" spans="1:51" hidden="1" x14ac:dyDescent="0.2">
      <c r="A1776" s="6" t="s">
        <v>17</v>
      </c>
      <c r="B1776" t="s">
        <v>1002</v>
      </c>
      <c r="C1776" t="s">
        <v>1003</v>
      </c>
      <c r="D1776" t="s">
        <v>2283</v>
      </c>
      <c r="E1776" s="2">
        <v>2713.26</v>
      </c>
      <c r="F1776" s="3">
        <f>DATE(2025,7,21)</f>
        <v>45859</v>
      </c>
      <c r="G1776" s="3">
        <f>DATE(2025,7,21)</f>
        <v>45859</v>
      </c>
      <c r="H1776">
        <v>2558358763</v>
      </c>
      <c r="I1776" t="s">
        <v>21</v>
      </c>
      <c r="K1776" t="s">
        <v>22</v>
      </c>
      <c r="L1776" t="s">
        <v>23</v>
      </c>
      <c r="M1776" t="s">
        <v>24</v>
      </c>
      <c r="N1776" t="s">
        <v>24</v>
      </c>
      <c r="O1776" t="s">
        <v>25</v>
      </c>
      <c r="P1776" s="8" t="s">
        <v>2284</v>
      </c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11"/>
      <c r="AG1776" s="11"/>
      <c r="AH1776" s="11"/>
      <c r="AI1776" s="11"/>
      <c r="AJ1776" s="11"/>
      <c r="AK1776" s="11"/>
      <c r="AL1776" s="11"/>
      <c r="AM1776" s="11"/>
      <c r="AN1776" s="11"/>
      <c r="AO1776" s="11"/>
      <c r="AP1776" s="11"/>
      <c r="AQ1776" s="11"/>
      <c r="AR1776" s="11"/>
      <c r="AS1776" s="11"/>
      <c r="AT1776" s="11"/>
      <c r="AU1776" s="11"/>
      <c r="AV1776" s="11"/>
      <c r="AW1776" s="11"/>
      <c r="AX1776" s="11"/>
      <c r="AY1776" s="11"/>
    </row>
    <row r="1777" spans="1:51" hidden="1" x14ac:dyDescent="0.2">
      <c r="A1777" s="6" t="s">
        <v>17</v>
      </c>
      <c r="B1777" t="s">
        <v>70</v>
      </c>
      <c r="C1777" t="s">
        <v>71</v>
      </c>
      <c r="D1777" t="s">
        <v>2285</v>
      </c>
      <c r="E1777" s="2">
        <v>107.23</v>
      </c>
      <c r="F1777" s="3">
        <f>DATE(2025,7,28)</f>
        <v>45866</v>
      </c>
      <c r="G1777" s="3">
        <f>DATE(2025,7,28)</f>
        <v>45866</v>
      </c>
      <c r="H1777">
        <v>2558358764</v>
      </c>
      <c r="I1777" t="s">
        <v>21</v>
      </c>
      <c r="K1777" t="s">
        <v>22</v>
      </c>
      <c r="L1777" t="s">
        <v>23</v>
      </c>
      <c r="M1777" t="s">
        <v>24</v>
      </c>
      <c r="N1777" t="s">
        <v>24</v>
      </c>
      <c r="O1777" t="s">
        <v>25</v>
      </c>
      <c r="P1777" s="8" t="s">
        <v>2286</v>
      </c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11"/>
      <c r="AG1777" s="11"/>
      <c r="AH1777" s="11"/>
      <c r="AI1777" s="11"/>
      <c r="AJ1777" s="11"/>
      <c r="AK1777" s="11"/>
      <c r="AL1777" s="11"/>
      <c r="AM1777" s="11"/>
      <c r="AN1777" s="11"/>
      <c r="AO1777" s="11"/>
      <c r="AP1777" s="11"/>
      <c r="AQ1777" s="11"/>
      <c r="AR1777" s="11"/>
      <c r="AS1777" s="11"/>
      <c r="AT1777" s="11"/>
      <c r="AU1777" s="11"/>
      <c r="AV1777" s="11"/>
      <c r="AW1777" s="11"/>
      <c r="AX1777" s="11"/>
      <c r="AY1777" s="11"/>
    </row>
    <row r="1778" spans="1:51" hidden="1" x14ac:dyDescent="0.2">
      <c r="A1778" s="6"/>
      <c r="E1778" s="2"/>
      <c r="F1778" s="3"/>
      <c r="G1778" s="3"/>
      <c r="P1778" s="8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1"/>
      <c r="AF1778" s="11"/>
      <c r="AG1778" s="11"/>
      <c r="AH1778" s="11"/>
      <c r="AI1778" s="11"/>
      <c r="AJ1778" s="11"/>
      <c r="AK1778" s="11"/>
      <c r="AL1778" s="11"/>
      <c r="AM1778" s="11"/>
      <c r="AN1778" s="11"/>
      <c r="AO1778" s="11"/>
      <c r="AP1778" s="11"/>
      <c r="AQ1778" s="11"/>
      <c r="AR1778" s="11"/>
      <c r="AS1778" s="11"/>
      <c r="AT1778" s="11"/>
      <c r="AU1778" s="11"/>
      <c r="AV1778" s="11"/>
      <c r="AW1778" s="11"/>
      <c r="AX1778" s="11"/>
      <c r="AY1778" s="11"/>
    </row>
    <row r="1779" spans="1:51" x14ac:dyDescent="0.2">
      <c r="A1779" s="6" t="s">
        <v>17</v>
      </c>
      <c r="B1779" t="s">
        <v>342</v>
      </c>
      <c r="C1779" t="s">
        <v>342</v>
      </c>
      <c r="D1779" t="s">
        <v>2287</v>
      </c>
      <c r="E1779" s="2">
        <v>100</v>
      </c>
      <c r="F1779" s="3">
        <f>DATE(2025,7,22)</f>
        <v>45860</v>
      </c>
      <c r="G1779" s="3">
        <f>DATE(2025,7,22)</f>
        <v>45860</v>
      </c>
      <c r="H1779">
        <v>2558358766</v>
      </c>
      <c r="I1779" t="s">
        <v>21</v>
      </c>
      <c r="K1779" t="s">
        <v>22</v>
      </c>
      <c r="L1779" t="s">
        <v>23</v>
      </c>
      <c r="M1779" t="s">
        <v>24</v>
      </c>
      <c r="N1779" t="s">
        <v>24</v>
      </c>
      <c r="O1779" t="s">
        <v>25</v>
      </c>
      <c r="P1779" s="8" t="s">
        <v>2288</v>
      </c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11"/>
      <c r="AG1779" s="11"/>
      <c r="AH1779" s="11"/>
      <c r="AI1779" s="11"/>
      <c r="AJ1779" s="11"/>
      <c r="AK1779" s="11"/>
      <c r="AL1779" s="11"/>
      <c r="AM1779" s="11"/>
      <c r="AN1779" s="11"/>
      <c r="AO1779" s="11"/>
      <c r="AP1779" s="11"/>
      <c r="AQ1779" s="11"/>
      <c r="AR1779" s="11"/>
      <c r="AS1779" s="11"/>
      <c r="AT1779" s="11"/>
      <c r="AU1779" s="11"/>
      <c r="AV1779" s="11"/>
      <c r="AW1779" s="11"/>
      <c r="AX1779" s="11"/>
      <c r="AY1779" s="11"/>
    </row>
    <row r="1780" spans="1:51" x14ac:dyDescent="0.2">
      <c r="A1780" s="6" t="s">
        <v>17</v>
      </c>
      <c r="B1780" t="s">
        <v>342</v>
      </c>
      <c r="C1780" t="s">
        <v>342</v>
      </c>
      <c r="D1780" t="s">
        <v>2289</v>
      </c>
      <c r="E1780" s="2">
        <v>618.84</v>
      </c>
      <c r="F1780" s="3">
        <f>DATE(2025,7,28)</f>
        <v>45866</v>
      </c>
      <c r="G1780" s="3">
        <f>DATE(2025,7,28)</f>
        <v>45866</v>
      </c>
      <c r="H1780">
        <v>2558358767</v>
      </c>
      <c r="I1780" t="s">
        <v>21</v>
      </c>
      <c r="K1780" t="s">
        <v>22</v>
      </c>
      <c r="L1780" t="s">
        <v>23</v>
      </c>
      <c r="M1780" t="s">
        <v>24</v>
      </c>
      <c r="N1780" t="s">
        <v>24</v>
      </c>
      <c r="O1780" t="s">
        <v>25</v>
      </c>
      <c r="P1780" s="8" t="s">
        <v>2290</v>
      </c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11"/>
      <c r="AG1780" s="11"/>
      <c r="AH1780" s="11"/>
      <c r="AI1780" s="11"/>
      <c r="AJ1780" s="11"/>
      <c r="AK1780" s="11"/>
      <c r="AL1780" s="11"/>
      <c r="AM1780" s="11"/>
      <c r="AN1780" s="11"/>
      <c r="AO1780" s="11"/>
      <c r="AP1780" s="11"/>
      <c r="AQ1780" s="11"/>
      <c r="AR1780" s="11"/>
      <c r="AS1780" s="11"/>
      <c r="AT1780" s="11"/>
      <c r="AU1780" s="11"/>
      <c r="AV1780" s="11"/>
      <c r="AW1780" s="11"/>
      <c r="AX1780" s="11"/>
      <c r="AY1780" s="11"/>
    </row>
    <row r="1781" spans="1:51" hidden="1" x14ac:dyDescent="0.2">
      <c r="A1781" s="6" t="s">
        <v>17</v>
      </c>
      <c r="B1781" t="s">
        <v>140</v>
      </c>
      <c r="C1781" t="s">
        <v>141</v>
      </c>
      <c r="D1781" t="s">
        <v>2291</v>
      </c>
      <c r="E1781" s="2">
        <v>17098</v>
      </c>
      <c r="F1781" s="3">
        <f>DATE(2025,7,16)</f>
        <v>45854</v>
      </c>
      <c r="G1781" s="3">
        <f>DATE(2025,7,16)</f>
        <v>45854</v>
      </c>
      <c r="H1781">
        <v>2558358768</v>
      </c>
      <c r="I1781" t="s">
        <v>21</v>
      </c>
      <c r="K1781" t="s">
        <v>22</v>
      </c>
      <c r="L1781" t="s">
        <v>23</v>
      </c>
      <c r="M1781" t="s">
        <v>24</v>
      </c>
      <c r="N1781" t="s">
        <v>24</v>
      </c>
      <c r="O1781" t="s">
        <v>25</v>
      </c>
      <c r="P1781" s="8" t="s">
        <v>2292</v>
      </c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11"/>
      <c r="AG1781" s="11"/>
      <c r="AH1781" s="11"/>
      <c r="AI1781" s="11"/>
      <c r="AJ1781" s="11"/>
      <c r="AK1781" s="11"/>
      <c r="AL1781" s="11"/>
      <c r="AM1781" s="11"/>
      <c r="AN1781" s="11"/>
      <c r="AO1781" s="11"/>
      <c r="AP1781" s="11"/>
      <c r="AQ1781" s="11"/>
      <c r="AR1781" s="11"/>
      <c r="AS1781" s="11"/>
      <c r="AT1781" s="11"/>
      <c r="AU1781" s="11"/>
      <c r="AV1781" s="11"/>
      <c r="AW1781" s="11"/>
      <c r="AX1781" s="11"/>
      <c r="AY1781" s="11"/>
    </row>
    <row r="1782" spans="1:51" hidden="1" x14ac:dyDescent="0.2">
      <c r="A1782" s="6" t="s">
        <v>17</v>
      </c>
      <c r="B1782" t="s">
        <v>244</v>
      </c>
      <c r="C1782" t="s">
        <v>245</v>
      </c>
      <c r="D1782" t="s">
        <v>2293</v>
      </c>
      <c r="E1782" s="2">
        <v>2880</v>
      </c>
      <c r="F1782" s="3">
        <f>DATE(2025,7,28)</f>
        <v>45866</v>
      </c>
      <c r="G1782" s="3">
        <f>DATE(2025,7,28)</f>
        <v>45866</v>
      </c>
      <c r="H1782">
        <v>2558358769</v>
      </c>
      <c r="I1782" t="s">
        <v>21</v>
      </c>
      <c r="K1782" t="s">
        <v>22</v>
      </c>
      <c r="L1782" t="s">
        <v>23</v>
      </c>
      <c r="M1782" t="s">
        <v>24</v>
      </c>
      <c r="N1782" t="s">
        <v>24</v>
      </c>
      <c r="O1782" t="s">
        <v>25</v>
      </c>
      <c r="P1782" s="8" t="s">
        <v>2294</v>
      </c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  <c r="AS1782" s="11"/>
      <c r="AT1782" s="11"/>
      <c r="AU1782" s="11"/>
      <c r="AV1782" s="11"/>
      <c r="AW1782" s="11"/>
      <c r="AX1782" s="11"/>
      <c r="AY1782" s="11"/>
    </row>
    <row r="1783" spans="1:51" hidden="1" x14ac:dyDescent="0.2">
      <c r="A1783" s="6" t="s">
        <v>17</v>
      </c>
      <c r="B1783" t="s">
        <v>287</v>
      </c>
      <c r="C1783" t="s">
        <v>288</v>
      </c>
      <c r="D1783" t="s">
        <v>2295</v>
      </c>
      <c r="E1783" s="2">
        <v>11576</v>
      </c>
      <c r="F1783" s="3">
        <f>DATE(2025,7,24)</f>
        <v>45862</v>
      </c>
      <c r="G1783" s="3">
        <f>DATE(2025,7,24)</f>
        <v>45862</v>
      </c>
      <c r="H1783">
        <v>2558358770</v>
      </c>
      <c r="I1783" t="s">
        <v>21</v>
      </c>
      <c r="K1783" t="s">
        <v>22</v>
      </c>
      <c r="L1783" t="s">
        <v>23</v>
      </c>
      <c r="M1783" t="s">
        <v>24</v>
      </c>
      <c r="N1783" t="s">
        <v>24</v>
      </c>
      <c r="O1783" t="s">
        <v>25</v>
      </c>
      <c r="P1783" s="8" t="s">
        <v>2296</v>
      </c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1"/>
      <c r="AF1783" s="11"/>
      <c r="AG1783" s="11"/>
      <c r="AH1783" s="11"/>
      <c r="AI1783" s="11"/>
      <c r="AJ1783" s="11"/>
      <c r="AK1783" s="11"/>
      <c r="AL1783" s="11"/>
      <c r="AM1783" s="11"/>
      <c r="AN1783" s="11"/>
      <c r="AO1783" s="11"/>
      <c r="AP1783" s="11"/>
      <c r="AQ1783" s="11"/>
      <c r="AR1783" s="11"/>
      <c r="AS1783" s="11"/>
      <c r="AT1783" s="11"/>
      <c r="AU1783" s="11"/>
      <c r="AV1783" s="11"/>
      <c r="AW1783" s="11"/>
      <c r="AX1783" s="11"/>
      <c r="AY1783" s="11"/>
    </row>
    <row r="1784" spans="1:51" hidden="1" x14ac:dyDescent="0.2">
      <c r="A1784" s="6"/>
      <c r="E1784" s="2"/>
      <c r="F1784" s="3"/>
      <c r="G1784" s="3"/>
      <c r="P1784" s="8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11"/>
      <c r="AG1784" s="11"/>
      <c r="AH1784" s="11"/>
      <c r="AI1784" s="11"/>
      <c r="AJ1784" s="11"/>
      <c r="AK1784" s="11"/>
      <c r="AL1784" s="11"/>
      <c r="AM1784" s="11"/>
      <c r="AN1784" s="11"/>
      <c r="AO1784" s="11"/>
      <c r="AP1784" s="11"/>
      <c r="AQ1784" s="11"/>
      <c r="AR1784" s="11"/>
      <c r="AS1784" s="11"/>
      <c r="AT1784" s="11"/>
      <c r="AU1784" s="11"/>
      <c r="AV1784" s="11"/>
      <c r="AW1784" s="11"/>
      <c r="AX1784" s="11"/>
      <c r="AY1784" s="11"/>
    </row>
    <row r="1785" spans="1:51" hidden="1" x14ac:dyDescent="0.2">
      <c r="A1785" s="6" t="s">
        <v>17</v>
      </c>
      <c r="B1785" t="s">
        <v>825</v>
      </c>
      <c r="C1785" t="s">
        <v>826</v>
      </c>
      <c r="D1785" t="s">
        <v>2297</v>
      </c>
      <c r="E1785" s="2">
        <v>1493.63</v>
      </c>
      <c r="F1785" s="3">
        <f>DATE(2025,7,28)</f>
        <v>45866</v>
      </c>
      <c r="G1785" s="3">
        <f>DATE(2025,7,28)</f>
        <v>45866</v>
      </c>
      <c r="H1785">
        <v>2558358772</v>
      </c>
      <c r="I1785" t="s">
        <v>21</v>
      </c>
      <c r="K1785" t="s">
        <v>22</v>
      </c>
      <c r="L1785" t="s">
        <v>23</v>
      </c>
      <c r="M1785" t="s">
        <v>24</v>
      </c>
      <c r="N1785" t="s">
        <v>24</v>
      </c>
      <c r="O1785" t="s">
        <v>25</v>
      </c>
      <c r="P1785" s="8" t="s">
        <v>2298</v>
      </c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1"/>
      <c r="AJ1785" s="11"/>
      <c r="AK1785" s="11"/>
      <c r="AL1785" s="11"/>
      <c r="AM1785" s="11"/>
      <c r="AN1785" s="11"/>
      <c r="AO1785" s="11"/>
      <c r="AP1785" s="11"/>
      <c r="AQ1785" s="11"/>
      <c r="AR1785" s="11"/>
      <c r="AS1785" s="11"/>
      <c r="AT1785" s="11"/>
      <c r="AU1785" s="11"/>
      <c r="AV1785" s="11"/>
      <c r="AW1785" s="11"/>
      <c r="AX1785" s="11"/>
      <c r="AY1785" s="11"/>
    </row>
    <row r="1786" spans="1:51" hidden="1" x14ac:dyDescent="0.2">
      <c r="A1786" s="6" t="s">
        <v>17</v>
      </c>
      <c r="B1786" t="s">
        <v>90</v>
      </c>
      <c r="C1786" t="s">
        <v>91</v>
      </c>
      <c r="D1786" t="s">
        <v>2299</v>
      </c>
      <c r="E1786" s="2">
        <v>300</v>
      </c>
      <c r="F1786" s="3">
        <f>DATE(2025,7,18)</f>
        <v>45856</v>
      </c>
      <c r="G1786" s="3">
        <f>DATE(2025,7,18)</f>
        <v>45856</v>
      </c>
      <c r="H1786">
        <v>2558358773</v>
      </c>
      <c r="I1786" t="s">
        <v>21</v>
      </c>
      <c r="K1786" t="s">
        <v>22</v>
      </c>
      <c r="L1786" t="s">
        <v>23</v>
      </c>
      <c r="M1786" t="s">
        <v>24</v>
      </c>
      <c r="N1786" t="s">
        <v>24</v>
      </c>
      <c r="O1786" t="s">
        <v>25</v>
      </c>
      <c r="P1786" s="8" t="s">
        <v>2300</v>
      </c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1"/>
      <c r="AF1786" s="11"/>
      <c r="AG1786" s="11"/>
      <c r="AH1786" s="11"/>
      <c r="AI1786" s="11"/>
      <c r="AJ1786" s="11"/>
      <c r="AK1786" s="11"/>
      <c r="AL1786" s="11"/>
      <c r="AM1786" s="11"/>
      <c r="AN1786" s="11"/>
      <c r="AO1786" s="11"/>
      <c r="AP1786" s="11"/>
      <c r="AQ1786" s="11"/>
      <c r="AR1786" s="11"/>
      <c r="AS1786" s="11"/>
      <c r="AT1786" s="11"/>
      <c r="AU1786" s="11"/>
      <c r="AV1786" s="11"/>
      <c r="AW1786" s="11"/>
      <c r="AX1786" s="11"/>
      <c r="AY1786" s="11"/>
    </row>
    <row r="1787" spans="1:51" hidden="1" x14ac:dyDescent="0.2">
      <c r="A1787" s="6" t="s">
        <v>17</v>
      </c>
      <c r="B1787" t="s">
        <v>980</v>
      </c>
      <c r="C1787" t="s">
        <v>981</v>
      </c>
      <c r="D1787" t="s">
        <v>2301</v>
      </c>
      <c r="E1787" s="2">
        <v>151.37</v>
      </c>
      <c r="F1787" s="3">
        <f>DATE(2025,7,25)</f>
        <v>45863</v>
      </c>
      <c r="G1787" s="3">
        <f>DATE(2025,7,25)</f>
        <v>45863</v>
      </c>
      <c r="H1787">
        <v>2558358774</v>
      </c>
      <c r="I1787" t="s">
        <v>21</v>
      </c>
      <c r="K1787" t="s">
        <v>22</v>
      </c>
      <c r="L1787" t="s">
        <v>23</v>
      </c>
      <c r="M1787" t="s">
        <v>24</v>
      </c>
      <c r="N1787" t="s">
        <v>24</v>
      </c>
      <c r="O1787" t="s">
        <v>25</v>
      </c>
      <c r="P1787" s="8" t="s">
        <v>2302</v>
      </c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11"/>
      <c r="AG1787" s="11"/>
      <c r="AH1787" s="11"/>
      <c r="AI1787" s="11"/>
      <c r="AJ1787" s="11"/>
      <c r="AK1787" s="11"/>
      <c r="AL1787" s="11"/>
      <c r="AM1787" s="11"/>
      <c r="AN1787" s="11"/>
      <c r="AO1787" s="11"/>
      <c r="AP1787" s="11"/>
      <c r="AQ1787" s="11"/>
      <c r="AR1787" s="11"/>
      <c r="AS1787" s="11"/>
      <c r="AT1787" s="11"/>
      <c r="AU1787" s="11"/>
      <c r="AV1787" s="11"/>
      <c r="AW1787" s="11"/>
      <c r="AX1787" s="11"/>
      <c r="AY1787" s="11"/>
    </row>
    <row r="1788" spans="1:51" x14ac:dyDescent="0.2">
      <c r="A1788" s="6" t="s">
        <v>17</v>
      </c>
      <c r="B1788" t="s">
        <v>342</v>
      </c>
      <c r="C1788" t="s">
        <v>342</v>
      </c>
      <c r="D1788" t="s">
        <v>2303</v>
      </c>
      <c r="E1788" s="2">
        <v>100</v>
      </c>
      <c r="F1788" s="3">
        <f>DATE(2025,7,29)</f>
        <v>45867</v>
      </c>
      <c r="G1788" s="3">
        <f>DATE(2025,7,29)</f>
        <v>45867</v>
      </c>
      <c r="H1788">
        <v>2558358775</v>
      </c>
      <c r="I1788" t="s">
        <v>21</v>
      </c>
      <c r="K1788" t="s">
        <v>22</v>
      </c>
      <c r="L1788" t="s">
        <v>23</v>
      </c>
      <c r="M1788" t="s">
        <v>24</v>
      </c>
      <c r="N1788" t="s">
        <v>24</v>
      </c>
      <c r="O1788" t="s">
        <v>25</v>
      </c>
      <c r="P1788" s="8" t="s">
        <v>2304</v>
      </c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11"/>
      <c r="AG1788" s="11"/>
      <c r="AH1788" s="11"/>
      <c r="AI1788" s="11"/>
      <c r="AJ1788" s="11"/>
      <c r="AK1788" s="11"/>
      <c r="AL1788" s="11"/>
      <c r="AM1788" s="11"/>
      <c r="AN1788" s="11"/>
      <c r="AO1788" s="11"/>
      <c r="AP1788" s="11"/>
      <c r="AQ1788" s="11"/>
      <c r="AR1788" s="11"/>
      <c r="AS1788" s="11"/>
      <c r="AT1788" s="11"/>
      <c r="AU1788" s="11"/>
      <c r="AV1788" s="11"/>
      <c r="AW1788" s="11"/>
      <c r="AX1788" s="11"/>
      <c r="AY1788" s="11"/>
    </row>
    <row r="1789" spans="1:51" hidden="1" x14ac:dyDescent="0.2">
      <c r="A1789" s="6" t="s">
        <v>17</v>
      </c>
      <c r="B1789" t="s">
        <v>565</v>
      </c>
      <c r="C1789" t="s">
        <v>566</v>
      </c>
      <c r="D1789" t="s">
        <v>2305</v>
      </c>
      <c r="E1789" s="2">
        <v>1009.21</v>
      </c>
      <c r="F1789" s="3">
        <f>DATE(2025,7,23)</f>
        <v>45861</v>
      </c>
      <c r="G1789" s="3">
        <f>DATE(2025,7,23)</f>
        <v>45861</v>
      </c>
      <c r="H1789">
        <v>2558358776</v>
      </c>
      <c r="I1789" t="s">
        <v>21</v>
      </c>
      <c r="K1789" t="s">
        <v>22</v>
      </c>
      <c r="L1789" t="s">
        <v>23</v>
      </c>
      <c r="M1789" t="s">
        <v>24</v>
      </c>
      <c r="N1789" t="s">
        <v>24</v>
      </c>
      <c r="O1789" t="s">
        <v>25</v>
      </c>
      <c r="P1789" s="8" t="s">
        <v>2306</v>
      </c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11"/>
      <c r="AG1789" s="11"/>
      <c r="AH1789" s="11"/>
      <c r="AI1789" s="11"/>
      <c r="AJ1789" s="11"/>
      <c r="AK1789" s="11"/>
      <c r="AL1789" s="11"/>
      <c r="AM1789" s="11"/>
      <c r="AN1789" s="11"/>
      <c r="AO1789" s="11"/>
      <c r="AP1789" s="11"/>
      <c r="AQ1789" s="11"/>
      <c r="AR1789" s="11"/>
      <c r="AS1789" s="11"/>
      <c r="AT1789" s="11"/>
      <c r="AU1789" s="11"/>
      <c r="AV1789" s="11"/>
      <c r="AW1789" s="11"/>
      <c r="AX1789" s="11"/>
      <c r="AY1789" s="11"/>
    </row>
    <row r="1790" spans="1:51" hidden="1" x14ac:dyDescent="0.2">
      <c r="A1790" s="6" t="s">
        <v>17</v>
      </c>
      <c r="B1790" t="s">
        <v>118</v>
      </c>
      <c r="C1790" t="s">
        <v>119</v>
      </c>
      <c r="D1790" t="s">
        <v>2307</v>
      </c>
      <c r="E1790" s="2">
        <v>317.54000000000002</v>
      </c>
      <c r="F1790" s="3">
        <f>DATE(2025,7,31)</f>
        <v>45869</v>
      </c>
      <c r="G1790" s="3">
        <f>DATE(2025,7,31)</f>
        <v>45869</v>
      </c>
      <c r="H1790">
        <v>2558358777</v>
      </c>
      <c r="I1790" t="s">
        <v>21</v>
      </c>
      <c r="K1790" t="s">
        <v>22</v>
      </c>
      <c r="L1790" t="s">
        <v>23</v>
      </c>
      <c r="M1790" t="s">
        <v>24</v>
      </c>
      <c r="N1790" t="s">
        <v>24</v>
      </c>
      <c r="O1790" t="s">
        <v>25</v>
      </c>
      <c r="P1790" s="8" t="s">
        <v>2308</v>
      </c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11"/>
      <c r="AG1790" s="11"/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s="11"/>
      <c r="AR1790" s="11"/>
      <c r="AS1790" s="11"/>
      <c r="AT1790" s="11"/>
      <c r="AU1790" s="11"/>
      <c r="AV1790" s="11"/>
      <c r="AW1790" s="11"/>
      <c r="AX1790" s="11"/>
      <c r="AY1790" s="11"/>
    </row>
    <row r="1791" spans="1:51" hidden="1" x14ac:dyDescent="0.2">
      <c r="A1791" s="6" t="s">
        <v>17</v>
      </c>
      <c r="B1791" t="s">
        <v>589</v>
      </c>
      <c r="C1791" t="s">
        <v>590</v>
      </c>
      <c r="D1791" t="s">
        <v>2309</v>
      </c>
      <c r="E1791" s="2">
        <v>82.08</v>
      </c>
      <c r="F1791" s="3">
        <f>DATE(2025,7,29)</f>
        <v>45867</v>
      </c>
      <c r="G1791" s="3">
        <f>DATE(2025,7,29)</f>
        <v>45867</v>
      </c>
      <c r="H1791">
        <v>2558358778</v>
      </c>
      <c r="I1791" t="s">
        <v>21</v>
      </c>
      <c r="K1791" t="s">
        <v>22</v>
      </c>
      <c r="L1791" t="s">
        <v>23</v>
      </c>
      <c r="M1791" t="s">
        <v>24</v>
      </c>
      <c r="N1791" t="s">
        <v>24</v>
      </c>
      <c r="O1791" t="s">
        <v>25</v>
      </c>
      <c r="P1791" s="8" t="s">
        <v>2310</v>
      </c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11"/>
      <c r="AG1791" s="11"/>
      <c r="AH1791" s="11"/>
      <c r="AI1791" s="11"/>
      <c r="AJ1791" s="11"/>
      <c r="AK1791" s="11"/>
      <c r="AL1791" s="11"/>
      <c r="AM1791" s="11"/>
      <c r="AN1791" s="11"/>
      <c r="AO1791" s="11"/>
      <c r="AP1791" s="11"/>
      <c r="AQ1791" s="11"/>
      <c r="AR1791" s="11"/>
      <c r="AS1791" s="11"/>
      <c r="AT1791" s="11"/>
      <c r="AU1791" s="11"/>
      <c r="AV1791" s="11"/>
      <c r="AW1791" s="11"/>
      <c r="AX1791" s="11"/>
      <c r="AY1791" s="11"/>
    </row>
    <row r="1792" spans="1:51" hidden="1" x14ac:dyDescent="0.2">
      <c r="A1792" s="6" t="s">
        <v>17</v>
      </c>
      <c r="B1792" t="s">
        <v>18</v>
      </c>
      <c r="C1792" t="s">
        <v>19</v>
      </c>
      <c r="D1792" t="s">
        <v>2311</v>
      </c>
      <c r="E1792" s="2">
        <v>861.47</v>
      </c>
      <c r="F1792" s="3">
        <f>DATE(2025,7,17)</f>
        <v>45855</v>
      </c>
      <c r="G1792" s="3">
        <f>DATE(2025,7,17)</f>
        <v>45855</v>
      </c>
      <c r="H1792">
        <v>2558358779</v>
      </c>
      <c r="I1792" t="s">
        <v>21</v>
      </c>
      <c r="K1792" t="s">
        <v>22</v>
      </c>
      <c r="L1792" t="s">
        <v>23</v>
      </c>
      <c r="M1792" t="s">
        <v>24</v>
      </c>
      <c r="N1792" t="s">
        <v>24</v>
      </c>
      <c r="O1792" t="s">
        <v>25</v>
      </c>
      <c r="P1792" s="8" t="s">
        <v>2312</v>
      </c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11"/>
      <c r="AG1792" s="11"/>
      <c r="AH1792" s="11"/>
      <c r="AI1792" s="11"/>
      <c r="AJ1792" s="11"/>
      <c r="AK1792" s="11"/>
      <c r="AL1792" s="11"/>
      <c r="AM1792" s="11"/>
      <c r="AN1792" s="11"/>
      <c r="AO1792" s="11"/>
      <c r="AP1792" s="11"/>
      <c r="AQ1792" s="11"/>
      <c r="AR1792" s="11"/>
      <c r="AS1792" s="11"/>
      <c r="AT1792" s="11"/>
      <c r="AU1792" s="11"/>
      <c r="AV1792" s="11"/>
      <c r="AW1792" s="11"/>
      <c r="AX1792" s="11"/>
      <c r="AY1792" s="11"/>
    </row>
    <row r="1793" spans="1:51" hidden="1" x14ac:dyDescent="0.2">
      <c r="A1793" s="6" t="s">
        <v>17</v>
      </c>
      <c r="B1793" t="s">
        <v>70</v>
      </c>
      <c r="C1793" t="s">
        <v>71</v>
      </c>
      <c r="D1793" t="s">
        <v>2313</v>
      </c>
      <c r="E1793" s="2">
        <v>906</v>
      </c>
      <c r="F1793" s="3">
        <f>DATE(2025,7,29)</f>
        <v>45867</v>
      </c>
      <c r="G1793" s="3">
        <f>DATE(2025,7,29)</f>
        <v>45867</v>
      </c>
      <c r="H1793">
        <v>2558358780</v>
      </c>
      <c r="I1793" t="s">
        <v>21</v>
      </c>
      <c r="K1793" t="s">
        <v>22</v>
      </c>
      <c r="L1793" t="s">
        <v>23</v>
      </c>
      <c r="M1793" t="s">
        <v>24</v>
      </c>
      <c r="N1793" t="s">
        <v>24</v>
      </c>
      <c r="O1793" t="s">
        <v>25</v>
      </c>
      <c r="P1793" s="8" t="s">
        <v>2314</v>
      </c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11"/>
      <c r="AG1793" s="11"/>
      <c r="AH1793" s="11"/>
      <c r="AI1793" s="11"/>
      <c r="AJ1793" s="11"/>
      <c r="AK1793" s="11"/>
      <c r="AL1793" s="11"/>
      <c r="AM1793" s="11"/>
      <c r="AN1793" s="11"/>
      <c r="AO1793" s="11"/>
      <c r="AP1793" s="11"/>
      <c r="AQ1793" s="11"/>
      <c r="AR1793" s="11"/>
      <c r="AS1793" s="11"/>
      <c r="AT1793" s="11"/>
      <c r="AU1793" s="11"/>
      <c r="AV1793" s="11"/>
      <c r="AW1793" s="11"/>
      <c r="AX1793" s="11"/>
      <c r="AY1793" s="11"/>
    </row>
    <row r="1794" spans="1:51" hidden="1" x14ac:dyDescent="0.2">
      <c r="A1794" s="6" t="s">
        <v>17</v>
      </c>
      <c r="B1794" t="s">
        <v>46</v>
      </c>
      <c r="C1794" t="s">
        <v>47</v>
      </c>
      <c r="D1794" t="s">
        <v>2315</v>
      </c>
      <c r="E1794" s="2">
        <v>720</v>
      </c>
      <c r="F1794" s="3">
        <f>DATE(2025,7,24)</f>
        <v>45862</v>
      </c>
      <c r="G1794" s="3">
        <f>DATE(2025,7,24)</f>
        <v>45862</v>
      </c>
      <c r="H1794">
        <v>2558358781</v>
      </c>
      <c r="I1794" t="s">
        <v>21</v>
      </c>
      <c r="K1794" t="s">
        <v>22</v>
      </c>
      <c r="L1794" t="s">
        <v>23</v>
      </c>
      <c r="M1794" t="s">
        <v>24</v>
      </c>
      <c r="N1794" t="s">
        <v>24</v>
      </c>
      <c r="O1794" t="s">
        <v>25</v>
      </c>
      <c r="P1794" s="8" t="s">
        <v>2316</v>
      </c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11"/>
      <c r="AG1794" s="11"/>
      <c r="AH1794" s="11"/>
      <c r="AI1794" s="11"/>
      <c r="AJ1794" s="11"/>
      <c r="AK1794" s="11"/>
      <c r="AL1794" s="11"/>
      <c r="AM1794" s="11"/>
      <c r="AN1794" s="11"/>
      <c r="AO1794" s="11"/>
      <c r="AP1794" s="11"/>
      <c r="AQ1794" s="11"/>
      <c r="AR1794" s="11"/>
      <c r="AS1794" s="11"/>
      <c r="AT1794" s="11"/>
      <c r="AU1794" s="11"/>
      <c r="AV1794" s="11"/>
      <c r="AW1794" s="11"/>
      <c r="AX1794" s="11"/>
      <c r="AY1794" s="11"/>
    </row>
    <row r="1795" spans="1:51" hidden="1" x14ac:dyDescent="0.2">
      <c r="A1795" s="6" t="s">
        <v>17</v>
      </c>
      <c r="B1795" t="s">
        <v>1002</v>
      </c>
      <c r="C1795" t="s">
        <v>1003</v>
      </c>
      <c r="D1795" t="s">
        <v>2317</v>
      </c>
      <c r="E1795" s="2">
        <v>748.32</v>
      </c>
      <c r="F1795" s="3">
        <f>DATE(2025,7,25)</f>
        <v>45863</v>
      </c>
      <c r="G1795" s="3">
        <f>DATE(2025,7,25)</f>
        <v>45863</v>
      </c>
      <c r="H1795">
        <v>2558358782</v>
      </c>
      <c r="I1795" t="s">
        <v>21</v>
      </c>
      <c r="K1795" t="s">
        <v>22</v>
      </c>
      <c r="L1795" t="s">
        <v>23</v>
      </c>
      <c r="M1795" t="s">
        <v>24</v>
      </c>
      <c r="N1795" t="s">
        <v>24</v>
      </c>
      <c r="O1795" t="s">
        <v>25</v>
      </c>
      <c r="P1795" s="8" t="s">
        <v>2318</v>
      </c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11"/>
      <c r="AG1795" s="11"/>
      <c r="AH1795" s="11"/>
      <c r="AI1795" s="11"/>
      <c r="AJ1795" s="11"/>
      <c r="AK1795" s="11"/>
      <c r="AL1795" s="11"/>
      <c r="AM1795" s="11"/>
      <c r="AN1795" s="11"/>
      <c r="AO1795" s="11"/>
      <c r="AP1795" s="11"/>
      <c r="AQ1795" s="11"/>
      <c r="AR1795" s="11"/>
      <c r="AS1795" s="11"/>
      <c r="AT1795" s="11"/>
      <c r="AU1795" s="11"/>
      <c r="AV1795" s="11"/>
      <c r="AW1795" s="11"/>
      <c r="AX1795" s="11"/>
      <c r="AY1795" s="11"/>
    </row>
    <row r="1796" spans="1:51" hidden="1" x14ac:dyDescent="0.2">
      <c r="A1796" s="6" t="s">
        <v>17</v>
      </c>
      <c r="B1796" t="s">
        <v>255</v>
      </c>
      <c r="C1796" t="s">
        <v>255</v>
      </c>
      <c r="D1796" t="s">
        <v>2319</v>
      </c>
      <c r="E1796" s="2">
        <v>22.88</v>
      </c>
      <c r="F1796" s="3">
        <f>DATE(2025,7,23)</f>
        <v>45861</v>
      </c>
      <c r="G1796" s="3">
        <f>DATE(2025,7,23)</f>
        <v>45861</v>
      </c>
      <c r="H1796">
        <v>2558358783</v>
      </c>
      <c r="I1796" t="s">
        <v>21</v>
      </c>
      <c r="K1796" t="s">
        <v>22</v>
      </c>
      <c r="L1796" t="s">
        <v>23</v>
      </c>
      <c r="M1796" t="s">
        <v>24</v>
      </c>
      <c r="N1796" t="s">
        <v>24</v>
      </c>
      <c r="O1796" t="s">
        <v>25</v>
      </c>
      <c r="P1796" s="8" t="s">
        <v>2320</v>
      </c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11"/>
      <c r="AG1796" s="11"/>
      <c r="AH1796" s="11"/>
      <c r="AI1796" s="11"/>
      <c r="AJ1796" s="11"/>
      <c r="AK1796" s="11"/>
      <c r="AL1796" s="11"/>
      <c r="AM1796" s="11"/>
      <c r="AN1796" s="11"/>
      <c r="AO1796" s="11"/>
      <c r="AP1796" s="11"/>
      <c r="AQ1796" s="11"/>
      <c r="AR1796" s="11"/>
      <c r="AS1796" s="11"/>
      <c r="AT1796" s="11"/>
      <c r="AU1796" s="11"/>
      <c r="AV1796" s="11"/>
      <c r="AW1796" s="11"/>
      <c r="AX1796" s="11"/>
      <c r="AY1796" s="11"/>
    </row>
    <row r="1797" spans="1:51" x14ac:dyDescent="0.2">
      <c r="A1797" s="6" t="s">
        <v>17</v>
      </c>
      <c r="B1797" t="s">
        <v>342</v>
      </c>
      <c r="C1797" t="s">
        <v>342</v>
      </c>
      <c r="D1797" t="s">
        <v>2321</v>
      </c>
      <c r="E1797" s="2">
        <v>279.60000000000002</v>
      </c>
      <c r="F1797" s="3">
        <f>DATE(2025,7,28)</f>
        <v>45866</v>
      </c>
      <c r="G1797" s="3">
        <f>DATE(2025,7,28)</f>
        <v>45866</v>
      </c>
      <c r="H1797">
        <v>2558358784</v>
      </c>
      <c r="I1797" t="s">
        <v>21</v>
      </c>
      <c r="K1797" t="s">
        <v>22</v>
      </c>
      <c r="L1797" t="s">
        <v>23</v>
      </c>
      <c r="M1797" t="s">
        <v>24</v>
      </c>
      <c r="N1797" t="s">
        <v>24</v>
      </c>
      <c r="O1797" t="s">
        <v>25</v>
      </c>
      <c r="P1797" s="8" t="s">
        <v>2322</v>
      </c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11"/>
      <c r="AG1797" s="11"/>
      <c r="AH1797" s="11"/>
      <c r="AI1797" s="11"/>
      <c r="AJ1797" s="11"/>
      <c r="AK1797" s="11"/>
      <c r="AL1797" s="11"/>
      <c r="AM1797" s="11"/>
      <c r="AN1797" s="11"/>
      <c r="AO1797" s="11"/>
      <c r="AP1797" s="11"/>
      <c r="AQ1797" s="11"/>
      <c r="AR1797" s="11"/>
      <c r="AS1797" s="11"/>
      <c r="AT1797" s="11"/>
      <c r="AU1797" s="11"/>
      <c r="AV1797" s="11"/>
      <c r="AW1797" s="11"/>
      <c r="AX1797" s="11"/>
      <c r="AY1797" s="11"/>
    </row>
    <row r="1798" spans="1:51" hidden="1" x14ac:dyDescent="0.2">
      <c r="A1798" s="6" t="s">
        <v>17</v>
      </c>
      <c r="B1798" t="s">
        <v>1048</v>
      </c>
      <c r="C1798" t="s">
        <v>1049</v>
      </c>
      <c r="D1798" t="s">
        <v>2323</v>
      </c>
      <c r="E1798" s="2">
        <v>1327.17</v>
      </c>
      <c r="F1798" s="3">
        <f>DATE(2025,7,30)</f>
        <v>45868</v>
      </c>
      <c r="G1798" s="3">
        <f>DATE(2025,7,30)</f>
        <v>45868</v>
      </c>
      <c r="H1798">
        <v>2558358785</v>
      </c>
      <c r="I1798" t="s">
        <v>21</v>
      </c>
      <c r="K1798" t="s">
        <v>22</v>
      </c>
      <c r="L1798" t="s">
        <v>23</v>
      </c>
      <c r="M1798" t="s">
        <v>24</v>
      </c>
      <c r="N1798" t="s">
        <v>24</v>
      </c>
      <c r="O1798" t="s">
        <v>25</v>
      </c>
      <c r="P1798" s="8" t="s">
        <v>2324</v>
      </c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11"/>
      <c r="AG1798" s="11"/>
      <c r="AH1798" s="11"/>
      <c r="AI1798" s="11"/>
      <c r="AJ1798" s="11"/>
      <c r="AK1798" s="11"/>
      <c r="AL1798" s="11"/>
      <c r="AM1798" s="11"/>
      <c r="AN1798" s="11"/>
      <c r="AO1798" s="11"/>
      <c r="AP1798" s="11"/>
      <c r="AQ1798" s="11"/>
      <c r="AR1798" s="11"/>
      <c r="AS1798" s="11"/>
      <c r="AT1798" s="11"/>
      <c r="AU1798" s="11"/>
      <c r="AV1798" s="11"/>
      <c r="AW1798" s="11"/>
      <c r="AX1798" s="11"/>
      <c r="AY1798" s="11"/>
    </row>
    <row r="1799" spans="1:51" hidden="1" x14ac:dyDescent="0.2">
      <c r="A1799" s="6" t="s">
        <v>17</v>
      </c>
      <c r="B1799" t="s">
        <v>309</v>
      </c>
      <c r="C1799" t="s">
        <v>310</v>
      </c>
      <c r="D1799" t="s">
        <v>2325</v>
      </c>
      <c r="E1799" s="2">
        <v>3616.89</v>
      </c>
      <c r="F1799" s="3">
        <f>DATE(2025,7,25)</f>
        <v>45863</v>
      </c>
      <c r="G1799" s="3">
        <f>DATE(2025,7,25)</f>
        <v>45863</v>
      </c>
      <c r="H1799">
        <v>2558358786</v>
      </c>
      <c r="I1799" t="s">
        <v>21</v>
      </c>
      <c r="K1799" t="s">
        <v>22</v>
      </c>
      <c r="L1799" t="s">
        <v>23</v>
      </c>
      <c r="M1799" t="s">
        <v>24</v>
      </c>
      <c r="N1799" t="s">
        <v>24</v>
      </c>
      <c r="O1799" t="s">
        <v>25</v>
      </c>
      <c r="P1799" s="8" t="s">
        <v>2326</v>
      </c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11"/>
      <c r="AG1799" s="11"/>
      <c r="AH1799" s="11"/>
      <c r="AI1799" s="11"/>
      <c r="AJ1799" s="11"/>
      <c r="AK1799" s="11"/>
      <c r="AL1799" s="11"/>
      <c r="AM1799" s="11"/>
      <c r="AN1799" s="11"/>
      <c r="AO1799" s="11"/>
      <c r="AP1799" s="11"/>
      <c r="AQ1799" s="11"/>
      <c r="AR1799" s="11"/>
      <c r="AS1799" s="11"/>
      <c r="AT1799" s="11"/>
      <c r="AU1799" s="11"/>
      <c r="AV1799" s="11"/>
      <c r="AW1799" s="11"/>
      <c r="AX1799" s="11"/>
      <c r="AY1799" s="11"/>
    </row>
    <row r="1800" spans="1:51" hidden="1" x14ac:dyDescent="0.2">
      <c r="A1800" s="6" t="s">
        <v>17</v>
      </c>
      <c r="B1800" t="s">
        <v>31</v>
      </c>
      <c r="C1800" t="s">
        <v>32</v>
      </c>
      <c r="D1800" t="s">
        <v>2327</v>
      </c>
      <c r="E1800" s="2">
        <v>31.78</v>
      </c>
      <c r="F1800" s="3">
        <f>DATE(2025,7,18)</f>
        <v>45856</v>
      </c>
      <c r="G1800" s="3">
        <f>DATE(2025,7,18)</f>
        <v>45856</v>
      </c>
      <c r="H1800">
        <v>2558358787</v>
      </c>
      <c r="I1800" t="s">
        <v>21</v>
      </c>
      <c r="K1800" t="s">
        <v>22</v>
      </c>
      <c r="L1800" t="s">
        <v>23</v>
      </c>
      <c r="M1800" t="s">
        <v>24</v>
      </c>
      <c r="N1800" t="s">
        <v>24</v>
      </c>
      <c r="O1800" t="s">
        <v>25</v>
      </c>
      <c r="P1800" s="8" t="s">
        <v>2328</v>
      </c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  <c r="AS1800" s="11"/>
      <c r="AT1800" s="11"/>
      <c r="AU1800" s="11"/>
      <c r="AV1800" s="11"/>
      <c r="AW1800" s="11"/>
      <c r="AX1800" s="11"/>
      <c r="AY1800" s="11"/>
    </row>
    <row r="1801" spans="1:51" hidden="1" x14ac:dyDescent="0.2">
      <c r="A1801" s="6" t="s">
        <v>17</v>
      </c>
      <c r="B1801" t="s">
        <v>46</v>
      </c>
      <c r="C1801" t="s">
        <v>47</v>
      </c>
      <c r="D1801" t="s">
        <v>2329</v>
      </c>
      <c r="E1801" s="2">
        <v>150</v>
      </c>
      <c r="F1801" s="3">
        <f>DATE(2025,7,28)</f>
        <v>45866</v>
      </c>
      <c r="G1801" s="3">
        <f>DATE(2025,7,28)</f>
        <v>45866</v>
      </c>
      <c r="H1801">
        <v>2558358788</v>
      </c>
      <c r="I1801" t="s">
        <v>21</v>
      </c>
      <c r="K1801" t="s">
        <v>22</v>
      </c>
      <c r="L1801" t="s">
        <v>23</v>
      </c>
      <c r="M1801" t="s">
        <v>24</v>
      </c>
      <c r="N1801" t="s">
        <v>24</v>
      </c>
      <c r="O1801" t="s">
        <v>25</v>
      </c>
      <c r="P1801" s="8" t="s">
        <v>2330</v>
      </c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1"/>
      <c r="AB1801" s="11"/>
      <c r="AC1801" s="11"/>
      <c r="AD1801" s="11"/>
      <c r="AE1801" s="11"/>
      <c r="AF1801" s="11"/>
      <c r="AG1801" s="11"/>
      <c r="AH1801" s="11"/>
      <c r="AI1801" s="11"/>
      <c r="AJ1801" s="11"/>
      <c r="AK1801" s="11"/>
      <c r="AL1801" s="11"/>
      <c r="AM1801" s="11"/>
      <c r="AN1801" s="11"/>
      <c r="AO1801" s="11"/>
      <c r="AP1801" s="11"/>
      <c r="AQ1801" s="11"/>
      <c r="AR1801" s="11"/>
      <c r="AS1801" s="11"/>
      <c r="AT1801" s="11"/>
      <c r="AU1801" s="11"/>
      <c r="AV1801" s="11"/>
      <c r="AW1801" s="11"/>
      <c r="AX1801" s="11"/>
      <c r="AY1801" s="11"/>
    </row>
    <row r="1802" spans="1:51" hidden="1" x14ac:dyDescent="0.2">
      <c r="A1802" s="6" t="s">
        <v>17</v>
      </c>
      <c r="B1802" t="s">
        <v>70</v>
      </c>
      <c r="C1802" t="s">
        <v>71</v>
      </c>
      <c r="D1802" t="s">
        <v>2331</v>
      </c>
      <c r="E1802" s="2">
        <v>394.74</v>
      </c>
      <c r="F1802" s="3">
        <f>DATE(2025,7,28)</f>
        <v>45866</v>
      </c>
      <c r="G1802" s="3">
        <f>DATE(2025,7,28)</f>
        <v>45866</v>
      </c>
      <c r="H1802">
        <v>2558358789</v>
      </c>
      <c r="I1802" t="s">
        <v>21</v>
      </c>
      <c r="K1802" t="s">
        <v>22</v>
      </c>
      <c r="L1802" t="s">
        <v>23</v>
      </c>
      <c r="M1802" t="s">
        <v>24</v>
      </c>
      <c r="N1802" t="s">
        <v>24</v>
      </c>
      <c r="O1802" t="s">
        <v>25</v>
      </c>
      <c r="P1802" s="8" t="s">
        <v>2332</v>
      </c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11"/>
      <c r="AG1802" s="11"/>
      <c r="AH1802" s="11"/>
      <c r="AI1802" s="11"/>
      <c r="AJ1802" s="11"/>
      <c r="AK1802" s="11"/>
      <c r="AL1802" s="11"/>
      <c r="AM1802" s="11"/>
      <c r="AN1802" s="11"/>
      <c r="AO1802" s="11"/>
      <c r="AP1802" s="11"/>
      <c r="AQ1802" s="11"/>
      <c r="AR1802" s="11"/>
      <c r="AS1802" s="11"/>
      <c r="AT1802" s="11"/>
      <c r="AU1802" s="11"/>
      <c r="AV1802" s="11"/>
      <c r="AW1802" s="11"/>
      <c r="AX1802" s="11"/>
      <c r="AY1802" s="11"/>
    </row>
    <row r="1803" spans="1:51" hidden="1" x14ac:dyDescent="0.2">
      <c r="A1803" s="6"/>
      <c r="E1803" s="2"/>
      <c r="F1803" s="3"/>
      <c r="G1803" s="3"/>
      <c r="P1803" s="8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1"/>
      <c r="AJ1803" s="11"/>
      <c r="AK1803" s="11"/>
      <c r="AL1803" s="11"/>
      <c r="AM1803" s="11"/>
      <c r="AN1803" s="11"/>
      <c r="AO1803" s="11"/>
      <c r="AP1803" s="11"/>
      <c r="AQ1803" s="11"/>
      <c r="AR1803" s="11"/>
      <c r="AS1803" s="11"/>
      <c r="AT1803" s="11"/>
      <c r="AU1803" s="11"/>
      <c r="AV1803" s="11"/>
      <c r="AW1803" s="11"/>
      <c r="AX1803" s="11"/>
      <c r="AY1803" s="11"/>
    </row>
    <row r="1804" spans="1:51" x14ac:dyDescent="0.2">
      <c r="A1804" s="6" t="s">
        <v>17</v>
      </c>
      <c r="B1804" t="s">
        <v>342</v>
      </c>
      <c r="C1804" t="s">
        <v>342</v>
      </c>
      <c r="D1804" t="s">
        <v>2333</v>
      </c>
      <c r="E1804" s="2">
        <v>174.05</v>
      </c>
      <c r="F1804" s="3">
        <f>DATE(2025,7,16)</f>
        <v>45854</v>
      </c>
      <c r="G1804" s="3">
        <f>DATE(2025,7,16)</f>
        <v>45854</v>
      </c>
      <c r="H1804">
        <v>2558358791</v>
      </c>
      <c r="I1804" t="s">
        <v>21</v>
      </c>
      <c r="K1804" t="s">
        <v>22</v>
      </c>
      <c r="L1804" t="s">
        <v>23</v>
      </c>
      <c r="M1804" t="s">
        <v>24</v>
      </c>
      <c r="N1804" t="s">
        <v>24</v>
      </c>
      <c r="O1804" t="s">
        <v>25</v>
      </c>
      <c r="P1804" s="8" t="s">
        <v>2334</v>
      </c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11"/>
      <c r="AG1804" s="11"/>
      <c r="AH1804" s="11"/>
      <c r="AI1804" s="11"/>
      <c r="AJ1804" s="11"/>
      <c r="AK1804" s="11"/>
      <c r="AL1804" s="11"/>
      <c r="AM1804" s="11"/>
      <c r="AN1804" s="11"/>
      <c r="AO1804" s="11"/>
      <c r="AP1804" s="11"/>
      <c r="AQ1804" s="11"/>
      <c r="AR1804" s="11"/>
      <c r="AS1804" s="11"/>
      <c r="AT1804" s="11"/>
      <c r="AU1804" s="11"/>
      <c r="AV1804" s="11"/>
      <c r="AW1804" s="11"/>
      <c r="AX1804" s="11"/>
      <c r="AY1804" s="11"/>
    </row>
    <row r="1805" spans="1:51" hidden="1" x14ac:dyDescent="0.2">
      <c r="A1805" s="6"/>
      <c r="E1805" s="2"/>
      <c r="F1805" s="3"/>
      <c r="G1805" s="3"/>
      <c r="P1805" s="8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11"/>
      <c r="AG1805" s="11"/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s="11"/>
      <c r="AR1805" s="11"/>
      <c r="AS1805" s="11"/>
      <c r="AT1805" s="11"/>
      <c r="AU1805" s="11"/>
      <c r="AV1805" s="11"/>
      <c r="AW1805" s="11"/>
      <c r="AX1805" s="11"/>
      <c r="AY1805" s="11"/>
    </row>
    <row r="1806" spans="1:51" hidden="1" x14ac:dyDescent="0.2">
      <c r="A1806" s="6"/>
      <c r="E1806" s="2"/>
      <c r="F1806" s="3"/>
      <c r="G1806" s="3"/>
      <c r="P1806" s="8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11"/>
      <c r="AG1806" s="11"/>
      <c r="AH1806" s="11"/>
      <c r="AI1806" s="11"/>
      <c r="AJ1806" s="11"/>
      <c r="AK1806" s="11"/>
      <c r="AL1806" s="11"/>
      <c r="AM1806" s="11"/>
      <c r="AN1806" s="11"/>
      <c r="AO1806" s="11"/>
      <c r="AP1806" s="11"/>
      <c r="AQ1806" s="11"/>
      <c r="AR1806" s="11"/>
      <c r="AS1806" s="11"/>
      <c r="AT1806" s="11"/>
      <c r="AU1806" s="11"/>
      <c r="AV1806" s="11"/>
      <c r="AW1806" s="11"/>
      <c r="AX1806" s="11"/>
      <c r="AY1806" s="11"/>
    </row>
    <row r="1807" spans="1:51" hidden="1" x14ac:dyDescent="0.2">
      <c r="A1807" s="6" t="s">
        <v>17</v>
      </c>
      <c r="B1807" t="s">
        <v>118</v>
      </c>
      <c r="C1807" t="s">
        <v>119</v>
      </c>
      <c r="D1807" t="s">
        <v>2335</v>
      </c>
      <c r="E1807" s="2">
        <v>57.01</v>
      </c>
      <c r="F1807" s="3">
        <f>DATE(2025,7,28)</f>
        <v>45866</v>
      </c>
      <c r="G1807" s="3">
        <f>DATE(2025,7,28)</f>
        <v>45866</v>
      </c>
      <c r="H1807">
        <v>2558358794</v>
      </c>
      <c r="I1807" t="s">
        <v>21</v>
      </c>
      <c r="K1807" t="s">
        <v>22</v>
      </c>
      <c r="L1807" t="s">
        <v>23</v>
      </c>
      <c r="M1807" t="s">
        <v>24</v>
      </c>
      <c r="N1807" t="s">
        <v>24</v>
      </c>
      <c r="O1807" t="s">
        <v>25</v>
      </c>
      <c r="P1807" s="8" t="s">
        <v>2336</v>
      </c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11"/>
      <c r="AG1807" s="11"/>
      <c r="AH1807" s="11"/>
      <c r="AI1807" s="11"/>
      <c r="AJ1807" s="11"/>
      <c r="AK1807" s="11"/>
      <c r="AL1807" s="11"/>
      <c r="AM1807" s="11"/>
      <c r="AN1807" s="11"/>
      <c r="AO1807" s="11"/>
      <c r="AP1807" s="11"/>
      <c r="AQ1807" s="11"/>
      <c r="AR1807" s="11"/>
      <c r="AS1807" s="11"/>
      <c r="AT1807" s="11"/>
      <c r="AU1807" s="11"/>
      <c r="AV1807" s="11"/>
      <c r="AW1807" s="11"/>
      <c r="AX1807" s="11"/>
      <c r="AY1807" s="11"/>
    </row>
    <row r="1808" spans="1:51" hidden="1" x14ac:dyDescent="0.2">
      <c r="A1808" s="6" t="s">
        <v>17</v>
      </c>
      <c r="B1808" t="s">
        <v>31</v>
      </c>
      <c r="C1808" t="s">
        <v>32</v>
      </c>
      <c r="D1808" t="s">
        <v>2337</v>
      </c>
      <c r="E1808" s="2">
        <v>51.99</v>
      </c>
      <c r="F1808" s="3">
        <f>DATE(2025,7,21)</f>
        <v>45859</v>
      </c>
      <c r="G1808" s="3">
        <f>DATE(2025,7,21)</f>
        <v>45859</v>
      </c>
      <c r="H1808">
        <v>2558358795</v>
      </c>
      <c r="I1808" t="s">
        <v>21</v>
      </c>
      <c r="K1808" t="s">
        <v>22</v>
      </c>
      <c r="L1808" t="s">
        <v>23</v>
      </c>
      <c r="M1808" t="s">
        <v>24</v>
      </c>
      <c r="N1808" t="s">
        <v>24</v>
      </c>
      <c r="O1808" t="s">
        <v>25</v>
      </c>
      <c r="P1808" s="8" t="s">
        <v>2338</v>
      </c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11"/>
      <c r="AG1808" s="11"/>
      <c r="AH1808" s="11"/>
      <c r="AI1808" s="11"/>
      <c r="AJ1808" s="11"/>
      <c r="AK1808" s="11"/>
      <c r="AL1808" s="11"/>
      <c r="AM1808" s="11"/>
      <c r="AN1808" s="11"/>
      <c r="AO1808" s="11"/>
      <c r="AP1808" s="11"/>
      <c r="AQ1808" s="11"/>
      <c r="AR1808" s="11"/>
      <c r="AS1808" s="11"/>
      <c r="AT1808" s="11"/>
      <c r="AU1808" s="11"/>
      <c r="AV1808" s="11"/>
      <c r="AW1808" s="11"/>
      <c r="AX1808" s="11"/>
      <c r="AY1808" s="11"/>
    </row>
    <row r="1809" spans="1:51" hidden="1" x14ac:dyDescent="0.2">
      <c r="A1809" s="6" t="s">
        <v>17</v>
      </c>
      <c r="B1809" t="s">
        <v>244</v>
      </c>
      <c r="C1809" t="s">
        <v>245</v>
      </c>
      <c r="D1809" t="s">
        <v>2339</v>
      </c>
      <c r="E1809" s="2">
        <v>629.04</v>
      </c>
      <c r="F1809" s="3">
        <f>DATE(2025,7,30)</f>
        <v>45868</v>
      </c>
      <c r="G1809" s="3">
        <f>DATE(2025,7,30)</f>
        <v>45868</v>
      </c>
      <c r="H1809">
        <v>2558358796</v>
      </c>
      <c r="I1809" t="s">
        <v>21</v>
      </c>
      <c r="K1809" t="s">
        <v>22</v>
      </c>
      <c r="L1809" t="s">
        <v>23</v>
      </c>
      <c r="M1809" t="s">
        <v>24</v>
      </c>
      <c r="N1809" t="s">
        <v>24</v>
      </c>
      <c r="O1809" t="s">
        <v>25</v>
      </c>
      <c r="P1809" s="8" t="s">
        <v>2340</v>
      </c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11"/>
      <c r="AG1809" s="11"/>
      <c r="AH1809" s="11"/>
      <c r="AI1809" s="11"/>
      <c r="AJ1809" s="11"/>
      <c r="AK1809" s="11"/>
      <c r="AL1809" s="11"/>
      <c r="AM1809" s="11"/>
      <c r="AN1809" s="11"/>
      <c r="AO1809" s="11"/>
      <c r="AP1809" s="11"/>
      <c r="AQ1809" s="11"/>
      <c r="AR1809" s="11"/>
      <c r="AS1809" s="11"/>
      <c r="AT1809" s="11"/>
      <c r="AU1809" s="11"/>
      <c r="AV1809" s="11"/>
      <c r="AW1809" s="11"/>
      <c r="AX1809" s="11"/>
      <c r="AY1809" s="11"/>
    </row>
    <row r="1810" spans="1:51" hidden="1" x14ac:dyDescent="0.2">
      <c r="A1810" s="6" t="s">
        <v>17</v>
      </c>
      <c r="B1810" t="s">
        <v>878</v>
      </c>
      <c r="C1810" t="s">
        <v>879</v>
      </c>
      <c r="D1810" t="s">
        <v>2341</v>
      </c>
      <c r="E1810" s="2">
        <v>1670.98</v>
      </c>
      <c r="F1810" s="3">
        <f>DATE(2025,7,28)</f>
        <v>45866</v>
      </c>
      <c r="G1810" s="3">
        <f>DATE(2025,7,28)</f>
        <v>45866</v>
      </c>
      <c r="H1810">
        <v>2558358797</v>
      </c>
      <c r="I1810" t="s">
        <v>21</v>
      </c>
      <c r="K1810" t="s">
        <v>22</v>
      </c>
      <c r="L1810" t="s">
        <v>23</v>
      </c>
      <c r="M1810" t="s">
        <v>24</v>
      </c>
      <c r="N1810" t="s">
        <v>24</v>
      </c>
      <c r="O1810" t="s">
        <v>25</v>
      </c>
      <c r="P1810" s="8" t="s">
        <v>2342</v>
      </c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1"/>
      <c r="AF1810" s="11"/>
      <c r="AG1810" s="11"/>
      <c r="AH1810" s="11"/>
      <c r="AI1810" s="11"/>
      <c r="AJ1810" s="11"/>
      <c r="AK1810" s="11"/>
      <c r="AL1810" s="11"/>
      <c r="AM1810" s="11"/>
      <c r="AN1810" s="11"/>
      <c r="AO1810" s="11"/>
      <c r="AP1810" s="11"/>
      <c r="AQ1810" s="11"/>
      <c r="AR1810" s="11"/>
      <c r="AS1810" s="11"/>
      <c r="AT1810" s="11"/>
      <c r="AU1810" s="11"/>
      <c r="AV1810" s="11"/>
      <c r="AW1810" s="11"/>
      <c r="AX1810" s="11"/>
      <c r="AY1810" s="11"/>
    </row>
    <row r="1811" spans="1:51" hidden="1" x14ac:dyDescent="0.2">
      <c r="A1811" s="6"/>
      <c r="E1811" s="2"/>
      <c r="F1811" s="3"/>
      <c r="G1811" s="3"/>
      <c r="P1811" s="8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1"/>
      <c r="AG1811" s="11"/>
      <c r="AH1811" s="11"/>
      <c r="AI1811" s="11"/>
      <c r="AJ1811" s="11"/>
      <c r="AK1811" s="11"/>
      <c r="AL1811" s="11"/>
      <c r="AM1811" s="11"/>
      <c r="AN1811" s="11"/>
      <c r="AO1811" s="11"/>
      <c r="AP1811" s="11"/>
      <c r="AQ1811" s="11"/>
      <c r="AR1811" s="11"/>
      <c r="AS1811" s="11"/>
      <c r="AT1811" s="11"/>
      <c r="AU1811" s="11"/>
      <c r="AV1811" s="11"/>
      <c r="AW1811" s="11"/>
      <c r="AX1811" s="11"/>
      <c r="AY1811" s="11"/>
    </row>
    <row r="1812" spans="1:51" hidden="1" x14ac:dyDescent="0.2">
      <c r="A1812" s="6" t="s">
        <v>17</v>
      </c>
      <c r="B1812" t="s">
        <v>18</v>
      </c>
      <c r="C1812" t="s">
        <v>19</v>
      </c>
      <c r="D1812" t="s">
        <v>2343</v>
      </c>
      <c r="E1812" s="2">
        <v>151.19999999999999</v>
      </c>
      <c r="F1812" s="3">
        <f>DATE(2025,7,28)</f>
        <v>45866</v>
      </c>
      <c r="G1812" s="3">
        <f>DATE(2025,7,28)</f>
        <v>45866</v>
      </c>
      <c r="H1812">
        <v>2558358799</v>
      </c>
      <c r="I1812" t="s">
        <v>21</v>
      </c>
      <c r="K1812" t="s">
        <v>22</v>
      </c>
      <c r="L1812" t="s">
        <v>23</v>
      </c>
      <c r="M1812" t="s">
        <v>24</v>
      </c>
      <c r="N1812" t="s">
        <v>24</v>
      </c>
      <c r="O1812" t="s">
        <v>25</v>
      </c>
      <c r="P1812" s="8" t="s">
        <v>2344</v>
      </c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11"/>
      <c r="AG1812" s="11"/>
      <c r="AH1812" s="11"/>
      <c r="AI1812" s="11"/>
      <c r="AJ1812" s="11"/>
      <c r="AK1812" s="11"/>
      <c r="AL1812" s="11"/>
      <c r="AM1812" s="11"/>
      <c r="AN1812" s="11"/>
      <c r="AO1812" s="11"/>
      <c r="AP1812" s="11"/>
      <c r="AQ1812" s="11"/>
      <c r="AR1812" s="11"/>
      <c r="AS1812" s="11"/>
      <c r="AT1812" s="11"/>
      <c r="AU1812" s="11"/>
      <c r="AV1812" s="11"/>
      <c r="AW1812" s="11"/>
      <c r="AX1812" s="11"/>
      <c r="AY1812" s="11"/>
    </row>
    <row r="1813" spans="1:51" hidden="1" x14ac:dyDescent="0.2">
      <c r="A1813" s="6"/>
      <c r="E1813" s="2"/>
      <c r="F1813" s="3"/>
      <c r="G1813" s="3"/>
      <c r="P1813" s="8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1"/>
      <c r="AF1813" s="11"/>
      <c r="AG1813" s="11"/>
      <c r="AH1813" s="11"/>
      <c r="AI1813" s="11"/>
      <c r="AJ1813" s="11"/>
      <c r="AK1813" s="11"/>
      <c r="AL1813" s="11"/>
      <c r="AM1813" s="11"/>
      <c r="AN1813" s="11"/>
      <c r="AO1813" s="11"/>
      <c r="AP1813" s="11"/>
      <c r="AQ1813" s="11"/>
      <c r="AR1813" s="11"/>
      <c r="AS1813" s="11"/>
      <c r="AT1813" s="11"/>
      <c r="AU1813" s="11"/>
      <c r="AV1813" s="11"/>
      <c r="AW1813" s="11"/>
      <c r="AX1813" s="11"/>
      <c r="AY1813" s="11"/>
    </row>
    <row r="1814" spans="1:51" hidden="1" x14ac:dyDescent="0.2">
      <c r="A1814" s="6"/>
      <c r="E1814" s="2"/>
      <c r="F1814" s="3"/>
      <c r="G1814" s="3"/>
      <c r="P1814" s="8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s="11"/>
      <c r="AR1814" s="11"/>
      <c r="AS1814" s="11"/>
      <c r="AT1814" s="11"/>
      <c r="AU1814" s="11"/>
      <c r="AV1814" s="11"/>
      <c r="AW1814" s="11"/>
      <c r="AX1814" s="11"/>
      <c r="AY1814" s="11"/>
    </row>
    <row r="1815" spans="1:51" hidden="1" x14ac:dyDescent="0.2">
      <c r="A1815" s="6"/>
      <c r="E1815" s="2"/>
      <c r="F1815" s="3"/>
      <c r="G1815" s="3"/>
      <c r="P1815" s="8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11"/>
      <c r="AG1815" s="11"/>
      <c r="AH1815" s="11"/>
      <c r="AI1815" s="11"/>
      <c r="AJ1815" s="11"/>
      <c r="AK1815" s="11"/>
      <c r="AL1815" s="11"/>
      <c r="AM1815" s="11"/>
      <c r="AN1815" s="11"/>
      <c r="AO1815" s="11"/>
      <c r="AP1815" s="11"/>
      <c r="AQ1815" s="11"/>
      <c r="AR1815" s="11"/>
      <c r="AS1815" s="11"/>
      <c r="AT1815" s="11"/>
      <c r="AU1815" s="11"/>
      <c r="AV1815" s="11"/>
      <c r="AW1815" s="11"/>
      <c r="AX1815" s="11"/>
      <c r="AY1815" s="11"/>
    </row>
    <row r="1816" spans="1:51" x14ac:dyDescent="0.2">
      <c r="A1816" s="6" t="s">
        <v>17</v>
      </c>
      <c r="B1816" t="s">
        <v>342</v>
      </c>
      <c r="C1816" t="s">
        <v>342</v>
      </c>
      <c r="D1816" t="s">
        <v>2345</v>
      </c>
      <c r="E1816" s="2">
        <v>262.08</v>
      </c>
      <c r="F1816" s="3">
        <f>DATE(2025,7,28)</f>
        <v>45866</v>
      </c>
      <c r="G1816" s="3">
        <f>DATE(2025,7,28)</f>
        <v>45866</v>
      </c>
      <c r="H1816">
        <v>2558358803</v>
      </c>
      <c r="I1816" t="s">
        <v>21</v>
      </c>
      <c r="K1816" t="s">
        <v>22</v>
      </c>
      <c r="L1816" t="s">
        <v>23</v>
      </c>
      <c r="M1816" t="s">
        <v>24</v>
      </c>
      <c r="N1816" t="s">
        <v>24</v>
      </c>
      <c r="O1816" t="s">
        <v>25</v>
      </c>
      <c r="P1816" s="8" t="s">
        <v>2346</v>
      </c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11"/>
      <c r="AG1816" s="11"/>
      <c r="AH1816" s="11"/>
      <c r="AI1816" s="11"/>
      <c r="AJ1816" s="11"/>
      <c r="AK1816" s="11"/>
      <c r="AL1816" s="11"/>
      <c r="AM1816" s="11"/>
      <c r="AN1816" s="11"/>
      <c r="AO1816" s="11"/>
      <c r="AP1816" s="11"/>
      <c r="AQ1816" s="11"/>
      <c r="AR1816" s="11"/>
      <c r="AS1816" s="11"/>
      <c r="AT1816" s="11"/>
      <c r="AU1816" s="11"/>
      <c r="AV1816" s="11"/>
      <c r="AW1816" s="11"/>
      <c r="AX1816" s="11"/>
      <c r="AY1816" s="11"/>
    </row>
    <row r="1817" spans="1:51" hidden="1" x14ac:dyDescent="0.2">
      <c r="A1817" s="6"/>
      <c r="E1817" s="2"/>
      <c r="F1817" s="3"/>
      <c r="G1817" s="3"/>
      <c r="P1817" s="8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11"/>
      <c r="AG1817" s="11"/>
      <c r="AH1817" s="11"/>
      <c r="AI1817" s="11"/>
      <c r="AJ1817" s="11"/>
      <c r="AK1817" s="11"/>
      <c r="AL1817" s="11"/>
      <c r="AM1817" s="11"/>
      <c r="AN1817" s="11"/>
      <c r="AO1817" s="11"/>
      <c r="AP1817" s="11"/>
      <c r="AQ1817" s="11"/>
      <c r="AR1817" s="11"/>
      <c r="AS1817" s="11"/>
      <c r="AT1817" s="11"/>
      <c r="AU1817" s="11"/>
      <c r="AV1817" s="11"/>
      <c r="AW1817" s="11"/>
      <c r="AX1817" s="11"/>
      <c r="AY1817" s="11"/>
    </row>
    <row r="1818" spans="1:51" hidden="1" x14ac:dyDescent="0.2">
      <c r="A1818" s="6" t="s">
        <v>17</v>
      </c>
      <c r="B1818" t="s">
        <v>287</v>
      </c>
      <c r="C1818" t="s">
        <v>288</v>
      </c>
      <c r="D1818" t="s">
        <v>2347</v>
      </c>
      <c r="E1818" s="2">
        <v>719</v>
      </c>
      <c r="F1818" s="3">
        <f>DATE(2025,7,23)</f>
        <v>45861</v>
      </c>
      <c r="G1818" s="3">
        <f>DATE(2025,7,23)</f>
        <v>45861</v>
      </c>
      <c r="H1818">
        <v>2558358805</v>
      </c>
      <c r="I1818" t="s">
        <v>21</v>
      </c>
      <c r="K1818" t="s">
        <v>22</v>
      </c>
      <c r="L1818" t="s">
        <v>23</v>
      </c>
      <c r="M1818" t="s">
        <v>24</v>
      </c>
      <c r="N1818" t="s">
        <v>24</v>
      </c>
      <c r="O1818" t="s">
        <v>25</v>
      </c>
      <c r="P1818" s="8" t="s">
        <v>2348</v>
      </c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s="11"/>
      <c r="AR1818" s="11"/>
      <c r="AS1818" s="11"/>
      <c r="AT1818" s="11"/>
      <c r="AU1818" s="11"/>
      <c r="AV1818" s="11"/>
      <c r="AW1818" s="11"/>
      <c r="AX1818" s="11"/>
      <c r="AY1818" s="11"/>
    </row>
    <row r="1819" spans="1:51" hidden="1" x14ac:dyDescent="0.2">
      <c r="A1819" s="6"/>
      <c r="E1819" s="2"/>
      <c r="F1819" s="3"/>
      <c r="G1819" s="3"/>
      <c r="P1819" s="8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11"/>
      <c r="AG1819" s="11"/>
      <c r="AH1819" s="11"/>
      <c r="AI1819" s="11"/>
      <c r="AJ1819" s="11"/>
      <c r="AK1819" s="11"/>
      <c r="AL1819" s="11"/>
      <c r="AM1819" s="11"/>
      <c r="AN1819" s="11"/>
      <c r="AO1819" s="11"/>
      <c r="AP1819" s="11"/>
      <c r="AQ1819" s="11"/>
      <c r="AR1819" s="11"/>
      <c r="AS1819" s="11"/>
      <c r="AT1819" s="11"/>
      <c r="AU1819" s="11"/>
      <c r="AV1819" s="11"/>
      <c r="AW1819" s="11"/>
      <c r="AX1819" s="11"/>
      <c r="AY1819" s="11"/>
    </row>
    <row r="1820" spans="1:51" hidden="1" x14ac:dyDescent="0.2">
      <c r="A1820" s="6" t="s">
        <v>17</v>
      </c>
      <c r="B1820" t="s">
        <v>18</v>
      </c>
      <c r="C1820" t="s">
        <v>19</v>
      </c>
      <c r="D1820" t="s">
        <v>2349</v>
      </c>
      <c r="E1820" s="2">
        <v>45.36</v>
      </c>
      <c r="F1820" s="3">
        <f>DATE(2025,7,28)</f>
        <v>45866</v>
      </c>
      <c r="G1820" s="3">
        <f>DATE(2025,7,28)</f>
        <v>45866</v>
      </c>
      <c r="H1820">
        <v>2558358807</v>
      </c>
      <c r="I1820" t="s">
        <v>21</v>
      </c>
      <c r="K1820" t="s">
        <v>22</v>
      </c>
      <c r="L1820" t="s">
        <v>23</v>
      </c>
      <c r="M1820" t="s">
        <v>24</v>
      </c>
      <c r="N1820" t="s">
        <v>24</v>
      </c>
      <c r="O1820" t="s">
        <v>25</v>
      </c>
      <c r="P1820" s="8" t="s">
        <v>2350</v>
      </c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1"/>
      <c r="AF1820" s="11"/>
      <c r="AG1820" s="11"/>
      <c r="AH1820" s="11"/>
      <c r="AI1820" s="11"/>
      <c r="AJ1820" s="11"/>
      <c r="AK1820" s="11"/>
      <c r="AL1820" s="11"/>
      <c r="AM1820" s="11"/>
      <c r="AN1820" s="11"/>
      <c r="AO1820" s="11"/>
      <c r="AP1820" s="11"/>
      <c r="AQ1820" s="11"/>
      <c r="AR1820" s="11"/>
      <c r="AS1820" s="11"/>
      <c r="AT1820" s="11"/>
      <c r="AU1820" s="11"/>
      <c r="AV1820" s="11"/>
      <c r="AW1820" s="11"/>
      <c r="AX1820" s="11"/>
      <c r="AY1820" s="11"/>
    </row>
    <row r="1821" spans="1:51" hidden="1" x14ac:dyDescent="0.2">
      <c r="A1821" s="6"/>
      <c r="E1821" s="2"/>
      <c r="F1821" s="3"/>
      <c r="G1821" s="3"/>
      <c r="P1821" s="8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1"/>
      <c r="AJ1821" s="11"/>
      <c r="AK1821" s="11"/>
      <c r="AL1821" s="11"/>
      <c r="AM1821" s="11"/>
      <c r="AN1821" s="11"/>
      <c r="AO1821" s="11"/>
      <c r="AP1821" s="11"/>
      <c r="AQ1821" s="11"/>
      <c r="AR1821" s="11"/>
      <c r="AS1821" s="11"/>
      <c r="AT1821" s="11"/>
      <c r="AU1821" s="11"/>
      <c r="AV1821" s="11"/>
      <c r="AW1821" s="11"/>
      <c r="AX1821" s="11"/>
      <c r="AY1821" s="11"/>
    </row>
    <row r="1822" spans="1:51" hidden="1" x14ac:dyDescent="0.2">
      <c r="A1822" s="6" t="s">
        <v>17</v>
      </c>
      <c r="B1822" t="s">
        <v>50</v>
      </c>
      <c r="C1822" t="s">
        <v>51</v>
      </c>
      <c r="D1822" t="s">
        <v>2351</v>
      </c>
      <c r="E1822" s="2">
        <v>632.16</v>
      </c>
      <c r="F1822" s="3">
        <f>DATE(2025,7,28)</f>
        <v>45866</v>
      </c>
      <c r="G1822" s="3">
        <f>DATE(2025,7,28)</f>
        <v>45866</v>
      </c>
      <c r="H1822">
        <v>2558358809</v>
      </c>
      <c r="I1822" t="s">
        <v>21</v>
      </c>
      <c r="K1822" t="s">
        <v>22</v>
      </c>
      <c r="L1822" t="s">
        <v>23</v>
      </c>
      <c r="M1822" t="s">
        <v>24</v>
      </c>
      <c r="N1822" t="s">
        <v>24</v>
      </c>
      <c r="O1822" t="s">
        <v>25</v>
      </c>
      <c r="P1822" s="8" t="s">
        <v>2352</v>
      </c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11"/>
      <c r="AG1822" s="11"/>
      <c r="AH1822" s="11"/>
      <c r="AI1822" s="11"/>
      <c r="AJ1822" s="11"/>
      <c r="AK1822" s="11"/>
      <c r="AL1822" s="11"/>
      <c r="AM1822" s="11"/>
      <c r="AN1822" s="11"/>
      <c r="AO1822" s="11"/>
      <c r="AP1822" s="11"/>
      <c r="AQ1822" s="11"/>
      <c r="AR1822" s="11"/>
      <c r="AS1822" s="11"/>
      <c r="AT1822" s="11"/>
      <c r="AU1822" s="11"/>
      <c r="AV1822" s="11"/>
      <c r="AW1822" s="11"/>
      <c r="AX1822" s="11"/>
      <c r="AY1822" s="11"/>
    </row>
    <row r="1823" spans="1:51" x14ac:dyDescent="0.2">
      <c r="A1823" s="6" t="s">
        <v>17</v>
      </c>
      <c r="B1823" t="s">
        <v>342</v>
      </c>
      <c r="C1823" t="s">
        <v>342</v>
      </c>
      <c r="D1823" t="s">
        <v>2353</v>
      </c>
      <c r="E1823" s="2">
        <v>500</v>
      </c>
      <c r="F1823" s="3">
        <f>DATE(2025,7,27)</f>
        <v>45865</v>
      </c>
      <c r="G1823" s="3">
        <f>DATE(2025,7,27)</f>
        <v>45865</v>
      </c>
      <c r="H1823">
        <v>2558358810</v>
      </c>
      <c r="I1823" t="s">
        <v>21</v>
      </c>
      <c r="K1823" t="s">
        <v>22</v>
      </c>
      <c r="L1823" t="s">
        <v>23</v>
      </c>
      <c r="M1823" t="s">
        <v>24</v>
      </c>
      <c r="N1823" t="s">
        <v>24</v>
      </c>
      <c r="O1823" t="s">
        <v>25</v>
      </c>
      <c r="P1823" s="8" t="s">
        <v>2354</v>
      </c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1"/>
      <c r="AF1823" s="11"/>
      <c r="AG1823" s="11"/>
      <c r="AH1823" s="11"/>
      <c r="AI1823" s="11"/>
      <c r="AJ1823" s="11"/>
      <c r="AK1823" s="11"/>
      <c r="AL1823" s="11"/>
      <c r="AM1823" s="11"/>
      <c r="AN1823" s="11"/>
      <c r="AO1823" s="11"/>
      <c r="AP1823" s="11"/>
      <c r="AQ1823" s="11"/>
      <c r="AR1823" s="11"/>
      <c r="AS1823" s="11"/>
      <c r="AT1823" s="11"/>
      <c r="AU1823" s="11"/>
      <c r="AV1823" s="11"/>
      <c r="AW1823" s="11"/>
      <c r="AX1823" s="11"/>
      <c r="AY1823" s="11"/>
    </row>
    <row r="1824" spans="1:51" hidden="1" x14ac:dyDescent="0.2">
      <c r="A1824" s="6" t="s">
        <v>17</v>
      </c>
      <c r="B1824" t="s">
        <v>589</v>
      </c>
      <c r="C1824" t="s">
        <v>590</v>
      </c>
      <c r="D1824" t="s">
        <v>2355</v>
      </c>
      <c r="E1824" s="2">
        <v>330.34</v>
      </c>
      <c r="F1824" s="3">
        <f>DATE(2025,7,29)</f>
        <v>45867</v>
      </c>
      <c r="G1824" s="3">
        <f>DATE(2025,7,29)</f>
        <v>45867</v>
      </c>
      <c r="H1824">
        <v>2558358811</v>
      </c>
      <c r="I1824" t="s">
        <v>21</v>
      </c>
      <c r="K1824" t="s">
        <v>22</v>
      </c>
      <c r="L1824" t="s">
        <v>23</v>
      </c>
      <c r="M1824" t="s">
        <v>24</v>
      </c>
      <c r="N1824" t="s">
        <v>24</v>
      </c>
      <c r="O1824" t="s">
        <v>25</v>
      </c>
      <c r="P1824" s="8" t="s">
        <v>2356</v>
      </c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11"/>
      <c r="AG1824" s="11"/>
      <c r="AH1824" s="11"/>
      <c r="AI1824" s="11"/>
      <c r="AJ1824" s="11"/>
      <c r="AK1824" s="11"/>
      <c r="AL1824" s="11"/>
      <c r="AM1824" s="11"/>
      <c r="AN1824" s="11"/>
      <c r="AO1824" s="11"/>
      <c r="AP1824" s="11"/>
      <c r="AQ1824" s="11"/>
      <c r="AR1824" s="11"/>
      <c r="AS1824" s="11"/>
      <c r="AT1824" s="11"/>
      <c r="AU1824" s="11"/>
      <c r="AV1824" s="11"/>
      <c r="AW1824" s="11"/>
      <c r="AX1824" s="11"/>
      <c r="AY1824" s="11"/>
    </row>
    <row r="1825" spans="1:51" hidden="1" x14ac:dyDescent="0.2">
      <c r="A1825" s="6"/>
      <c r="E1825" s="2"/>
      <c r="F1825" s="3"/>
      <c r="G1825" s="3"/>
      <c r="P1825" s="8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11"/>
      <c r="AG1825" s="11"/>
      <c r="AH1825" s="11"/>
      <c r="AI1825" s="11"/>
      <c r="AJ1825" s="11"/>
      <c r="AK1825" s="11"/>
      <c r="AL1825" s="11"/>
      <c r="AM1825" s="11"/>
      <c r="AN1825" s="11"/>
      <c r="AO1825" s="11"/>
      <c r="AP1825" s="11"/>
      <c r="AQ1825" s="11"/>
      <c r="AR1825" s="11"/>
      <c r="AS1825" s="11"/>
      <c r="AT1825" s="11"/>
      <c r="AU1825" s="11"/>
      <c r="AV1825" s="11"/>
      <c r="AW1825" s="11"/>
      <c r="AX1825" s="11"/>
      <c r="AY1825" s="11"/>
    </row>
    <row r="1826" spans="1:51" hidden="1" x14ac:dyDescent="0.2">
      <c r="A1826" s="6" t="s">
        <v>17</v>
      </c>
      <c r="B1826" t="s">
        <v>118</v>
      </c>
      <c r="C1826" t="s">
        <v>119</v>
      </c>
      <c r="D1826" t="s">
        <v>2357</v>
      </c>
      <c r="E1826" s="2">
        <v>6.99</v>
      </c>
      <c r="F1826" s="3">
        <f>DATE(2025,7,15)</f>
        <v>45853</v>
      </c>
      <c r="G1826" s="3">
        <f>DATE(2025,7,15)</f>
        <v>45853</v>
      </c>
      <c r="H1826">
        <v>2558358946</v>
      </c>
      <c r="I1826" t="s">
        <v>158</v>
      </c>
      <c r="K1826" t="s">
        <v>22</v>
      </c>
      <c r="L1826" t="s">
        <v>23</v>
      </c>
      <c r="M1826" t="s">
        <v>24</v>
      </c>
      <c r="N1826" t="s">
        <v>24</v>
      </c>
      <c r="O1826" t="s">
        <v>25</v>
      </c>
      <c r="P1826" s="8" t="s">
        <v>2358</v>
      </c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11"/>
      <c r="AG1826" s="11"/>
      <c r="AH1826" s="11"/>
      <c r="AI1826" s="11"/>
      <c r="AJ1826" s="11"/>
      <c r="AK1826" s="11"/>
      <c r="AL1826" s="11"/>
      <c r="AM1826" s="11"/>
      <c r="AN1826" s="11"/>
      <c r="AO1826" s="11"/>
      <c r="AP1826" s="11"/>
      <c r="AQ1826" s="11"/>
      <c r="AR1826" s="11"/>
      <c r="AS1826" s="11"/>
      <c r="AT1826" s="11"/>
      <c r="AU1826" s="11"/>
      <c r="AV1826" s="11"/>
      <c r="AW1826" s="11"/>
      <c r="AX1826" s="11"/>
      <c r="AY1826" s="11"/>
    </row>
    <row r="1827" spans="1:51" hidden="1" x14ac:dyDescent="0.2">
      <c r="A1827" s="6" t="s">
        <v>17</v>
      </c>
      <c r="B1827" t="s">
        <v>173</v>
      </c>
      <c r="C1827" t="s">
        <v>154</v>
      </c>
      <c r="D1827" t="s">
        <v>2359</v>
      </c>
      <c r="E1827" s="2">
        <v>37.200000000000003</v>
      </c>
      <c r="F1827" s="3">
        <f>DATE(2025,7,15)</f>
        <v>45853</v>
      </c>
      <c r="G1827" s="3">
        <f>DATE(2025,7,15)</f>
        <v>45853</v>
      </c>
      <c r="H1827">
        <v>2558358947</v>
      </c>
      <c r="I1827" t="s">
        <v>158</v>
      </c>
      <c r="K1827" t="s">
        <v>22</v>
      </c>
      <c r="L1827" t="s">
        <v>23</v>
      </c>
      <c r="M1827" t="s">
        <v>24</v>
      </c>
      <c r="N1827" t="s">
        <v>24</v>
      </c>
      <c r="O1827" t="s">
        <v>25</v>
      </c>
      <c r="P1827" s="8" t="s">
        <v>2360</v>
      </c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11"/>
      <c r="AG1827" s="11"/>
      <c r="AH1827" s="11"/>
      <c r="AI1827" s="11"/>
      <c r="AJ1827" s="11"/>
      <c r="AK1827" s="11"/>
      <c r="AL1827" s="11"/>
      <c r="AM1827" s="11"/>
      <c r="AN1827" s="11"/>
      <c r="AO1827" s="11"/>
      <c r="AP1827" s="11"/>
      <c r="AQ1827" s="11"/>
      <c r="AR1827" s="11"/>
      <c r="AS1827" s="11"/>
      <c r="AT1827" s="11"/>
      <c r="AU1827" s="11"/>
      <c r="AV1827" s="11"/>
      <c r="AW1827" s="11"/>
      <c r="AX1827" s="11"/>
      <c r="AY1827" s="11"/>
    </row>
    <row r="1828" spans="1:51" hidden="1" x14ac:dyDescent="0.2">
      <c r="A1828" s="6" t="s">
        <v>17</v>
      </c>
      <c r="B1828" t="s">
        <v>42</v>
      </c>
      <c r="C1828" t="s">
        <v>43</v>
      </c>
      <c r="D1828" t="s">
        <v>2361</v>
      </c>
      <c r="E1828" s="2">
        <v>19.989999999999998</v>
      </c>
      <c r="F1828" s="3">
        <f>DATE(2025,7,18)</f>
        <v>45856</v>
      </c>
      <c r="G1828" s="3">
        <f>DATE(2025,7,18)</f>
        <v>45856</v>
      </c>
      <c r="H1828">
        <v>2558358948</v>
      </c>
      <c r="I1828" t="s">
        <v>158</v>
      </c>
      <c r="K1828" t="s">
        <v>22</v>
      </c>
      <c r="L1828" t="s">
        <v>23</v>
      </c>
      <c r="M1828" t="s">
        <v>24</v>
      </c>
      <c r="N1828" t="s">
        <v>24</v>
      </c>
      <c r="O1828" t="s">
        <v>25</v>
      </c>
      <c r="P1828" s="8" t="s">
        <v>2362</v>
      </c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1"/>
      <c r="AF1828" s="11"/>
      <c r="AG1828" s="11"/>
      <c r="AH1828" s="11"/>
      <c r="AI1828" s="11"/>
      <c r="AJ1828" s="11"/>
      <c r="AK1828" s="11"/>
      <c r="AL1828" s="11"/>
      <c r="AM1828" s="11"/>
      <c r="AN1828" s="11"/>
      <c r="AO1828" s="11"/>
      <c r="AP1828" s="11"/>
      <c r="AQ1828" s="11"/>
      <c r="AR1828" s="11"/>
      <c r="AS1828" s="11"/>
      <c r="AT1828" s="11"/>
      <c r="AU1828" s="11"/>
      <c r="AV1828" s="11"/>
      <c r="AW1828" s="11"/>
      <c r="AX1828" s="11"/>
      <c r="AY1828" s="11"/>
    </row>
    <row r="1829" spans="1:51" hidden="1" x14ac:dyDescent="0.2">
      <c r="A1829" s="6" t="s">
        <v>17</v>
      </c>
      <c r="B1829" t="s">
        <v>118</v>
      </c>
      <c r="C1829" t="s">
        <v>119</v>
      </c>
      <c r="D1829" t="s">
        <v>2363</v>
      </c>
      <c r="E1829" s="2">
        <v>31.17</v>
      </c>
      <c r="F1829" s="3">
        <f>DATE(2025,7,20)</f>
        <v>45858</v>
      </c>
      <c r="G1829" s="3">
        <f>DATE(2025,7,20)</f>
        <v>45858</v>
      </c>
      <c r="H1829">
        <v>2558358949</v>
      </c>
      <c r="I1829" t="s">
        <v>158</v>
      </c>
      <c r="K1829" t="s">
        <v>22</v>
      </c>
      <c r="L1829" t="s">
        <v>23</v>
      </c>
      <c r="M1829" t="s">
        <v>24</v>
      </c>
      <c r="N1829" t="s">
        <v>24</v>
      </c>
      <c r="O1829" t="s">
        <v>25</v>
      </c>
      <c r="P1829" s="8" t="s">
        <v>2364</v>
      </c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11"/>
      <c r="AG1829" s="11"/>
      <c r="AH1829" s="11"/>
      <c r="AI1829" s="11"/>
      <c r="AJ1829" s="11"/>
      <c r="AK1829" s="11"/>
      <c r="AL1829" s="11"/>
      <c r="AM1829" s="11"/>
      <c r="AN1829" s="11"/>
      <c r="AO1829" s="11"/>
      <c r="AP1829" s="11"/>
      <c r="AQ1829" s="11"/>
      <c r="AR1829" s="11"/>
      <c r="AS1829" s="11"/>
      <c r="AT1829" s="11"/>
      <c r="AU1829" s="11"/>
      <c r="AV1829" s="11"/>
      <c r="AW1829" s="11"/>
      <c r="AX1829" s="11"/>
      <c r="AY1829" s="11"/>
    </row>
    <row r="1830" spans="1:51" hidden="1" x14ac:dyDescent="0.2">
      <c r="A1830" s="6" t="s">
        <v>17</v>
      </c>
      <c r="B1830" t="s">
        <v>118</v>
      </c>
      <c r="C1830" t="s">
        <v>119</v>
      </c>
      <c r="D1830" t="s">
        <v>2365</v>
      </c>
      <c r="E1830" s="2">
        <v>4.7</v>
      </c>
      <c r="F1830" s="3">
        <f>DATE(2025,7,19)</f>
        <v>45857</v>
      </c>
      <c r="G1830" s="3">
        <f>DATE(2025,7,19)</f>
        <v>45857</v>
      </c>
      <c r="H1830">
        <v>2558358950</v>
      </c>
      <c r="I1830" t="s">
        <v>158</v>
      </c>
      <c r="K1830" t="s">
        <v>22</v>
      </c>
      <c r="L1830" t="s">
        <v>23</v>
      </c>
      <c r="M1830" t="s">
        <v>24</v>
      </c>
      <c r="N1830" t="s">
        <v>24</v>
      </c>
      <c r="O1830" t="s">
        <v>25</v>
      </c>
      <c r="P1830" s="8" t="s">
        <v>2366</v>
      </c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11"/>
      <c r="AG1830" s="11"/>
      <c r="AH1830" s="11"/>
      <c r="AI1830" s="11"/>
      <c r="AJ1830" s="11"/>
      <c r="AK1830" s="11"/>
      <c r="AL1830" s="11"/>
      <c r="AM1830" s="11"/>
      <c r="AN1830" s="11"/>
      <c r="AO1830" s="11"/>
      <c r="AP1830" s="11"/>
      <c r="AQ1830" s="11"/>
      <c r="AR1830" s="11"/>
      <c r="AS1830" s="11"/>
      <c r="AT1830" s="11"/>
      <c r="AU1830" s="11"/>
      <c r="AV1830" s="11"/>
      <c r="AW1830" s="11"/>
      <c r="AX1830" s="11"/>
      <c r="AY1830" s="11"/>
    </row>
    <row r="1831" spans="1:51" hidden="1" x14ac:dyDescent="0.2">
      <c r="A1831" s="6" t="s">
        <v>17</v>
      </c>
      <c r="B1831" t="s">
        <v>173</v>
      </c>
      <c r="C1831" t="s">
        <v>154</v>
      </c>
      <c r="D1831" t="s">
        <v>2367</v>
      </c>
      <c r="E1831" s="2">
        <v>7.99</v>
      </c>
      <c r="F1831" s="3">
        <f>DATE(2025,7,21)</f>
        <v>45859</v>
      </c>
      <c r="G1831" s="3">
        <f>DATE(2025,7,21)</f>
        <v>45859</v>
      </c>
      <c r="H1831">
        <v>2558358951</v>
      </c>
      <c r="I1831" t="s">
        <v>158</v>
      </c>
      <c r="K1831" t="s">
        <v>22</v>
      </c>
      <c r="L1831" t="s">
        <v>23</v>
      </c>
      <c r="M1831" t="s">
        <v>24</v>
      </c>
      <c r="N1831" t="s">
        <v>24</v>
      </c>
      <c r="O1831" t="s">
        <v>25</v>
      </c>
      <c r="P1831" s="8" t="s">
        <v>2368</v>
      </c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11"/>
      <c r="AG1831" s="11"/>
      <c r="AH1831" s="11"/>
      <c r="AI1831" s="11"/>
      <c r="AJ1831" s="11"/>
      <c r="AK1831" s="11"/>
      <c r="AL1831" s="11"/>
      <c r="AM1831" s="11"/>
      <c r="AN1831" s="11"/>
      <c r="AO1831" s="11"/>
      <c r="AP1831" s="11"/>
      <c r="AQ1831" s="11"/>
      <c r="AR1831" s="11"/>
      <c r="AS1831" s="11"/>
      <c r="AT1831" s="11"/>
      <c r="AU1831" s="11"/>
      <c r="AV1831" s="11"/>
      <c r="AW1831" s="11"/>
      <c r="AX1831" s="11"/>
      <c r="AY1831" s="11"/>
    </row>
    <row r="1832" spans="1:51" hidden="1" x14ac:dyDescent="0.2">
      <c r="A1832" s="6" t="s">
        <v>17</v>
      </c>
      <c r="B1832" t="s">
        <v>173</v>
      </c>
      <c r="C1832" t="s">
        <v>154</v>
      </c>
      <c r="D1832" t="s">
        <v>2369</v>
      </c>
      <c r="E1832" s="2">
        <v>65.069999999999993</v>
      </c>
      <c r="F1832" s="3">
        <f>DATE(2025,7,29)</f>
        <v>45867</v>
      </c>
      <c r="G1832" s="3">
        <f>DATE(2025,7,29)</f>
        <v>45867</v>
      </c>
      <c r="H1832">
        <v>2558358952</v>
      </c>
      <c r="I1832" t="s">
        <v>158</v>
      </c>
      <c r="K1832" t="s">
        <v>22</v>
      </c>
      <c r="L1832" t="s">
        <v>23</v>
      </c>
      <c r="M1832" t="s">
        <v>24</v>
      </c>
      <c r="N1832" t="s">
        <v>24</v>
      </c>
      <c r="O1832" t="s">
        <v>25</v>
      </c>
      <c r="P1832" s="8" t="s">
        <v>2370</v>
      </c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11"/>
      <c r="AG1832" s="11"/>
      <c r="AH1832" s="11"/>
      <c r="AI1832" s="11"/>
      <c r="AJ1832" s="11"/>
      <c r="AK1832" s="11"/>
      <c r="AL1832" s="11"/>
      <c r="AM1832" s="11"/>
      <c r="AN1832" s="11"/>
      <c r="AO1832" s="11"/>
      <c r="AP1832" s="11"/>
      <c r="AQ1832" s="11"/>
      <c r="AR1832" s="11"/>
      <c r="AS1832" s="11"/>
      <c r="AT1832" s="11"/>
      <c r="AU1832" s="11"/>
      <c r="AV1832" s="11"/>
      <c r="AW1832" s="11"/>
      <c r="AX1832" s="11"/>
      <c r="AY1832" s="11"/>
    </row>
    <row r="1833" spans="1:51" x14ac:dyDescent="0.2">
      <c r="A1833" s="6" t="s">
        <v>17</v>
      </c>
      <c r="B1833" t="s">
        <v>342</v>
      </c>
      <c r="C1833" t="s">
        <v>342</v>
      </c>
      <c r="D1833" t="s">
        <v>2371</v>
      </c>
      <c r="E1833" s="2">
        <v>124.15</v>
      </c>
      <c r="F1833" s="3">
        <f>DATE(2025,7,29)</f>
        <v>45867</v>
      </c>
      <c r="G1833" s="3">
        <f>DATE(2025,7,29)</f>
        <v>45867</v>
      </c>
      <c r="H1833">
        <v>2566324912</v>
      </c>
      <c r="I1833" t="s">
        <v>158</v>
      </c>
      <c r="K1833" t="s">
        <v>22</v>
      </c>
      <c r="L1833" t="s">
        <v>23</v>
      </c>
      <c r="M1833" t="s">
        <v>24</v>
      </c>
      <c r="N1833" t="s">
        <v>24</v>
      </c>
      <c r="O1833" t="s">
        <v>25</v>
      </c>
      <c r="P1833" s="8" t="s">
        <v>2372</v>
      </c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11"/>
      <c r="AG1833" s="11"/>
      <c r="AH1833" s="11"/>
      <c r="AI1833" s="11"/>
      <c r="AJ1833" s="11"/>
      <c r="AK1833" s="11"/>
      <c r="AL1833" s="11"/>
      <c r="AM1833" s="11"/>
      <c r="AN1833" s="11"/>
      <c r="AO1833" s="11"/>
      <c r="AP1833" s="11"/>
      <c r="AQ1833" s="11"/>
      <c r="AR1833" s="11"/>
      <c r="AS1833" s="11"/>
      <c r="AT1833" s="11"/>
      <c r="AU1833" s="11"/>
      <c r="AV1833" s="11"/>
      <c r="AW1833" s="11"/>
      <c r="AX1833" s="11"/>
      <c r="AY1833" s="11"/>
    </row>
    <row r="1834" spans="1:51" hidden="1" x14ac:dyDescent="0.2">
      <c r="A1834" s="6" t="s">
        <v>17</v>
      </c>
      <c r="B1834" t="s">
        <v>399</v>
      </c>
      <c r="C1834" t="s">
        <v>400</v>
      </c>
      <c r="D1834" t="s">
        <v>2373</v>
      </c>
      <c r="E1834" s="2">
        <v>10.45</v>
      </c>
      <c r="F1834" s="3">
        <f>DATE(2025,7,30)</f>
        <v>45868</v>
      </c>
      <c r="G1834" s="3">
        <f>DATE(2025,7,30)</f>
        <v>45868</v>
      </c>
      <c r="H1834">
        <v>2566324913</v>
      </c>
      <c r="I1834" t="s">
        <v>158</v>
      </c>
      <c r="K1834" t="s">
        <v>22</v>
      </c>
      <c r="L1834" t="s">
        <v>23</v>
      </c>
      <c r="M1834" t="s">
        <v>24</v>
      </c>
      <c r="N1834" t="s">
        <v>24</v>
      </c>
      <c r="O1834" t="s">
        <v>25</v>
      </c>
      <c r="P1834" s="8" t="s">
        <v>2374</v>
      </c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11"/>
      <c r="AG1834" s="11"/>
      <c r="AH1834" s="11"/>
      <c r="AI1834" s="11"/>
      <c r="AJ1834" s="11"/>
      <c r="AK1834" s="11"/>
      <c r="AL1834" s="11"/>
      <c r="AM1834" s="11"/>
      <c r="AN1834" s="11"/>
      <c r="AO1834" s="11"/>
      <c r="AP1834" s="11"/>
      <c r="AQ1834" s="11"/>
      <c r="AR1834" s="11"/>
      <c r="AS1834" s="11"/>
      <c r="AT1834" s="11"/>
      <c r="AU1834" s="11"/>
      <c r="AV1834" s="11"/>
      <c r="AW1834" s="11"/>
      <c r="AX1834" s="11"/>
      <c r="AY1834" s="11"/>
    </row>
    <row r="1835" spans="1:51" x14ac:dyDescent="0.2">
      <c r="A1835" s="6" t="s">
        <v>17</v>
      </c>
      <c r="B1835" t="s">
        <v>342</v>
      </c>
      <c r="C1835" t="s">
        <v>342</v>
      </c>
      <c r="D1835" t="s">
        <v>359</v>
      </c>
      <c r="E1835" s="2">
        <v>1117.76</v>
      </c>
      <c r="F1835" s="3">
        <f>DATE(2025,7,31)</f>
        <v>45869</v>
      </c>
      <c r="G1835" s="3">
        <f>DATE(2025,7,31)</f>
        <v>45869</v>
      </c>
      <c r="H1835">
        <v>2566324914</v>
      </c>
      <c r="I1835" t="s">
        <v>21</v>
      </c>
      <c r="K1835" t="s">
        <v>22</v>
      </c>
      <c r="L1835" t="s">
        <v>23</v>
      </c>
      <c r="M1835" t="s">
        <v>24</v>
      </c>
      <c r="N1835" t="s">
        <v>25</v>
      </c>
      <c r="O1835" t="s">
        <v>25</v>
      </c>
      <c r="P1835" s="8" t="s">
        <v>2375</v>
      </c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11"/>
      <c r="AG1835" s="11"/>
      <c r="AH1835" s="11"/>
      <c r="AI1835" s="11"/>
      <c r="AJ1835" s="11"/>
      <c r="AK1835" s="11"/>
      <c r="AL1835" s="11"/>
      <c r="AM1835" s="11"/>
      <c r="AN1835" s="11"/>
      <c r="AO1835" s="11"/>
      <c r="AP1835" s="11"/>
      <c r="AQ1835" s="11"/>
      <c r="AR1835" s="11"/>
      <c r="AS1835" s="11"/>
      <c r="AT1835" s="11"/>
      <c r="AU1835" s="11"/>
      <c r="AV1835" s="11"/>
      <c r="AW1835" s="11"/>
      <c r="AX1835" s="11"/>
      <c r="AY1835" s="11"/>
    </row>
    <row r="1836" spans="1:51" hidden="1" x14ac:dyDescent="0.2">
      <c r="A1836" s="6" t="s">
        <v>17</v>
      </c>
      <c r="B1836" t="s">
        <v>27</v>
      </c>
      <c r="C1836" t="s">
        <v>28</v>
      </c>
      <c r="D1836" t="s">
        <v>2376</v>
      </c>
      <c r="E1836" s="2">
        <v>1313.46</v>
      </c>
      <c r="F1836" s="3">
        <f>DATE(2025,8,1)</f>
        <v>45870</v>
      </c>
      <c r="G1836" s="3">
        <f>DATE(2025,8,1)</f>
        <v>45870</v>
      </c>
      <c r="H1836">
        <v>2566324915</v>
      </c>
      <c r="I1836" t="s">
        <v>21</v>
      </c>
      <c r="K1836" t="s">
        <v>22</v>
      </c>
      <c r="L1836" t="s">
        <v>23</v>
      </c>
      <c r="M1836" t="s">
        <v>24</v>
      </c>
      <c r="N1836" t="s">
        <v>24</v>
      </c>
      <c r="O1836" t="s">
        <v>25</v>
      </c>
      <c r="P1836" s="8" t="s">
        <v>2377</v>
      </c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11"/>
      <c r="AL1836" s="11"/>
      <c r="AM1836" s="11"/>
      <c r="AN1836" s="11"/>
      <c r="AO1836" s="11"/>
      <c r="AP1836" s="11"/>
      <c r="AQ1836" s="11"/>
      <c r="AR1836" s="11"/>
      <c r="AS1836" s="11"/>
      <c r="AT1836" s="11"/>
      <c r="AU1836" s="11"/>
      <c r="AV1836" s="11"/>
      <c r="AW1836" s="11"/>
      <c r="AX1836" s="11"/>
      <c r="AY1836" s="11"/>
    </row>
    <row r="1837" spans="1:51" hidden="1" x14ac:dyDescent="0.2">
      <c r="A1837" s="6"/>
      <c r="E1837" s="2"/>
      <c r="F1837" s="3"/>
      <c r="G1837" s="3"/>
      <c r="P1837" s="8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11"/>
      <c r="AG1837" s="11"/>
      <c r="AH1837" s="11"/>
      <c r="AI1837" s="11"/>
      <c r="AJ1837" s="11"/>
      <c r="AK1837" s="11"/>
      <c r="AL1837" s="11"/>
      <c r="AM1837" s="11"/>
      <c r="AN1837" s="11"/>
      <c r="AO1837" s="11"/>
      <c r="AP1837" s="11"/>
      <c r="AQ1837" s="11"/>
      <c r="AR1837" s="11"/>
      <c r="AS1837" s="11"/>
      <c r="AT1837" s="11"/>
      <c r="AU1837" s="11"/>
      <c r="AV1837" s="11"/>
      <c r="AW1837" s="11"/>
      <c r="AX1837" s="11"/>
      <c r="AY1837" s="11"/>
    </row>
    <row r="1838" spans="1:51" x14ac:dyDescent="0.2">
      <c r="A1838" s="6" t="s">
        <v>17</v>
      </c>
      <c r="B1838" t="s">
        <v>342</v>
      </c>
      <c r="C1838" t="s">
        <v>342</v>
      </c>
      <c r="D1838" t="s">
        <v>2378</v>
      </c>
      <c r="E1838" s="2">
        <v>12</v>
      </c>
      <c r="F1838" s="3">
        <f>DATE(2025,8,1)</f>
        <v>45870</v>
      </c>
      <c r="G1838" s="3">
        <f>DATE(2025,8,1)</f>
        <v>45870</v>
      </c>
      <c r="H1838">
        <v>2566324917</v>
      </c>
      <c r="I1838" t="s">
        <v>21</v>
      </c>
      <c r="K1838" t="s">
        <v>22</v>
      </c>
      <c r="L1838" t="s">
        <v>23</v>
      </c>
      <c r="M1838" t="s">
        <v>24</v>
      </c>
      <c r="N1838" t="s">
        <v>24</v>
      </c>
      <c r="O1838" t="s">
        <v>25</v>
      </c>
      <c r="P1838" s="8" t="s">
        <v>2379</v>
      </c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11"/>
      <c r="AG1838" s="11"/>
      <c r="AH1838" s="11"/>
      <c r="AI1838" s="11"/>
      <c r="AJ1838" s="11"/>
      <c r="AK1838" s="11"/>
      <c r="AL1838" s="11"/>
      <c r="AM1838" s="11"/>
      <c r="AN1838" s="11"/>
      <c r="AO1838" s="11"/>
      <c r="AP1838" s="11"/>
      <c r="AQ1838" s="11"/>
      <c r="AR1838" s="11"/>
      <c r="AS1838" s="11"/>
      <c r="AT1838" s="11"/>
      <c r="AU1838" s="11"/>
      <c r="AV1838" s="11"/>
      <c r="AW1838" s="11"/>
      <c r="AX1838" s="11"/>
      <c r="AY1838" s="11"/>
    </row>
    <row r="1839" spans="1:51" hidden="1" x14ac:dyDescent="0.2">
      <c r="A1839" s="6" t="s">
        <v>17</v>
      </c>
      <c r="B1839" t="s">
        <v>35</v>
      </c>
      <c r="C1839" t="s">
        <v>35</v>
      </c>
      <c r="D1839" t="s">
        <v>2380</v>
      </c>
      <c r="E1839" s="2">
        <v>12.92</v>
      </c>
      <c r="F1839" s="3">
        <f>DATE(2025,8,1)</f>
        <v>45870</v>
      </c>
      <c r="G1839" s="3">
        <f>DATE(2025,8,1)</f>
        <v>45870</v>
      </c>
      <c r="H1839">
        <v>2566324918</v>
      </c>
      <c r="I1839" t="s">
        <v>21</v>
      </c>
      <c r="K1839" t="s">
        <v>22</v>
      </c>
      <c r="L1839" t="s">
        <v>23</v>
      </c>
      <c r="M1839" t="s">
        <v>24</v>
      </c>
      <c r="N1839" t="s">
        <v>24</v>
      </c>
      <c r="O1839" t="s">
        <v>25</v>
      </c>
      <c r="P1839" s="8" t="s">
        <v>2381</v>
      </c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11"/>
      <c r="AG1839" s="11"/>
      <c r="AH1839" s="11"/>
      <c r="AI1839" s="11"/>
      <c r="AJ1839" s="11"/>
      <c r="AK1839" s="11"/>
      <c r="AL1839" s="11"/>
      <c r="AM1839" s="11"/>
      <c r="AN1839" s="11"/>
      <c r="AO1839" s="11"/>
      <c r="AP1839" s="11"/>
      <c r="AQ1839" s="11"/>
      <c r="AR1839" s="11"/>
      <c r="AS1839" s="11"/>
      <c r="AT1839" s="11"/>
      <c r="AU1839" s="11"/>
      <c r="AV1839" s="11"/>
      <c r="AW1839" s="11"/>
      <c r="AX1839" s="11"/>
      <c r="AY1839" s="11"/>
    </row>
    <row r="1840" spans="1:51" hidden="1" x14ac:dyDescent="0.2">
      <c r="A1840" s="6"/>
      <c r="E1840" s="2"/>
      <c r="F1840" s="3"/>
      <c r="G1840" s="3"/>
      <c r="P1840" s="8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11"/>
      <c r="AG1840" s="11"/>
      <c r="AH1840" s="11"/>
      <c r="AI1840" s="11"/>
      <c r="AJ1840" s="11"/>
      <c r="AK1840" s="11"/>
      <c r="AL1840" s="11"/>
      <c r="AM1840" s="11"/>
      <c r="AN1840" s="11"/>
      <c r="AO1840" s="11"/>
      <c r="AP1840" s="11"/>
      <c r="AQ1840" s="11"/>
      <c r="AR1840" s="11"/>
      <c r="AS1840" s="11"/>
      <c r="AT1840" s="11"/>
      <c r="AU1840" s="11"/>
      <c r="AV1840" s="11"/>
      <c r="AW1840" s="11"/>
      <c r="AX1840" s="11"/>
      <c r="AY1840" s="11"/>
    </row>
    <row r="1841" spans="1:51" hidden="1" x14ac:dyDescent="0.2">
      <c r="A1841" s="6" t="s">
        <v>17</v>
      </c>
      <c r="B1841" t="s">
        <v>42</v>
      </c>
      <c r="C1841" t="s">
        <v>43</v>
      </c>
      <c r="D1841" t="s">
        <v>2382</v>
      </c>
      <c r="E1841" s="2">
        <v>102.16</v>
      </c>
      <c r="F1841" s="3">
        <f>DATE(2025,8,1)</f>
        <v>45870</v>
      </c>
      <c r="G1841" s="3">
        <f>DATE(2025,8,1)</f>
        <v>45870</v>
      </c>
      <c r="H1841">
        <v>2566324920</v>
      </c>
      <c r="I1841" t="s">
        <v>21</v>
      </c>
      <c r="K1841" t="s">
        <v>22</v>
      </c>
      <c r="L1841" t="s">
        <v>23</v>
      </c>
      <c r="M1841" t="s">
        <v>24</v>
      </c>
      <c r="N1841" t="s">
        <v>24</v>
      </c>
      <c r="O1841" t="s">
        <v>25</v>
      </c>
      <c r="P1841" s="8" t="s">
        <v>2383</v>
      </c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11"/>
      <c r="AG1841" s="11"/>
      <c r="AH1841" s="11"/>
      <c r="AI1841" s="11"/>
      <c r="AJ1841" s="11"/>
      <c r="AK1841" s="11"/>
      <c r="AL1841" s="11"/>
      <c r="AM1841" s="11"/>
      <c r="AN1841" s="11"/>
      <c r="AO1841" s="11"/>
      <c r="AP1841" s="11"/>
      <c r="AQ1841" s="11"/>
      <c r="AR1841" s="11"/>
      <c r="AS1841" s="11"/>
      <c r="AT1841" s="11"/>
      <c r="AU1841" s="11"/>
      <c r="AV1841" s="11"/>
      <c r="AW1841" s="11"/>
      <c r="AX1841" s="11"/>
      <c r="AY1841" s="11"/>
    </row>
    <row r="1842" spans="1:51" hidden="1" x14ac:dyDescent="0.2">
      <c r="A1842" s="6"/>
      <c r="E1842" s="2"/>
      <c r="F1842" s="3"/>
      <c r="G1842" s="3"/>
      <c r="P1842" s="8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1"/>
      <c r="AF1842" s="11"/>
      <c r="AG1842" s="11"/>
      <c r="AH1842" s="11"/>
      <c r="AI1842" s="11"/>
      <c r="AJ1842" s="11"/>
      <c r="AK1842" s="11"/>
      <c r="AL1842" s="11"/>
      <c r="AM1842" s="11"/>
      <c r="AN1842" s="11"/>
      <c r="AO1842" s="11"/>
      <c r="AP1842" s="11"/>
      <c r="AQ1842" s="11"/>
      <c r="AR1842" s="11"/>
      <c r="AS1842" s="11"/>
      <c r="AT1842" s="11"/>
      <c r="AU1842" s="11"/>
      <c r="AV1842" s="11"/>
      <c r="AW1842" s="11"/>
      <c r="AX1842" s="11"/>
      <c r="AY1842" s="11"/>
    </row>
    <row r="1843" spans="1:51" hidden="1" x14ac:dyDescent="0.2">
      <c r="A1843" s="6"/>
      <c r="E1843" s="2"/>
      <c r="F1843" s="3"/>
      <c r="G1843" s="3"/>
      <c r="P1843" s="8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1"/>
      <c r="AF1843" s="11"/>
      <c r="AG1843" s="11"/>
      <c r="AH1843" s="11"/>
      <c r="AI1843" s="11"/>
      <c r="AJ1843" s="11"/>
      <c r="AK1843" s="11"/>
      <c r="AL1843" s="11"/>
      <c r="AM1843" s="11"/>
      <c r="AN1843" s="11"/>
      <c r="AO1843" s="11"/>
      <c r="AP1843" s="11"/>
      <c r="AQ1843" s="11"/>
      <c r="AR1843" s="11"/>
      <c r="AS1843" s="11"/>
      <c r="AT1843" s="11"/>
      <c r="AU1843" s="11"/>
      <c r="AV1843" s="11"/>
      <c r="AW1843" s="11"/>
      <c r="AX1843" s="11"/>
      <c r="AY1843" s="11"/>
    </row>
    <row r="1844" spans="1:51" hidden="1" x14ac:dyDescent="0.2">
      <c r="A1844" s="6"/>
      <c r="E1844" s="2"/>
      <c r="F1844" s="3"/>
      <c r="G1844" s="3"/>
      <c r="P1844" s="8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11"/>
      <c r="AG1844" s="11"/>
      <c r="AH1844" s="11"/>
      <c r="AI1844" s="11"/>
      <c r="AJ1844" s="11"/>
      <c r="AK1844" s="11"/>
      <c r="AL1844" s="11"/>
      <c r="AM1844" s="11"/>
      <c r="AN1844" s="11"/>
      <c r="AO1844" s="11"/>
      <c r="AP1844" s="11"/>
      <c r="AQ1844" s="11"/>
      <c r="AR1844" s="11"/>
      <c r="AS1844" s="11"/>
      <c r="AT1844" s="11"/>
      <c r="AU1844" s="11"/>
      <c r="AV1844" s="11"/>
      <c r="AW1844" s="11"/>
      <c r="AX1844" s="11"/>
      <c r="AY1844" s="11"/>
    </row>
    <row r="1845" spans="1:51" hidden="1" x14ac:dyDescent="0.2">
      <c r="A1845" s="6"/>
      <c r="E1845" s="2"/>
      <c r="F1845" s="3"/>
      <c r="G1845" s="3"/>
      <c r="P1845" s="8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11"/>
      <c r="AG1845" s="11"/>
      <c r="AH1845" s="11"/>
      <c r="AI1845" s="11"/>
      <c r="AJ1845" s="11"/>
      <c r="AK1845" s="11"/>
      <c r="AL1845" s="11"/>
      <c r="AM1845" s="11"/>
      <c r="AN1845" s="11"/>
      <c r="AO1845" s="11"/>
      <c r="AP1845" s="11"/>
      <c r="AQ1845" s="11"/>
      <c r="AR1845" s="11"/>
      <c r="AS1845" s="11"/>
      <c r="AT1845" s="11"/>
      <c r="AU1845" s="11"/>
      <c r="AV1845" s="11"/>
      <c r="AW1845" s="11"/>
      <c r="AX1845" s="11"/>
      <c r="AY1845" s="11"/>
    </row>
    <row r="1846" spans="1:51" x14ac:dyDescent="0.2">
      <c r="A1846" s="6" t="s">
        <v>17</v>
      </c>
      <c r="B1846" t="s">
        <v>342</v>
      </c>
      <c r="C1846" t="s">
        <v>342</v>
      </c>
      <c r="D1846" t="s">
        <v>2384</v>
      </c>
      <c r="E1846" s="2">
        <v>72.72</v>
      </c>
      <c r="F1846" s="3">
        <f>DATE(2025,8,1)</f>
        <v>45870</v>
      </c>
      <c r="G1846" s="3">
        <f>DATE(2025,8,1)</f>
        <v>45870</v>
      </c>
      <c r="H1846">
        <v>2566367705</v>
      </c>
      <c r="I1846" t="s">
        <v>192</v>
      </c>
      <c r="K1846" t="s">
        <v>22</v>
      </c>
      <c r="L1846" t="s">
        <v>23</v>
      </c>
      <c r="M1846" t="s">
        <v>24</v>
      </c>
      <c r="N1846" t="s">
        <v>24</v>
      </c>
      <c r="O1846" t="s">
        <v>25</v>
      </c>
      <c r="P1846" s="8" t="s">
        <v>2385</v>
      </c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11"/>
      <c r="AG1846" s="11"/>
      <c r="AH1846" s="11"/>
      <c r="AI1846" s="11"/>
      <c r="AJ1846" s="11"/>
      <c r="AK1846" s="11"/>
      <c r="AL1846" s="11"/>
      <c r="AM1846" s="11"/>
      <c r="AN1846" s="11"/>
      <c r="AO1846" s="11"/>
      <c r="AP1846" s="11"/>
      <c r="AQ1846" s="11"/>
      <c r="AR1846" s="11"/>
      <c r="AS1846" s="11"/>
      <c r="AT1846" s="11"/>
      <c r="AU1846" s="11"/>
      <c r="AV1846" s="11"/>
      <c r="AW1846" s="11"/>
      <c r="AX1846" s="11"/>
      <c r="AY1846" s="11"/>
    </row>
    <row r="1847" spans="1:51" hidden="1" x14ac:dyDescent="0.2">
      <c r="A1847" s="6" t="s">
        <v>17</v>
      </c>
      <c r="B1847" t="s">
        <v>589</v>
      </c>
      <c r="C1847" t="s">
        <v>590</v>
      </c>
      <c r="D1847" t="s">
        <v>2386</v>
      </c>
      <c r="E1847" s="2">
        <v>35.25</v>
      </c>
      <c r="F1847" s="3">
        <f>DATE(2025,8,1)</f>
        <v>45870</v>
      </c>
      <c r="G1847" s="3">
        <f>DATE(2025,8,1)</f>
        <v>45870</v>
      </c>
      <c r="H1847">
        <v>2566367706</v>
      </c>
      <c r="I1847" t="s">
        <v>192</v>
      </c>
      <c r="K1847" t="s">
        <v>22</v>
      </c>
      <c r="L1847" t="s">
        <v>23</v>
      </c>
      <c r="M1847" t="s">
        <v>24</v>
      </c>
      <c r="N1847" t="s">
        <v>24</v>
      </c>
      <c r="O1847" t="s">
        <v>25</v>
      </c>
      <c r="P1847" s="8" t="s">
        <v>2387</v>
      </c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1"/>
      <c r="AF1847" s="11"/>
      <c r="AG1847" s="11"/>
      <c r="AH1847" s="11"/>
      <c r="AI1847" s="11"/>
      <c r="AJ1847" s="11"/>
      <c r="AK1847" s="11"/>
      <c r="AL1847" s="11"/>
      <c r="AM1847" s="11"/>
      <c r="AN1847" s="11"/>
      <c r="AO1847" s="11"/>
      <c r="AP1847" s="11"/>
      <c r="AQ1847" s="11"/>
      <c r="AR1847" s="11"/>
      <c r="AS1847" s="11"/>
      <c r="AT1847" s="11"/>
      <c r="AU1847" s="11"/>
      <c r="AV1847" s="11"/>
      <c r="AW1847" s="11"/>
      <c r="AX1847" s="11"/>
      <c r="AY1847" s="11"/>
    </row>
    <row r="1848" spans="1:51" hidden="1" x14ac:dyDescent="0.2">
      <c r="A1848" s="6"/>
      <c r="E1848" s="2"/>
      <c r="F1848" s="3"/>
      <c r="G1848" s="3"/>
      <c r="P1848" s="8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1"/>
      <c r="AF1848" s="11"/>
      <c r="AG1848" s="11"/>
      <c r="AH1848" s="11"/>
      <c r="AI1848" s="11"/>
      <c r="AJ1848" s="11"/>
      <c r="AK1848" s="11"/>
      <c r="AL1848" s="11"/>
      <c r="AM1848" s="11"/>
      <c r="AN1848" s="11"/>
      <c r="AO1848" s="11"/>
      <c r="AP1848" s="11"/>
      <c r="AQ1848" s="11"/>
      <c r="AR1848" s="11"/>
      <c r="AS1848" s="11"/>
      <c r="AT1848" s="11"/>
      <c r="AU1848" s="11"/>
      <c r="AV1848" s="11"/>
      <c r="AW1848" s="11"/>
      <c r="AX1848" s="11"/>
      <c r="AY1848" s="11"/>
    </row>
    <row r="1849" spans="1:51" hidden="1" x14ac:dyDescent="0.2">
      <c r="A1849" s="6"/>
      <c r="E1849" s="2"/>
      <c r="F1849" s="3"/>
      <c r="G1849" s="3"/>
      <c r="P1849" s="8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11"/>
      <c r="AG1849" s="11"/>
      <c r="AH1849" s="11"/>
      <c r="AI1849" s="11"/>
      <c r="AJ1849" s="11"/>
      <c r="AK1849" s="11"/>
      <c r="AL1849" s="11"/>
      <c r="AM1849" s="11"/>
      <c r="AN1849" s="11"/>
      <c r="AO1849" s="11"/>
      <c r="AP1849" s="11"/>
      <c r="AQ1849" s="11"/>
      <c r="AR1849" s="11"/>
      <c r="AS1849" s="11"/>
      <c r="AT1849" s="11"/>
      <c r="AU1849" s="11"/>
      <c r="AV1849" s="11"/>
      <c r="AW1849" s="11"/>
      <c r="AX1849" s="11"/>
      <c r="AY1849" s="11"/>
    </row>
    <row r="1850" spans="1:51" hidden="1" x14ac:dyDescent="0.2">
      <c r="A1850" s="6" t="s">
        <v>17</v>
      </c>
      <c r="B1850" t="s">
        <v>173</v>
      </c>
      <c r="C1850" t="s">
        <v>154</v>
      </c>
      <c r="D1850" t="s">
        <v>2388</v>
      </c>
      <c r="E1850" s="2">
        <v>96.13</v>
      </c>
      <c r="F1850" s="3">
        <f t="shared" ref="F1850:G1850" si="162">DATE(2025,7,31)</f>
        <v>45869</v>
      </c>
      <c r="G1850" s="3">
        <f t="shared" si="162"/>
        <v>45869</v>
      </c>
      <c r="H1850">
        <v>2571570589</v>
      </c>
      <c r="I1850" t="s">
        <v>158</v>
      </c>
      <c r="K1850" t="s">
        <v>22</v>
      </c>
      <c r="L1850" t="s">
        <v>23</v>
      </c>
      <c r="M1850" t="s">
        <v>24</v>
      </c>
      <c r="N1850" t="s">
        <v>24</v>
      </c>
      <c r="O1850" t="s">
        <v>25</v>
      </c>
      <c r="P1850" s="8" t="s">
        <v>2389</v>
      </c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  <c r="AG1850" s="11"/>
      <c r="AH1850" s="11"/>
      <c r="AI1850" s="11"/>
      <c r="AJ1850" s="11"/>
      <c r="AK1850" s="11"/>
      <c r="AL1850" s="11"/>
      <c r="AM1850" s="11"/>
      <c r="AN1850" s="11"/>
      <c r="AO1850" s="11"/>
      <c r="AP1850" s="11"/>
      <c r="AQ1850" s="11"/>
      <c r="AR1850" s="11"/>
      <c r="AS1850" s="11"/>
      <c r="AT1850" s="11"/>
      <c r="AU1850" s="11"/>
      <c r="AV1850" s="11"/>
      <c r="AW1850" s="11"/>
      <c r="AX1850" s="11"/>
      <c r="AY1850" s="11"/>
    </row>
    <row r="1851" spans="1:51" hidden="1" x14ac:dyDescent="0.2">
      <c r="A1851" s="6"/>
      <c r="E1851" s="2"/>
      <c r="F1851" s="3"/>
      <c r="G1851" s="3"/>
      <c r="P1851" s="8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11"/>
      <c r="AG1851" s="11"/>
      <c r="AH1851" s="11"/>
      <c r="AI1851" s="11"/>
      <c r="AJ1851" s="11"/>
      <c r="AK1851" s="11"/>
      <c r="AL1851" s="11"/>
      <c r="AM1851" s="11"/>
      <c r="AN1851" s="11"/>
      <c r="AO1851" s="11"/>
      <c r="AP1851" s="11"/>
      <c r="AQ1851" s="11"/>
      <c r="AR1851" s="11"/>
      <c r="AS1851" s="11"/>
      <c r="AT1851" s="11"/>
      <c r="AU1851" s="11"/>
      <c r="AV1851" s="11"/>
      <c r="AW1851" s="11"/>
      <c r="AX1851" s="11"/>
      <c r="AY1851" s="11"/>
    </row>
    <row r="1852" spans="1:51" hidden="1" x14ac:dyDescent="0.2">
      <c r="A1852" s="6"/>
      <c r="E1852" s="2"/>
      <c r="F1852" s="3"/>
      <c r="G1852" s="3"/>
      <c r="P1852" s="8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1"/>
      <c r="AF1852" s="11"/>
      <c r="AG1852" s="11"/>
      <c r="AH1852" s="11"/>
      <c r="AI1852" s="11"/>
      <c r="AJ1852" s="11"/>
      <c r="AK1852" s="11"/>
      <c r="AL1852" s="11"/>
      <c r="AM1852" s="11"/>
      <c r="AN1852" s="11"/>
      <c r="AO1852" s="11"/>
      <c r="AP1852" s="11"/>
      <c r="AQ1852" s="11"/>
      <c r="AR1852" s="11"/>
      <c r="AS1852" s="11"/>
      <c r="AT1852" s="11"/>
      <c r="AU1852" s="11"/>
      <c r="AV1852" s="11"/>
      <c r="AW1852" s="11"/>
      <c r="AX1852" s="11"/>
      <c r="AY1852" s="11"/>
    </row>
    <row r="1853" spans="1:51" hidden="1" x14ac:dyDescent="0.2">
      <c r="A1853" s="6"/>
      <c r="E1853" s="2"/>
      <c r="F1853" s="3"/>
      <c r="G1853" s="3"/>
      <c r="P1853" s="8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11"/>
      <c r="AG1853" s="11"/>
      <c r="AH1853" s="11"/>
      <c r="AI1853" s="11"/>
      <c r="AJ1853" s="11"/>
      <c r="AK1853" s="11"/>
      <c r="AL1853" s="11"/>
      <c r="AM1853" s="11"/>
      <c r="AN1853" s="11"/>
      <c r="AO1853" s="11"/>
      <c r="AP1853" s="11"/>
      <c r="AQ1853" s="11"/>
      <c r="AR1853" s="11"/>
      <c r="AS1853" s="11"/>
      <c r="AT1853" s="11"/>
      <c r="AU1853" s="11"/>
      <c r="AV1853" s="11"/>
      <c r="AW1853" s="11"/>
      <c r="AX1853" s="11"/>
      <c r="AY1853" s="11"/>
    </row>
    <row r="1854" spans="1:51" hidden="1" x14ac:dyDescent="0.2">
      <c r="A1854" s="6" t="s">
        <v>17</v>
      </c>
      <c r="B1854" t="s">
        <v>18</v>
      </c>
      <c r="C1854" t="s">
        <v>19</v>
      </c>
      <c r="D1854" t="s">
        <v>2390</v>
      </c>
      <c r="E1854" s="2">
        <v>1.26</v>
      </c>
      <c r="F1854" s="3">
        <f t="shared" ref="F1854:G1855" si="163">DATE(2025,8,1)</f>
        <v>45870</v>
      </c>
      <c r="G1854" s="3">
        <f t="shared" si="163"/>
        <v>45870</v>
      </c>
      <c r="H1854">
        <v>2571572374</v>
      </c>
      <c r="I1854" t="s">
        <v>192</v>
      </c>
      <c r="K1854" t="s">
        <v>22</v>
      </c>
      <c r="L1854" t="s">
        <v>23</v>
      </c>
      <c r="M1854" t="s">
        <v>24</v>
      </c>
      <c r="N1854" t="s">
        <v>24</v>
      </c>
      <c r="O1854" t="s">
        <v>25</v>
      </c>
      <c r="P1854" s="8" t="s">
        <v>2391</v>
      </c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s="11"/>
      <c r="AR1854" s="11"/>
      <c r="AS1854" s="11"/>
      <c r="AT1854" s="11"/>
      <c r="AU1854" s="11"/>
      <c r="AV1854" s="11"/>
      <c r="AW1854" s="11"/>
      <c r="AX1854" s="11"/>
      <c r="AY1854" s="11"/>
    </row>
    <row r="1855" spans="1:51" hidden="1" x14ac:dyDescent="0.2">
      <c r="A1855" s="6" t="s">
        <v>17</v>
      </c>
      <c r="B1855" t="s">
        <v>35</v>
      </c>
      <c r="C1855" t="s">
        <v>35</v>
      </c>
      <c r="D1855" t="s">
        <v>204</v>
      </c>
      <c r="E1855" s="2">
        <v>12</v>
      </c>
      <c r="F1855" s="3">
        <f t="shared" si="163"/>
        <v>45870</v>
      </c>
      <c r="G1855" s="3">
        <f t="shared" si="163"/>
        <v>45870</v>
      </c>
      <c r="H1855">
        <v>2571572375</v>
      </c>
      <c r="I1855" t="s">
        <v>192</v>
      </c>
      <c r="K1855" t="s">
        <v>22</v>
      </c>
      <c r="L1855" t="s">
        <v>23</v>
      </c>
      <c r="M1855" t="s">
        <v>24</v>
      </c>
      <c r="N1855" t="s">
        <v>24</v>
      </c>
      <c r="O1855" t="s">
        <v>25</v>
      </c>
      <c r="P1855" s="8" t="s">
        <v>2392</v>
      </c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1"/>
      <c r="AF1855" s="11"/>
      <c r="AG1855" s="11"/>
      <c r="AH1855" s="11"/>
      <c r="AI1855" s="11"/>
      <c r="AJ1855" s="11"/>
      <c r="AK1855" s="11"/>
      <c r="AL1855" s="11"/>
      <c r="AM1855" s="11"/>
      <c r="AN1855" s="11"/>
      <c r="AO1855" s="11"/>
      <c r="AP1855" s="11"/>
      <c r="AQ1855" s="11"/>
      <c r="AR1855" s="11"/>
      <c r="AS1855" s="11"/>
      <c r="AT1855" s="11"/>
      <c r="AU1855" s="11"/>
      <c r="AV1855" s="11"/>
      <c r="AW1855" s="11"/>
      <c r="AX1855" s="11"/>
      <c r="AY1855" s="11"/>
    </row>
    <row r="1856" spans="1:51" hidden="1" x14ac:dyDescent="0.2">
      <c r="A1856" s="6"/>
      <c r="E1856" s="2"/>
      <c r="F1856" s="3"/>
      <c r="G1856" s="3"/>
      <c r="P1856" s="8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11"/>
      <c r="AG1856" s="11"/>
      <c r="AH1856" s="11"/>
      <c r="AI1856" s="11"/>
      <c r="AJ1856" s="11"/>
      <c r="AK1856" s="11"/>
      <c r="AL1856" s="11"/>
      <c r="AM1856" s="11"/>
      <c r="AN1856" s="11"/>
      <c r="AO1856" s="11"/>
      <c r="AP1856" s="11"/>
      <c r="AQ1856" s="11"/>
      <c r="AR1856" s="11"/>
      <c r="AS1856" s="11"/>
      <c r="AT1856" s="11"/>
      <c r="AU1856" s="11"/>
      <c r="AV1856" s="11"/>
      <c r="AW1856" s="11"/>
      <c r="AX1856" s="11"/>
      <c r="AY1856" s="11"/>
    </row>
    <row r="1857" spans="1:51" hidden="1" x14ac:dyDescent="0.2">
      <c r="A1857" s="6"/>
      <c r="E1857" s="2"/>
      <c r="F1857" s="3"/>
      <c r="G1857" s="3"/>
      <c r="P1857" s="8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1"/>
      <c r="AJ1857" s="11"/>
      <c r="AK1857" s="11"/>
      <c r="AL1857" s="11"/>
      <c r="AM1857" s="11"/>
      <c r="AN1857" s="11"/>
      <c r="AO1857" s="11"/>
      <c r="AP1857" s="11"/>
      <c r="AQ1857" s="11"/>
      <c r="AR1857" s="11"/>
      <c r="AS1857" s="11"/>
      <c r="AT1857" s="11"/>
      <c r="AU1857" s="11"/>
      <c r="AV1857" s="11"/>
      <c r="AW1857" s="11"/>
      <c r="AX1857" s="11"/>
      <c r="AY1857" s="11"/>
    </row>
    <row r="1858" spans="1:51" hidden="1" x14ac:dyDescent="0.2">
      <c r="A1858" s="6"/>
      <c r="E1858" s="2"/>
      <c r="F1858" s="3"/>
      <c r="G1858" s="3"/>
      <c r="P1858" s="8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1"/>
      <c r="AF1858" s="11"/>
      <c r="AG1858" s="11"/>
      <c r="AH1858" s="11"/>
      <c r="AI1858" s="11"/>
      <c r="AJ1858" s="11"/>
      <c r="AK1858" s="11"/>
      <c r="AL1858" s="11"/>
      <c r="AM1858" s="11"/>
      <c r="AN1858" s="11"/>
      <c r="AO1858" s="11"/>
      <c r="AP1858" s="11"/>
      <c r="AQ1858" s="11"/>
      <c r="AR1858" s="11"/>
      <c r="AS1858" s="11"/>
      <c r="AT1858" s="11"/>
      <c r="AU1858" s="11"/>
      <c r="AV1858" s="11"/>
      <c r="AW1858" s="11"/>
      <c r="AX1858" s="11"/>
      <c r="AY1858" s="11"/>
    </row>
    <row r="1859" spans="1:51" hidden="1" x14ac:dyDescent="0.2">
      <c r="A1859" s="6" t="s">
        <v>17</v>
      </c>
      <c r="B1859" t="s">
        <v>46</v>
      </c>
      <c r="C1859" t="s">
        <v>47</v>
      </c>
      <c r="D1859" t="s">
        <v>2393</v>
      </c>
      <c r="E1859" s="2">
        <v>140.59</v>
      </c>
      <c r="F1859" s="3">
        <f>DATE(2025,8,1)</f>
        <v>45870</v>
      </c>
      <c r="G1859" s="3">
        <f>DATE(2025,8,1)</f>
        <v>45870</v>
      </c>
      <c r="H1859">
        <v>2575114501</v>
      </c>
      <c r="I1859" t="s">
        <v>158</v>
      </c>
      <c r="K1859" t="s">
        <v>22</v>
      </c>
      <c r="L1859" t="s">
        <v>23</v>
      </c>
      <c r="M1859" t="s">
        <v>24</v>
      </c>
      <c r="N1859" t="s">
        <v>24</v>
      </c>
      <c r="O1859" t="s">
        <v>25</v>
      </c>
      <c r="P1859" s="8" t="s">
        <v>2394</v>
      </c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11"/>
      <c r="AG1859" s="11"/>
      <c r="AH1859" s="11"/>
      <c r="AI1859" s="11"/>
      <c r="AJ1859" s="11"/>
      <c r="AK1859" s="11"/>
      <c r="AL1859" s="11"/>
      <c r="AM1859" s="11"/>
      <c r="AN1859" s="11"/>
      <c r="AO1859" s="11"/>
      <c r="AP1859" s="11"/>
      <c r="AQ1859" s="11"/>
      <c r="AR1859" s="11"/>
      <c r="AS1859" s="11"/>
      <c r="AT1859" s="11"/>
      <c r="AU1859" s="11"/>
      <c r="AV1859" s="11"/>
      <c r="AW1859" s="11"/>
      <c r="AX1859" s="11"/>
      <c r="AY1859" s="11"/>
    </row>
    <row r="1860" spans="1:51" hidden="1" x14ac:dyDescent="0.2">
      <c r="A1860" s="6"/>
      <c r="E1860" s="2"/>
      <c r="F1860" s="3"/>
      <c r="G1860" s="3"/>
      <c r="P1860" s="8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11"/>
      <c r="AG1860" s="11"/>
      <c r="AH1860" s="11"/>
      <c r="AI1860" s="11"/>
      <c r="AJ1860" s="11"/>
      <c r="AK1860" s="11"/>
      <c r="AL1860" s="11"/>
      <c r="AM1860" s="11"/>
      <c r="AN1860" s="11"/>
      <c r="AO1860" s="11"/>
      <c r="AP1860" s="11"/>
      <c r="AQ1860" s="11"/>
      <c r="AR1860" s="11"/>
      <c r="AS1860" s="11"/>
      <c r="AT1860" s="11"/>
      <c r="AU1860" s="11"/>
      <c r="AV1860" s="11"/>
      <c r="AW1860" s="11"/>
      <c r="AX1860" s="11"/>
      <c r="AY1860" s="11"/>
    </row>
    <row r="1861" spans="1:51" hidden="1" x14ac:dyDescent="0.2">
      <c r="A1861" s="6" t="s">
        <v>17</v>
      </c>
      <c r="B1861" t="s">
        <v>35</v>
      </c>
      <c r="C1861" t="s">
        <v>35</v>
      </c>
      <c r="D1861" t="s">
        <v>2395</v>
      </c>
      <c r="E1861" s="2">
        <v>2.1</v>
      </c>
      <c r="F1861" s="3">
        <f t="shared" ref="F1861:G1866" si="164">DATE(2025,8,4)</f>
        <v>45873</v>
      </c>
      <c r="G1861" s="3">
        <f t="shared" si="164"/>
        <v>45873</v>
      </c>
      <c r="H1861">
        <v>2581694246</v>
      </c>
      <c r="I1861" t="s">
        <v>21</v>
      </c>
      <c r="K1861" t="s">
        <v>22</v>
      </c>
      <c r="L1861" t="s">
        <v>23</v>
      </c>
      <c r="M1861" t="s">
        <v>24</v>
      </c>
      <c r="N1861" t="s">
        <v>24</v>
      </c>
      <c r="O1861" t="s">
        <v>25</v>
      </c>
      <c r="P1861" s="8" t="s">
        <v>2396</v>
      </c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11"/>
      <c r="AG1861" s="11"/>
      <c r="AH1861" s="11"/>
      <c r="AI1861" s="11"/>
      <c r="AJ1861" s="11"/>
      <c r="AK1861" s="11"/>
      <c r="AL1861" s="11"/>
      <c r="AM1861" s="11"/>
      <c r="AN1861" s="11"/>
      <c r="AO1861" s="11"/>
      <c r="AP1861" s="11"/>
      <c r="AQ1861" s="11"/>
      <c r="AR1861" s="11"/>
      <c r="AS1861" s="11"/>
      <c r="AT1861" s="11"/>
      <c r="AU1861" s="11"/>
      <c r="AV1861" s="11"/>
      <c r="AW1861" s="11"/>
      <c r="AX1861" s="11"/>
      <c r="AY1861" s="11"/>
    </row>
    <row r="1862" spans="1:51" hidden="1" x14ac:dyDescent="0.2">
      <c r="A1862" s="6" t="s">
        <v>17</v>
      </c>
      <c r="B1862" t="s">
        <v>90</v>
      </c>
      <c r="C1862" t="s">
        <v>91</v>
      </c>
      <c r="D1862" t="s">
        <v>2397</v>
      </c>
      <c r="E1862" s="2">
        <v>34530.910000000003</v>
      </c>
      <c r="F1862" s="3">
        <f t="shared" si="164"/>
        <v>45873</v>
      </c>
      <c r="G1862" s="3">
        <f t="shared" si="164"/>
        <v>45873</v>
      </c>
      <c r="H1862">
        <v>2581694247</v>
      </c>
      <c r="I1862" t="s">
        <v>21</v>
      </c>
      <c r="K1862" t="s">
        <v>22</v>
      </c>
      <c r="L1862" t="s">
        <v>23</v>
      </c>
      <c r="M1862" t="s">
        <v>24</v>
      </c>
      <c r="N1862" t="s">
        <v>24</v>
      </c>
      <c r="O1862" t="s">
        <v>25</v>
      </c>
      <c r="P1862" s="8" t="s">
        <v>2398</v>
      </c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11"/>
      <c r="AG1862" s="11"/>
      <c r="AH1862" s="11"/>
      <c r="AI1862" s="11"/>
      <c r="AJ1862" s="11"/>
      <c r="AK1862" s="11"/>
      <c r="AL1862" s="11"/>
      <c r="AM1862" s="11"/>
      <c r="AN1862" s="11"/>
      <c r="AO1862" s="11"/>
      <c r="AP1862" s="11"/>
      <c r="AQ1862" s="11"/>
      <c r="AR1862" s="11"/>
      <c r="AS1862" s="11"/>
      <c r="AT1862" s="11"/>
      <c r="AU1862" s="11"/>
      <c r="AV1862" s="11"/>
      <c r="AW1862" s="11"/>
      <c r="AX1862" s="11"/>
      <c r="AY1862" s="11"/>
    </row>
    <row r="1863" spans="1:51" hidden="1" x14ac:dyDescent="0.2">
      <c r="A1863" s="6" t="s">
        <v>17</v>
      </c>
      <c r="B1863" t="s">
        <v>42</v>
      </c>
      <c r="C1863" t="s">
        <v>43</v>
      </c>
      <c r="D1863" t="s">
        <v>2399</v>
      </c>
      <c r="E1863" s="2">
        <v>89</v>
      </c>
      <c r="F1863" s="3">
        <f t="shared" si="164"/>
        <v>45873</v>
      </c>
      <c r="G1863" s="3">
        <f t="shared" si="164"/>
        <v>45873</v>
      </c>
      <c r="H1863">
        <v>2581694248</v>
      </c>
      <c r="I1863" t="s">
        <v>21</v>
      </c>
      <c r="K1863" t="s">
        <v>22</v>
      </c>
      <c r="L1863" t="s">
        <v>23</v>
      </c>
      <c r="M1863" t="s">
        <v>24</v>
      </c>
      <c r="N1863" t="s">
        <v>24</v>
      </c>
      <c r="O1863" t="s">
        <v>25</v>
      </c>
      <c r="P1863" s="8" t="s">
        <v>2400</v>
      </c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11"/>
      <c r="AG1863" s="11"/>
      <c r="AH1863" s="11"/>
      <c r="AI1863" s="11"/>
      <c r="AJ1863" s="11"/>
      <c r="AK1863" s="11"/>
      <c r="AL1863" s="11"/>
      <c r="AM1863" s="11"/>
      <c r="AN1863" s="11"/>
      <c r="AO1863" s="11"/>
      <c r="AP1863" s="11"/>
      <c r="AQ1863" s="11"/>
      <c r="AR1863" s="11"/>
      <c r="AS1863" s="11"/>
      <c r="AT1863" s="11"/>
      <c r="AU1863" s="11"/>
      <c r="AV1863" s="11"/>
      <c r="AW1863" s="11"/>
      <c r="AX1863" s="11"/>
      <c r="AY1863" s="11"/>
    </row>
    <row r="1864" spans="1:51" hidden="1" x14ac:dyDescent="0.2">
      <c r="A1864" s="6" t="s">
        <v>17</v>
      </c>
      <c r="B1864" t="s">
        <v>980</v>
      </c>
      <c r="C1864" t="s">
        <v>981</v>
      </c>
      <c r="D1864" t="s">
        <v>2401</v>
      </c>
      <c r="E1864" s="2">
        <v>485.36</v>
      </c>
      <c r="F1864" s="3">
        <f t="shared" si="164"/>
        <v>45873</v>
      </c>
      <c r="G1864" s="3">
        <f t="shared" si="164"/>
        <v>45873</v>
      </c>
      <c r="H1864">
        <v>2581694249</v>
      </c>
      <c r="I1864" t="s">
        <v>21</v>
      </c>
      <c r="K1864" t="s">
        <v>22</v>
      </c>
      <c r="L1864" t="s">
        <v>23</v>
      </c>
      <c r="M1864" t="s">
        <v>24</v>
      </c>
      <c r="N1864" t="s">
        <v>24</v>
      </c>
      <c r="O1864" t="s">
        <v>25</v>
      </c>
      <c r="P1864" s="8" t="s">
        <v>2402</v>
      </c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11"/>
      <c r="AG1864" s="11"/>
      <c r="AH1864" s="11"/>
      <c r="AI1864" s="11"/>
      <c r="AJ1864" s="11"/>
      <c r="AK1864" s="11"/>
      <c r="AL1864" s="11"/>
      <c r="AM1864" s="11"/>
      <c r="AN1864" s="11"/>
      <c r="AO1864" s="11"/>
      <c r="AP1864" s="11"/>
      <c r="AQ1864" s="11"/>
      <c r="AR1864" s="11"/>
      <c r="AS1864" s="11"/>
      <c r="AT1864" s="11"/>
      <c r="AU1864" s="11"/>
      <c r="AV1864" s="11"/>
      <c r="AW1864" s="11"/>
      <c r="AX1864" s="11"/>
      <c r="AY1864" s="11"/>
    </row>
    <row r="1865" spans="1:51" hidden="1" x14ac:dyDescent="0.2">
      <c r="A1865" s="6"/>
      <c r="E1865" s="2"/>
      <c r="F1865" s="3"/>
      <c r="G1865" s="3"/>
      <c r="P1865" s="8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11"/>
      <c r="AG1865" s="11"/>
      <c r="AH1865" s="11"/>
      <c r="AI1865" s="11"/>
      <c r="AJ1865" s="11"/>
      <c r="AK1865" s="11"/>
      <c r="AL1865" s="11"/>
      <c r="AM1865" s="11"/>
      <c r="AN1865" s="11"/>
      <c r="AO1865" s="11"/>
      <c r="AP1865" s="11"/>
      <c r="AQ1865" s="11"/>
      <c r="AR1865" s="11"/>
      <c r="AS1865" s="11"/>
      <c r="AT1865" s="11"/>
      <c r="AU1865" s="11"/>
      <c r="AV1865" s="11"/>
      <c r="AW1865" s="11"/>
      <c r="AX1865" s="11"/>
      <c r="AY1865" s="11"/>
    </row>
    <row r="1866" spans="1:51" hidden="1" x14ac:dyDescent="0.2">
      <c r="A1866" s="6" t="s">
        <v>17</v>
      </c>
      <c r="B1866" t="s">
        <v>118</v>
      </c>
      <c r="C1866" t="s">
        <v>119</v>
      </c>
      <c r="D1866" t="s">
        <v>2403</v>
      </c>
      <c r="E1866" s="2">
        <v>35.72</v>
      </c>
      <c r="F1866" s="3">
        <f t="shared" si="164"/>
        <v>45873</v>
      </c>
      <c r="G1866" s="3">
        <f t="shared" si="164"/>
        <v>45873</v>
      </c>
      <c r="H1866">
        <v>2589277183</v>
      </c>
      <c r="I1866" t="s">
        <v>158</v>
      </c>
      <c r="K1866" t="s">
        <v>22</v>
      </c>
      <c r="L1866" t="s">
        <v>23</v>
      </c>
      <c r="M1866" t="s">
        <v>24</v>
      </c>
      <c r="N1866" t="s">
        <v>24</v>
      </c>
      <c r="O1866" t="s">
        <v>25</v>
      </c>
      <c r="P1866" s="8" t="s">
        <v>2404</v>
      </c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1"/>
      <c r="AC1866" s="11"/>
      <c r="AD1866" s="11"/>
      <c r="AE1866" s="11"/>
      <c r="AF1866" s="11"/>
      <c r="AG1866" s="11"/>
      <c r="AH1866" s="11"/>
      <c r="AI1866" s="11"/>
      <c r="AJ1866" s="11"/>
      <c r="AK1866" s="11"/>
      <c r="AL1866" s="11"/>
      <c r="AM1866" s="11"/>
      <c r="AN1866" s="11"/>
      <c r="AO1866" s="11"/>
      <c r="AP1866" s="11"/>
      <c r="AQ1866" s="11"/>
      <c r="AR1866" s="11"/>
      <c r="AS1866" s="11"/>
      <c r="AT1866" s="11"/>
      <c r="AU1866" s="11"/>
      <c r="AV1866" s="11"/>
      <c r="AW1866" s="11"/>
      <c r="AX1866" s="11"/>
      <c r="AY1866" s="11"/>
    </row>
    <row r="1867" spans="1:51" x14ac:dyDescent="0.2">
      <c r="A1867" s="6" t="s">
        <v>17</v>
      </c>
      <c r="B1867" t="s">
        <v>342</v>
      </c>
      <c r="C1867" t="s">
        <v>342</v>
      </c>
      <c r="D1867" t="s">
        <v>2405</v>
      </c>
      <c r="E1867" s="2">
        <v>36.54</v>
      </c>
      <c r="F1867" s="3">
        <f>DATE(2025,8,3)</f>
        <v>45872</v>
      </c>
      <c r="G1867" s="3">
        <f>DATE(2025,8,3)</f>
        <v>45872</v>
      </c>
      <c r="H1867">
        <v>2589277184</v>
      </c>
      <c r="I1867" t="s">
        <v>158</v>
      </c>
      <c r="K1867" t="s">
        <v>22</v>
      </c>
      <c r="L1867" t="s">
        <v>23</v>
      </c>
      <c r="M1867" t="s">
        <v>24</v>
      </c>
      <c r="N1867" t="s">
        <v>24</v>
      </c>
      <c r="O1867" t="s">
        <v>25</v>
      </c>
      <c r="P1867" s="8" t="s">
        <v>2406</v>
      </c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11"/>
      <c r="AG1867" s="11"/>
      <c r="AH1867" s="11"/>
      <c r="AI1867" s="11"/>
      <c r="AJ1867" s="11"/>
      <c r="AK1867" s="11"/>
      <c r="AL1867" s="11"/>
      <c r="AM1867" s="11"/>
      <c r="AN1867" s="11"/>
      <c r="AO1867" s="11"/>
      <c r="AP1867" s="11"/>
      <c r="AQ1867" s="11"/>
      <c r="AR1867" s="11"/>
      <c r="AS1867" s="11"/>
      <c r="AT1867" s="11"/>
      <c r="AU1867" s="11"/>
      <c r="AV1867" s="11"/>
      <c r="AW1867" s="11"/>
      <c r="AX1867" s="11"/>
      <c r="AY1867" s="11"/>
    </row>
    <row r="1868" spans="1:51" hidden="1" x14ac:dyDescent="0.2">
      <c r="A1868" s="6"/>
      <c r="E1868" s="2"/>
      <c r="F1868" s="3"/>
      <c r="G1868" s="3"/>
      <c r="P1868" s="8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11"/>
      <c r="AG1868" s="11"/>
      <c r="AH1868" s="11"/>
      <c r="AI1868" s="11"/>
      <c r="AJ1868" s="11"/>
      <c r="AK1868" s="11"/>
      <c r="AL1868" s="11"/>
      <c r="AM1868" s="11"/>
      <c r="AN1868" s="11"/>
      <c r="AO1868" s="11"/>
      <c r="AP1868" s="11"/>
      <c r="AQ1868" s="11"/>
      <c r="AR1868" s="11"/>
      <c r="AS1868" s="11"/>
      <c r="AT1868" s="11"/>
      <c r="AU1868" s="11"/>
      <c r="AV1868" s="11"/>
      <c r="AW1868" s="11"/>
      <c r="AX1868" s="11"/>
      <c r="AY1868" s="11"/>
    </row>
    <row r="1869" spans="1:51" hidden="1" x14ac:dyDescent="0.2">
      <c r="A1869" s="6"/>
      <c r="E1869" s="2"/>
      <c r="F1869" s="3"/>
      <c r="G1869" s="3"/>
      <c r="P1869" s="8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11"/>
      <c r="AG1869" s="11"/>
      <c r="AH1869" s="11"/>
      <c r="AI1869" s="11"/>
      <c r="AJ1869" s="11"/>
      <c r="AK1869" s="11"/>
      <c r="AL1869" s="11"/>
      <c r="AM1869" s="11"/>
      <c r="AN1869" s="11"/>
      <c r="AO1869" s="11"/>
      <c r="AP1869" s="11"/>
      <c r="AQ1869" s="11"/>
      <c r="AR1869" s="11"/>
      <c r="AS1869" s="11"/>
      <c r="AT1869" s="11"/>
      <c r="AU1869" s="11"/>
      <c r="AV1869" s="11"/>
      <c r="AW1869" s="11"/>
      <c r="AX1869" s="11"/>
      <c r="AY1869" s="11"/>
    </row>
    <row r="1870" spans="1:51" hidden="1" x14ac:dyDescent="0.2">
      <c r="A1870" s="6" t="s">
        <v>17</v>
      </c>
      <c r="B1870" t="s">
        <v>1002</v>
      </c>
      <c r="C1870" t="s">
        <v>1003</v>
      </c>
      <c r="D1870" t="s">
        <v>2407</v>
      </c>
      <c r="E1870" s="2">
        <v>793.55</v>
      </c>
      <c r="F1870" s="3">
        <f>DATE(2025,8,5)</f>
        <v>45874</v>
      </c>
      <c r="G1870" s="3">
        <f>DATE(2025,8,5)</f>
        <v>45874</v>
      </c>
      <c r="H1870">
        <v>2589277187</v>
      </c>
      <c r="I1870" t="s">
        <v>21</v>
      </c>
      <c r="K1870" t="s">
        <v>22</v>
      </c>
      <c r="L1870" t="s">
        <v>23</v>
      </c>
      <c r="M1870" t="s">
        <v>24</v>
      </c>
      <c r="N1870" t="s">
        <v>24</v>
      </c>
      <c r="O1870" t="s">
        <v>25</v>
      </c>
      <c r="P1870" s="8" t="s">
        <v>2408</v>
      </c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11"/>
      <c r="AG1870" s="11"/>
      <c r="AH1870" s="11"/>
      <c r="AI1870" s="11"/>
      <c r="AJ1870" s="11"/>
      <c r="AK1870" s="11"/>
      <c r="AL1870" s="11"/>
      <c r="AM1870" s="11"/>
      <c r="AN1870" s="11"/>
      <c r="AO1870" s="11"/>
      <c r="AP1870" s="11"/>
      <c r="AQ1870" s="11"/>
      <c r="AR1870" s="11"/>
      <c r="AS1870" s="11"/>
      <c r="AT1870" s="11"/>
      <c r="AU1870" s="11"/>
      <c r="AV1870" s="11"/>
      <c r="AW1870" s="11"/>
      <c r="AX1870" s="11"/>
      <c r="AY1870" s="11"/>
    </row>
    <row r="1871" spans="1:51" hidden="1" x14ac:dyDescent="0.2">
      <c r="A1871" s="6"/>
      <c r="E1871" s="2"/>
      <c r="F1871" s="3"/>
      <c r="G1871" s="3"/>
      <c r="P1871" s="8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11"/>
      <c r="AG1871" s="11"/>
      <c r="AH1871" s="11"/>
      <c r="AI1871" s="11"/>
      <c r="AJ1871" s="11"/>
      <c r="AK1871" s="11"/>
      <c r="AL1871" s="11"/>
      <c r="AM1871" s="11"/>
      <c r="AN1871" s="11"/>
      <c r="AO1871" s="11"/>
      <c r="AP1871" s="11"/>
      <c r="AQ1871" s="11"/>
      <c r="AR1871" s="11"/>
      <c r="AS1871" s="11"/>
      <c r="AT1871" s="11"/>
      <c r="AU1871" s="11"/>
      <c r="AV1871" s="11"/>
      <c r="AW1871" s="11"/>
      <c r="AX1871" s="11"/>
      <c r="AY1871" s="11"/>
    </row>
    <row r="1872" spans="1:51" hidden="1" x14ac:dyDescent="0.2">
      <c r="A1872" s="6"/>
      <c r="E1872" s="2"/>
      <c r="F1872" s="3"/>
      <c r="G1872" s="3"/>
      <c r="P1872" s="8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11"/>
      <c r="AL1872" s="11"/>
      <c r="AM1872" s="11"/>
      <c r="AN1872" s="11"/>
      <c r="AO1872" s="11"/>
      <c r="AP1872" s="11"/>
      <c r="AQ1872" s="11"/>
      <c r="AR1872" s="11"/>
      <c r="AS1872" s="11"/>
      <c r="AT1872" s="11"/>
      <c r="AU1872" s="11"/>
      <c r="AV1872" s="11"/>
      <c r="AW1872" s="11"/>
      <c r="AX1872" s="11"/>
      <c r="AY1872" s="11"/>
    </row>
    <row r="1873" spans="1:51" hidden="1" x14ac:dyDescent="0.2">
      <c r="A1873" s="6" t="s">
        <v>17</v>
      </c>
      <c r="B1873" t="s">
        <v>84</v>
      </c>
      <c r="C1873" t="s">
        <v>85</v>
      </c>
      <c r="D1873" t="s">
        <v>2409</v>
      </c>
      <c r="E1873" s="2">
        <v>684.16</v>
      </c>
      <c r="F1873" s="3">
        <f>DATE(2025,8,5)</f>
        <v>45874</v>
      </c>
      <c r="G1873" s="3">
        <f>DATE(2025,8,5)</f>
        <v>45874</v>
      </c>
      <c r="H1873">
        <v>2589277190</v>
      </c>
      <c r="I1873" t="s">
        <v>21</v>
      </c>
      <c r="K1873" t="s">
        <v>22</v>
      </c>
      <c r="L1873" t="s">
        <v>23</v>
      </c>
      <c r="M1873" t="s">
        <v>24</v>
      </c>
      <c r="N1873" t="s">
        <v>24</v>
      </c>
      <c r="O1873" t="s">
        <v>25</v>
      </c>
      <c r="P1873" s="8" t="s">
        <v>2410</v>
      </c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1"/>
      <c r="AF1873" s="11"/>
      <c r="AG1873" s="11"/>
      <c r="AH1873" s="11"/>
      <c r="AI1873" s="11"/>
      <c r="AJ1873" s="11"/>
      <c r="AK1873" s="11"/>
      <c r="AL1873" s="11"/>
      <c r="AM1873" s="11"/>
      <c r="AN1873" s="11"/>
      <c r="AO1873" s="11"/>
      <c r="AP1873" s="11"/>
      <c r="AQ1873" s="11"/>
      <c r="AR1873" s="11"/>
      <c r="AS1873" s="11"/>
      <c r="AT1873" s="11"/>
      <c r="AU1873" s="11"/>
      <c r="AV1873" s="11"/>
      <c r="AW1873" s="11"/>
      <c r="AX1873" s="11"/>
      <c r="AY1873" s="11"/>
    </row>
    <row r="1874" spans="1:51" hidden="1" x14ac:dyDescent="0.2">
      <c r="A1874" s="6"/>
      <c r="E1874" s="2"/>
      <c r="F1874" s="3"/>
      <c r="G1874" s="3"/>
      <c r="P1874" s="8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1"/>
      <c r="AF1874" s="11"/>
      <c r="AG1874" s="11"/>
      <c r="AH1874" s="11"/>
      <c r="AI1874" s="11"/>
      <c r="AJ1874" s="11"/>
      <c r="AK1874" s="11"/>
      <c r="AL1874" s="11"/>
      <c r="AM1874" s="11"/>
      <c r="AN1874" s="11"/>
      <c r="AO1874" s="11"/>
      <c r="AP1874" s="11"/>
      <c r="AQ1874" s="11"/>
      <c r="AR1874" s="11"/>
      <c r="AS1874" s="11"/>
      <c r="AT1874" s="11"/>
      <c r="AU1874" s="11"/>
      <c r="AV1874" s="11"/>
      <c r="AW1874" s="11"/>
      <c r="AX1874" s="11"/>
      <c r="AY1874" s="11"/>
    </row>
    <row r="1875" spans="1:51" hidden="1" x14ac:dyDescent="0.2">
      <c r="A1875" s="6" t="s">
        <v>17</v>
      </c>
      <c r="B1875" t="s">
        <v>27</v>
      </c>
      <c r="C1875" t="s">
        <v>28</v>
      </c>
      <c r="D1875" t="s">
        <v>2411</v>
      </c>
      <c r="E1875" s="2">
        <v>3829.92</v>
      </c>
      <c r="F1875" s="3">
        <f>DATE(2025,8,5)</f>
        <v>45874</v>
      </c>
      <c r="G1875" s="3">
        <f>DATE(2025,8,5)</f>
        <v>45874</v>
      </c>
      <c r="H1875">
        <v>2589277192</v>
      </c>
      <c r="I1875" t="s">
        <v>21</v>
      </c>
      <c r="K1875" t="s">
        <v>22</v>
      </c>
      <c r="L1875" t="s">
        <v>23</v>
      </c>
      <c r="M1875" t="s">
        <v>24</v>
      </c>
      <c r="N1875" t="s">
        <v>24</v>
      </c>
      <c r="O1875" t="s">
        <v>25</v>
      </c>
      <c r="P1875" s="8" t="s">
        <v>2412</v>
      </c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1"/>
      <c r="AJ1875" s="11"/>
      <c r="AK1875" s="11"/>
      <c r="AL1875" s="11"/>
      <c r="AM1875" s="11"/>
      <c r="AN1875" s="11"/>
      <c r="AO1875" s="11"/>
      <c r="AP1875" s="11"/>
      <c r="AQ1875" s="11"/>
      <c r="AR1875" s="11"/>
      <c r="AS1875" s="11"/>
      <c r="AT1875" s="11"/>
      <c r="AU1875" s="11"/>
      <c r="AV1875" s="11"/>
      <c r="AW1875" s="11"/>
      <c r="AX1875" s="11"/>
      <c r="AY1875" s="11"/>
    </row>
    <row r="1876" spans="1:51" hidden="1" x14ac:dyDescent="0.2">
      <c r="A1876" s="6" t="s">
        <v>17</v>
      </c>
      <c r="B1876" t="s">
        <v>84</v>
      </c>
      <c r="C1876" t="s">
        <v>85</v>
      </c>
      <c r="D1876" t="s">
        <v>2413</v>
      </c>
      <c r="E1876" s="2">
        <v>2072</v>
      </c>
      <c r="F1876" s="3">
        <f>DATE(2025,8,5)</f>
        <v>45874</v>
      </c>
      <c r="G1876" s="3">
        <f>DATE(2025,8,5)</f>
        <v>45874</v>
      </c>
      <c r="H1876">
        <v>2589277193</v>
      </c>
      <c r="I1876" t="s">
        <v>21</v>
      </c>
      <c r="K1876" t="s">
        <v>22</v>
      </c>
      <c r="L1876" t="s">
        <v>23</v>
      </c>
      <c r="M1876" t="s">
        <v>24</v>
      </c>
      <c r="N1876" t="s">
        <v>24</v>
      </c>
      <c r="O1876" t="s">
        <v>25</v>
      </c>
      <c r="P1876" s="8" t="s">
        <v>2414</v>
      </c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1"/>
      <c r="AB1876" s="11"/>
      <c r="AC1876" s="11"/>
      <c r="AD1876" s="11"/>
      <c r="AE1876" s="11"/>
      <c r="AF1876" s="11"/>
      <c r="AG1876" s="11"/>
      <c r="AH1876" s="11"/>
      <c r="AI1876" s="11"/>
      <c r="AJ1876" s="11"/>
      <c r="AK1876" s="11"/>
      <c r="AL1876" s="11"/>
      <c r="AM1876" s="11"/>
      <c r="AN1876" s="11"/>
      <c r="AO1876" s="11"/>
      <c r="AP1876" s="11"/>
      <c r="AQ1876" s="11"/>
      <c r="AR1876" s="11"/>
      <c r="AS1876" s="11"/>
      <c r="AT1876" s="11"/>
      <c r="AU1876" s="11"/>
      <c r="AV1876" s="11"/>
      <c r="AW1876" s="11"/>
      <c r="AX1876" s="11"/>
      <c r="AY1876" s="11"/>
    </row>
    <row r="1877" spans="1:51" hidden="1" x14ac:dyDescent="0.2">
      <c r="A1877" s="6"/>
      <c r="E1877" s="2"/>
      <c r="F1877" s="3"/>
      <c r="G1877" s="3"/>
      <c r="P1877" s="8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1"/>
      <c r="AF1877" s="11"/>
      <c r="AG1877" s="11"/>
      <c r="AH1877" s="11"/>
      <c r="AI1877" s="11"/>
      <c r="AJ1877" s="11"/>
      <c r="AK1877" s="11"/>
      <c r="AL1877" s="11"/>
      <c r="AM1877" s="11"/>
      <c r="AN1877" s="11"/>
      <c r="AO1877" s="11"/>
      <c r="AP1877" s="11"/>
      <c r="AQ1877" s="11"/>
      <c r="AR1877" s="11"/>
      <c r="AS1877" s="11"/>
      <c r="AT1877" s="11"/>
      <c r="AU1877" s="11"/>
      <c r="AV1877" s="11"/>
      <c r="AW1877" s="11"/>
      <c r="AX1877" s="11"/>
      <c r="AY1877" s="11"/>
    </row>
    <row r="1878" spans="1:51" hidden="1" x14ac:dyDescent="0.2">
      <c r="A1878" s="6"/>
      <c r="E1878" s="2"/>
      <c r="F1878" s="3"/>
      <c r="G1878" s="3"/>
      <c r="P1878" s="8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1"/>
      <c r="AF1878" s="11"/>
      <c r="AG1878" s="11"/>
      <c r="AH1878" s="11"/>
      <c r="AI1878" s="11"/>
      <c r="AJ1878" s="11"/>
      <c r="AK1878" s="11"/>
      <c r="AL1878" s="11"/>
      <c r="AM1878" s="11"/>
      <c r="AN1878" s="11"/>
      <c r="AO1878" s="11"/>
      <c r="AP1878" s="11"/>
      <c r="AQ1878" s="11"/>
      <c r="AR1878" s="11"/>
      <c r="AS1878" s="11"/>
      <c r="AT1878" s="11"/>
      <c r="AU1878" s="11"/>
      <c r="AV1878" s="11"/>
      <c r="AW1878" s="11"/>
      <c r="AX1878" s="11"/>
      <c r="AY1878" s="11"/>
    </row>
    <row r="1879" spans="1:51" hidden="1" x14ac:dyDescent="0.2">
      <c r="A1879" s="6" t="s">
        <v>17</v>
      </c>
      <c r="B1879" t="s">
        <v>198</v>
      </c>
      <c r="C1879" t="s">
        <v>199</v>
      </c>
      <c r="D1879" t="s">
        <v>2415</v>
      </c>
      <c r="E1879" s="2">
        <v>3631.67</v>
      </c>
      <c r="F1879" s="3">
        <f>DATE(2025,8,5)</f>
        <v>45874</v>
      </c>
      <c r="G1879" s="3">
        <f>DATE(2025,8,5)</f>
        <v>45874</v>
      </c>
      <c r="H1879">
        <v>2589278379</v>
      </c>
      <c r="I1879" t="s">
        <v>192</v>
      </c>
      <c r="K1879" t="s">
        <v>22</v>
      </c>
      <c r="L1879" t="s">
        <v>23</v>
      </c>
      <c r="M1879" t="s">
        <v>24</v>
      </c>
      <c r="N1879" t="s">
        <v>24</v>
      </c>
      <c r="O1879" t="s">
        <v>25</v>
      </c>
      <c r="P1879" s="8" t="s">
        <v>2416</v>
      </c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1"/>
      <c r="AF1879" s="11"/>
      <c r="AG1879" s="11"/>
      <c r="AH1879" s="11"/>
      <c r="AI1879" s="11"/>
      <c r="AJ1879" s="11"/>
      <c r="AK1879" s="11"/>
      <c r="AL1879" s="11"/>
      <c r="AM1879" s="11"/>
      <c r="AN1879" s="11"/>
      <c r="AO1879" s="11"/>
      <c r="AP1879" s="11"/>
      <c r="AQ1879" s="11"/>
      <c r="AR1879" s="11"/>
      <c r="AS1879" s="11"/>
      <c r="AT1879" s="11"/>
      <c r="AU1879" s="11"/>
      <c r="AV1879" s="11"/>
      <c r="AW1879" s="11"/>
      <c r="AX1879" s="11"/>
      <c r="AY1879" s="11"/>
    </row>
    <row r="1880" spans="1:51" hidden="1" x14ac:dyDescent="0.2">
      <c r="A1880" s="6" t="s">
        <v>17</v>
      </c>
      <c r="B1880" t="s">
        <v>18</v>
      </c>
      <c r="C1880" t="s">
        <v>19</v>
      </c>
      <c r="D1880" t="s">
        <v>2417</v>
      </c>
      <c r="E1880" s="2">
        <v>2.4900000000000002</v>
      </c>
      <c r="F1880" s="3">
        <f>DATE(2025,8,4)</f>
        <v>45873</v>
      </c>
      <c r="G1880" s="3">
        <f>DATE(2025,8,4)</f>
        <v>45873</v>
      </c>
      <c r="H1880">
        <v>2589278380</v>
      </c>
      <c r="I1880" t="s">
        <v>192</v>
      </c>
      <c r="K1880" t="s">
        <v>22</v>
      </c>
      <c r="L1880" t="s">
        <v>23</v>
      </c>
      <c r="M1880" t="s">
        <v>24</v>
      </c>
      <c r="N1880" t="s">
        <v>24</v>
      </c>
      <c r="O1880" t="s">
        <v>25</v>
      </c>
      <c r="P1880" s="8" t="s">
        <v>2418</v>
      </c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11"/>
      <c r="AG1880" s="11"/>
      <c r="AH1880" s="11"/>
      <c r="AI1880" s="11"/>
      <c r="AJ1880" s="11"/>
      <c r="AK1880" s="11"/>
      <c r="AL1880" s="11"/>
      <c r="AM1880" s="11"/>
      <c r="AN1880" s="11"/>
      <c r="AO1880" s="11"/>
      <c r="AP1880" s="11"/>
      <c r="AQ1880" s="11"/>
      <c r="AR1880" s="11"/>
      <c r="AS1880" s="11"/>
      <c r="AT1880" s="11"/>
      <c r="AU1880" s="11"/>
      <c r="AV1880" s="11"/>
      <c r="AW1880" s="11"/>
      <c r="AX1880" s="11"/>
      <c r="AY1880" s="11"/>
    </row>
    <row r="1881" spans="1:51" hidden="1" x14ac:dyDescent="0.2">
      <c r="A1881" s="6"/>
      <c r="E1881" s="2"/>
      <c r="F1881" s="3"/>
      <c r="G1881" s="3"/>
      <c r="P1881" s="8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11"/>
      <c r="AG1881" s="11"/>
      <c r="AH1881" s="11"/>
      <c r="AI1881" s="11"/>
      <c r="AJ1881" s="11"/>
      <c r="AK1881" s="11"/>
      <c r="AL1881" s="11"/>
      <c r="AM1881" s="11"/>
      <c r="AN1881" s="11"/>
      <c r="AO1881" s="11"/>
      <c r="AP1881" s="11"/>
      <c r="AQ1881" s="11"/>
      <c r="AR1881" s="11"/>
      <c r="AS1881" s="11"/>
      <c r="AT1881" s="11"/>
      <c r="AU1881" s="11"/>
      <c r="AV1881" s="11"/>
      <c r="AW1881" s="11"/>
      <c r="AX1881" s="11"/>
      <c r="AY1881" s="11"/>
    </row>
    <row r="1882" spans="1:51" hidden="1" x14ac:dyDescent="0.2">
      <c r="A1882" s="6" t="s">
        <v>17</v>
      </c>
      <c r="B1882" t="s">
        <v>198</v>
      </c>
      <c r="C1882" t="s">
        <v>199</v>
      </c>
      <c r="D1882" t="s">
        <v>2419</v>
      </c>
      <c r="E1882" s="2">
        <v>221.19</v>
      </c>
      <c r="F1882" s="3">
        <f>DATE(2025,8,5)</f>
        <v>45874</v>
      </c>
      <c r="G1882" s="3">
        <f>DATE(2025,8,5)</f>
        <v>45874</v>
      </c>
      <c r="H1882">
        <v>2589278382</v>
      </c>
      <c r="I1882" t="s">
        <v>192</v>
      </c>
      <c r="K1882" t="s">
        <v>22</v>
      </c>
      <c r="L1882" t="s">
        <v>23</v>
      </c>
      <c r="M1882" t="s">
        <v>24</v>
      </c>
      <c r="N1882" t="s">
        <v>24</v>
      </c>
      <c r="O1882" t="s">
        <v>25</v>
      </c>
      <c r="P1882" s="8" t="s">
        <v>2420</v>
      </c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1"/>
      <c r="AF1882" s="11"/>
      <c r="AG1882" s="11"/>
      <c r="AH1882" s="11"/>
      <c r="AI1882" s="11"/>
      <c r="AJ1882" s="11"/>
      <c r="AK1882" s="11"/>
      <c r="AL1882" s="11"/>
      <c r="AM1882" s="11"/>
      <c r="AN1882" s="11"/>
      <c r="AO1882" s="11"/>
      <c r="AP1882" s="11"/>
      <c r="AQ1882" s="11"/>
      <c r="AR1882" s="11"/>
      <c r="AS1882" s="11"/>
      <c r="AT1882" s="11"/>
      <c r="AU1882" s="11"/>
      <c r="AV1882" s="11"/>
      <c r="AW1882" s="11"/>
      <c r="AX1882" s="11"/>
      <c r="AY1882" s="11"/>
    </row>
    <row r="1883" spans="1:51" hidden="1" x14ac:dyDescent="0.2">
      <c r="A1883" s="6"/>
      <c r="E1883" s="2"/>
      <c r="F1883" s="3"/>
      <c r="G1883" s="3"/>
      <c r="P1883" s="8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1"/>
      <c r="AF1883" s="11"/>
      <c r="AG1883" s="11"/>
      <c r="AH1883" s="11"/>
      <c r="AI1883" s="11"/>
      <c r="AJ1883" s="11"/>
      <c r="AK1883" s="11"/>
      <c r="AL1883" s="11"/>
      <c r="AM1883" s="11"/>
      <c r="AN1883" s="11"/>
      <c r="AO1883" s="11"/>
      <c r="AP1883" s="11"/>
      <c r="AQ1883" s="11"/>
      <c r="AR1883" s="11"/>
      <c r="AS1883" s="11"/>
      <c r="AT1883" s="11"/>
      <c r="AU1883" s="11"/>
      <c r="AV1883" s="11"/>
      <c r="AW1883" s="11"/>
      <c r="AX1883" s="11"/>
      <c r="AY1883" s="11"/>
    </row>
    <row r="1884" spans="1:51" hidden="1" x14ac:dyDescent="0.2">
      <c r="A1884" s="6" t="s">
        <v>17</v>
      </c>
      <c r="B1884" t="s">
        <v>173</v>
      </c>
      <c r="C1884" t="s">
        <v>154</v>
      </c>
      <c r="D1884" t="s">
        <v>2421</v>
      </c>
      <c r="E1884" s="2">
        <v>38.99</v>
      </c>
      <c r="F1884" s="3">
        <f>DATE(2025,8,5)</f>
        <v>45874</v>
      </c>
      <c r="G1884" s="3">
        <f>DATE(2025,8,5)</f>
        <v>45874</v>
      </c>
      <c r="H1884">
        <v>2599283794</v>
      </c>
      <c r="I1884" t="s">
        <v>158</v>
      </c>
      <c r="K1884" t="s">
        <v>22</v>
      </c>
      <c r="L1884" t="s">
        <v>23</v>
      </c>
      <c r="M1884" t="s">
        <v>24</v>
      </c>
      <c r="N1884" t="s">
        <v>24</v>
      </c>
      <c r="O1884" t="s">
        <v>25</v>
      </c>
      <c r="P1884" s="8" t="s">
        <v>2422</v>
      </c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1"/>
      <c r="AF1884" s="11"/>
      <c r="AG1884" s="11"/>
      <c r="AH1884" s="11"/>
      <c r="AI1884" s="11"/>
      <c r="AJ1884" s="11"/>
      <c r="AK1884" s="11"/>
      <c r="AL1884" s="11"/>
      <c r="AM1884" s="11"/>
      <c r="AN1884" s="11"/>
      <c r="AO1884" s="11"/>
      <c r="AP1884" s="11"/>
      <c r="AQ1884" s="11"/>
      <c r="AR1884" s="11"/>
      <c r="AS1884" s="11"/>
      <c r="AT1884" s="11"/>
      <c r="AU1884" s="11"/>
      <c r="AV1884" s="11"/>
      <c r="AW1884" s="11"/>
      <c r="AX1884" s="11"/>
      <c r="AY1884" s="11"/>
    </row>
    <row r="1885" spans="1:51" x14ac:dyDescent="0.2">
      <c r="A1885" s="6" t="s">
        <v>17</v>
      </c>
      <c r="B1885" t="s">
        <v>342</v>
      </c>
      <c r="C1885" t="s">
        <v>342</v>
      </c>
      <c r="D1885" t="s">
        <v>2423</v>
      </c>
      <c r="E1885" s="2">
        <v>188.5</v>
      </c>
      <c r="F1885" s="3">
        <f>DATE(2025,8,4)</f>
        <v>45873</v>
      </c>
      <c r="G1885" s="3">
        <f>DATE(2025,8,4)</f>
        <v>45873</v>
      </c>
      <c r="H1885">
        <v>2599283879</v>
      </c>
      <c r="I1885" t="s">
        <v>158</v>
      </c>
      <c r="K1885" t="s">
        <v>22</v>
      </c>
      <c r="L1885" t="s">
        <v>23</v>
      </c>
      <c r="M1885" t="s">
        <v>24</v>
      </c>
      <c r="N1885" t="s">
        <v>24</v>
      </c>
      <c r="O1885" t="s">
        <v>25</v>
      </c>
      <c r="P1885" s="8" t="s">
        <v>2424</v>
      </c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1"/>
      <c r="AF1885" s="11"/>
      <c r="AG1885" s="11"/>
      <c r="AH1885" s="11"/>
      <c r="AI1885" s="11"/>
      <c r="AJ1885" s="11"/>
      <c r="AK1885" s="11"/>
      <c r="AL1885" s="11"/>
      <c r="AM1885" s="11"/>
      <c r="AN1885" s="11"/>
      <c r="AO1885" s="11"/>
      <c r="AP1885" s="11"/>
      <c r="AQ1885" s="11"/>
      <c r="AR1885" s="11"/>
      <c r="AS1885" s="11"/>
      <c r="AT1885" s="11"/>
      <c r="AU1885" s="11"/>
      <c r="AV1885" s="11"/>
      <c r="AW1885" s="11"/>
      <c r="AX1885" s="11"/>
      <c r="AY1885" s="11"/>
    </row>
    <row r="1886" spans="1:51" x14ac:dyDescent="0.2">
      <c r="A1886" s="6" t="s">
        <v>17</v>
      </c>
      <c r="B1886" t="s">
        <v>342</v>
      </c>
      <c r="C1886" t="s">
        <v>342</v>
      </c>
      <c r="D1886" t="s">
        <v>2425</v>
      </c>
      <c r="E1886" s="2">
        <v>53.99</v>
      </c>
      <c r="F1886" s="3">
        <f>DATE(2025,8,4)</f>
        <v>45873</v>
      </c>
      <c r="G1886" s="3">
        <f>DATE(2025,8,4)</f>
        <v>45873</v>
      </c>
      <c r="H1886">
        <v>2599283880</v>
      </c>
      <c r="I1886" t="s">
        <v>158</v>
      </c>
      <c r="K1886" t="s">
        <v>22</v>
      </c>
      <c r="L1886" t="s">
        <v>23</v>
      </c>
      <c r="M1886" t="s">
        <v>24</v>
      </c>
      <c r="N1886" t="s">
        <v>24</v>
      </c>
      <c r="O1886" t="s">
        <v>25</v>
      </c>
      <c r="P1886" s="8" t="s">
        <v>2426</v>
      </c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  <c r="AS1886" s="11"/>
      <c r="AT1886" s="11"/>
      <c r="AU1886" s="11"/>
      <c r="AV1886" s="11"/>
      <c r="AW1886" s="11"/>
      <c r="AX1886" s="11"/>
      <c r="AY1886" s="11"/>
    </row>
    <row r="1887" spans="1:51" hidden="1" x14ac:dyDescent="0.2">
      <c r="A1887" s="6" t="s">
        <v>17</v>
      </c>
      <c r="B1887" t="s">
        <v>118</v>
      </c>
      <c r="C1887" t="s">
        <v>119</v>
      </c>
      <c r="D1887" t="s">
        <v>2427</v>
      </c>
      <c r="E1887" s="2">
        <v>107.9</v>
      </c>
      <c r="F1887" s="3">
        <f t="shared" ref="F1887:G1889" si="165">DATE(2025,8,6)</f>
        <v>45875</v>
      </c>
      <c r="G1887" s="3">
        <f t="shared" si="165"/>
        <v>45875</v>
      </c>
      <c r="H1887">
        <v>2599284006</v>
      </c>
      <c r="I1887" t="s">
        <v>21</v>
      </c>
      <c r="K1887" t="s">
        <v>22</v>
      </c>
      <c r="L1887" t="s">
        <v>23</v>
      </c>
      <c r="M1887" t="s">
        <v>24</v>
      </c>
      <c r="N1887" t="s">
        <v>24</v>
      </c>
      <c r="O1887" t="s">
        <v>25</v>
      </c>
      <c r="P1887" s="8" t="s">
        <v>2428</v>
      </c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1"/>
      <c r="AF1887" s="11"/>
      <c r="AG1887" s="11"/>
      <c r="AH1887" s="11"/>
      <c r="AI1887" s="11"/>
      <c r="AJ1887" s="11"/>
      <c r="AK1887" s="11"/>
      <c r="AL1887" s="11"/>
      <c r="AM1887" s="11"/>
      <c r="AN1887" s="11"/>
      <c r="AO1887" s="11"/>
      <c r="AP1887" s="11"/>
      <c r="AQ1887" s="11"/>
      <c r="AR1887" s="11"/>
      <c r="AS1887" s="11"/>
      <c r="AT1887" s="11"/>
      <c r="AU1887" s="11"/>
      <c r="AV1887" s="11"/>
      <c r="AW1887" s="11"/>
      <c r="AX1887" s="11"/>
      <c r="AY1887" s="11"/>
    </row>
    <row r="1888" spans="1:51" hidden="1" x14ac:dyDescent="0.2">
      <c r="A1888" s="6" t="s">
        <v>17</v>
      </c>
      <c r="B1888" t="s">
        <v>18</v>
      </c>
      <c r="C1888" t="s">
        <v>19</v>
      </c>
      <c r="D1888" t="s">
        <v>2429</v>
      </c>
      <c r="E1888" s="2">
        <v>198</v>
      </c>
      <c r="F1888" s="3">
        <f t="shared" si="165"/>
        <v>45875</v>
      </c>
      <c r="G1888" s="3">
        <f t="shared" si="165"/>
        <v>45875</v>
      </c>
      <c r="H1888">
        <v>2599284007</v>
      </c>
      <c r="I1888" t="s">
        <v>21</v>
      </c>
      <c r="K1888" t="s">
        <v>22</v>
      </c>
      <c r="L1888" t="s">
        <v>23</v>
      </c>
      <c r="M1888" t="s">
        <v>24</v>
      </c>
      <c r="N1888" t="s">
        <v>24</v>
      </c>
      <c r="O1888" t="s">
        <v>25</v>
      </c>
      <c r="P1888" s="8" t="s">
        <v>2430</v>
      </c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1"/>
      <c r="AF1888" s="11"/>
      <c r="AG1888" s="11"/>
      <c r="AH1888" s="11"/>
      <c r="AI1888" s="11"/>
      <c r="AJ1888" s="11"/>
      <c r="AK1888" s="11"/>
      <c r="AL1888" s="11"/>
      <c r="AM1888" s="11"/>
      <c r="AN1888" s="11"/>
      <c r="AO1888" s="11"/>
      <c r="AP1888" s="11"/>
      <c r="AQ1888" s="11"/>
      <c r="AR1888" s="11"/>
      <c r="AS1888" s="11"/>
      <c r="AT1888" s="11"/>
      <c r="AU1888" s="11"/>
      <c r="AV1888" s="11"/>
      <c r="AW1888" s="11"/>
      <c r="AX1888" s="11"/>
      <c r="AY1888" s="11"/>
    </row>
    <row r="1889" spans="1:51" hidden="1" x14ac:dyDescent="0.2">
      <c r="A1889" s="6" t="s">
        <v>17</v>
      </c>
      <c r="B1889" t="s">
        <v>244</v>
      </c>
      <c r="C1889" t="s">
        <v>245</v>
      </c>
      <c r="D1889" t="s">
        <v>2431</v>
      </c>
      <c r="E1889" s="2">
        <v>242</v>
      </c>
      <c r="F1889" s="3">
        <f t="shared" si="165"/>
        <v>45875</v>
      </c>
      <c r="G1889" s="3">
        <f t="shared" si="165"/>
        <v>45875</v>
      </c>
      <c r="H1889">
        <v>2599284008</v>
      </c>
      <c r="I1889" t="s">
        <v>21</v>
      </c>
      <c r="K1889" t="s">
        <v>22</v>
      </c>
      <c r="L1889" t="s">
        <v>23</v>
      </c>
      <c r="M1889" t="s">
        <v>24</v>
      </c>
      <c r="N1889" t="s">
        <v>24</v>
      </c>
      <c r="O1889" t="s">
        <v>25</v>
      </c>
      <c r="P1889" s="8" t="s">
        <v>2432</v>
      </c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11"/>
      <c r="AG1889" s="11"/>
      <c r="AH1889" s="11"/>
      <c r="AI1889" s="11"/>
      <c r="AJ1889" s="11"/>
      <c r="AK1889" s="11"/>
      <c r="AL1889" s="11"/>
      <c r="AM1889" s="11"/>
      <c r="AN1889" s="11"/>
      <c r="AO1889" s="11"/>
      <c r="AP1889" s="11"/>
      <c r="AQ1889" s="11"/>
      <c r="AR1889" s="11"/>
      <c r="AS1889" s="11"/>
      <c r="AT1889" s="11"/>
      <c r="AU1889" s="11"/>
      <c r="AV1889" s="11"/>
      <c r="AW1889" s="11"/>
      <c r="AX1889" s="11"/>
      <c r="AY1889" s="11"/>
    </row>
    <row r="1890" spans="1:51" hidden="1" x14ac:dyDescent="0.2">
      <c r="A1890" s="6" t="s">
        <v>17</v>
      </c>
      <c r="B1890" t="s">
        <v>90</v>
      </c>
      <c r="C1890" t="s">
        <v>91</v>
      </c>
      <c r="D1890" t="s">
        <v>2433</v>
      </c>
      <c r="E1890" s="2">
        <v>6332.04</v>
      </c>
      <c r="F1890" s="3">
        <f>DATE(2025,8,5)</f>
        <v>45874</v>
      </c>
      <c r="G1890" s="3">
        <f>DATE(2025,8,5)</f>
        <v>45874</v>
      </c>
      <c r="H1890">
        <v>2599284009</v>
      </c>
      <c r="I1890" t="s">
        <v>21</v>
      </c>
      <c r="K1890" t="s">
        <v>22</v>
      </c>
      <c r="L1890" t="s">
        <v>23</v>
      </c>
      <c r="M1890" t="s">
        <v>24</v>
      </c>
      <c r="N1890" t="s">
        <v>24</v>
      </c>
      <c r="O1890" t="s">
        <v>25</v>
      </c>
      <c r="P1890" s="8" t="s">
        <v>2434</v>
      </c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1"/>
      <c r="AF1890" s="11"/>
      <c r="AG1890" s="11"/>
      <c r="AH1890" s="11"/>
      <c r="AI1890" s="11"/>
      <c r="AJ1890" s="11"/>
      <c r="AK1890" s="11"/>
      <c r="AL1890" s="11"/>
      <c r="AM1890" s="11"/>
      <c r="AN1890" s="11"/>
      <c r="AO1890" s="11"/>
      <c r="AP1890" s="11"/>
      <c r="AQ1890" s="11"/>
      <c r="AR1890" s="11"/>
      <c r="AS1890" s="11"/>
      <c r="AT1890" s="11"/>
      <c r="AU1890" s="11"/>
      <c r="AV1890" s="11"/>
      <c r="AW1890" s="11"/>
      <c r="AX1890" s="11"/>
      <c r="AY1890" s="11"/>
    </row>
    <row r="1891" spans="1:51" hidden="1" x14ac:dyDescent="0.2">
      <c r="A1891" s="6" t="s">
        <v>17</v>
      </c>
      <c r="B1891" t="s">
        <v>18</v>
      </c>
      <c r="C1891" t="s">
        <v>19</v>
      </c>
      <c r="D1891" t="s">
        <v>2435</v>
      </c>
      <c r="E1891" s="2">
        <v>3108.09</v>
      </c>
      <c r="F1891" s="3">
        <f>DATE(2025,8,5)</f>
        <v>45874</v>
      </c>
      <c r="G1891" s="3">
        <f>DATE(2025,8,5)</f>
        <v>45874</v>
      </c>
      <c r="H1891">
        <v>2599284010</v>
      </c>
      <c r="I1891" t="s">
        <v>21</v>
      </c>
      <c r="K1891" t="s">
        <v>22</v>
      </c>
      <c r="L1891" t="s">
        <v>23</v>
      </c>
      <c r="M1891" t="s">
        <v>24</v>
      </c>
      <c r="N1891" t="s">
        <v>24</v>
      </c>
      <c r="O1891" t="s">
        <v>25</v>
      </c>
      <c r="P1891" s="8" t="s">
        <v>2436</v>
      </c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1"/>
      <c r="AB1891" s="11"/>
      <c r="AC1891" s="11"/>
      <c r="AD1891" s="11"/>
      <c r="AE1891" s="11"/>
      <c r="AF1891" s="11"/>
      <c r="AG1891" s="11"/>
      <c r="AH1891" s="11"/>
      <c r="AI1891" s="11"/>
      <c r="AJ1891" s="11"/>
      <c r="AK1891" s="11"/>
      <c r="AL1891" s="11"/>
      <c r="AM1891" s="11"/>
      <c r="AN1891" s="11"/>
      <c r="AO1891" s="11"/>
      <c r="AP1891" s="11"/>
      <c r="AQ1891" s="11"/>
      <c r="AR1891" s="11"/>
      <c r="AS1891" s="11"/>
      <c r="AT1891" s="11"/>
      <c r="AU1891" s="11"/>
      <c r="AV1891" s="11"/>
      <c r="AW1891" s="11"/>
      <c r="AX1891" s="11"/>
      <c r="AY1891" s="11"/>
    </row>
    <row r="1892" spans="1:51" hidden="1" x14ac:dyDescent="0.2">
      <c r="A1892" s="6"/>
      <c r="E1892" s="2"/>
      <c r="F1892" s="3"/>
      <c r="G1892" s="3"/>
      <c r="P1892" s="8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1"/>
      <c r="AF1892" s="11"/>
      <c r="AG1892" s="11"/>
      <c r="AH1892" s="11"/>
      <c r="AI1892" s="11"/>
      <c r="AJ1892" s="11"/>
      <c r="AK1892" s="11"/>
      <c r="AL1892" s="11"/>
      <c r="AM1892" s="11"/>
      <c r="AN1892" s="11"/>
      <c r="AO1892" s="11"/>
      <c r="AP1892" s="11"/>
      <c r="AQ1892" s="11"/>
      <c r="AR1892" s="11"/>
      <c r="AS1892" s="11"/>
      <c r="AT1892" s="11"/>
      <c r="AU1892" s="11"/>
      <c r="AV1892" s="11"/>
      <c r="AW1892" s="11"/>
      <c r="AX1892" s="11"/>
      <c r="AY1892" s="11"/>
    </row>
    <row r="1893" spans="1:51" hidden="1" x14ac:dyDescent="0.2">
      <c r="A1893" s="6" t="s">
        <v>17</v>
      </c>
      <c r="B1893" t="s">
        <v>31</v>
      </c>
      <c r="C1893" t="s">
        <v>32</v>
      </c>
      <c r="D1893" t="s">
        <v>2437</v>
      </c>
      <c r="E1893" s="2">
        <v>288.43</v>
      </c>
      <c r="F1893" s="3">
        <f>DATE(2025,8,7)</f>
        <v>45876</v>
      </c>
      <c r="G1893" s="3">
        <f>DATE(2025,8,7)</f>
        <v>45876</v>
      </c>
      <c r="H1893">
        <v>2599284012</v>
      </c>
      <c r="I1893" t="s">
        <v>21</v>
      </c>
      <c r="K1893" t="s">
        <v>22</v>
      </c>
      <c r="L1893" t="s">
        <v>23</v>
      </c>
      <c r="M1893" t="s">
        <v>24</v>
      </c>
      <c r="N1893" t="s">
        <v>24</v>
      </c>
      <c r="O1893" t="s">
        <v>25</v>
      </c>
      <c r="P1893" s="8" t="s">
        <v>2438</v>
      </c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1"/>
      <c r="AF1893" s="11"/>
      <c r="AG1893" s="11"/>
      <c r="AH1893" s="11"/>
      <c r="AI1893" s="11"/>
      <c r="AJ1893" s="11"/>
      <c r="AK1893" s="11"/>
      <c r="AL1893" s="11"/>
      <c r="AM1893" s="11"/>
      <c r="AN1893" s="11"/>
      <c r="AO1893" s="11"/>
      <c r="AP1893" s="11"/>
      <c r="AQ1893" s="11"/>
      <c r="AR1893" s="11"/>
      <c r="AS1893" s="11"/>
      <c r="AT1893" s="11"/>
      <c r="AU1893" s="11"/>
      <c r="AV1893" s="11"/>
      <c r="AW1893" s="11"/>
      <c r="AX1893" s="11"/>
      <c r="AY1893" s="11"/>
    </row>
    <row r="1894" spans="1:51" hidden="1" x14ac:dyDescent="0.2">
      <c r="A1894" s="6"/>
      <c r="E1894" s="2"/>
      <c r="F1894" s="3"/>
      <c r="G1894" s="3"/>
      <c r="P1894" s="8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1"/>
      <c r="AF1894" s="11"/>
      <c r="AG1894" s="11"/>
      <c r="AH1894" s="11"/>
      <c r="AI1894" s="11"/>
      <c r="AJ1894" s="11"/>
      <c r="AK1894" s="11"/>
      <c r="AL1894" s="11"/>
      <c r="AM1894" s="11"/>
      <c r="AN1894" s="11"/>
      <c r="AO1894" s="11"/>
      <c r="AP1894" s="11"/>
      <c r="AQ1894" s="11"/>
      <c r="AR1894" s="11"/>
      <c r="AS1894" s="11"/>
      <c r="AT1894" s="11"/>
      <c r="AU1894" s="11"/>
      <c r="AV1894" s="11"/>
      <c r="AW1894" s="11"/>
      <c r="AX1894" s="11"/>
      <c r="AY1894" s="11"/>
    </row>
    <row r="1895" spans="1:51" hidden="1" x14ac:dyDescent="0.2">
      <c r="A1895" s="6"/>
      <c r="E1895" s="2"/>
      <c r="F1895" s="3"/>
      <c r="G1895" s="3"/>
      <c r="P1895" s="8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11"/>
      <c r="AG1895" s="11"/>
      <c r="AH1895" s="11"/>
      <c r="AI1895" s="11"/>
      <c r="AJ1895" s="11"/>
      <c r="AK1895" s="11"/>
      <c r="AL1895" s="11"/>
      <c r="AM1895" s="11"/>
      <c r="AN1895" s="11"/>
      <c r="AO1895" s="11"/>
      <c r="AP1895" s="11"/>
      <c r="AQ1895" s="11"/>
      <c r="AR1895" s="11"/>
      <c r="AS1895" s="11"/>
      <c r="AT1895" s="11"/>
      <c r="AU1895" s="11"/>
      <c r="AV1895" s="11"/>
      <c r="AW1895" s="11"/>
      <c r="AX1895" s="11"/>
      <c r="AY1895" s="11"/>
    </row>
    <row r="1896" spans="1:51" hidden="1" x14ac:dyDescent="0.2">
      <c r="A1896" s="6"/>
      <c r="E1896" s="2"/>
      <c r="F1896" s="3"/>
      <c r="G1896" s="3"/>
      <c r="P1896" s="8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1"/>
      <c r="AB1896" s="11"/>
      <c r="AC1896" s="11"/>
      <c r="AD1896" s="11"/>
      <c r="AE1896" s="11"/>
      <c r="AF1896" s="11"/>
      <c r="AG1896" s="11"/>
      <c r="AH1896" s="11"/>
      <c r="AI1896" s="11"/>
      <c r="AJ1896" s="11"/>
      <c r="AK1896" s="11"/>
      <c r="AL1896" s="11"/>
      <c r="AM1896" s="11"/>
      <c r="AN1896" s="11"/>
      <c r="AO1896" s="11"/>
      <c r="AP1896" s="11"/>
      <c r="AQ1896" s="11"/>
      <c r="AR1896" s="11"/>
      <c r="AS1896" s="11"/>
      <c r="AT1896" s="11"/>
      <c r="AU1896" s="11"/>
      <c r="AV1896" s="11"/>
      <c r="AW1896" s="11"/>
      <c r="AX1896" s="11"/>
      <c r="AY1896" s="11"/>
    </row>
    <row r="1897" spans="1:51" hidden="1" x14ac:dyDescent="0.2">
      <c r="A1897" s="6" t="s">
        <v>17</v>
      </c>
      <c r="B1897" t="s">
        <v>878</v>
      </c>
      <c r="C1897" t="s">
        <v>879</v>
      </c>
      <c r="D1897" t="s">
        <v>2439</v>
      </c>
      <c r="E1897" s="2">
        <v>1630.25</v>
      </c>
      <c r="F1897" s="3">
        <f t="shared" ref="F1897:G1903" si="166">DATE(2025,8,6)</f>
        <v>45875</v>
      </c>
      <c r="G1897" s="3">
        <f t="shared" si="166"/>
        <v>45875</v>
      </c>
      <c r="H1897">
        <v>2599284016</v>
      </c>
      <c r="I1897" t="s">
        <v>21</v>
      </c>
      <c r="K1897" t="s">
        <v>22</v>
      </c>
      <c r="L1897" t="s">
        <v>23</v>
      </c>
      <c r="M1897" t="s">
        <v>24</v>
      </c>
      <c r="N1897" t="s">
        <v>24</v>
      </c>
      <c r="O1897" t="s">
        <v>25</v>
      </c>
      <c r="P1897" s="8" t="s">
        <v>2440</v>
      </c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1"/>
      <c r="AF1897" s="11"/>
      <c r="AG1897" s="11"/>
      <c r="AH1897" s="11"/>
      <c r="AI1897" s="11"/>
      <c r="AJ1897" s="11"/>
      <c r="AK1897" s="11"/>
      <c r="AL1897" s="11"/>
      <c r="AM1897" s="11"/>
      <c r="AN1897" s="11"/>
      <c r="AO1897" s="11"/>
      <c r="AP1897" s="11"/>
      <c r="AQ1897" s="11"/>
      <c r="AR1897" s="11"/>
      <c r="AS1897" s="11"/>
      <c r="AT1897" s="11"/>
      <c r="AU1897" s="11"/>
      <c r="AV1897" s="11"/>
      <c r="AW1897" s="11"/>
      <c r="AX1897" s="11"/>
      <c r="AY1897" s="11"/>
    </row>
    <row r="1898" spans="1:51" hidden="1" x14ac:dyDescent="0.2">
      <c r="A1898" s="6" t="s">
        <v>17</v>
      </c>
      <c r="B1898" t="s">
        <v>50</v>
      </c>
      <c r="C1898" t="s">
        <v>51</v>
      </c>
      <c r="D1898" t="s">
        <v>2441</v>
      </c>
      <c r="E1898" s="2">
        <v>205.2</v>
      </c>
      <c r="F1898" s="3">
        <f t="shared" si="166"/>
        <v>45875</v>
      </c>
      <c r="G1898" s="3">
        <f t="shared" si="166"/>
        <v>45875</v>
      </c>
      <c r="H1898">
        <v>2599284017</v>
      </c>
      <c r="I1898" t="s">
        <v>21</v>
      </c>
      <c r="K1898" t="s">
        <v>22</v>
      </c>
      <c r="L1898" t="s">
        <v>23</v>
      </c>
      <c r="M1898" t="s">
        <v>24</v>
      </c>
      <c r="N1898" t="s">
        <v>24</v>
      </c>
      <c r="O1898" t="s">
        <v>25</v>
      </c>
      <c r="P1898" s="8" t="s">
        <v>2442</v>
      </c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11"/>
      <c r="AG1898" s="11"/>
      <c r="AH1898" s="11"/>
      <c r="AI1898" s="11"/>
      <c r="AJ1898" s="11"/>
      <c r="AK1898" s="11"/>
      <c r="AL1898" s="11"/>
      <c r="AM1898" s="11"/>
      <c r="AN1898" s="11"/>
      <c r="AO1898" s="11"/>
      <c r="AP1898" s="11"/>
      <c r="AQ1898" s="11"/>
      <c r="AR1898" s="11"/>
      <c r="AS1898" s="11"/>
      <c r="AT1898" s="11"/>
      <c r="AU1898" s="11"/>
      <c r="AV1898" s="11"/>
      <c r="AW1898" s="11"/>
      <c r="AX1898" s="11"/>
      <c r="AY1898" s="11"/>
    </row>
    <row r="1899" spans="1:51" hidden="1" x14ac:dyDescent="0.2">
      <c r="A1899" s="6" t="s">
        <v>17</v>
      </c>
      <c r="B1899" t="s">
        <v>18</v>
      </c>
      <c r="C1899" t="s">
        <v>19</v>
      </c>
      <c r="D1899" t="s">
        <v>2443</v>
      </c>
      <c r="E1899" s="2">
        <v>41.4</v>
      </c>
      <c r="F1899" s="3">
        <f t="shared" si="166"/>
        <v>45875</v>
      </c>
      <c r="G1899" s="3">
        <f t="shared" si="166"/>
        <v>45875</v>
      </c>
      <c r="H1899">
        <v>2599284018</v>
      </c>
      <c r="I1899" t="s">
        <v>21</v>
      </c>
      <c r="K1899" t="s">
        <v>22</v>
      </c>
      <c r="L1899" t="s">
        <v>23</v>
      </c>
      <c r="M1899" t="s">
        <v>24</v>
      </c>
      <c r="N1899" t="s">
        <v>24</v>
      </c>
      <c r="O1899" t="s">
        <v>25</v>
      </c>
      <c r="P1899" s="8" t="s">
        <v>2444</v>
      </c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11"/>
      <c r="AG1899" s="11"/>
      <c r="AH1899" s="11"/>
      <c r="AI1899" s="11"/>
      <c r="AJ1899" s="11"/>
      <c r="AK1899" s="11"/>
      <c r="AL1899" s="11"/>
      <c r="AM1899" s="11"/>
      <c r="AN1899" s="11"/>
      <c r="AO1899" s="11"/>
      <c r="AP1899" s="11"/>
      <c r="AQ1899" s="11"/>
      <c r="AR1899" s="11"/>
      <c r="AS1899" s="11"/>
      <c r="AT1899" s="11"/>
      <c r="AU1899" s="11"/>
      <c r="AV1899" s="11"/>
      <c r="AW1899" s="11"/>
      <c r="AX1899" s="11"/>
      <c r="AY1899" s="11"/>
    </row>
    <row r="1900" spans="1:51" hidden="1" x14ac:dyDescent="0.2">
      <c r="A1900" s="6" t="s">
        <v>17</v>
      </c>
      <c r="B1900" t="s">
        <v>244</v>
      </c>
      <c r="C1900" t="s">
        <v>245</v>
      </c>
      <c r="D1900" t="s">
        <v>2445</v>
      </c>
      <c r="E1900" s="2">
        <v>1316</v>
      </c>
      <c r="F1900" s="3">
        <f t="shared" si="166"/>
        <v>45875</v>
      </c>
      <c r="G1900" s="3">
        <f t="shared" si="166"/>
        <v>45875</v>
      </c>
      <c r="H1900">
        <v>2599284019</v>
      </c>
      <c r="I1900" t="s">
        <v>21</v>
      </c>
      <c r="K1900" t="s">
        <v>22</v>
      </c>
      <c r="L1900" t="s">
        <v>23</v>
      </c>
      <c r="M1900" t="s">
        <v>24</v>
      </c>
      <c r="N1900" t="s">
        <v>24</v>
      </c>
      <c r="O1900" t="s">
        <v>25</v>
      </c>
      <c r="P1900" s="8" t="s">
        <v>2446</v>
      </c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1"/>
      <c r="AF1900" s="11"/>
      <c r="AG1900" s="11"/>
      <c r="AH1900" s="11"/>
      <c r="AI1900" s="11"/>
      <c r="AJ1900" s="11"/>
      <c r="AK1900" s="11"/>
      <c r="AL1900" s="11"/>
      <c r="AM1900" s="11"/>
      <c r="AN1900" s="11"/>
      <c r="AO1900" s="11"/>
      <c r="AP1900" s="11"/>
      <c r="AQ1900" s="11"/>
      <c r="AR1900" s="11"/>
      <c r="AS1900" s="11"/>
      <c r="AT1900" s="11"/>
      <c r="AU1900" s="11"/>
      <c r="AV1900" s="11"/>
      <c r="AW1900" s="11"/>
      <c r="AX1900" s="11"/>
      <c r="AY1900" s="11"/>
    </row>
    <row r="1901" spans="1:51" hidden="1" x14ac:dyDescent="0.2">
      <c r="A1901" s="6" t="s">
        <v>17</v>
      </c>
      <c r="B1901" t="s">
        <v>825</v>
      </c>
      <c r="C1901" t="s">
        <v>826</v>
      </c>
      <c r="D1901" t="s">
        <v>2447</v>
      </c>
      <c r="E1901" s="2">
        <v>1192.1099999999999</v>
      </c>
      <c r="F1901" s="3">
        <f t="shared" si="166"/>
        <v>45875</v>
      </c>
      <c r="G1901" s="3">
        <f t="shared" si="166"/>
        <v>45875</v>
      </c>
      <c r="H1901">
        <v>2599284020</v>
      </c>
      <c r="I1901" t="s">
        <v>21</v>
      </c>
      <c r="K1901" t="s">
        <v>22</v>
      </c>
      <c r="L1901" t="s">
        <v>23</v>
      </c>
      <c r="M1901" t="s">
        <v>24</v>
      </c>
      <c r="N1901" t="s">
        <v>24</v>
      </c>
      <c r="O1901" t="s">
        <v>25</v>
      </c>
      <c r="P1901" s="8" t="s">
        <v>2448</v>
      </c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11"/>
      <c r="AG1901" s="11"/>
      <c r="AH1901" s="11"/>
      <c r="AI1901" s="11"/>
      <c r="AJ1901" s="11"/>
      <c r="AK1901" s="11"/>
      <c r="AL1901" s="11"/>
      <c r="AM1901" s="11"/>
      <c r="AN1901" s="11"/>
      <c r="AO1901" s="11"/>
      <c r="AP1901" s="11"/>
      <c r="AQ1901" s="11"/>
      <c r="AR1901" s="11"/>
      <c r="AS1901" s="11"/>
      <c r="AT1901" s="11"/>
      <c r="AU1901" s="11"/>
      <c r="AV1901" s="11"/>
      <c r="AW1901" s="11"/>
      <c r="AX1901" s="11"/>
      <c r="AY1901" s="11"/>
    </row>
    <row r="1902" spans="1:51" hidden="1" x14ac:dyDescent="0.2">
      <c r="A1902" s="6" t="s">
        <v>17</v>
      </c>
      <c r="B1902" t="s">
        <v>18</v>
      </c>
      <c r="C1902" t="s">
        <v>19</v>
      </c>
      <c r="D1902" t="s">
        <v>2449</v>
      </c>
      <c r="E1902" s="2">
        <v>68.040000000000006</v>
      </c>
      <c r="F1902" s="3">
        <f t="shared" si="166"/>
        <v>45875</v>
      </c>
      <c r="G1902" s="3">
        <f t="shared" si="166"/>
        <v>45875</v>
      </c>
      <c r="H1902">
        <v>2599284021</v>
      </c>
      <c r="I1902" t="s">
        <v>21</v>
      </c>
      <c r="K1902" t="s">
        <v>22</v>
      </c>
      <c r="L1902" t="s">
        <v>23</v>
      </c>
      <c r="M1902" t="s">
        <v>24</v>
      </c>
      <c r="N1902" t="s">
        <v>24</v>
      </c>
      <c r="O1902" t="s">
        <v>25</v>
      </c>
      <c r="P1902" s="8" t="s">
        <v>2450</v>
      </c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1"/>
      <c r="AF1902" s="11"/>
      <c r="AG1902" s="11"/>
      <c r="AH1902" s="11"/>
      <c r="AI1902" s="11"/>
      <c r="AJ1902" s="11"/>
      <c r="AK1902" s="11"/>
      <c r="AL1902" s="11"/>
      <c r="AM1902" s="11"/>
      <c r="AN1902" s="11"/>
      <c r="AO1902" s="11"/>
      <c r="AP1902" s="11"/>
      <c r="AQ1902" s="11"/>
      <c r="AR1902" s="11"/>
      <c r="AS1902" s="11"/>
      <c r="AT1902" s="11"/>
      <c r="AU1902" s="11"/>
      <c r="AV1902" s="11"/>
      <c r="AW1902" s="11"/>
      <c r="AX1902" s="11"/>
      <c r="AY1902" s="11"/>
    </row>
    <row r="1903" spans="1:51" hidden="1" x14ac:dyDescent="0.2">
      <c r="A1903" s="6" t="s">
        <v>17</v>
      </c>
      <c r="B1903" t="s">
        <v>244</v>
      </c>
      <c r="C1903" t="s">
        <v>245</v>
      </c>
      <c r="D1903" t="s">
        <v>2451</v>
      </c>
      <c r="E1903" s="2">
        <v>1049.8</v>
      </c>
      <c r="F1903" s="3">
        <f t="shared" si="166"/>
        <v>45875</v>
      </c>
      <c r="G1903" s="3">
        <f t="shared" si="166"/>
        <v>45875</v>
      </c>
      <c r="H1903">
        <v>2599284022</v>
      </c>
      <c r="I1903" t="s">
        <v>21</v>
      </c>
      <c r="K1903" t="s">
        <v>22</v>
      </c>
      <c r="L1903" t="s">
        <v>23</v>
      </c>
      <c r="M1903" t="s">
        <v>24</v>
      </c>
      <c r="N1903" t="s">
        <v>24</v>
      </c>
      <c r="O1903" t="s">
        <v>25</v>
      </c>
      <c r="P1903" s="8" t="s">
        <v>2452</v>
      </c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1"/>
      <c r="AF1903" s="11"/>
      <c r="AG1903" s="11"/>
      <c r="AH1903" s="11"/>
      <c r="AI1903" s="11"/>
      <c r="AJ1903" s="11"/>
      <c r="AK1903" s="11"/>
      <c r="AL1903" s="11"/>
      <c r="AM1903" s="11"/>
      <c r="AN1903" s="11"/>
      <c r="AO1903" s="11"/>
      <c r="AP1903" s="11"/>
      <c r="AQ1903" s="11"/>
      <c r="AR1903" s="11"/>
      <c r="AS1903" s="11"/>
      <c r="AT1903" s="11"/>
      <c r="AU1903" s="11"/>
      <c r="AV1903" s="11"/>
      <c r="AW1903" s="11"/>
      <c r="AX1903" s="11"/>
      <c r="AY1903" s="11"/>
    </row>
    <row r="1904" spans="1:51" hidden="1" x14ac:dyDescent="0.2">
      <c r="A1904" s="6" t="s">
        <v>17</v>
      </c>
      <c r="B1904" t="s">
        <v>42</v>
      </c>
      <c r="C1904" t="s">
        <v>43</v>
      </c>
      <c r="D1904" t="s">
        <v>44</v>
      </c>
      <c r="E1904" s="2">
        <v>500</v>
      </c>
      <c r="F1904" s="3">
        <f>DATE(2025,8,7)</f>
        <v>45876</v>
      </c>
      <c r="G1904" s="3">
        <f>DATE(2025,8,7)</f>
        <v>45876</v>
      </c>
      <c r="H1904">
        <v>2599284023</v>
      </c>
      <c r="I1904" t="s">
        <v>21</v>
      </c>
      <c r="K1904" t="s">
        <v>22</v>
      </c>
      <c r="L1904" t="s">
        <v>23</v>
      </c>
      <c r="M1904" t="s">
        <v>24</v>
      </c>
      <c r="N1904" t="s">
        <v>24</v>
      </c>
      <c r="O1904" t="s">
        <v>25</v>
      </c>
      <c r="P1904" s="8" t="s">
        <v>2453</v>
      </c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11"/>
      <c r="AG1904" s="11"/>
      <c r="AH1904" s="11"/>
      <c r="AI1904" s="11"/>
      <c r="AJ1904" s="11"/>
      <c r="AK1904" s="11"/>
      <c r="AL1904" s="11"/>
      <c r="AM1904" s="11"/>
      <c r="AN1904" s="11"/>
      <c r="AO1904" s="11"/>
      <c r="AP1904" s="11"/>
      <c r="AQ1904" s="11"/>
      <c r="AR1904" s="11"/>
      <c r="AS1904" s="11"/>
      <c r="AT1904" s="11"/>
      <c r="AU1904" s="11"/>
      <c r="AV1904" s="11"/>
      <c r="AW1904" s="11"/>
      <c r="AX1904" s="11"/>
      <c r="AY1904" s="11"/>
    </row>
    <row r="1905" spans="1:51" hidden="1" x14ac:dyDescent="0.2">
      <c r="A1905" s="6" t="s">
        <v>17</v>
      </c>
      <c r="B1905" t="s">
        <v>18</v>
      </c>
      <c r="C1905" t="s">
        <v>19</v>
      </c>
      <c r="D1905" t="s">
        <v>2454</v>
      </c>
      <c r="E1905" s="2">
        <v>1050.82</v>
      </c>
      <c r="F1905" s="3">
        <f>DATE(2025,8,5)</f>
        <v>45874</v>
      </c>
      <c r="G1905" s="3">
        <f>DATE(2025,8,5)</f>
        <v>45874</v>
      </c>
      <c r="H1905">
        <v>2599284024</v>
      </c>
      <c r="I1905" t="s">
        <v>21</v>
      </c>
      <c r="K1905" t="s">
        <v>22</v>
      </c>
      <c r="L1905" t="s">
        <v>23</v>
      </c>
      <c r="M1905" t="s">
        <v>24</v>
      </c>
      <c r="N1905" t="s">
        <v>24</v>
      </c>
      <c r="O1905" t="s">
        <v>25</v>
      </c>
      <c r="P1905" s="8" t="s">
        <v>2455</v>
      </c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1"/>
      <c r="AF1905" s="11"/>
      <c r="AG1905" s="11"/>
      <c r="AH1905" s="11"/>
      <c r="AI1905" s="11"/>
      <c r="AJ1905" s="11"/>
      <c r="AK1905" s="11"/>
      <c r="AL1905" s="11"/>
      <c r="AM1905" s="11"/>
      <c r="AN1905" s="11"/>
      <c r="AO1905" s="11"/>
      <c r="AP1905" s="11"/>
      <c r="AQ1905" s="11"/>
      <c r="AR1905" s="11"/>
      <c r="AS1905" s="11"/>
      <c r="AT1905" s="11"/>
      <c r="AU1905" s="11"/>
      <c r="AV1905" s="11"/>
      <c r="AW1905" s="11"/>
      <c r="AX1905" s="11"/>
      <c r="AY1905" s="11"/>
    </row>
    <row r="1906" spans="1:51" hidden="1" x14ac:dyDescent="0.2">
      <c r="A1906" s="6" t="s">
        <v>17</v>
      </c>
      <c r="B1906" t="s">
        <v>589</v>
      </c>
      <c r="C1906" t="s">
        <v>590</v>
      </c>
      <c r="D1906" t="s">
        <v>2456</v>
      </c>
      <c r="E1906" s="2">
        <v>845.6</v>
      </c>
      <c r="F1906" s="3">
        <f>DATE(2025,8,6)</f>
        <v>45875</v>
      </c>
      <c r="G1906" s="3">
        <f>DATE(2025,8,6)</f>
        <v>45875</v>
      </c>
      <c r="H1906">
        <v>2599284025</v>
      </c>
      <c r="I1906" t="s">
        <v>21</v>
      </c>
      <c r="K1906" t="s">
        <v>22</v>
      </c>
      <c r="L1906" t="s">
        <v>23</v>
      </c>
      <c r="M1906" t="s">
        <v>24</v>
      </c>
      <c r="N1906" t="s">
        <v>24</v>
      </c>
      <c r="O1906" t="s">
        <v>25</v>
      </c>
      <c r="P1906" s="8" t="s">
        <v>2457</v>
      </c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/>
      <c r="AB1906" s="11"/>
      <c r="AC1906" s="11"/>
      <c r="AD1906" s="11"/>
      <c r="AE1906" s="11"/>
      <c r="AF1906" s="11"/>
      <c r="AG1906" s="11"/>
      <c r="AH1906" s="11"/>
      <c r="AI1906" s="11"/>
      <c r="AJ1906" s="11"/>
      <c r="AK1906" s="11"/>
      <c r="AL1906" s="11"/>
      <c r="AM1906" s="11"/>
      <c r="AN1906" s="11"/>
      <c r="AO1906" s="11"/>
      <c r="AP1906" s="11"/>
      <c r="AQ1906" s="11"/>
      <c r="AR1906" s="11"/>
      <c r="AS1906" s="11"/>
      <c r="AT1906" s="11"/>
      <c r="AU1906" s="11"/>
      <c r="AV1906" s="11"/>
      <c r="AW1906" s="11"/>
      <c r="AX1906" s="11"/>
      <c r="AY1906" s="11"/>
    </row>
    <row r="1907" spans="1:51" x14ac:dyDescent="0.2">
      <c r="A1907" s="6" t="s">
        <v>17</v>
      </c>
      <c r="B1907" t="s">
        <v>342</v>
      </c>
      <c r="C1907" t="s">
        <v>342</v>
      </c>
      <c r="D1907" t="s">
        <v>2458</v>
      </c>
      <c r="E1907" s="2">
        <v>203.77</v>
      </c>
      <c r="F1907" s="3">
        <f>DATE(2025,8,6)</f>
        <v>45875</v>
      </c>
      <c r="G1907" s="3">
        <f>DATE(2025,8,6)</f>
        <v>45875</v>
      </c>
      <c r="H1907">
        <v>2599284026</v>
      </c>
      <c r="I1907" t="s">
        <v>21</v>
      </c>
      <c r="K1907" t="s">
        <v>22</v>
      </c>
      <c r="L1907" t="s">
        <v>23</v>
      </c>
      <c r="M1907" t="s">
        <v>24</v>
      </c>
      <c r="N1907" t="s">
        <v>24</v>
      </c>
      <c r="O1907" t="s">
        <v>25</v>
      </c>
      <c r="P1907" s="8" t="s">
        <v>2459</v>
      </c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1"/>
      <c r="AF1907" s="11"/>
      <c r="AG1907" s="11"/>
      <c r="AH1907" s="11"/>
      <c r="AI1907" s="11"/>
      <c r="AJ1907" s="11"/>
      <c r="AK1907" s="11"/>
      <c r="AL1907" s="11"/>
      <c r="AM1907" s="11"/>
      <c r="AN1907" s="11"/>
      <c r="AO1907" s="11"/>
      <c r="AP1907" s="11"/>
      <c r="AQ1907" s="11"/>
      <c r="AR1907" s="11"/>
      <c r="AS1907" s="11"/>
      <c r="AT1907" s="11"/>
      <c r="AU1907" s="11"/>
      <c r="AV1907" s="11"/>
      <c r="AW1907" s="11"/>
      <c r="AX1907" s="11"/>
      <c r="AY1907" s="11"/>
    </row>
    <row r="1908" spans="1:51" hidden="1" x14ac:dyDescent="0.2">
      <c r="A1908" s="6"/>
      <c r="E1908" s="2"/>
      <c r="F1908" s="3"/>
      <c r="G1908" s="3"/>
      <c r="P1908" s="8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s="11"/>
      <c r="AR1908" s="11"/>
      <c r="AS1908" s="11"/>
      <c r="AT1908" s="11"/>
      <c r="AU1908" s="11"/>
      <c r="AV1908" s="11"/>
      <c r="AW1908" s="11"/>
      <c r="AX1908" s="11"/>
      <c r="AY1908" s="11"/>
    </row>
    <row r="1909" spans="1:51" hidden="1" x14ac:dyDescent="0.2">
      <c r="A1909" s="6" t="s">
        <v>17</v>
      </c>
      <c r="B1909" t="s">
        <v>18</v>
      </c>
      <c r="C1909" t="s">
        <v>19</v>
      </c>
      <c r="D1909" t="s">
        <v>2460</v>
      </c>
      <c r="E1909" s="2">
        <v>2.0699999999999998</v>
      </c>
      <c r="F1909" s="3">
        <f>DATE(2025,8,6)</f>
        <v>45875</v>
      </c>
      <c r="G1909" s="3">
        <f>DATE(2025,8,6)</f>
        <v>45875</v>
      </c>
      <c r="H1909">
        <v>2599295036</v>
      </c>
      <c r="I1909" t="s">
        <v>192</v>
      </c>
      <c r="K1909" t="s">
        <v>22</v>
      </c>
      <c r="L1909" t="s">
        <v>23</v>
      </c>
      <c r="M1909" t="s">
        <v>24</v>
      </c>
      <c r="N1909" t="s">
        <v>24</v>
      </c>
      <c r="O1909" t="s">
        <v>25</v>
      </c>
      <c r="P1909" s="8" t="s">
        <v>2461</v>
      </c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1"/>
      <c r="AF1909" s="11"/>
      <c r="AG1909" s="11"/>
      <c r="AH1909" s="11"/>
      <c r="AI1909" s="11"/>
      <c r="AJ1909" s="11"/>
      <c r="AK1909" s="11"/>
      <c r="AL1909" s="11"/>
      <c r="AM1909" s="11"/>
      <c r="AN1909" s="11"/>
      <c r="AO1909" s="11"/>
      <c r="AP1909" s="11"/>
      <c r="AQ1909" s="11"/>
      <c r="AR1909" s="11"/>
      <c r="AS1909" s="11"/>
      <c r="AT1909" s="11"/>
      <c r="AU1909" s="11"/>
      <c r="AV1909" s="11"/>
      <c r="AW1909" s="11"/>
      <c r="AX1909" s="11"/>
      <c r="AY1909" s="11"/>
    </row>
    <row r="1910" spans="1:51" hidden="1" x14ac:dyDescent="0.2">
      <c r="A1910" s="6" t="s">
        <v>17</v>
      </c>
      <c r="B1910" t="s">
        <v>18</v>
      </c>
      <c r="C1910" t="s">
        <v>19</v>
      </c>
      <c r="D1910" t="s">
        <v>2462</v>
      </c>
      <c r="E1910" s="2">
        <v>0.91</v>
      </c>
      <c r="F1910" s="3">
        <f>DATE(2025,8,5)</f>
        <v>45874</v>
      </c>
      <c r="G1910" s="3">
        <f>DATE(2025,8,5)</f>
        <v>45874</v>
      </c>
      <c r="H1910">
        <v>2599295037</v>
      </c>
      <c r="I1910" t="s">
        <v>192</v>
      </c>
      <c r="K1910" t="s">
        <v>22</v>
      </c>
      <c r="L1910" t="s">
        <v>23</v>
      </c>
      <c r="M1910" t="s">
        <v>24</v>
      </c>
      <c r="N1910" t="s">
        <v>24</v>
      </c>
      <c r="O1910" t="s">
        <v>25</v>
      </c>
      <c r="P1910" s="8" t="s">
        <v>2463</v>
      </c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11"/>
      <c r="AG1910" s="11"/>
      <c r="AH1910" s="11"/>
      <c r="AI1910" s="11"/>
      <c r="AJ1910" s="11"/>
      <c r="AK1910" s="11"/>
      <c r="AL1910" s="11"/>
      <c r="AM1910" s="11"/>
      <c r="AN1910" s="11"/>
      <c r="AO1910" s="11"/>
      <c r="AP1910" s="11"/>
      <c r="AQ1910" s="11"/>
      <c r="AR1910" s="11"/>
      <c r="AS1910" s="11"/>
      <c r="AT1910" s="11"/>
      <c r="AU1910" s="11"/>
      <c r="AV1910" s="11"/>
      <c r="AW1910" s="11"/>
      <c r="AX1910" s="11"/>
      <c r="AY1910" s="11"/>
    </row>
    <row r="1911" spans="1:51" hidden="1" x14ac:dyDescent="0.2">
      <c r="A1911" s="6"/>
      <c r="E1911" s="2"/>
      <c r="F1911" s="3"/>
      <c r="G1911" s="3"/>
      <c r="P1911" s="8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  <c r="AB1911" s="11"/>
      <c r="AC1911" s="11"/>
      <c r="AD1911" s="11"/>
      <c r="AE1911" s="11"/>
      <c r="AF1911" s="11"/>
      <c r="AG1911" s="11"/>
      <c r="AH1911" s="11"/>
      <c r="AI1911" s="11"/>
      <c r="AJ1911" s="11"/>
      <c r="AK1911" s="11"/>
      <c r="AL1911" s="11"/>
      <c r="AM1911" s="11"/>
      <c r="AN1911" s="11"/>
      <c r="AO1911" s="11"/>
      <c r="AP1911" s="11"/>
      <c r="AQ1911" s="11"/>
      <c r="AR1911" s="11"/>
      <c r="AS1911" s="11"/>
      <c r="AT1911" s="11"/>
      <c r="AU1911" s="11"/>
      <c r="AV1911" s="11"/>
      <c r="AW1911" s="11"/>
      <c r="AX1911" s="11"/>
      <c r="AY1911" s="11"/>
    </row>
    <row r="1912" spans="1:51" hidden="1" x14ac:dyDescent="0.2">
      <c r="A1912" s="6"/>
      <c r="E1912" s="2"/>
      <c r="F1912" s="3"/>
      <c r="G1912" s="3"/>
      <c r="P1912" s="8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1"/>
      <c r="AF1912" s="11"/>
      <c r="AG1912" s="11"/>
      <c r="AH1912" s="11"/>
      <c r="AI1912" s="11"/>
      <c r="AJ1912" s="11"/>
      <c r="AK1912" s="11"/>
      <c r="AL1912" s="11"/>
      <c r="AM1912" s="11"/>
      <c r="AN1912" s="11"/>
      <c r="AO1912" s="11"/>
      <c r="AP1912" s="11"/>
      <c r="AQ1912" s="11"/>
      <c r="AR1912" s="11"/>
      <c r="AS1912" s="11"/>
      <c r="AT1912" s="11"/>
      <c r="AU1912" s="11"/>
      <c r="AV1912" s="11"/>
      <c r="AW1912" s="11"/>
      <c r="AX1912" s="11"/>
      <c r="AY1912" s="11"/>
    </row>
    <row r="1913" spans="1:51" hidden="1" x14ac:dyDescent="0.2">
      <c r="A1913" s="6"/>
      <c r="E1913" s="2"/>
      <c r="F1913" s="3"/>
      <c r="G1913" s="3"/>
      <c r="P1913" s="8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11"/>
      <c r="AG1913" s="11"/>
      <c r="AH1913" s="11"/>
      <c r="AI1913" s="11"/>
      <c r="AJ1913" s="11"/>
      <c r="AK1913" s="11"/>
      <c r="AL1913" s="11"/>
      <c r="AM1913" s="11"/>
      <c r="AN1913" s="11"/>
      <c r="AO1913" s="11"/>
      <c r="AP1913" s="11"/>
      <c r="AQ1913" s="11"/>
      <c r="AR1913" s="11"/>
      <c r="AS1913" s="11"/>
      <c r="AT1913" s="11"/>
      <c r="AU1913" s="11"/>
      <c r="AV1913" s="11"/>
      <c r="AW1913" s="11"/>
      <c r="AX1913" s="11"/>
      <c r="AY1913" s="11"/>
    </row>
    <row r="1914" spans="1:51" hidden="1" x14ac:dyDescent="0.2">
      <c r="A1914" s="6"/>
      <c r="E1914" s="2"/>
      <c r="F1914" s="3"/>
      <c r="G1914" s="3"/>
      <c r="P1914" s="8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1"/>
      <c r="AF1914" s="11"/>
      <c r="AG1914" s="11"/>
      <c r="AH1914" s="11"/>
      <c r="AI1914" s="11"/>
      <c r="AJ1914" s="11"/>
      <c r="AK1914" s="11"/>
      <c r="AL1914" s="11"/>
      <c r="AM1914" s="11"/>
      <c r="AN1914" s="11"/>
      <c r="AO1914" s="11"/>
      <c r="AP1914" s="11"/>
      <c r="AQ1914" s="11"/>
      <c r="AR1914" s="11"/>
      <c r="AS1914" s="11"/>
      <c r="AT1914" s="11"/>
      <c r="AU1914" s="11"/>
      <c r="AV1914" s="11"/>
      <c r="AW1914" s="11"/>
      <c r="AX1914" s="11"/>
      <c r="AY1914" s="11"/>
    </row>
    <row r="1915" spans="1:51" hidden="1" x14ac:dyDescent="0.2">
      <c r="A1915" s="6"/>
      <c r="E1915" s="2"/>
      <c r="F1915" s="3"/>
      <c r="G1915" s="3"/>
      <c r="P1915" s="8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1"/>
      <c r="AF1915" s="11"/>
      <c r="AG1915" s="11"/>
      <c r="AH1915" s="11"/>
      <c r="AI1915" s="11"/>
      <c r="AJ1915" s="11"/>
      <c r="AK1915" s="11"/>
      <c r="AL1915" s="11"/>
      <c r="AM1915" s="11"/>
      <c r="AN1915" s="11"/>
      <c r="AO1915" s="11"/>
      <c r="AP1915" s="11"/>
      <c r="AQ1915" s="11"/>
      <c r="AR1915" s="11"/>
      <c r="AS1915" s="11"/>
      <c r="AT1915" s="11"/>
      <c r="AU1915" s="11"/>
      <c r="AV1915" s="11"/>
      <c r="AW1915" s="11"/>
      <c r="AX1915" s="11"/>
      <c r="AY1915" s="11"/>
    </row>
    <row r="1916" spans="1:51" hidden="1" x14ac:dyDescent="0.2">
      <c r="A1916" s="6" t="s">
        <v>17</v>
      </c>
      <c r="B1916" t="s">
        <v>244</v>
      </c>
      <c r="C1916" t="s">
        <v>245</v>
      </c>
      <c r="D1916" t="s">
        <v>2464</v>
      </c>
      <c r="E1916" s="2">
        <v>18.600000000000001</v>
      </c>
      <c r="F1916" s="3">
        <f>DATE(2025,8,5)</f>
        <v>45874</v>
      </c>
      <c r="G1916" s="3">
        <f>DATE(2025,8,5)</f>
        <v>45874</v>
      </c>
      <c r="H1916">
        <v>2599295043</v>
      </c>
      <c r="I1916" t="s">
        <v>192</v>
      </c>
      <c r="K1916" t="s">
        <v>22</v>
      </c>
      <c r="L1916" t="s">
        <v>23</v>
      </c>
      <c r="M1916" t="s">
        <v>24</v>
      </c>
      <c r="N1916" t="s">
        <v>24</v>
      </c>
      <c r="O1916" t="s">
        <v>25</v>
      </c>
      <c r="P1916" s="8" t="s">
        <v>2465</v>
      </c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11"/>
      <c r="AG1916" s="11"/>
      <c r="AH1916" s="11"/>
      <c r="AI1916" s="11"/>
      <c r="AJ1916" s="11"/>
      <c r="AK1916" s="11"/>
      <c r="AL1916" s="11"/>
      <c r="AM1916" s="11"/>
      <c r="AN1916" s="11"/>
      <c r="AO1916" s="11"/>
      <c r="AP1916" s="11"/>
      <c r="AQ1916" s="11"/>
      <c r="AR1916" s="11"/>
      <c r="AS1916" s="11"/>
      <c r="AT1916" s="11"/>
      <c r="AU1916" s="11"/>
      <c r="AV1916" s="11"/>
      <c r="AW1916" s="11"/>
      <c r="AX1916" s="11"/>
      <c r="AY1916" s="11"/>
    </row>
    <row r="1917" spans="1:51" x14ac:dyDescent="0.2">
      <c r="A1917" s="6" t="s">
        <v>17</v>
      </c>
      <c r="B1917" t="s">
        <v>342</v>
      </c>
      <c r="C1917" t="s">
        <v>342</v>
      </c>
      <c r="D1917" t="s">
        <v>2466</v>
      </c>
      <c r="E1917" s="2">
        <v>14</v>
      </c>
      <c r="F1917" s="3">
        <f t="shared" ref="F1917:G1919" si="167">DATE(2025,8,6)</f>
        <v>45875</v>
      </c>
      <c r="G1917" s="3">
        <f t="shared" si="167"/>
        <v>45875</v>
      </c>
      <c r="H1917">
        <v>2599295044</v>
      </c>
      <c r="I1917" t="s">
        <v>192</v>
      </c>
      <c r="K1917" t="s">
        <v>22</v>
      </c>
      <c r="L1917" t="s">
        <v>23</v>
      </c>
      <c r="M1917" t="s">
        <v>24</v>
      </c>
      <c r="N1917" t="s">
        <v>24</v>
      </c>
      <c r="O1917" t="s">
        <v>25</v>
      </c>
      <c r="P1917" s="8" t="s">
        <v>2467</v>
      </c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1"/>
      <c r="AF1917" s="11"/>
      <c r="AG1917" s="11"/>
      <c r="AH1917" s="11"/>
      <c r="AI1917" s="11"/>
      <c r="AJ1917" s="11"/>
      <c r="AK1917" s="11"/>
      <c r="AL1917" s="11"/>
      <c r="AM1917" s="11"/>
      <c r="AN1917" s="11"/>
      <c r="AO1917" s="11"/>
      <c r="AP1917" s="11"/>
      <c r="AQ1917" s="11"/>
      <c r="AR1917" s="11"/>
      <c r="AS1917" s="11"/>
      <c r="AT1917" s="11"/>
      <c r="AU1917" s="11"/>
      <c r="AV1917" s="11"/>
      <c r="AW1917" s="11"/>
      <c r="AX1917" s="11"/>
      <c r="AY1917" s="11"/>
    </row>
    <row r="1918" spans="1:51" x14ac:dyDescent="0.2">
      <c r="A1918" s="6" t="s">
        <v>17</v>
      </c>
      <c r="B1918" t="s">
        <v>342</v>
      </c>
      <c r="C1918" t="s">
        <v>342</v>
      </c>
      <c r="D1918" t="s">
        <v>2468</v>
      </c>
      <c r="E1918" s="2">
        <v>26.38</v>
      </c>
      <c r="F1918" s="3">
        <f t="shared" si="167"/>
        <v>45875</v>
      </c>
      <c r="G1918" s="3">
        <f t="shared" si="167"/>
        <v>45875</v>
      </c>
      <c r="H1918">
        <v>2607248190</v>
      </c>
      <c r="I1918" t="s">
        <v>158</v>
      </c>
      <c r="K1918" t="s">
        <v>22</v>
      </c>
      <c r="L1918" t="s">
        <v>23</v>
      </c>
      <c r="M1918" t="s">
        <v>24</v>
      </c>
      <c r="N1918" t="s">
        <v>24</v>
      </c>
      <c r="O1918" t="s">
        <v>25</v>
      </c>
      <c r="P1918" s="8" t="s">
        <v>2469</v>
      </c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1"/>
      <c r="AF1918" s="11"/>
      <c r="AG1918" s="11"/>
      <c r="AH1918" s="11"/>
      <c r="AI1918" s="11"/>
      <c r="AJ1918" s="11"/>
      <c r="AK1918" s="11"/>
      <c r="AL1918" s="11"/>
      <c r="AM1918" s="11"/>
      <c r="AN1918" s="11"/>
      <c r="AO1918" s="11"/>
      <c r="AP1918" s="11"/>
      <c r="AQ1918" s="11"/>
      <c r="AR1918" s="11"/>
      <c r="AS1918" s="11"/>
      <c r="AT1918" s="11"/>
      <c r="AU1918" s="11"/>
      <c r="AV1918" s="11"/>
      <c r="AW1918" s="11"/>
      <c r="AX1918" s="11"/>
      <c r="AY1918" s="11"/>
    </row>
    <row r="1919" spans="1:51" x14ac:dyDescent="0.2">
      <c r="A1919" s="6" t="s">
        <v>17</v>
      </c>
      <c r="B1919" t="s">
        <v>342</v>
      </c>
      <c r="C1919" t="s">
        <v>342</v>
      </c>
      <c r="D1919" t="s">
        <v>2470</v>
      </c>
      <c r="E1919" s="2">
        <v>19</v>
      </c>
      <c r="F1919" s="3">
        <f t="shared" si="167"/>
        <v>45875</v>
      </c>
      <c r="G1919" s="3">
        <f t="shared" si="167"/>
        <v>45875</v>
      </c>
      <c r="H1919">
        <v>2607248191</v>
      </c>
      <c r="I1919" t="s">
        <v>158</v>
      </c>
      <c r="K1919" t="s">
        <v>22</v>
      </c>
      <c r="L1919" t="s">
        <v>23</v>
      </c>
      <c r="M1919" t="s">
        <v>24</v>
      </c>
      <c r="N1919" t="s">
        <v>24</v>
      </c>
      <c r="O1919" t="s">
        <v>25</v>
      </c>
      <c r="P1919" s="8" t="s">
        <v>2471</v>
      </c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11"/>
      <c r="AG1919" s="11"/>
      <c r="AH1919" s="11"/>
      <c r="AI1919" s="11"/>
      <c r="AJ1919" s="11"/>
      <c r="AK1919" s="11"/>
      <c r="AL1919" s="11"/>
      <c r="AM1919" s="11"/>
      <c r="AN1919" s="11"/>
      <c r="AO1919" s="11"/>
      <c r="AP1919" s="11"/>
      <c r="AQ1919" s="11"/>
      <c r="AR1919" s="11"/>
      <c r="AS1919" s="11"/>
      <c r="AT1919" s="11"/>
      <c r="AU1919" s="11"/>
      <c r="AV1919" s="11"/>
      <c r="AW1919" s="11"/>
      <c r="AX1919" s="11"/>
      <c r="AY1919" s="11"/>
    </row>
    <row r="1920" spans="1:51" hidden="1" x14ac:dyDescent="0.2">
      <c r="A1920" s="6"/>
      <c r="E1920" s="2"/>
      <c r="F1920" s="3"/>
      <c r="G1920" s="3"/>
      <c r="P1920" s="8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1"/>
      <c r="AF1920" s="11"/>
      <c r="AG1920" s="11"/>
      <c r="AH1920" s="11"/>
      <c r="AI1920" s="11"/>
      <c r="AJ1920" s="11"/>
      <c r="AK1920" s="11"/>
      <c r="AL1920" s="11"/>
      <c r="AM1920" s="11"/>
      <c r="AN1920" s="11"/>
      <c r="AO1920" s="11"/>
      <c r="AP1920" s="11"/>
      <c r="AQ1920" s="11"/>
      <c r="AR1920" s="11"/>
      <c r="AS1920" s="11"/>
      <c r="AT1920" s="11"/>
      <c r="AU1920" s="11"/>
      <c r="AV1920" s="11"/>
      <c r="AW1920" s="11"/>
      <c r="AX1920" s="11"/>
      <c r="AY1920" s="11"/>
    </row>
    <row r="1921" spans="1:51" hidden="1" x14ac:dyDescent="0.2">
      <c r="A1921" s="6"/>
      <c r="E1921" s="2"/>
      <c r="F1921" s="3"/>
      <c r="G1921" s="3"/>
      <c r="P1921" s="8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  <c r="AB1921" s="11"/>
      <c r="AC1921" s="11"/>
      <c r="AD1921" s="11"/>
      <c r="AE1921" s="11"/>
      <c r="AF1921" s="11"/>
      <c r="AG1921" s="11"/>
      <c r="AH1921" s="11"/>
      <c r="AI1921" s="11"/>
      <c r="AJ1921" s="11"/>
      <c r="AK1921" s="11"/>
      <c r="AL1921" s="11"/>
      <c r="AM1921" s="11"/>
      <c r="AN1921" s="11"/>
      <c r="AO1921" s="11"/>
      <c r="AP1921" s="11"/>
      <c r="AQ1921" s="11"/>
      <c r="AR1921" s="11"/>
      <c r="AS1921" s="11"/>
      <c r="AT1921" s="11"/>
      <c r="AU1921" s="11"/>
      <c r="AV1921" s="11"/>
      <c r="AW1921" s="11"/>
      <c r="AX1921" s="11"/>
      <c r="AY1921" s="11"/>
    </row>
    <row r="1922" spans="1:51" hidden="1" x14ac:dyDescent="0.2">
      <c r="A1922" s="6"/>
      <c r="E1922" s="2"/>
      <c r="F1922" s="3"/>
      <c r="G1922" s="3"/>
      <c r="P1922" s="8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11"/>
      <c r="AG1922" s="11"/>
      <c r="AH1922" s="11"/>
      <c r="AI1922" s="11"/>
      <c r="AJ1922" s="11"/>
      <c r="AK1922" s="11"/>
      <c r="AL1922" s="11"/>
      <c r="AM1922" s="11"/>
      <c r="AN1922" s="11"/>
      <c r="AO1922" s="11"/>
      <c r="AP1922" s="11"/>
      <c r="AQ1922" s="11"/>
      <c r="AR1922" s="11"/>
      <c r="AS1922" s="11"/>
      <c r="AT1922" s="11"/>
      <c r="AU1922" s="11"/>
      <c r="AV1922" s="11"/>
      <c r="AW1922" s="11"/>
      <c r="AX1922" s="11"/>
      <c r="AY1922" s="11"/>
    </row>
    <row r="1923" spans="1:51" hidden="1" x14ac:dyDescent="0.2">
      <c r="A1923" s="6"/>
      <c r="E1923" s="2"/>
      <c r="F1923" s="3"/>
      <c r="G1923" s="3"/>
      <c r="P1923" s="8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1"/>
      <c r="AF1923" s="11"/>
      <c r="AG1923" s="11"/>
      <c r="AH1923" s="11"/>
      <c r="AI1923" s="11"/>
      <c r="AJ1923" s="11"/>
      <c r="AK1923" s="11"/>
      <c r="AL1923" s="11"/>
      <c r="AM1923" s="11"/>
      <c r="AN1923" s="11"/>
      <c r="AO1923" s="11"/>
      <c r="AP1923" s="11"/>
      <c r="AQ1923" s="11"/>
      <c r="AR1923" s="11"/>
      <c r="AS1923" s="11"/>
      <c r="AT1923" s="11"/>
      <c r="AU1923" s="11"/>
      <c r="AV1923" s="11"/>
      <c r="AW1923" s="11"/>
      <c r="AX1923" s="11"/>
      <c r="AY1923" s="11"/>
    </row>
    <row r="1924" spans="1:51" hidden="1" x14ac:dyDescent="0.2">
      <c r="A1924" s="6"/>
      <c r="E1924" s="2"/>
      <c r="F1924" s="3"/>
      <c r="G1924" s="3"/>
      <c r="P1924" s="8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1"/>
      <c r="AF1924" s="11"/>
      <c r="AG1924" s="11"/>
      <c r="AH1924" s="11"/>
      <c r="AI1924" s="11"/>
      <c r="AJ1924" s="11"/>
      <c r="AK1924" s="11"/>
      <c r="AL1924" s="11"/>
      <c r="AM1924" s="11"/>
      <c r="AN1924" s="11"/>
      <c r="AO1924" s="11"/>
      <c r="AP1924" s="11"/>
      <c r="AQ1924" s="11"/>
      <c r="AR1924" s="11"/>
      <c r="AS1924" s="11"/>
      <c r="AT1924" s="11"/>
      <c r="AU1924" s="11"/>
      <c r="AV1924" s="11"/>
      <c r="AW1924" s="11"/>
      <c r="AX1924" s="11"/>
      <c r="AY1924" s="11"/>
    </row>
    <row r="1925" spans="1:51" hidden="1" x14ac:dyDescent="0.2">
      <c r="A1925" s="6"/>
      <c r="E1925" s="2"/>
      <c r="F1925" s="3"/>
      <c r="G1925" s="3"/>
      <c r="P1925" s="8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11"/>
      <c r="AG1925" s="11"/>
      <c r="AH1925" s="11"/>
      <c r="AI1925" s="11"/>
      <c r="AJ1925" s="11"/>
      <c r="AK1925" s="11"/>
      <c r="AL1925" s="11"/>
      <c r="AM1925" s="11"/>
      <c r="AN1925" s="11"/>
      <c r="AO1925" s="11"/>
      <c r="AP1925" s="11"/>
      <c r="AQ1925" s="11"/>
      <c r="AR1925" s="11"/>
      <c r="AS1925" s="11"/>
      <c r="AT1925" s="11"/>
      <c r="AU1925" s="11"/>
      <c r="AV1925" s="11"/>
      <c r="AW1925" s="11"/>
      <c r="AX1925" s="11"/>
      <c r="AY1925" s="11"/>
    </row>
    <row r="1926" spans="1:51" hidden="1" x14ac:dyDescent="0.2">
      <c r="A1926" s="6"/>
      <c r="E1926" s="2"/>
      <c r="F1926" s="3"/>
      <c r="G1926" s="3"/>
      <c r="P1926" s="8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s="11"/>
      <c r="AR1926" s="11"/>
      <c r="AS1926" s="11"/>
      <c r="AT1926" s="11"/>
      <c r="AU1926" s="11"/>
      <c r="AV1926" s="11"/>
      <c r="AW1926" s="11"/>
      <c r="AX1926" s="11"/>
      <c r="AY1926" s="11"/>
    </row>
    <row r="1927" spans="1:51" hidden="1" x14ac:dyDescent="0.2">
      <c r="A1927" s="6" t="s">
        <v>17</v>
      </c>
      <c r="B1927" t="s">
        <v>589</v>
      </c>
      <c r="C1927" t="s">
        <v>590</v>
      </c>
      <c r="D1927" t="s">
        <v>2472</v>
      </c>
      <c r="E1927" s="2">
        <v>59.31</v>
      </c>
      <c r="F1927" s="3">
        <f t="shared" ref="F1927:G1927" si="168">DATE(2025,8,7)</f>
        <v>45876</v>
      </c>
      <c r="G1927" s="3">
        <f t="shared" si="168"/>
        <v>45876</v>
      </c>
      <c r="H1927">
        <v>2607267908</v>
      </c>
      <c r="I1927" t="s">
        <v>192</v>
      </c>
      <c r="K1927" t="s">
        <v>22</v>
      </c>
      <c r="L1927" t="s">
        <v>23</v>
      </c>
      <c r="M1927" t="s">
        <v>24</v>
      </c>
      <c r="N1927" t="s">
        <v>24</v>
      </c>
      <c r="O1927" t="s">
        <v>25</v>
      </c>
      <c r="P1927" s="8" t="s">
        <v>2473</v>
      </c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1"/>
      <c r="AF1927" s="11"/>
      <c r="AG1927" s="11"/>
      <c r="AH1927" s="11"/>
      <c r="AI1927" s="11"/>
      <c r="AJ1927" s="11"/>
      <c r="AK1927" s="11"/>
      <c r="AL1927" s="11"/>
      <c r="AM1927" s="11"/>
      <c r="AN1927" s="11"/>
      <c r="AO1927" s="11"/>
      <c r="AP1927" s="11"/>
      <c r="AQ1927" s="11"/>
      <c r="AR1927" s="11"/>
      <c r="AS1927" s="11"/>
      <c r="AT1927" s="11"/>
      <c r="AU1927" s="11"/>
      <c r="AV1927" s="11"/>
      <c r="AW1927" s="11"/>
      <c r="AX1927" s="11"/>
      <c r="AY1927" s="11"/>
    </row>
    <row r="1928" spans="1:51" hidden="1" x14ac:dyDescent="0.2">
      <c r="A1928" s="6"/>
      <c r="E1928" s="2"/>
      <c r="F1928" s="3"/>
      <c r="G1928" s="3"/>
      <c r="P1928" s="8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11"/>
      <c r="AG1928" s="11"/>
      <c r="AH1928" s="11"/>
      <c r="AI1928" s="11"/>
      <c r="AJ1928" s="11"/>
      <c r="AK1928" s="11"/>
      <c r="AL1928" s="11"/>
      <c r="AM1928" s="11"/>
      <c r="AN1928" s="11"/>
      <c r="AO1928" s="11"/>
      <c r="AP1928" s="11"/>
      <c r="AQ1928" s="11"/>
      <c r="AR1928" s="11"/>
      <c r="AS1928" s="11"/>
      <c r="AT1928" s="11"/>
      <c r="AU1928" s="11"/>
      <c r="AV1928" s="11"/>
      <c r="AW1928" s="11"/>
      <c r="AX1928" s="11"/>
      <c r="AY1928" s="11"/>
    </row>
    <row r="1929" spans="1:51" hidden="1" x14ac:dyDescent="0.2">
      <c r="A1929" s="6" t="s">
        <v>17</v>
      </c>
      <c r="B1929" t="s">
        <v>173</v>
      </c>
      <c r="C1929" t="s">
        <v>154</v>
      </c>
      <c r="D1929" t="s">
        <v>2474</v>
      </c>
      <c r="E1929" s="2">
        <v>98.77</v>
      </c>
      <c r="F1929" s="3">
        <f>DATE(2025,8,8)</f>
        <v>45877</v>
      </c>
      <c r="G1929" s="3">
        <f>DATE(2025,8,8)</f>
        <v>45877</v>
      </c>
      <c r="H1929">
        <v>2607267910</v>
      </c>
      <c r="I1929" t="s">
        <v>192</v>
      </c>
      <c r="K1929" t="s">
        <v>22</v>
      </c>
      <c r="L1929" t="s">
        <v>23</v>
      </c>
      <c r="M1929" t="s">
        <v>24</v>
      </c>
      <c r="N1929" t="s">
        <v>24</v>
      </c>
      <c r="O1929" t="s">
        <v>25</v>
      </c>
      <c r="P1929" s="8" t="s">
        <v>2475</v>
      </c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1"/>
      <c r="AF1929" s="11"/>
      <c r="AG1929" s="11"/>
      <c r="AH1929" s="11"/>
      <c r="AI1929" s="11"/>
      <c r="AJ1929" s="11"/>
      <c r="AK1929" s="11"/>
      <c r="AL1929" s="11"/>
      <c r="AM1929" s="11"/>
      <c r="AN1929" s="11"/>
      <c r="AO1929" s="11"/>
      <c r="AP1929" s="11"/>
      <c r="AQ1929" s="11"/>
      <c r="AR1929" s="11"/>
      <c r="AS1929" s="11"/>
      <c r="AT1929" s="11"/>
      <c r="AU1929" s="11"/>
      <c r="AV1929" s="11"/>
      <c r="AW1929" s="11"/>
      <c r="AX1929" s="11"/>
      <c r="AY1929" s="11"/>
    </row>
    <row r="1930" spans="1:51" hidden="1" x14ac:dyDescent="0.2">
      <c r="A1930" s="6" t="s">
        <v>17</v>
      </c>
      <c r="B1930" t="s">
        <v>27</v>
      </c>
      <c r="C1930" t="s">
        <v>28</v>
      </c>
      <c r="D1930" t="s">
        <v>2476</v>
      </c>
      <c r="E1930" s="2">
        <v>1156.0999999999999</v>
      </c>
      <c r="F1930" s="3">
        <f>DATE(2025,8,9)</f>
        <v>45878</v>
      </c>
      <c r="G1930" s="3">
        <f>DATE(2025,8,9)</f>
        <v>45878</v>
      </c>
      <c r="H1930">
        <v>2612052238</v>
      </c>
      <c r="I1930" t="s">
        <v>21</v>
      </c>
      <c r="K1930" t="s">
        <v>22</v>
      </c>
      <c r="L1930" t="s">
        <v>23</v>
      </c>
      <c r="M1930" t="s">
        <v>24</v>
      </c>
      <c r="N1930" t="s">
        <v>24</v>
      </c>
      <c r="O1930" t="s">
        <v>25</v>
      </c>
      <c r="P1930" s="8" t="s">
        <v>2477</v>
      </c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1"/>
      <c r="AF1930" s="11"/>
      <c r="AG1930" s="11"/>
      <c r="AH1930" s="11"/>
      <c r="AI1930" s="11"/>
      <c r="AJ1930" s="11"/>
      <c r="AK1930" s="11"/>
      <c r="AL1930" s="11"/>
      <c r="AM1930" s="11"/>
      <c r="AN1930" s="11"/>
      <c r="AO1930" s="11"/>
      <c r="AP1930" s="11"/>
      <c r="AQ1930" s="11"/>
      <c r="AR1930" s="11"/>
      <c r="AS1930" s="11"/>
      <c r="AT1930" s="11"/>
      <c r="AU1930" s="11"/>
      <c r="AV1930" s="11"/>
      <c r="AW1930" s="11"/>
      <c r="AX1930" s="11"/>
      <c r="AY1930" s="11"/>
    </row>
    <row r="1931" spans="1:51" hidden="1" x14ac:dyDescent="0.2">
      <c r="A1931" s="6" t="s">
        <v>17</v>
      </c>
      <c r="B1931" t="s">
        <v>90</v>
      </c>
      <c r="C1931" t="s">
        <v>91</v>
      </c>
      <c r="D1931" t="s">
        <v>2478</v>
      </c>
      <c r="E1931" s="2">
        <v>78.099999999999994</v>
      </c>
      <c r="F1931" s="3">
        <f>DATE(2025,8,8)</f>
        <v>45877</v>
      </c>
      <c r="G1931" s="3">
        <f>DATE(2025,8,8)</f>
        <v>45877</v>
      </c>
      <c r="H1931">
        <v>2612052239</v>
      </c>
      <c r="I1931" t="s">
        <v>21</v>
      </c>
      <c r="K1931" t="s">
        <v>22</v>
      </c>
      <c r="L1931" t="s">
        <v>23</v>
      </c>
      <c r="M1931" t="s">
        <v>24</v>
      </c>
      <c r="N1931" t="s">
        <v>24</v>
      </c>
      <c r="O1931" t="s">
        <v>25</v>
      </c>
      <c r="P1931" s="8" t="s">
        <v>2479</v>
      </c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1"/>
      <c r="AB1931" s="11"/>
      <c r="AC1931" s="11"/>
      <c r="AD1931" s="11"/>
      <c r="AE1931" s="11"/>
      <c r="AF1931" s="11"/>
      <c r="AG1931" s="11"/>
      <c r="AH1931" s="11"/>
      <c r="AI1931" s="11"/>
      <c r="AJ1931" s="11"/>
      <c r="AK1931" s="11"/>
      <c r="AL1931" s="11"/>
      <c r="AM1931" s="11"/>
      <c r="AN1931" s="11"/>
      <c r="AO1931" s="11"/>
      <c r="AP1931" s="11"/>
      <c r="AQ1931" s="11"/>
      <c r="AR1931" s="11"/>
      <c r="AS1931" s="11"/>
      <c r="AT1931" s="11"/>
      <c r="AU1931" s="11"/>
      <c r="AV1931" s="11"/>
      <c r="AW1931" s="11"/>
      <c r="AX1931" s="11"/>
      <c r="AY1931" s="11"/>
    </row>
    <row r="1932" spans="1:51" hidden="1" x14ac:dyDescent="0.2">
      <c r="A1932" s="6"/>
      <c r="E1932" s="2"/>
      <c r="F1932" s="3"/>
      <c r="G1932" s="3"/>
      <c r="P1932" s="8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1"/>
      <c r="AF1932" s="11"/>
      <c r="AG1932" s="11"/>
      <c r="AH1932" s="11"/>
      <c r="AI1932" s="11"/>
      <c r="AJ1932" s="11"/>
      <c r="AK1932" s="11"/>
      <c r="AL1932" s="11"/>
      <c r="AM1932" s="11"/>
      <c r="AN1932" s="11"/>
      <c r="AO1932" s="11"/>
      <c r="AP1932" s="11"/>
      <c r="AQ1932" s="11"/>
      <c r="AR1932" s="11"/>
      <c r="AS1932" s="11"/>
      <c r="AT1932" s="11"/>
      <c r="AU1932" s="11"/>
      <c r="AV1932" s="11"/>
      <c r="AW1932" s="11"/>
      <c r="AX1932" s="11"/>
      <c r="AY1932" s="11"/>
    </row>
    <row r="1933" spans="1:51" hidden="1" x14ac:dyDescent="0.2">
      <c r="A1933" s="6" t="s">
        <v>17</v>
      </c>
      <c r="B1933" t="s">
        <v>27</v>
      </c>
      <c r="C1933" t="s">
        <v>28</v>
      </c>
      <c r="D1933" t="s">
        <v>2480</v>
      </c>
      <c r="E1933" s="2">
        <v>871.08</v>
      </c>
      <c r="F1933" s="3">
        <f>DATE(2025,8,9)</f>
        <v>45878</v>
      </c>
      <c r="G1933" s="3">
        <f>DATE(2025,8,9)</f>
        <v>45878</v>
      </c>
      <c r="H1933">
        <v>2612052241</v>
      </c>
      <c r="I1933" t="s">
        <v>21</v>
      </c>
      <c r="K1933" t="s">
        <v>22</v>
      </c>
      <c r="L1933" t="s">
        <v>23</v>
      </c>
      <c r="M1933" t="s">
        <v>24</v>
      </c>
      <c r="N1933" t="s">
        <v>24</v>
      </c>
      <c r="O1933" t="s">
        <v>25</v>
      </c>
      <c r="P1933" s="8" t="s">
        <v>2481</v>
      </c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1"/>
      <c r="AF1933" s="11"/>
      <c r="AG1933" s="11"/>
      <c r="AH1933" s="11"/>
      <c r="AI1933" s="11"/>
      <c r="AJ1933" s="11"/>
      <c r="AK1933" s="11"/>
      <c r="AL1933" s="11"/>
      <c r="AM1933" s="11"/>
      <c r="AN1933" s="11"/>
      <c r="AO1933" s="11"/>
      <c r="AP1933" s="11"/>
      <c r="AQ1933" s="11"/>
      <c r="AR1933" s="11"/>
      <c r="AS1933" s="11"/>
      <c r="AT1933" s="11"/>
      <c r="AU1933" s="11"/>
      <c r="AV1933" s="11"/>
      <c r="AW1933" s="11"/>
      <c r="AX1933" s="11"/>
      <c r="AY1933" s="11"/>
    </row>
    <row r="1934" spans="1:51" hidden="1" x14ac:dyDescent="0.2">
      <c r="A1934" s="6" t="s">
        <v>17</v>
      </c>
      <c r="B1934" t="s">
        <v>589</v>
      </c>
      <c r="C1934" t="s">
        <v>590</v>
      </c>
      <c r="D1934" t="s">
        <v>2482</v>
      </c>
      <c r="E1934" s="2">
        <v>310.68</v>
      </c>
      <c r="F1934" s="3">
        <f t="shared" ref="F1934:G1946" si="169">DATE(2025,8,8)</f>
        <v>45877</v>
      </c>
      <c r="G1934" s="3">
        <f t="shared" si="169"/>
        <v>45877</v>
      </c>
      <c r="H1934">
        <v>2612052242</v>
      </c>
      <c r="I1934" t="s">
        <v>21</v>
      </c>
      <c r="K1934" t="s">
        <v>22</v>
      </c>
      <c r="L1934" t="s">
        <v>23</v>
      </c>
      <c r="M1934" t="s">
        <v>24</v>
      </c>
      <c r="N1934" t="s">
        <v>24</v>
      </c>
      <c r="O1934" t="s">
        <v>25</v>
      </c>
      <c r="P1934" s="8" t="s">
        <v>2483</v>
      </c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1"/>
      <c r="AF1934" s="11"/>
      <c r="AG1934" s="11"/>
      <c r="AH1934" s="11"/>
      <c r="AI1934" s="11"/>
      <c r="AJ1934" s="11"/>
      <c r="AK1934" s="11"/>
      <c r="AL1934" s="11"/>
      <c r="AM1934" s="11"/>
      <c r="AN1934" s="11"/>
      <c r="AO1934" s="11"/>
      <c r="AP1934" s="11"/>
      <c r="AQ1934" s="11"/>
      <c r="AR1934" s="11"/>
      <c r="AS1934" s="11"/>
      <c r="AT1934" s="11"/>
      <c r="AU1934" s="11"/>
      <c r="AV1934" s="11"/>
      <c r="AW1934" s="11"/>
      <c r="AX1934" s="11"/>
      <c r="AY1934" s="11"/>
    </row>
    <row r="1935" spans="1:51" hidden="1" x14ac:dyDescent="0.2">
      <c r="A1935" s="6"/>
      <c r="E1935" s="2"/>
      <c r="F1935" s="3"/>
      <c r="G1935" s="3"/>
      <c r="P1935" s="8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11"/>
      <c r="AG1935" s="11"/>
      <c r="AH1935" s="11"/>
      <c r="AI1935" s="11"/>
      <c r="AJ1935" s="11"/>
      <c r="AK1935" s="11"/>
      <c r="AL1935" s="11"/>
      <c r="AM1935" s="11"/>
      <c r="AN1935" s="11"/>
      <c r="AO1935" s="11"/>
      <c r="AP1935" s="11"/>
      <c r="AQ1935" s="11"/>
      <c r="AR1935" s="11"/>
      <c r="AS1935" s="11"/>
      <c r="AT1935" s="11"/>
      <c r="AU1935" s="11"/>
      <c r="AV1935" s="11"/>
      <c r="AW1935" s="11"/>
      <c r="AX1935" s="11"/>
      <c r="AY1935" s="11"/>
    </row>
    <row r="1936" spans="1:51" hidden="1" x14ac:dyDescent="0.2">
      <c r="A1936" s="6"/>
      <c r="E1936" s="2"/>
      <c r="F1936" s="3"/>
      <c r="G1936" s="3"/>
      <c r="P1936" s="8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1"/>
      <c r="AB1936" s="11"/>
      <c r="AC1936" s="11"/>
      <c r="AD1936" s="11"/>
      <c r="AE1936" s="11"/>
      <c r="AF1936" s="11"/>
      <c r="AG1936" s="11"/>
      <c r="AH1936" s="11"/>
      <c r="AI1936" s="11"/>
      <c r="AJ1936" s="11"/>
      <c r="AK1936" s="11"/>
      <c r="AL1936" s="11"/>
      <c r="AM1936" s="11"/>
      <c r="AN1936" s="11"/>
      <c r="AO1936" s="11"/>
      <c r="AP1936" s="11"/>
      <c r="AQ1936" s="11"/>
      <c r="AR1936" s="11"/>
      <c r="AS1936" s="11"/>
      <c r="AT1936" s="11"/>
      <c r="AU1936" s="11"/>
      <c r="AV1936" s="11"/>
      <c r="AW1936" s="11"/>
      <c r="AX1936" s="11"/>
      <c r="AY1936" s="11"/>
    </row>
    <row r="1937" spans="1:51" hidden="1" x14ac:dyDescent="0.2">
      <c r="A1937" s="6"/>
      <c r="E1937" s="2"/>
      <c r="F1937" s="3"/>
      <c r="G1937" s="3"/>
      <c r="P1937" s="8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1"/>
      <c r="AF1937" s="11"/>
      <c r="AG1937" s="11"/>
      <c r="AH1937" s="11"/>
      <c r="AI1937" s="11"/>
      <c r="AJ1937" s="11"/>
      <c r="AK1937" s="11"/>
      <c r="AL1937" s="11"/>
      <c r="AM1937" s="11"/>
      <c r="AN1937" s="11"/>
      <c r="AO1937" s="11"/>
      <c r="AP1937" s="11"/>
      <c r="AQ1937" s="11"/>
      <c r="AR1937" s="11"/>
      <c r="AS1937" s="11"/>
      <c r="AT1937" s="11"/>
      <c r="AU1937" s="11"/>
      <c r="AV1937" s="11"/>
      <c r="AW1937" s="11"/>
      <c r="AX1937" s="11"/>
      <c r="AY1937" s="11"/>
    </row>
    <row r="1938" spans="1:51" hidden="1" x14ac:dyDescent="0.2">
      <c r="A1938" s="6" t="s">
        <v>17</v>
      </c>
      <c r="B1938" t="s">
        <v>155</v>
      </c>
      <c r="C1938" t="s">
        <v>156</v>
      </c>
      <c r="D1938" t="s">
        <v>2484</v>
      </c>
      <c r="E1938" s="2">
        <v>6974.17</v>
      </c>
      <c r="F1938" s="3">
        <f t="shared" si="169"/>
        <v>45877</v>
      </c>
      <c r="G1938" s="3">
        <f t="shared" si="169"/>
        <v>45877</v>
      </c>
      <c r="H1938">
        <v>2612052246</v>
      </c>
      <c r="I1938" t="s">
        <v>21</v>
      </c>
      <c r="K1938" t="s">
        <v>22</v>
      </c>
      <c r="L1938" t="s">
        <v>23</v>
      </c>
      <c r="M1938" t="s">
        <v>24</v>
      </c>
      <c r="N1938" t="s">
        <v>24</v>
      </c>
      <c r="O1938" t="s">
        <v>25</v>
      </c>
      <c r="P1938" s="8" t="s">
        <v>2485</v>
      </c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1"/>
      <c r="AF1938" s="11"/>
      <c r="AG1938" s="11"/>
      <c r="AH1938" s="11"/>
      <c r="AI1938" s="11"/>
      <c r="AJ1938" s="11"/>
      <c r="AK1938" s="11"/>
      <c r="AL1938" s="11"/>
      <c r="AM1938" s="11"/>
      <c r="AN1938" s="11"/>
      <c r="AO1938" s="11"/>
      <c r="AP1938" s="11"/>
      <c r="AQ1938" s="11"/>
      <c r="AR1938" s="11"/>
      <c r="AS1938" s="11"/>
      <c r="AT1938" s="11"/>
      <c r="AU1938" s="11"/>
      <c r="AV1938" s="11"/>
      <c r="AW1938" s="11"/>
      <c r="AX1938" s="11"/>
      <c r="AY1938" s="11"/>
    </row>
    <row r="1939" spans="1:51" hidden="1" x14ac:dyDescent="0.2">
      <c r="A1939" s="6"/>
      <c r="E1939" s="2"/>
      <c r="F1939" s="3"/>
      <c r="G1939" s="3"/>
      <c r="P1939" s="8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1"/>
      <c r="AF1939" s="11"/>
      <c r="AG1939" s="11"/>
      <c r="AH1939" s="11"/>
      <c r="AI1939" s="11"/>
      <c r="AJ1939" s="11"/>
      <c r="AK1939" s="11"/>
      <c r="AL1939" s="11"/>
      <c r="AM1939" s="11"/>
      <c r="AN1939" s="11"/>
      <c r="AO1939" s="11"/>
      <c r="AP1939" s="11"/>
      <c r="AQ1939" s="11"/>
      <c r="AR1939" s="11"/>
      <c r="AS1939" s="11"/>
      <c r="AT1939" s="11"/>
      <c r="AU1939" s="11"/>
      <c r="AV1939" s="11"/>
      <c r="AW1939" s="11"/>
      <c r="AX1939" s="11"/>
      <c r="AY1939" s="11"/>
    </row>
    <row r="1940" spans="1:51" hidden="1" x14ac:dyDescent="0.2">
      <c r="A1940" s="6" t="s">
        <v>17</v>
      </c>
      <c r="B1940" t="s">
        <v>18</v>
      </c>
      <c r="C1940" t="s">
        <v>19</v>
      </c>
      <c r="D1940" t="s">
        <v>2486</v>
      </c>
      <c r="E1940" s="2">
        <v>48</v>
      </c>
      <c r="F1940" s="3">
        <f t="shared" si="169"/>
        <v>45877</v>
      </c>
      <c r="G1940" s="3">
        <f t="shared" si="169"/>
        <v>45877</v>
      </c>
      <c r="H1940">
        <v>2612055045</v>
      </c>
      <c r="I1940" t="s">
        <v>192</v>
      </c>
      <c r="K1940" t="s">
        <v>22</v>
      </c>
      <c r="L1940" t="s">
        <v>23</v>
      </c>
      <c r="M1940" t="s">
        <v>24</v>
      </c>
      <c r="N1940" t="s">
        <v>24</v>
      </c>
      <c r="O1940" t="s">
        <v>25</v>
      </c>
      <c r="P1940" s="8" t="s">
        <v>2487</v>
      </c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11"/>
      <c r="AG1940" s="11"/>
      <c r="AH1940" s="11"/>
      <c r="AI1940" s="11"/>
      <c r="AJ1940" s="11"/>
      <c r="AK1940" s="11"/>
      <c r="AL1940" s="11"/>
      <c r="AM1940" s="11"/>
      <c r="AN1940" s="11"/>
      <c r="AO1940" s="11"/>
      <c r="AP1940" s="11"/>
      <c r="AQ1940" s="11"/>
      <c r="AR1940" s="11"/>
      <c r="AS1940" s="11"/>
      <c r="AT1940" s="11"/>
      <c r="AU1940" s="11"/>
      <c r="AV1940" s="11"/>
      <c r="AW1940" s="11"/>
      <c r="AX1940" s="11"/>
      <c r="AY1940" s="11"/>
    </row>
    <row r="1941" spans="1:51" hidden="1" x14ac:dyDescent="0.2">
      <c r="A1941" s="6"/>
      <c r="E1941" s="2"/>
      <c r="F1941" s="3"/>
      <c r="G1941" s="3"/>
      <c r="P1941" s="8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11"/>
      <c r="AG1941" s="11"/>
      <c r="AH1941" s="11"/>
      <c r="AI1941" s="11"/>
      <c r="AJ1941" s="11"/>
      <c r="AK1941" s="11"/>
      <c r="AL1941" s="11"/>
      <c r="AM1941" s="11"/>
      <c r="AN1941" s="11"/>
      <c r="AO1941" s="11"/>
      <c r="AP1941" s="11"/>
      <c r="AQ1941" s="11"/>
      <c r="AR1941" s="11"/>
      <c r="AS1941" s="11"/>
      <c r="AT1941" s="11"/>
      <c r="AU1941" s="11"/>
      <c r="AV1941" s="11"/>
      <c r="AW1941" s="11"/>
      <c r="AX1941" s="11"/>
      <c r="AY1941" s="11"/>
    </row>
    <row r="1942" spans="1:51" hidden="1" x14ac:dyDescent="0.2">
      <c r="A1942" s="6" t="s">
        <v>17</v>
      </c>
      <c r="B1942" t="s">
        <v>18</v>
      </c>
      <c r="C1942" t="s">
        <v>19</v>
      </c>
      <c r="D1942" t="s">
        <v>2486</v>
      </c>
      <c r="E1942" s="2">
        <v>36</v>
      </c>
      <c r="F1942" s="3">
        <f t="shared" si="169"/>
        <v>45877</v>
      </c>
      <c r="G1942" s="3">
        <f t="shared" si="169"/>
        <v>45877</v>
      </c>
      <c r="H1942">
        <v>2612055047</v>
      </c>
      <c r="I1942" t="s">
        <v>192</v>
      </c>
      <c r="K1942" t="s">
        <v>22</v>
      </c>
      <c r="L1942" t="s">
        <v>23</v>
      </c>
      <c r="M1942" t="s">
        <v>24</v>
      </c>
      <c r="N1942" t="s">
        <v>24</v>
      </c>
      <c r="O1942" t="s">
        <v>25</v>
      </c>
      <c r="P1942" s="8" t="s">
        <v>2488</v>
      </c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1"/>
      <c r="AF1942" s="11"/>
      <c r="AG1942" s="11"/>
      <c r="AH1942" s="11"/>
      <c r="AI1942" s="11"/>
      <c r="AJ1942" s="11"/>
      <c r="AK1942" s="11"/>
      <c r="AL1942" s="11"/>
      <c r="AM1942" s="11"/>
      <c r="AN1942" s="11"/>
      <c r="AO1942" s="11"/>
      <c r="AP1942" s="11"/>
      <c r="AQ1942" s="11"/>
      <c r="AR1942" s="11"/>
      <c r="AS1942" s="11"/>
      <c r="AT1942" s="11"/>
      <c r="AU1942" s="11"/>
      <c r="AV1942" s="11"/>
      <c r="AW1942" s="11"/>
      <c r="AX1942" s="11"/>
      <c r="AY1942" s="11"/>
    </row>
    <row r="1943" spans="1:51" hidden="1" x14ac:dyDescent="0.2">
      <c r="A1943" s="6"/>
      <c r="E1943" s="2"/>
      <c r="F1943" s="3"/>
      <c r="G1943" s="3"/>
      <c r="P1943" s="8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11"/>
      <c r="AG1943" s="11"/>
      <c r="AH1943" s="11"/>
      <c r="AI1943" s="11"/>
      <c r="AJ1943" s="11"/>
      <c r="AK1943" s="11"/>
      <c r="AL1943" s="11"/>
      <c r="AM1943" s="11"/>
      <c r="AN1943" s="11"/>
      <c r="AO1943" s="11"/>
      <c r="AP1943" s="11"/>
      <c r="AQ1943" s="11"/>
      <c r="AR1943" s="11"/>
      <c r="AS1943" s="11"/>
      <c r="AT1943" s="11"/>
      <c r="AU1943" s="11"/>
      <c r="AV1943" s="11"/>
      <c r="AW1943" s="11"/>
      <c r="AX1943" s="11"/>
      <c r="AY1943" s="11"/>
    </row>
    <row r="1944" spans="1:51" hidden="1" x14ac:dyDescent="0.2">
      <c r="A1944" s="6"/>
      <c r="E1944" s="2"/>
      <c r="F1944" s="3"/>
      <c r="G1944" s="3"/>
      <c r="P1944" s="8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1"/>
      <c r="AF1944" s="11"/>
      <c r="AG1944" s="11"/>
      <c r="AH1944" s="11"/>
      <c r="AI1944" s="11"/>
      <c r="AJ1944" s="11"/>
      <c r="AK1944" s="11"/>
      <c r="AL1944" s="11"/>
      <c r="AM1944" s="11"/>
      <c r="AN1944" s="11"/>
      <c r="AO1944" s="11"/>
      <c r="AP1944" s="11"/>
      <c r="AQ1944" s="11"/>
      <c r="AR1944" s="11"/>
      <c r="AS1944" s="11"/>
      <c r="AT1944" s="11"/>
      <c r="AU1944" s="11"/>
      <c r="AV1944" s="11"/>
      <c r="AW1944" s="11"/>
      <c r="AX1944" s="11"/>
      <c r="AY1944" s="11"/>
    </row>
    <row r="1945" spans="1:51" hidden="1" x14ac:dyDescent="0.2">
      <c r="A1945" s="6"/>
      <c r="E1945" s="2"/>
      <c r="F1945" s="3"/>
      <c r="G1945" s="3"/>
      <c r="P1945" s="8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1"/>
      <c r="AF1945" s="11"/>
      <c r="AG1945" s="11"/>
      <c r="AH1945" s="11"/>
      <c r="AI1945" s="11"/>
      <c r="AJ1945" s="11"/>
      <c r="AK1945" s="11"/>
      <c r="AL1945" s="11"/>
      <c r="AM1945" s="11"/>
      <c r="AN1945" s="11"/>
      <c r="AO1945" s="11"/>
      <c r="AP1945" s="11"/>
      <c r="AQ1945" s="11"/>
      <c r="AR1945" s="11"/>
      <c r="AS1945" s="11"/>
      <c r="AT1945" s="11"/>
      <c r="AU1945" s="11"/>
      <c r="AV1945" s="11"/>
      <c r="AW1945" s="11"/>
      <c r="AX1945" s="11"/>
      <c r="AY1945" s="11"/>
    </row>
    <row r="1946" spans="1:51" hidden="1" x14ac:dyDescent="0.2">
      <c r="A1946" s="6" t="s">
        <v>17</v>
      </c>
      <c r="B1946" t="s">
        <v>118</v>
      </c>
      <c r="C1946" t="s">
        <v>119</v>
      </c>
      <c r="D1946" t="s">
        <v>2489</v>
      </c>
      <c r="E1946" s="2">
        <v>36.18</v>
      </c>
      <c r="F1946" s="3">
        <f t="shared" si="169"/>
        <v>45877</v>
      </c>
      <c r="G1946" s="3">
        <f t="shared" si="169"/>
        <v>45877</v>
      </c>
      <c r="H1946">
        <v>2615258744</v>
      </c>
      <c r="I1946" t="s">
        <v>158</v>
      </c>
      <c r="K1946" t="s">
        <v>22</v>
      </c>
      <c r="L1946" t="s">
        <v>23</v>
      </c>
      <c r="M1946" t="s">
        <v>24</v>
      </c>
      <c r="N1946" t="s">
        <v>24</v>
      </c>
      <c r="O1946" t="s">
        <v>25</v>
      </c>
      <c r="P1946" s="8" t="s">
        <v>2490</v>
      </c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1"/>
      <c r="AF1946" s="11"/>
      <c r="AG1946" s="11"/>
      <c r="AH1946" s="11"/>
      <c r="AI1946" s="11"/>
      <c r="AJ1946" s="11"/>
      <c r="AK1946" s="11"/>
      <c r="AL1946" s="11"/>
      <c r="AM1946" s="11"/>
      <c r="AN1946" s="11"/>
      <c r="AO1946" s="11"/>
      <c r="AP1946" s="11"/>
      <c r="AQ1946" s="11"/>
      <c r="AR1946" s="11"/>
      <c r="AS1946" s="11"/>
      <c r="AT1946" s="11"/>
      <c r="AU1946" s="11"/>
      <c r="AV1946" s="11"/>
      <c r="AW1946" s="11"/>
      <c r="AX1946" s="11"/>
      <c r="AY1946" s="11"/>
    </row>
    <row r="1947" spans="1:51" hidden="1" x14ac:dyDescent="0.2">
      <c r="A1947" s="6" t="s">
        <v>17</v>
      </c>
      <c r="B1947" t="s">
        <v>1048</v>
      </c>
      <c r="C1947" t="s">
        <v>1049</v>
      </c>
      <c r="D1947" t="s">
        <v>2491</v>
      </c>
      <c r="E1947" s="2">
        <v>1452.87</v>
      </c>
      <c r="F1947" s="3">
        <f t="shared" ref="F1947:G1953" si="170">DATE(2025,8,11)</f>
        <v>45880</v>
      </c>
      <c r="G1947" s="3">
        <f t="shared" si="170"/>
        <v>45880</v>
      </c>
      <c r="H1947">
        <v>2621222723</v>
      </c>
      <c r="I1947" t="s">
        <v>21</v>
      </c>
      <c r="K1947" t="s">
        <v>22</v>
      </c>
      <c r="L1947" t="s">
        <v>23</v>
      </c>
      <c r="M1947" t="s">
        <v>24</v>
      </c>
      <c r="N1947" t="s">
        <v>24</v>
      </c>
      <c r="O1947" t="s">
        <v>25</v>
      </c>
      <c r="P1947" s="8" t="s">
        <v>2492</v>
      </c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1"/>
      <c r="AF1947" s="11"/>
      <c r="AG1947" s="11"/>
      <c r="AH1947" s="11"/>
      <c r="AI1947" s="11"/>
      <c r="AJ1947" s="11"/>
      <c r="AK1947" s="11"/>
      <c r="AL1947" s="11"/>
      <c r="AM1947" s="11"/>
      <c r="AN1947" s="11"/>
      <c r="AO1947" s="11"/>
      <c r="AP1947" s="11"/>
      <c r="AQ1947" s="11"/>
      <c r="AR1947" s="11"/>
      <c r="AS1947" s="11"/>
      <c r="AT1947" s="11"/>
      <c r="AU1947" s="11"/>
      <c r="AV1947" s="11"/>
      <c r="AW1947" s="11"/>
      <c r="AX1947" s="11"/>
      <c r="AY1947" s="11"/>
    </row>
    <row r="1948" spans="1:51" hidden="1" x14ac:dyDescent="0.2">
      <c r="A1948" s="6" t="s">
        <v>17</v>
      </c>
      <c r="B1948" t="s">
        <v>50</v>
      </c>
      <c r="C1948" t="s">
        <v>51</v>
      </c>
      <c r="D1948" t="s">
        <v>2493</v>
      </c>
      <c r="E1948" s="2">
        <v>903.46</v>
      </c>
      <c r="F1948" s="3">
        <f t="shared" si="170"/>
        <v>45880</v>
      </c>
      <c r="G1948" s="3">
        <f t="shared" si="170"/>
        <v>45880</v>
      </c>
      <c r="H1948">
        <v>2621222724</v>
      </c>
      <c r="I1948" t="s">
        <v>21</v>
      </c>
      <c r="K1948" t="s">
        <v>22</v>
      </c>
      <c r="L1948" t="s">
        <v>23</v>
      </c>
      <c r="M1948" t="s">
        <v>24</v>
      </c>
      <c r="N1948" t="s">
        <v>24</v>
      </c>
      <c r="O1948" t="s">
        <v>25</v>
      </c>
      <c r="P1948" s="8" t="s">
        <v>2494</v>
      </c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1"/>
      <c r="AF1948" s="11"/>
      <c r="AG1948" s="11"/>
      <c r="AH1948" s="11"/>
      <c r="AI1948" s="11"/>
      <c r="AJ1948" s="11"/>
      <c r="AK1948" s="11"/>
      <c r="AL1948" s="11"/>
      <c r="AM1948" s="11"/>
      <c r="AN1948" s="11"/>
      <c r="AO1948" s="11"/>
      <c r="AP1948" s="11"/>
      <c r="AQ1948" s="11"/>
      <c r="AR1948" s="11"/>
      <c r="AS1948" s="11"/>
      <c r="AT1948" s="11"/>
      <c r="AU1948" s="11"/>
      <c r="AV1948" s="11"/>
      <c r="AW1948" s="11"/>
      <c r="AX1948" s="11"/>
      <c r="AY1948" s="11"/>
    </row>
    <row r="1949" spans="1:51" hidden="1" x14ac:dyDescent="0.2">
      <c r="A1949" s="6" t="s">
        <v>17</v>
      </c>
      <c r="B1949" t="s">
        <v>42</v>
      </c>
      <c r="C1949" t="s">
        <v>43</v>
      </c>
      <c r="D1949" t="s">
        <v>2495</v>
      </c>
      <c r="E1949" s="2">
        <v>143.30000000000001</v>
      </c>
      <c r="F1949" s="3">
        <f t="shared" si="170"/>
        <v>45880</v>
      </c>
      <c r="G1949" s="3">
        <f t="shared" si="170"/>
        <v>45880</v>
      </c>
      <c r="H1949">
        <v>2621222725</v>
      </c>
      <c r="I1949" t="s">
        <v>21</v>
      </c>
      <c r="K1949" t="s">
        <v>22</v>
      </c>
      <c r="L1949" t="s">
        <v>23</v>
      </c>
      <c r="M1949" t="s">
        <v>24</v>
      </c>
      <c r="N1949" t="s">
        <v>24</v>
      </c>
      <c r="O1949" t="s">
        <v>25</v>
      </c>
      <c r="P1949" s="8" t="s">
        <v>2496</v>
      </c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11"/>
      <c r="AG1949" s="11"/>
      <c r="AH1949" s="11"/>
      <c r="AI1949" s="11"/>
      <c r="AJ1949" s="11"/>
      <c r="AK1949" s="11"/>
      <c r="AL1949" s="11"/>
      <c r="AM1949" s="11"/>
      <c r="AN1949" s="11"/>
      <c r="AO1949" s="11"/>
      <c r="AP1949" s="11"/>
      <c r="AQ1949" s="11"/>
      <c r="AR1949" s="11"/>
      <c r="AS1949" s="11"/>
      <c r="AT1949" s="11"/>
      <c r="AU1949" s="11"/>
      <c r="AV1949" s="11"/>
      <c r="AW1949" s="11"/>
      <c r="AX1949" s="11"/>
      <c r="AY1949" s="11"/>
    </row>
    <row r="1950" spans="1:51" hidden="1" x14ac:dyDescent="0.2">
      <c r="A1950" s="6" t="s">
        <v>17</v>
      </c>
      <c r="B1950" t="s">
        <v>46</v>
      </c>
      <c r="C1950" t="s">
        <v>47</v>
      </c>
      <c r="D1950" t="s">
        <v>2497</v>
      </c>
      <c r="E1950" s="2">
        <v>10.35</v>
      </c>
      <c r="F1950" s="3">
        <f t="shared" si="170"/>
        <v>45880</v>
      </c>
      <c r="G1950" s="3">
        <f t="shared" si="170"/>
        <v>45880</v>
      </c>
      <c r="H1950">
        <v>2621222726</v>
      </c>
      <c r="I1950" t="s">
        <v>21</v>
      </c>
      <c r="K1950" t="s">
        <v>22</v>
      </c>
      <c r="L1950" t="s">
        <v>23</v>
      </c>
      <c r="M1950" t="s">
        <v>24</v>
      </c>
      <c r="N1950" t="s">
        <v>24</v>
      </c>
      <c r="O1950" t="s">
        <v>25</v>
      </c>
      <c r="P1950" s="8" t="s">
        <v>2498</v>
      </c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1"/>
      <c r="AF1950" s="11"/>
      <c r="AG1950" s="11"/>
      <c r="AH1950" s="11"/>
      <c r="AI1950" s="11"/>
      <c r="AJ1950" s="11"/>
      <c r="AK1950" s="11"/>
      <c r="AL1950" s="11"/>
      <c r="AM1950" s="11"/>
      <c r="AN1950" s="11"/>
      <c r="AO1950" s="11"/>
      <c r="AP1950" s="11"/>
      <c r="AQ1950" s="11"/>
      <c r="AR1950" s="11"/>
      <c r="AS1950" s="11"/>
      <c r="AT1950" s="11"/>
      <c r="AU1950" s="11"/>
      <c r="AV1950" s="11"/>
      <c r="AW1950" s="11"/>
      <c r="AX1950" s="11"/>
      <c r="AY1950" s="11"/>
    </row>
    <row r="1951" spans="1:51" hidden="1" x14ac:dyDescent="0.2">
      <c r="A1951" s="6" t="s">
        <v>17</v>
      </c>
      <c r="B1951" t="s">
        <v>46</v>
      </c>
      <c r="C1951" t="s">
        <v>47</v>
      </c>
      <c r="D1951" t="s">
        <v>2499</v>
      </c>
      <c r="E1951" s="2">
        <v>324</v>
      </c>
      <c r="F1951" s="3">
        <f t="shared" si="170"/>
        <v>45880</v>
      </c>
      <c r="G1951" s="3">
        <f t="shared" si="170"/>
        <v>45880</v>
      </c>
      <c r="H1951">
        <v>2621222727</v>
      </c>
      <c r="I1951" t="s">
        <v>21</v>
      </c>
      <c r="K1951" t="s">
        <v>22</v>
      </c>
      <c r="L1951" t="s">
        <v>23</v>
      </c>
      <c r="M1951" t="s">
        <v>24</v>
      </c>
      <c r="N1951" t="s">
        <v>24</v>
      </c>
      <c r="O1951" t="s">
        <v>25</v>
      </c>
      <c r="P1951" s="8" t="s">
        <v>2500</v>
      </c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11"/>
      <c r="AG1951" s="11"/>
      <c r="AH1951" s="11"/>
      <c r="AI1951" s="11"/>
      <c r="AJ1951" s="11"/>
      <c r="AK1951" s="11"/>
      <c r="AL1951" s="11"/>
      <c r="AM1951" s="11"/>
      <c r="AN1951" s="11"/>
      <c r="AO1951" s="11"/>
      <c r="AP1951" s="11"/>
      <c r="AQ1951" s="11"/>
      <c r="AR1951" s="11"/>
      <c r="AS1951" s="11"/>
      <c r="AT1951" s="11"/>
      <c r="AU1951" s="11"/>
      <c r="AV1951" s="11"/>
      <c r="AW1951" s="11"/>
      <c r="AX1951" s="11"/>
      <c r="AY1951" s="11"/>
    </row>
    <row r="1952" spans="1:51" hidden="1" x14ac:dyDescent="0.2">
      <c r="A1952" s="6" t="s">
        <v>17</v>
      </c>
      <c r="B1952" t="s">
        <v>565</v>
      </c>
      <c r="C1952" t="s">
        <v>566</v>
      </c>
      <c r="D1952" t="s">
        <v>2501</v>
      </c>
      <c r="E1952" s="2">
        <v>1019.99</v>
      </c>
      <c r="F1952" s="3">
        <f t="shared" si="170"/>
        <v>45880</v>
      </c>
      <c r="G1952" s="3">
        <f t="shared" si="170"/>
        <v>45880</v>
      </c>
      <c r="H1952">
        <v>2621222728</v>
      </c>
      <c r="I1952" t="s">
        <v>21</v>
      </c>
      <c r="K1952" t="s">
        <v>22</v>
      </c>
      <c r="L1952" t="s">
        <v>23</v>
      </c>
      <c r="M1952" t="s">
        <v>24</v>
      </c>
      <c r="N1952" t="s">
        <v>24</v>
      </c>
      <c r="O1952" t="s">
        <v>25</v>
      </c>
      <c r="P1952" s="8" t="s">
        <v>2502</v>
      </c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11"/>
      <c r="AG1952" s="11"/>
      <c r="AH1952" s="11"/>
      <c r="AI1952" s="11"/>
      <c r="AJ1952" s="11"/>
      <c r="AK1952" s="11"/>
      <c r="AL1952" s="11"/>
      <c r="AM1952" s="11"/>
      <c r="AN1952" s="11"/>
      <c r="AO1952" s="11"/>
      <c r="AP1952" s="11"/>
      <c r="AQ1952" s="11"/>
      <c r="AR1952" s="11"/>
      <c r="AS1952" s="11"/>
      <c r="AT1952" s="11"/>
      <c r="AU1952" s="11"/>
      <c r="AV1952" s="11"/>
      <c r="AW1952" s="11"/>
      <c r="AX1952" s="11"/>
      <c r="AY1952" s="11"/>
    </row>
    <row r="1953" spans="1:51" hidden="1" x14ac:dyDescent="0.2">
      <c r="A1953" s="6" t="s">
        <v>17</v>
      </c>
      <c r="B1953" t="s">
        <v>1002</v>
      </c>
      <c r="C1953" t="s">
        <v>1003</v>
      </c>
      <c r="D1953" t="s">
        <v>2503</v>
      </c>
      <c r="E1953" s="2">
        <v>1730.34</v>
      </c>
      <c r="F1953" s="3">
        <f t="shared" si="170"/>
        <v>45880</v>
      </c>
      <c r="G1953" s="3">
        <f t="shared" si="170"/>
        <v>45880</v>
      </c>
      <c r="H1953">
        <v>2621222729</v>
      </c>
      <c r="I1953" t="s">
        <v>21</v>
      </c>
      <c r="K1953" t="s">
        <v>22</v>
      </c>
      <c r="L1953" t="s">
        <v>23</v>
      </c>
      <c r="M1953" t="s">
        <v>24</v>
      </c>
      <c r="N1953" t="s">
        <v>24</v>
      </c>
      <c r="O1953" t="s">
        <v>25</v>
      </c>
      <c r="P1953" s="8" t="s">
        <v>2504</v>
      </c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11"/>
      <c r="AG1953" s="11"/>
      <c r="AH1953" s="11"/>
      <c r="AI1953" s="11"/>
      <c r="AJ1953" s="11"/>
      <c r="AK1953" s="11"/>
      <c r="AL1953" s="11"/>
      <c r="AM1953" s="11"/>
      <c r="AN1953" s="11"/>
      <c r="AO1953" s="11"/>
      <c r="AP1953" s="11"/>
      <c r="AQ1953" s="11"/>
      <c r="AR1953" s="11"/>
      <c r="AS1953" s="11"/>
      <c r="AT1953" s="11"/>
      <c r="AU1953" s="11"/>
      <c r="AV1953" s="11"/>
      <c r="AW1953" s="11"/>
      <c r="AX1953" s="11"/>
      <c r="AY1953" s="11"/>
    </row>
    <row r="1954" spans="1:51" hidden="1" x14ac:dyDescent="0.2">
      <c r="A1954" s="6"/>
      <c r="E1954" s="2"/>
      <c r="F1954" s="3"/>
      <c r="G1954" s="3"/>
      <c r="P1954" s="8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1"/>
      <c r="AF1954" s="11"/>
      <c r="AG1954" s="11"/>
      <c r="AH1954" s="11"/>
      <c r="AI1954" s="11"/>
      <c r="AJ1954" s="11"/>
      <c r="AK1954" s="11"/>
      <c r="AL1954" s="11"/>
      <c r="AM1954" s="11"/>
      <c r="AN1954" s="11"/>
      <c r="AO1954" s="11"/>
      <c r="AP1954" s="11"/>
      <c r="AQ1954" s="11"/>
      <c r="AR1954" s="11"/>
      <c r="AS1954" s="11"/>
      <c r="AT1954" s="11"/>
      <c r="AU1954" s="11"/>
      <c r="AV1954" s="11"/>
      <c r="AW1954" s="11"/>
      <c r="AX1954" s="11"/>
      <c r="AY1954" s="11"/>
    </row>
    <row r="1955" spans="1:51" hidden="1" x14ac:dyDescent="0.2">
      <c r="A1955" s="6" t="s">
        <v>17</v>
      </c>
      <c r="B1955" t="s">
        <v>118</v>
      </c>
      <c r="C1955" t="s">
        <v>119</v>
      </c>
      <c r="D1955" t="s">
        <v>2505</v>
      </c>
      <c r="E1955" s="2">
        <v>30</v>
      </c>
      <c r="F1955" s="3">
        <f>DATE(2025,8,12)</f>
        <v>45881</v>
      </c>
      <c r="G1955" s="3">
        <f>DATE(2025,8,12)</f>
        <v>45881</v>
      </c>
      <c r="H1955">
        <v>2628404115</v>
      </c>
      <c r="I1955" t="s">
        <v>21</v>
      </c>
      <c r="K1955" t="s">
        <v>22</v>
      </c>
      <c r="L1955" t="s">
        <v>23</v>
      </c>
      <c r="M1955" t="s">
        <v>24</v>
      </c>
      <c r="N1955" t="s">
        <v>24</v>
      </c>
      <c r="O1955" t="s">
        <v>25</v>
      </c>
      <c r="P1955" s="8" t="s">
        <v>2506</v>
      </c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1"/>
      <c r="AF1955" s="11"/>
      <c r="AG1955" s="11"/>
      <c r="AH1955" s="11"/>
      <c r="AI1955" s="11"/>
      <c r="AJ1955" s="11"/>
      <c r="AK1955" s="11"/>
      <c r="AL1955" s="11"/>
      <c r="AM1955" s="11"/>
      <c r="AN1955" s="11"/>
      <c r="AO1955" s="11"/>
      <c r="AP1955" s="11"/>
      <c r="AQ1955" s="11"/>
      <c r="AR1955" s="11"/>
      <c r="AS1955" s="11"/>
      <c r="AT1955" s="11"/>
      <c r="AU1955" s="11"/>
      <c r="AV1955" s="11"/>
      <c r="AW1955" s="11"/>
      <c r="AX1955" s="11"/>
      <c r="AY1955" s="11"/>
    </row>
    <row r="1956" spans="1:51" hidden="1" x14ac:dyDescent="0.2">
      <c r="A1956" s="6" t="s">
        <v>17</v>
      </c>
      <c r="B1956" t="s">
        <v>84</v>
      </c>
      <c r="C1956" t="s">
        <v>85</v>
      </c>
      <c r="D1956" t="s">
        <v>2507</v>
      </c>
      <c r="E1956" s="2">
        <v>58</v>
      </c>
      <c r="F1956" s="3">
        <f>DATE(2025,8,12)</f>
        <v>45881</v>
      </c>
      <c r="G1956" s="3">
        <f>DATE(2025,8,12)</f>
        <v>45881</v>
      </c>
      <c r="H1956">
        <v>2628404116</v>
      </c>
      <c r="I1956" t="s">
        <v>21</v>
      </c>
      <c r="K1956" t="s">
        <v>22</v>
      </c>
      <c r="L1956" t="s">
        <v>23</v>
      </c>
      <c r="M1956" t="s">
        <v>24</v>
      </c>
      <c r="N1956" t="s">
        <v>24</v>
      </c>
      <c r="O1956" t="s">
        <v>25</v>
      </c>
      <c r="P1956" s="8" t="s">
        <v>2508</v>
      </c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1"/>
      <c r="AB1956" s="11"/>
      <c r="AC1956" s="11"/>
      <c r="AD1956" s="11"/>
      <c r="AE1956" s="11"/>
      <c r="AF1956" s="11"/>
      <c r="AG1956" s="11"/>
      <c r="AH1956" s="11"/>
      <c r="AI1956" s="11"/>
      <c r="AJ1956" s="11"/>
      <c r="AK1956" s="11"/>
      <c r="AL1956" s="11"/>
      <c r="AM1956" s="11"/>
      <c r="AN1956" s="11"/>
      <c r="AO1956" s="11"/>
      <c r="AP1956" s="11"/>
      <c r="AQ1956" s="11"/>
      <c r="AR1956" s="11"/>
      <c r="AS1956" s="11"/>
      <c r="AT1956" s="11"/>
      <c r="AU1956" s="11"/>
      <c r="AV1956" s="11"/>
      <c r="AW1956" s="11"/>
      <c r="AX1956" s="11"/>
      <c r="AY1956" s="11"/>
    </row>
    <row r="1957" spans="1:51" hidden="1" x14ac:dyDescent="0.2">
      <c r="A1957" s="6"/>
      <c r="E1957" s="2"/>
      <c r="F1957" s="3"/>
      <c r="G1957" s="3"/>
      <c r="P1957" s="8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1"/>
      <c r="AF1957" s="11"/>
      <c r="AG1957" s="11"/>
      <c r="AH1957" s="11"/>
      <c r="AI1957" s="11"/>
      <c r="AJ1957" s="11"/>
      <c r="AK1957" s="11"/>
      <c r="AL1957" s="11"/>
      <c r="AM1957" s="11"/>
      <c r="AN1957" s="11"/>
      <c r="AO1957" s="11"/>
      <c r="AP1957" s="11"/>
      <c r="AQ1957" s="11"/>
      <c r="AR1957" s="11"/>
      <c r="AS1957" s="11"/>
      <c r="AT1957" s="11"/>
      <c r="AU1957" s="11"/>
      <c r="AV1957" s="11"/>
      <c r="AW1957" s="11"/>
      <c r="AX1957" s="11"/>
      <c r="AY1957" s="11"/>
    </row>
    <row r="1958" spans="1:51" hidden="1" x14ac:dyDescent="0.2">
      <c r="A1958" s="6"/>
      <c r="E1958" s="2"/>
      <c r="F1958" s="3"/>
      <c r="G1958" s="3"/>
      <c r="P1958" s="8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1"/>
      <c r="AF1958" s="11"/>
      <c r="AG1958" s="11"/>
      <c r="AH1958" s="11"/>
      <c r="AI1958" s="11"/>
      <c r="AJ1958" s="11"/>
      <c r="AK1958" s="11"/>
      <c r="AL1958" s="11"/>
      <c r="AM1958" s="11"/>
      <c r="AN1958" s="11"/>
      <c r="AO1958" s="11"/>
      <c r="AP1958" s="11"/>
      <c r="AQ1958" s="11"/>
      <c r="AR1958" s="11"/>
      <c r="AS1958" s="11"/>
      <c r="AT1958" s="11"/>
      <c r="AU1958" s="11"/>
      <c r="AV1958" s="11"/>
      <c r="AW1958" s="11"/>
      <c r="AX1958" s="11"/>
      <c r="AY1958" s="11"/>
    </row>
    <row r="1959" spans="1:51" hidden="1" x14ac:dyDescent="0.2">
      <c r="A1959" s="6"/>
      <c r="E1959" s="2"/>
      <c r="F1959" s="3"/>
      <c r="G1959" s="3"/>
      <c r="P1959" s="8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1"/>
      <c r="AF1959" s="11"/>
      <c r="AG1959" s="11"/>
      <c r="AH1959" s="11"/>
      <c r="AI1959" s="11"/>
      <c r="AJ1959" s="11"/>
      <c r="AK1959" s="11"/>
      <c r="AL1959" s="11"/>
      <c r="AM1959" s="11"/>
      <c r="AN1959" s="11"/>
      <c r="AO1959" s="11"/>
      <c r="AP1959" s="11"/>
      <c r="AQ1959" s="11"/>
      <c r="AR1959" s="11"/>
      <c r="AS1959" s="11"/>
      <c r="AT1959" s="11"/>
      <c r="AU1959" s="11"/>
      <c r="AV1959" s="11"/>
      <c r="AW1959" s="11"/>
      <c r="AX1959" s="11"/>
      <c r="AY1959" s="11"/>
    </row>
    <row r="1960" spans="1:51" x14ac:dyDescent="0.2">
      <c r="A1960" s="6" t="s">
        <v>17</v>
      </c>
      <c r="B1960" t="s">
        <v>342</v>
      </c>
      <c r="C1960" t="s">
        <v>342</v>
      </c>
      <c r="D1960" t="s">
        <v>2509</v>
      </c>
      <c r="E1960" s="2">
        <v>76.180000000000007</v>
      </c>
      <c r="F1960" s="3">
        <f>DATE(2025,8,9)</f>
        <v>45878</v>
      </c>
      <c r="G1960" s="3">
        <f>DATE(2025,8,9)</f>
        <v>45878</v>
      </c>
      <c r="H1960">
        <v>2628404120</v>
      </c>
      <c r="I1960" t="s">
        <v>158</v>
      </c>
      <c r="K1960" t="s">
        <v>22</v>
      </c>
      <c r="L1960" t="s">
        <v>23</v>
      </c>
      <c r="M1960" t="s">
        <v>24</v>
      </c>
      <c r="N1960" t="s">
        <v>24</v>
      </c>
      <c r="O1960" t="s">
        <v>25</v>
      </c>
      <c r="P1960" s="8" t="s">
        <v>2510</v>
      </c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1"/>
      <c r="AF1960" s="11"/>
      <c r="AG1960" s="11"/>
      <c r="AH1960" s="11"/>
      <c r="AI1960" s="11"/>
      <c r="AJ1960" s="11"/>
      <c r="AK1960" s="11"/>
      <c r="AL1960" s="11"/>
      <c r="AM1960" s="11"/>
      <c r="AN1960" s="11"/>
      <c r="AO1960" s="11"/>
      <c r="AP1960" s="11"/>
      <c r="AQ1960" s="11"/>
      <c r="AR1960" s="11"/>
      <c r="AS1960" s="11"/>
      <c r="AT1960" s="11"/>
      <c r="AU1960" s="11"/>
      <c r="AV1960" s="11"/>
      <c r="AW1960" s="11"/>
      <c r="AX1960" s="11"/>
      <c r="AY1960" s="11"/>
    </row>
    <row r="1961" spans="1:51" hidden="1" x14ac:dyDescent="0.2">
      <c r="A1961" s="6" t="s">
        <v>17</v>
      </c>
      <c r="B1961" t="s">
        <v>118</v>
      </c>
      <c r="C1961" t="s">
        <v>119</v>
      </c>
      <c r="D1961" t="s">
        <v>2511</v>
      </c>
      <c r="E1961" s="2">
        <v>8.57</v>
      </c>
      <c r="F1961" s="3">
        <f>DATE(2025,8,9)</f>
        <v>45878</v>
      </c>
      <c r="G1961" s="3">
        <f>DATE(2025,8,9)</f>
        <v>45878</v>
      </c>
      <c r="H1961">
        <v>2628404121</v>
      </c>
      <c r="I1961" t="s">
        <v>158</v>
      </c>
      <c r="K1961" t="s">
        <v>22</v>
      </c>
      <c r="L1961" t="s">
        <v>23</v>
      </c>
      <c r="M1961" t="s">
        <v>24</v>
      </c>
      <c r="N1961" t="s">
        <v>24</v>
      </c>
      <c r="O1961" t="s">
        <v>25</v>
      </c>
      <c r="P1961" s="8" t="s">
        <v>2512</v>
      </c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11"/>
      <c r="AG1961" s="11"/>
      <c r="AH1961" s="11"/>
      <c r="AI1961" s="11"/>
      <c r="AJ1961" s="11"/>
      <c r="AK1961" s="11"/>
      <c r="AL1961" s="11"/>
      <c r="AM1961" s="11"/>
      <c r="AN1961" s="11"/>
      <c r="AO1961" s="11"/>
      <c r="AP1961" s="11"/>
      <c r="AQ1961" s="11"/>
      <c r="AR1961" s="11"/>
      <c r="AS1961" s="11"/>
      <c r="AT1961" s="11"/>
      <c r="AU1961" s="11"/>
      <c r="AV1961" s="11"/>
      <c r="AW1961" s="11"/>
      <c r="AX1961" s="11"/>
      <c r="AY1961" s="11"/>
    </row>
    <row r="1962" spans="1:51" hidden="1" x14ac:dyDescent="0.2">
      <c r="A1962" s="6"/>
      <c r="E1962" s="2"/>
      <c r="F1962" s="3"/>
      <c r="G1962" s="3"/>
      <c r="P1962" s="8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s="11"/>
      <c r="AR1962" s="11"/>
      <c r="AS1962" s="11"/>
      <c r="AT1962" s="11"/>
      <c r="AU1962" s="11"/>
      <c r="AV1962" s="11"/>
      <c r="AW1962" s="11"/>
      <c r="AX1962" s="11"/>
      <c r="AY1962" s="11"/>
    </row>
    <row r="1963" spans="1:51" x14ac:dyDescent="0.2">
      <c r="A1963" s="6" t="s">
        <v>17</v>
      </c>
      <c r="B1963" t="s">
        <v>342</v>
      </c>
      <c r="C1963" t="s">
        <v>342</v>
      </c>
      <c r="D1963" t="s">
        <v>2513</v>
      </c>
      <c r="E1963" s="2">
        <v>51.5</v>
      </c>
      <c r="F1963" s="3">
        <f t="shared" ref="F1963:G1971" si="171">DATE(2025,8,11)</f>
        <v>45880</v>
      </c>
      <c r="G1963" s="3">
        <f t="shared" si="171"/>
        <v>45880</v>
      </c>
      <c r="H1963">
        <v>2628412821</v>
      </c>
      <c r="I1963" t="s">
        <v>192</v>
      </c>
      <c r="K1963" t="s">
        <v>22</v>
      </c>
      <c r="L1963" t="s">
        <v>23</v>
      </c>
      <c r="M1963" t="s">
        <v>24</v>
      </c>
      <c r="N1963" t="s">
        <v>24</v>
      </c>
      <c r="O1963" t="s">
        <v>25</v>
      </c>
      <c r="P1963" s="8" t="s">
        <v>2514</v>
      </c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1"/>
      <c r="AF1963" s="11"/>
      <c r="AG1963" s="11"/>
      <c r="AH1963" s="11"/>
      <c r="AI1963" s="11"/>
      <c r="AJ1963" s="11"/>
      <c r="AK1963" s="11"/>
      <c r="AL1963" s="11"/>
      <c r="AM1963" s="11"/>
      <c r="AN1963" s="11"/>
      <c r="AO1963" s="11"/>
      <c r="AP1963" s="11"/>
      <c r="AQ1963" s="11"/>
      <c r="AR1963" s="11"/>
      <c r="AS1963" s="11"/>
      <c r="AT1963" s="11"/>
      <c r="AU1963" s="11"/>
      <c r="AV1963" s="11"/>
      <c r="AW1963" s="11"/>
      <c r="AX1963" s="11"/>
      <c r="AY1963" s="11"/>
    </row>
    <row r="1964" spans="1:51" hidden="1" x14ac:dyDescent="0.2">
      <c r="A1964" s="6"/>
      <c r="E1964" s="2"/>
      <c r="F1964" s="3"/>
      <c r="G1964" s="3"/>
      <c r="P1964" s="8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11"/>
      <c r="AG1964" s="11"/>
      <c r="AH1964" s="11"/>
      <c r="AI1964" s="11"/>
      <c r="AJ1964" s="11"/>
      <c r="AK1964" s="11"/>
      <c r="AL1964" s="11"/>
      <c r="AM1964" s="11"/>
      <c r="AN1964" s="11"/>
      <c r="AO1964" s="11"/>
      <c r="AP1964" s="11"/>
      <c r="AQ1964" s="11"/>
      <c r="AR1964" s="11"/>
      <c r="AS1964" s="11"/>
      <c r="AT1964" s="11"/>
      <c r="AU1964" s="11"/>
      <c r="AV1964" s="11"/>
      <c r="AW1964" s="11"/>
      <c r="AX1964" s="11"/>
      <c r="AY1964" s="11"/>
    </row>
    <row r="1965" spans="1:51" hidden="1" x14ac:dyDescent="0.2">
      <c r="A1965" s="6"/>
      <c r="E1965" s="2"/>
      <c r="F1965" s="3"/>
      <c r="G1965" s="3"/>
      <c r="P1965" s="8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1"/>
      <c r="AJ1965" s="11"/>
      <c r="AK1965" s="11"/>
      <c r="AL1965" s="11"/>
      <c r="AM1965" s="11"/>
      <c r="AN1965" s="11"/>
      <c r="AO1965" s="11"/>
      <c r="AP1965" s="11"/>
      <c r="AQ1965" s="11"/>
      <c r="AR1965" s="11"/>
      <c r="AS1965" s="11"/>
      <c r="AT1965" s="11"/>
      <c r="AU1965" s="11"/>
      <c r="AV1965" s="11"/>
      <c r="AW1965" s="11"/>
      <c r="AX1965" s="11"/>
      <c r="AY1965" s="11"/>
    </row>
    <row r="1966" spans="1:51" hidden="1" x14ac:dyDescent="0.2">
      <c r="A1966" s="6" t="s">
        <v>17</v>
      </c>
      <c r="B1966" t="s">
        <v>18</v>
      </c>
      <c r="C1966" t="s">
        <v>19</v>
      </c>
      <c r="D1966" t="s">
        <v>2515</v>
      </c>
      <c r="E1966" s="2">
        <v>1.35</v>
      </c>
      <c r="F1966" s="3">
        <f t="shared" si="171"/>
        <v>45880</v>
      </c>
      <c r="G1966" s="3">
        <f t="shared" si="171"/>
        <v>45880</v>
      </c>
      <c r="H1966">
        <v>2628412824</v>
      </c>
      <c r="I1966" t="s">
        <v>192</v>
      </c>
      <c r="K1966" t="s">
        <v>22</v>
      </c>
      <c r="L1966" t="s">
        <v>23</v>
      </c>
      <c r="M1966" t="s">
        <v>24</v>
      </c>
      <c r="N1966" t="s">
        <v>24</v>
      </c>
      <c r="O1966" t="s">
        <v>25</v>
      </c>
      <c r="P1966" s="8" t="s">
        <v>2516</v>
      </c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11"/>
      <c r="AB1966" s="11"/>
      <c r="AC1966" s="11"/>
      <c r="AD1966" s="11"/>
      <c r="AE1966" s="11"/>
      <c r="AF1966" s="11"/>
      <c r="AG1966" s="11"/>
      <c r="AH1966" s="11"/>
      <c r="AI1966" s="11"/>
      <c r="AJ1966" s="11"/>
      <c r="AK1966" s="11"/>
      <c r="AL1966" s="11"/>
      <c r="AM1966" s="11"/>
      <c r="AN1966" s="11"/>
      <c r="AO1966" s="11"/>
      <c r="AP1966" s="11"/>
      <c r="AQ1966" s="11"/>
      <c r="AR1966" s="11"/>
      <c r="AS1966" s="11"/>
      <c r="AT1966" s="11"/>
      <c r="AU1966" s="11"/>
      <c r="AV1966" s="11"/>
      <c r="AW1966" s="11"/>
      <c r="AX1966" s="11"/>
      <c r="AY1966" s="11"/>
    </row>
    <row r="1967" spans="1:51" hidden="1" x14ac:dyDescent="0.2">
      <c r="A1967" s="6"/>
      <c r="E1967" s="2"/>
      <c r="F1967" s="3"/>
      <c r="G1967" s="3"/>
      <c r="P1967" s="8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1"/>
      <c r="AF1967" s="11"/>
      <c r="AG1967" s="11"/>
      <c r="AH1967" s="11"/>
      <c r="AI1967" s="11"/>
      <c r="AJ1967" s="11"/>
      <c r="AK1967" s="11"/>
      <c r="AL1967" s="11"/>
      <c r="AM1967" s="11"/>
      <c r="AN1967" s="11"/>
      <c r="AO1967" s="11"/>
      <c r="AP1967" s="11"/>
      <c r="AQ1967" s="11"/>
      <c r="AR1967" s="11"/>
      <c r="AS1967" s="11"/>
      <c r="AT1967" s="11"/>
      <c r="AU1967" s="11"/>
      <c r="AV1967" s="11"/>
      <c r="AW1967" s="11"/>
      <c r="AX1967" s="11"/>
      <c r="AY1967" s="11"/>
    </row>
    <row r="1968" spans="1:51" hidden="1" x14ac:dyDescent="0.2">
      <c r="A1968" s="6" t="s">
        <v>17</v>
      </c>
      <c r="B1968" t="s">
        <v>118</v>
      </c>
      <c r="C1968" t="s">
        <v>119</v>
      </c>
      <c r="D1968" t="s">
        <v>2517</v>
      </c>
      <c r="E1968" s="2">
        <v>156.91999999999999</v>
      </c>
      <c r="F1968" s="3">
        <f t="shared" si="171"/>
        <v>45880</v>
      </c>
      <c r="G1968" s="3">
        <f t="shared" si="171"/>
        <v>45880</v>
      </c>
      <c r="H1968">
        <v>2628412826</v>
      </c>
      <c r="I1968" t="s">
        <v>192</v>
      </c>
      <c r="K1968" t="s">
        <v>22</v>
      </c>
      <c r="L1968" t="s">
        <v>23</v>
      </c>
      <c r="M1968" t="s">
        <v>24</v>
      </c>
      <c r="N1968" t="s">
        <v>24</v>
      </c>
      <c r="O1968" t="s">
        <v>25</v>
      </c>
      <c r="P1968" s="8" t="s">
        <v>2518</v>
      </c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1"/>
      <c r="AF1968" s="11"/>
      <c r="AG1968" s="11"/>
      <c r="AH1968" s="11"/>
      <c r="AI1968" s="11"/>
      <c r="AJ1968" s="11"/>
      <c r="AK1968" s="11"/>
      <c r="AL1968" s="11"/>
      <c r="AM1968" s="11"/>
      <c r="AN1968" s="11"/>
      <c r="AO1968" s="11"/>
      <c r="AP1968" s="11"/>
      <c r="AQ1968" s="11"/>
      <c r="AR1968" s="11"/>
      <c r="AS1968" s="11"/>
      <c r="AT1968" s="11"/>
      <c r="AU1968" s="11"/>
      <c r="AV1968" s="11"/>
      <c r="AW1968" s="11"/>
      <c r="AX1968" s="11"/>
      <c r="AY1968" s="11"/>
    </row>
    <row r="1969" spans="1:51" hidden="1" x14ac:dyDescent="0.2">
      <c r="A1969" s="6"/>
      <c r="E1969" s="2"/>
      <c r="F1969" s="3"/>
      <c r="G1969" s="3"/>
      <c r="P1969" s="8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1"/>
      <c r="AF1969" s="11"/>
      <c r="AG1969" s="11"/>
      <c r="AH1969" s="11"/>
      <c r="AI1969" s="11"/>
      <c r="AJ1969" s="11"/>
      <c r="AK1969" s="11"/>
      <c r="AL1969" s="11"/>
      <c r="AM1969" s="11"/>
      <c r="AN1969" s="11"/>
      <c r="AO1969" s="11"/>
      <c r="AP1969" s="11"/>
      <c r="AQ1969" s="11"/>
      <c r="AR1969" s="11"/>
      <c r="AS1969" s="11"/>
      <c r="AT1969" s="11"/>
      <c r="AU1969" s="11"/>
      <c r="AV1969" s="11"/>
      <c r="AW1969" s="11"/>
      <c r="AX1969" s="11"/>
      <c r="AY1969" s="11"/>
    </row>
    <row r="1970" spans="1:51" hidden="1" x14ac:dyDescent="0.2">
      <c r="A1970" s="6" t="s">
        <v>17</v>
      </c>
      <c r="B1970" t="s">
        <v>18</v>
      </c>
      <c r="C1970" t="s">
        <v>19</v>
      </c>
      <c r="D1970" t="s">
        <v>2519</v>
      </c>
      <c r="E1970" s="2">
        <v>2.41</v>
      </c>
      <c r="F1970" s="3">
        <f t="shared" si="171"/>
        <v>45880</v>
      </c>
      <c r="G1970" s="3">
        <f t="shared" si="171"/>
        <v>45880</v>
      </c>
      <c r="H1970">
        <v>2628412828</v>
      </c>
      <c r="I1970" t="s">
        <v>192</v>
      </c>
      <c r="K1970" t="s">
        <v>22</v>
      </c>
      <c r="L1970" t="s">
        <v>23</v>
      </c>
      <c r="M1970" t="s">
        <v>24</v>
      </c>
      <c r="N1970" t="s">
        <v>24</v>
      </c>
      <c r="O1970" t="s">
        <v>25</v>
      </c>
      <c r="P1970" s="8" t="s">
        <v>2520</v>
      </c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11"/>
      <c r="AG1970" s="11"/>
      <c r="AH1970" s="11"/>
      <c r="AI1970" s="11"/>
      <c r="AJ1970" s="11"/>
      <c r="AK1970" s="11"/>
      <c r="AL1970" s="11"/>
      <c r="AM1970" s="11"/>
      <c r="AN1970" s="11"/>
      <c r="AO1970" s="11"/>
      <c r="AP1970" s="11"/>
      <c r="AQ1970" s="11"/>
      <c r="AR1970" s="11"/>
      <c r="AS1970" s="11"/>
      <c r="AT1970" s="11"/>
      <c r="AU1970" s="11"/>
      <c r="AV1970" s="11"/>
      <c r="AW1970" s="11"/>
      <c r="AX1970" s="11"/>
      <c r="AY1970" s="11"/>
    </row>
    <row r="1971" spans="1:51" hidden="1" x14ac:dyDescent="0.2">
      <c r="A1971" s="6" t="s">
        <v>17</v>
      </c>
      <c r="B1971" t="s">
        <v>173</v>
      </c>
      <c r="C1971" t="s">
        <v>154</v>
      </c>
      <c r="D1971" t="s">
        <v>2521</v>
      </c>
      <c r="E1971" s="2">
        <v>19.399999999999999</v>
      </c>
      <c r="F1971" s="3">
        <f t="shared" si="171"/>
        <v>45880</v>
      </c>
      <c r="G1971" s="3">
        <f t="shared" si="171"/>
        <v>45880</v>
      </c>
      <c r="H1971">
        <v>2628412829</v>
      </c>
      <c r="I1971" t="s">
        <v>192</v>
      </c>
      <c r="K1971" t="s">
        <v>22</v>
      </c>
      <c r="L1971" t="s">
        <v>23</v>
      </c>
      <c r="M1971" t="s">
        <v>24</v>
      </c>
      <c r="N1971" t="s">
        <v>24</v>
      </c>
      <c r="O1971" t="s">
        <v>25</v>
      </c>
      <c r="P1971" s="8" t="s">
        <v>2522</v>
      </c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11"/>
      <c r="AG1971" s="11"/>
      <c r="AH1971" s="11"/>
      <c r="AI1971" s="11"/>
      <c r="AJ1971" s="11"/>
      <c r="AK1971" s="11"/>
      <c r="AL1971" s="11"/>
      <c r="AM1971" s="11"/>
      <c r="AN1971" s="11"/>
      <c r="AO1971" s="11"/>
      <c r="AP1971" s="11"/>
      <c r="AQ1971" s="11"/>
      <c r="AR1971" s="11"/>
      <c r="AS1971" s="11"/>
      <c r="AT1971" s="11"/>
      <c r="AU1971" s="11"/>
      <c r="AV1971" s="11"/>
      <c r="AW1971" s="11"/>
      <c r="AX1971" s="11"/>
      <c r="AY1971" s="11"/>
    </row>
    <row r="1972" spans="1:51" hidden="1" x14ac:dyDescent="0.2">
      <c r="A1972" s="6" t="s">
        <v>17</v>
      </c>
      <c r="B1972" t="s">
        <v>118</v>
      </c>
      <c r="C1972" t="s">
        <v>119</v>
      </c>
      <c r="D1972" t="s">
        <v>2523</v>
      </c>
      <c r="E1972" s="2">
        <v>101.4</v>
      </c>
      <c r="F1972" s="3">
        <f>DATE(2025,8,12)</f>
        <v>45881</v>
      </c>
      <c r="G1972" s="3">
        <f>DATE(2025,8,12)</f>
        <v>45881</v>
      </c>
      <c r="H1972">
        <v>2636734020</v>
      </c>
      <c r="I1972" t="s">
        <v>158</v>
      </c>
      <c r="K1972" t="s">
        <v>22</v>
      </c>
      <c r="L1972" t="s">
        <v>23</v>
      </c>
      <c r="M1972" t="s">
        <v>24</v>
      </c>
      <c r="N1972" t="s">
        <v>24</v>
      </c>
      <c r="O1972" t="s">
        <v>25</v>
      </c>
      <c r="P1972" s="8" t="s">
        <v>2524</v>
      </c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1"/>
      <c r="AF1972" s="11"/>
      <c r="AG1972" s="11"/>
      <c r="AH1972" s="11"/>
      <c r="AI1972" s="11"/>
      <c r="AJ1972" s="11"/>
      <c r="AK1972" s="11"/>
      <c r="AL1972" s="11"/>
      <c r="AM1972" s="11"/>
      <c r="AN1972" s="11"/>
      <c r="AO1972" s="11"/>
      <c r="AP1972" s="11"/>
      <c r="AQ1972" s="11"/>
      <c r="AR1972" s="11"/>
      <c r="AS1972" s="11"/>
      <c r="AT1972" s="11"/>
      <c r="AU1972" s="11"/>
      <c r="AV1972" s="11"/>
      <c r="AW1972" s="11"/>
      <c r="AX1972" s="11"/>
      <c r="AY1972" s="11"/>
    </row>
    <row r="1973" spans="1:51" hidden="1" x14ac:dyDescent="0.2">
      <c r="A1973" s="6" t="s">
        <v>17</v>
      </c>
      <c r="B1973" t="s">
        <v>118</v>
      </c>
      <c r="C1973" t="s">
        <v>119</v>
      </c>
      <c r="D1973" t="s">
        <v>2525</v>
      </c>
      <c r="E1973" s="2">
        <v>33.97</v>
      </c>
      <c r="F1973" s="3">
        <f>DATE(2025,8,12)</f>
        <v>45881</v>
      </c>
      <c r="G1973" s="3">
        <f>DATE(2025,8,12)</f>
        <v>45881</v>
      </c>
      <c r="H1973">
        <v>2636734021</v>
      </c>
      <c r="I1973" t="s">
        <v>158</v>
      </c>
      <c r="K1973" t="s">
        <v>22</v>
      </c>
      <c r="L1973" t="s">
        <v>23</v>
      </c>
      <c r="M1973" t="s">
        <v>24</v>
      </c>
      <c r="N1973" t="s">
        <v>24</v>
      </c>
      <c r="O1973" t="s">
        <v>25</v>
      </c>
      <c r="P1973" s="8" t="s">
        <v>2526</v>
      </c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11"/>
      <c r="AG1973" s="11"/>
      <c r="AH1973" s="11"/>
      <c r="AI1973" s="11"/>
      <c r="AJ1973" s="11"/>
      <c r="AK1973" s="11"/>
      <c r="AL1973" s="11"/>
      <c r="AM1973" s="11"/>
      <c r="AN1973" s="11"/>
      <c r="AO1973" s="11"/>
      <c r="AP1973" s="11"/>
      <c r="AQ1973" s="11"/>
      <c r="AR1973" s="11"/>
      <c r="AS1973" s="11"/>
      <c r="AT1973" s="11"/>
      <c r="AU1973" s="11"/>
      <c r="AV1973" s="11"/>
      <c r="AW1973" s="11"/>
      <c r="AX1973" s="11"/>
      <c r="AY1973" s="11"/>
    </row>
    <row r="1974" spans="1:51" x14ac:dyDescent="0.2">
      <c r="A1974" s="6" t="s">
        <v>17</v>
      </c>
      <c r="B1974" t="s">
        <v>342</v>
      </c>
      <c r="C1974" t="s">
        <v>342</v>
      </c>
      <c r="D1974" t="s">
        <v>2527</v>
      </c>
      <c r="E1974" s="2">
        <v>6.75</v>
      </c>
      <c r="F1974" s="3">
        <f t="shared" ref="F1974:G1976" si="172">DATE(2025,8,11)</f>
        <v>45880</v>
      </c>
      <c r="G1974" s="3">
        <f t="shared" si="172"/>
        <v>45880</v>
      </c>
      <c r="H1974">
        <v>2636734022</v>
      </c>
      <c r="I1974" t="s">
        <v>158</v>
      </c>
      <c r="K1974" t="s">
        <v>22</v>
      </c>
      <c r="L1974" t="s">
        <v>23</v>
      </c>
      <c r="M1974" t="s">
        <v>24</v>
      </c>
      <c r="N1974" t="s">
        <v>24</v>
      </c>
      <c r="O1974" t="s">
        <v>25</v>
      </c>
      <c r="P1974" s="8" t="s">
        <v>2528</v>
      </c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1"/>
      <c r="AF1974" s="11"/>
      <c r="AG1974" s="11"/>
      <c r="AH1974" s="11"/>
      <c r="AI1974" s="11"/>
      <c r="AJ1974" s="11"/>
      <c r="AK1974" s="11"/>
      <c r="AL1974" s="11"/>
      <c r="AM1974" s="11"/>
      <c r="AN1974" s="11"/>
      <c r="AO1974" s="11"/>
      <c r="AP1974" s="11"/>
      <c r="AQ1974" s="11"/>
      <c r="AR1974" s="11"/>
      <c r="AS1974" s="11"/>
      <c r="AT1974" s="11"/>
      <c r="AU1974" s="11"/>
      <c r="AV1974" s="11"/>
      <c r="AW1974" s="11"/>
      <c r="AX1974" s="11"/>
      <c r="AY1974" s="11"/>
    </row>
    <row r="1975" spans="1:51" hidden="1" x14ac:dyDescent="0.2">
      <c r="A1975" s="6" t="s">
        <v>17</v>
      </c>
      <c r="B1975" t="s">
        <v>118</v>
      </c>
      <c r="C1975" t="s">
        <v>119</v>
      </c>
      <c r="D1975" t="s">
        <v>2529</v>
      </c>
      <c r="E1975" s="2">
        <v>40.92</v>
      </c>
      <c r="F1975" s="3">
        <f t="shared" si="172"/>
        <v>45880</v>
      </c>
      <c r="G1975" s="3">
        <f t="shared" si="172"/>
        <v>45880</v>
      </c>
      <c r="H1975">
        <v>2636734023</v>
      </c>
      <c r="I1975" t="s">
        <v>158</v>
      </c>
      <c r="K1975" t="s">
        <v>22</v>
      </c>
      <c r="L1975" t="s">
        <v>23</v>
      </c>
      <c r="M1975" t="s">
        <v>24</v>
      </c>
      <c r="N1975" t="s">
        <v>24</v>
      </c>
      <c r="O1975" t="s">
        <v>25</v>
      </c>
      <c r="P1975" s="8" t="s">
        <v>2530</v>
      </c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1"/>
      <c r="AF1975" s="11"/>
      <c r="AG1975" s="11"/>
      <c r="AH1975" s="11"/>
      <c r="AI1975" s="11"/>
      <c r="AJ1975" s="11"/>
      <c r="AK1975" s="11"/>
      <c r="AL1975" s="11"/>
      <c r="AM1975" s="11"/>
      <c r="AN1975" s="11"/>
      <c r="AO1975" s="11"/>
      <c r="AP1975" s="11"/>
      <c r="AQ1975" s="11"/>
      <c r="AR1975" s="11"/>
      <c r="AS1975" s="11"/>
      <c r="AT1975" s="11"/>
      <c r="AU1975" s="11"/>
      <c r="AV1975" s="11"/>
      <c r="AW1975" s="11"/>
      <c r="AX1975" s="11"/>
      <c r="AY1975" s="11"/>
    </row>
    <row r="1976" spans="1:51" hidden="1" x14ac:dyDescent="0.2">
      <c r="A1976" s="6" t="s">
        <v>17</v>
      </c>
      <c r="B1976" t="s">
        <v>118</v>
      </c>
      <c r="C1976" t="s">
        <v>119</v>
      </c>
      <c r="D1976" t="s">
        <v>2531</v>
      </c>
      <c r="E1976" s="2">
        <v>63.54</v>
      </c>
      <c r="F1976" s="3">
        <f t="shared" si="172"/>
        <v>45880</v>
      </c>
      <c r="G1976" s="3">
        <f t="shared" si="172"/>
        <v>45880</v>
      </c>
      <c r="H1976">
        <v>2636734024</v>
      </c>
      <c r="I1976" t="s">
        <v>158</v>
      </c>
      <c r="K1976" t="s">
        <v>22</v>
      </c>
      <c r="L1976" t="s">
        <v>23</v>
      </c>
      <c r="M1976" t="s">
        <v>24</v>
      </c>
      <c r="N1976" t="s">
        <v>24</v>
      </c>
      <c r="O1976" t="s">
        <v>25</v>
      </c>
      <c r="P1976" s="8" t="s">
        <v>2532</v>
      </c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1"/>
      <c r="AB1976" s="11"/>
      <c r="AC1976" s="11"/>
      <c r="AD1976" s="11"/>
      <c r="AE1976" s="11"/>
      <c r="AF1976" s="11"/>
      <c r="AG1976" s="11"/>
      <c r="AH1976" s="11"/>
      <c r="AI1976" s="11"/>
      <c r="AJ1976" s="11"/>
      <c r="AK1976" s="11"/>
      <c r="AL1976" s="11"/>
      <c r="AM1976" s="11"/>
      <c r="AN1976" s="11"/>
      <c r="AO1976" s="11"/>
      <c r="AP1976" s="11"/>
      <c r="AQ1976" s="11"/>
      <c r="AR1976" s="11"/>
      <c r="AS1976" s="11"/>
      <c r="AT1976" s="11"/>
      <c r="AU1976" s="11"/>
      <c r="AV1976" s="11"/>
      <c r="AW1976" s="11"/>
      <c r="AX1976" s="11"/>
      <c r="AY1976" s="11"/>
    </row>
    <row r="1977" spans="1:51" hidden="1" x14ac:dyDescent="0.2">
      <c r="A1977" s="6" t="s">
        <v>17</v>
      </c>
      <c r="B1977" t="s">
        <v>46</v>
      </c>
      <c r="C1977" t="s">
        <v>47</v>
      </c>
      <c r="D1977" t="s">
        <v>2533</v>
      </c>
      <c r="E1977" s="2">
        <v>398.4</v>
      </c>
      <c r="F1977" s="3">
        <f>DATE(2025,8,14)</f>
        <v>45883</v>
      </c>
      <c r="G1977" s="3">
        <f>DATE(2025,8,14)</f>
        <v>45883</v>
      </c>
      <c r="H1977">
        <v>2636734025</v>
      </c>
      <c r="I1977" t="s">
        <v>21</v>
      </c>
      <c r="K1977" t="s">
        <v>22</v>
      </c>
      <c r="L1977" t="s">
        <v>23</v>
      </c>
      <c r="M1977" t="s">
        <v>24</v>
      </c>
      <c r="N1977" t="s">
        <v>24</v>
      </c>
      <c r="O1977" t="s">
        <v>25</v>
      </c>
      <c r="P1977" s="8" t="s">
        <v>2534</v>
      </c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1"/>
      <c r="AF1977" s="11"/>
      <c r="AG1977" s="11"/>
      <c r="AH1977" s="11"/>
      <c r="AI1977" s="11"/>
      <c r="AJ1977" s="11"/>
      <c r="AK1977" s="11"/>
      <c r="AL1977" s="11"/>
      <c r="AM1977" s="11"/>
      <c r="AN1977" s="11"/>
      <c r="AO1977" s="11"/>
      <c r="AP1977" s="11"/>
      <c r="AQ1977" s="11"/>
      <c r="AR1977" s="11"/>
      <c r="AS1977" s="11"/>
      <c r="AT1977" s="11"/>
      <c r="AU1977" s="11"/>
      <c r="AV1977" s="11"/>
      <c r="AW1977" s="11"/>
      <c r="AX1977" s="11"/>
      <c r="AY1977" s="11"/>
    </row>
    <row r="1978" spans="1:51" hidden="1" x14ac:dyDescent="0.2">
      <c r="A1978" s="6"/>
      <c r="E1978" s="2"/>
      <c r="F1978" s="3"/>
      <c r="G1978" s="3"/>
      <c r="P1978" s="8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1"/>
      <c r="AF1978" s="11"/>
      <c r="AG1978" s="11"/>
      <c r="AH1978" s="11"/>
      <c r="AI1978" s="11"/>
      <c r="AJ1978" s="11"/>
      <c r="AK1978" s="11"/>
      <c r="AL1978" s="11"/>
      <c r="AM1978" s="11"/>
      <c r="AN1978" s="11"/>
      <c r="AO1978" s="11"/>
      <c r="AP1978" s="11"/>
      <c r="AQ1978" s="11"/>
      <c r="AR1978" s="11"/>
      <c r="AS1978" s="11"/>
      <c r="AT1978" s="11"/>
      <c r="AU1978" s="11"/>
      <c r="AV1978" s="11"/>
      <c r="AW1978" s="11"/>
      <c r="AX1978" s="11"/>
      <c r="AY1978" s="11"/>
    </row>
    <row r="1979" spans="1:51" hidden="1" x14ac:dyDescent="0.2">
      <c r="A1979" s="6"/>
      <c r="E1979" s="2"/>
      <c r="F1979" s="3"/>
      <c r="G1979" s="3"/>
      <c r="P1979" s="8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11"/>
      <c r="AG1979" s="11"/>
      <c r="AH1979" s="11"/>
      <c r="AI1979" s="11"/>
      <c r="AJ1979" s="11"/>
      <c r="AK1979" s="11"/>
      <c r="AL1979" s="11"/>
      <c r="AM1979" s="11"/>
      <c r="AN1979" s="11"/>
      <c r="AO1979" s="11"/>
      <c r="AP1979" s="11"/>
      <c r="AQ1979" s="11"/>
      <c r="AR1979" s="11"/>
      <c r="AS1979" s="11"/>
      <c r="AT1979" s="11"/>
      <c r="AU1979" s="11"/>
      <c r="AV1979" s="11"/>
      <c r="AW1979" s="11"/>
      <c r="AX1979" s="11"/>
      <c r="AY1979" s="11"/>
    </row>
    <row r="1980" spans="1:51" hidden="1" x14ac:dyDescent="0.2">
      <c r="A1980" s="6"/>
      <c r="E1980" s="2"/>
      <c r="F1980" s="3"/>
      <c r="G1980" s="3"/>
      <c r="P1980" s="8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1"/>
      <c r="AF1980" s="11"/>
      <c r="AG1980" s="11"/>
      <c r="AH1980" s="11"/>
      <c r="AI1980" s="11"/>
      <c r="AJ1980" s="11"/>
      <c r="AK1980" s="11"/>
      <c r="AL1980" s="11"/>
      <c r="AM1980" s="11"/>
      <c r="AN1980" s="11"/>
      <c r="AO1980" s="11"/>
      <c r="AP1980" s="11"/>
      <c r="AQ1980" s="11"/>
      <c r="AR1980" s="11"/>
      <c r="AS1980" s="11"/>
      <c r="AT1980" s="11"/>
      <c r="AU1980" s="11"/>
      <c r="AV1980" s="11"/>
      <c r="AW1980" s="11"/>
      <c r="AX1980" s="11"/>
      <c r="AY1980" s="11"/>
    </row>
    <row r="1981" spans="1:51" hidden="1" x14ac:dyDescent="0.2">
      <c r="A1981" s="6" t="s">
        <v>17</v>
      </c>
      <c r="B1981" t="s">
        <v>31</v>
      </c>
      <c r="C1981" t="s">
        <v>32</v>
      </c>
      <c r="D1981" t="s">
        <v>2535</v>
      </c>
      <c r="E1981" s="2">
        <v>127.2</v>
      </c>
      <c r="F1981" s="3">
        <f>DATE(2025,8,14)</f>
        <v>45883</v>
      </c>
      <c r="G1981" s="3">
        <f>DATE(2025,8,14)</f>
        <v>45883</v>
      </c>
      <c r="H1981">
        <v>2636734029</v>
      </c>
      <c r="I1981" t="s">
        <v>21</v>
      </c>
      <c r="K1981" t="s">
        <v>22</v>
      </c>
      <c r="L1981" t="s">
        <v>23</v>
      </c>
      <c r="M1981" t="s">
        <v>24</v>
      </c>
      <c r="N1981" t="s">
        <v>24</v>
      </c>
      <c r="O1981" t="s">
        <v>25</v>
      </c>
      <c r="P1981" s="8" t="s">
        <v>2536</v>
      </c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  <c r="AA1981" s="11"/>
      <c r="AB1981" s="11"/>
      <c r="AC1981" s="11"/>
      <c r="AD1981" s="11"/>
      <c r="AE1981" s="11"/>
      <c r="AF1981" s="11"/>
      <c r="AG1981" s="11"/>
      <c r="AH1981" s="11"/>
      <c r="AI1981" s="11"/>
      <c r="AJ1981" s="11"/>
      <c r="AK1981" s="11"/>
      <c r="AL1981" s="11"/>
      <c r="AM1981" s="11"/>
      <c r="AN1981" s="11"/>
      <c r="AO1981" s="11"/>
      <c r="AP1981" s="11"/>
      <c r="AQ1981" s="11"/>
      <c r="AR1981" s="11"/>
      <c r="AS1981" s="11"/>
      <c r="AT1981" s="11"/>
      <c r="AU1981" s="11"/>
      <c r="AV1981" s="11"/>
      <c r="AW1981" s="11"/>
      <c r="AX1981" s="11"/>
      <c r="AY1981" s="11"/>
    </row>
    <row r="1982" spans="1:51" hidden="1" x14ac:dyDescent="0.2">
      <c r="A1982" s="6" t="s">
        <v>17</v>
      </c>
      <c r="B1982" t="s">
        <v>31</v>
      </c>
      <c r="C1982" t="s">
        <v>32</v>
      </c>
      <c r="D1982" t="s">
        <v>2537</v>
      </c>
      <c r="E1982" s="2">
        <v>143.91999999999999</v>
      </c>
      <c r="F1982" s="3">
        <f>DATE(2025,8,14)</f>
        <v>45883</v>
      </c>
      <c r="G1982" s="3">
        <f>DATE(2025,8,14)</f>
        <v>45883</v>
      </c>
      <c r="H1982">
        <v>2636734030</v>
      </c>
      <c r="I1982" t="s">
        <v>21</v>
      </c>
      <c r="K1982" t="s">
        <v>22</v>
      </c>
      <c r="L1982" t="s">
        <v>23</v>
      </c>
      <c r="M1982" t="s">
        <v>24</v>
      </c>
      <c r="N1982" t="s">
        <v>24</v>
      </c>
      <c r="O1982" t="s">
        <v>25</v>
      </c>
      <c r="P1982" s="8" t="s">
        <v>2538</v>
      </c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1"/>
      <c r="AF1982" s="11"/>
      <c r="AG1982" s="11"/>
      <c r="AH1982" s="11"/>
      <c r="AI1982" s="11"/>
      <c r="AJ1982" s="11"/>
      <c r="AK1982" s="11"/>
      <c r="AL1982" s="11"/>
      <c r="AM1982" s="11"/>
      <c r="AN1982" s="11"/>
      <c r="AO1982" s="11"/>
      <c r="AP1982" s="11"/>
      <c r="AQ1982" s="11"/>
      <c r="AR1982" s="11"/>
      <c r="AS1982" s="11"/>
      <c r="AT1982" s="11"/>
      <c r="AU1982" s="11"/>
      <c r="AV1982" s="11"/>
      <c r="AW1982" s="11"/>
      <c r="AX1982" s="11"/>
      <c r="AY1982" s="11"/>
    </row>
    <row r="1983" spans="1:51" hidden="1" x14ac:dyDescent="0.2">
      <c r="A1983" s="6"/>
      <c r="E1983" s="2"/>
      <c r="F1983" s="3"/>
      <c r="G1983" s="3"/>
      <c r="P1983" s="8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1"/>
      <c r="AF1983" s="11"/>
      <c r="AG1983" s="11"/>
      <c r="AH1983" s="11"/>
      <c r="AI1983" s="11"/>
      <c r="AJ1983" s="11"/>
      <c r="AK1983" s="11"/>
      <c r="AL1983" s="11"/>
      <c r="AM1983" s="11"/>
      <c r="AN1983" s="11"/>
      <c r="AO1983" s="11"/>
      <c r="AP1983" s="11"/>
      <c r="AQ1983" s="11"/>
      <c r="AR1983" s="11"/>
      <c r="AS1983" s="11"/>
      <c r="AT1983" s="11"/>
      <c r="AU1983" s="11"/>
      <c r="AV1983" s="11"/>
      <c r="AW1983" s="11"/>
      <c r="AX1983" s="11"/>
      <c r="AY1983" s="11"/>
    </row>
    <row r="1984" spans="1:51" hidden="1" x14ac:dyDescent="0.2">
      <c r="A1984" s="6" t="s">
        <v>17</v>
      </c>
      <c r="B1984" t="s">
        <v>90</v>
      </c>
      <c r="C1984" t="s">
        <v>91</v>
      </c>
      <c r="D1984" t="s">
        <v>2539</v>
      </c>
      <c r="E1984" s="2">
        <v>840</v>
      </c>
      <c r="F1984" s="3">
        <f>DATE(2025,8,12)</f>
        <v>45881</v>
      </c>
      <c r="G1984" s="3">
        <f>DATE(2025,8,12)</f>
        <v>45881</v>
      </c>
      <c r="H1984">
        <v>2636734032</v>
      </c>
      <c r="I1984" t="s">
        <v>21</v>
      </c>
      <c r="K1984" t="s">
        <v>22</v>
      </c>
      <c r="L1984" t="s">
        <v>23</v>
      </c>
      <c r="M1984" t="s">
        <v>24</v>
      </c>
      <c r="N1984" t="s">
        <v>24</v>
      </c>
      <c r="O1984" t="s">
        <v>25</v>
      </c>
      <c r="P1984" s="8" t="s">
        <v>2540</v>
      </c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1"/>
      <c r="AF1984" s="11"/>
      <c r="AG1984" s="11"/>
      <c r="AH1984" s="11"/>
      <c r="AI1984" s="11"/>
      <c r="AJ1984" s="11"/>
      <c r="AK1984" s="11"/>
      <c r="AL1984" s="11"/>
      <c r="AM1984" s="11"/>
      <c r="AN1984" s="11"/>
      <c r="AO1984" s="11"/>
      <c r="AP1984" s="11"/>
      <c r="AQ1984" s="11"/>
      <c r="AR1984" s="11"/>
      <c r="AS1984" s="11"/>
      <c r="AT1984" s="11"/>
      <c r="AU1984" s="11"/>
      <c r="AV1984" s="11"/>
      <c r="AW1984" s="11"/>
      <c r="AX1984" s="11"/>
      <c r="AY1984" s="11"/>
    </row>
    <row r="1985" spans="1:51" hidden="1" x14ac:dyDescent="0.2">
      <c r="A1985" s="6" t="s">
        <v>17</v>
      </c>
      <c r="B1985" t="s">
        <v>90</v>
      </c>
      <c r="C1985" t="s">
        <v>91</v>
      </c>
      <c r="D1985" t="s">
        <v>2541</v>
      </c>
      <c r="E1985" s="2">
        <v>1250</v>
      </c>
      <c r="F1985" s="3">
        <f>DATE(2025,8,12)</f>
        <v>45881</v>
      </c>
      <c r="G1985" s="3">
        <f>DATE(2025,8,12)</f>
        <v>45881</v>
      </c>
      <c r="H1985">
        <v>2636734033</v>
      </c>
      <c r="I1985" t="s">
        <v>21</v>
      </c>
      <c r="K1985" t="s">
        <v>22</v>
      </c>
      <c r="L1985" t="s">
        <v>23</v>
      </c>
      <c r="M1985" t="s">
        <v>24</v>
      </c>
      <c r="N1985" t="s">
        <v>24</v>
      </c>
      <c r="O1985" t="s">
        <v>25</v>
      </c>
      <c r="P1985" s="8" t="s">
        <v>2542</v>
      </c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1"/>
      <c r="AF1985" s="11"/>
      <c r="AG1985" s="11"/>
      <c r="AH1985" s="11"/>
      <c r="AI1985" s="11"/>
      <c r="AJ1985" s="11"/>
      <c r="AK1985" s="11"/>
      <c r="AL1985" s="11"/>
      <c r="AM1985" s="11"/>
      <c r="AN1985" s="11"/>
      <c r="AO1985" s="11"/>
      <c r="AP1985" s="11"/>
      <c r="AQ1985" s="11"/>
      <c r="AR1985" s="11"/>
      <c r="AS1985" s="11"/>
      <c r="AT1985" s="11"/>
      <c r="AU1985" s="11"/>
      <c r="AV1985" s="11"/>
      <c r="AW1985" s="11"/>
      <c r="AX1985" s="11"/>
      <c r="AY1985" s="11"/>
    </row>
    <row r="1986" spans="1:51" hidden="1" x14ac:dyDescent="0.2">
      <c r="A1986" s="6"/>
      <c r="E1986" s="2"/>
      <c r="F1986" s="3"/>
      <c r="G1986" s="3"/>
      <c r="P1986" s="8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11"/>
      <c r="AB1986" s="11"/>
      <c r="AC1986" s="11"/>
      <c r="AD1986" s="11"/>
      <c r="AE1986" s="11"/>
      <c r="AF1986" s="11"/>
      <c r="AG1986" s="11"/>
      <c r="AH1986" s="11"/>
      <c r="AI1986" s="11"/>
      <c r="AJ1986" s="11"/>
      <c r="AK1986" s="11"/>
      <c r="AL1986" s="11"/>
      <c r="AM1986" s="11"/>
      <c r="AN1986" s="11"/>
      <c r="AO1986" s="11"/>
      <c r="AP1986" s="11"/>
      <c r="AQ1986" s="11"/>
      <c r="AR1986" s="11"/>
      <c r="AS1986" s="11"/>
      <c r="AT1986" s="11"/>
      <c r="AU1986" s="11"/>
      <c r="AV1986" s="11"/>
      <c r="AW1986" s="11"/>
      <c r="AX1986" s="11"/>
      <c r="AY1986" s="11"/>
    </row>
    <row r="1987" spans="1:51" hidden="1" x14ac:dyDescent="0.2">
      <c r="A1987" s="6"/>
      <c r="E1987" s="2"/>
      <c r="F1987" s="3"/>
      <c r="G1987" s="3"/>
      <c r="P1987" s="8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1"/>
      <c r="AF1987" s="11"/>
      <c r="AG1987" s="11"/>
      <c r="AH1987" s="11"/>
      <c r="AI1987" s="11"/>
      <c r="AJ1987" s="11"/>
      <c r="AK1987" s="11"/>
      <c r="AL1987" s="11"/>
      <c r="AM1987" s="11"/>
      <c r="AN1987" s="11"/>
      <c r="AO1987" s="11"/>
      <c r="AP1987" s="11"/>
      <c r="AQ1987" s="11"/>
      <c r="AR1987" s="11"/>
      <c r="AS1987" s="11"/>
      <c r="AT1987" s="11"/>
      <c r="AU1987" s="11"/>
      <c r="AV1987" s="11"/>
      <c r="AW1987" s="11"/>
      <c r="AX1987" s="11"/>
      <c r="AY1987" s="11"/>
    </row>
    <row r="1988" spans="1:51" hidden="1" x14ac:dyDescent="0.2">
      <c r="A1988" s="6"/>
      <c r="E1988" s="2"/>
      <c r="F1988" s="3"/>
      <c r="G1988" s="3"/>
      <c r="P1988" s="8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11"/>
      <c r="AG1988" s="11"/>
      <c r="AH1988" s="11"/>
      <c r="AI1988" s="11"/>
      <c r="AJ1988" s="11"/>
      <c r="AK1988" s="11"/>
      <c r="AL1988" s="11"/>
      <c r="AM1988" s="11"/>
      <c r="AN1988" s="11"/>
      <c r="AO1988" s="11"/>
      <c r="AP1988" s="11"/>
      <c r="AQ1988" s="11"/>
      <c r="AR1988" s="11"/>
      <c r="AS1988" s="11"/>
      <c r="AT1988" s="11"/>
      <c r="AU1988" s="11"/>
      <c r="AV1988" s="11"/>
      <c r="AW1988" s="11"/>
      <c r="AX1988" s="11"/>
      <c r="AY1988" s="11"/>
    </row>
    <row r="1989" spans="1:51" hidden="1" x14ac:dyDescent="0.2">
      <c r="A1989" s="6"/>
      <c r="E1989" s="2"/>
      <c r="F1989" s="3"/>
      <c r="G1989" s="3"/>
      <c r="P1989" s="8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1"/>
      <c r="AF1989" s="11"/>
      <c r="AG1989" s="11"/>
      <c r="AH1989" s="11"/>
      <c r="AI1989" s="11"/>
      <c r="AJ1989" s="11"/>
      <c r="AK1989" s="11"/>
      <c r="AL1989" s="11"/>
      <c r="AM1989" s="11"/>
      <c r="AN1989" s="11"/>
      <c r="AO1989" s="11"/>
      <c r="AP1989" s="11"/>
      <c r="AQ1989" s="11"/>
      <c r="AR1989" s="11"/>
      <c r="AS1989" s="11"/>
      <c r="AT1989" s="11"/>
      <c r="AU1989" s="11"/>
      <c r="AV1989" s="11"/>
      <c r="AW1989" s="11"/>
      <c r="AX1989" s="11"/>
      <c r="AY1989" s="11"/>
    </row>
    <row r="1990" spans="1:51" hidden="1" x14ac:dyDescent="0.2">
      <c r="A1990" s="6"/>
      <c r="E1990" s="2"/>
      <c r="F1990" s="3"/>
      <c r="G1990" s="3"/>
      <c r="P1990" s="8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1"/>
      <c r="AF1990" s="11"/>
      <c r="AG1990" s="11"/>
      <c r="AH1990" s="11"/>
      <c r="AI1990" s="11"/>
      <c r="AJ1990" s="11"/>
      <c r="AK1990" s="11"/>
      <c r="AL1990" s="11"/>
      <c r="AM1990" s="11"/>
      <c r="AN1990" s="11"/>
      <c r="AO1990" s="11"/>
      <c r="AP1990" s="11"/>
      <c r="AQ1990" s="11"/>
      <c r="AR1990" s="11"/>
      <c r="AS1990" s="11"/>
      <c r="AT1990" s="11"/>
      <c r="AU1990" s="11"/>
      <c r="AV1990" s="11"/>
      <c r="AW1990" s="11"/>
      <c r="AX1990" s="11"/>
      <c r="AY1990" s="11"/>
    </row>
    <row r="1991" spans="1:51" hidden="1" x14ac:dyDescent="0.2">
      <c r="A1991" s="6"/>
      <c r="E1991" s="2"/>
      <c r="F1991" s="3"/>
      <c r="G1991" s="3"/>
      <c r="P1991" s="8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11"/>
      <c r="AG1991" s="11"/>
      <c r="AH1991" s="11"/>
      <c r="AI1991" s="11"/>
      <c r="AJ1991" s="11"/>
      <c r="AK1991" s="11"/>
      <c r="AL1991" s="11"/>
      <c r="AM1991" s="11"/>
      <c r="AN1991" s="11"/>
      <c r="AO1991" s="11"/>
      <c r="AP1991" s="11"/>
      <c r="AQ1991" s="11"/>
      <c r="AR1991" s="11"/>
      <c r="AS1991" s="11"/>
      <c r="AT1991" s="11"/>
      <c r="AU1991" s="11"/>
      <c r="AV1991" s="11"/>
      <c r="AW1991" s="11"/>
      <c r="AX1991" s="11"/>
      <c r="AY1991" s="11"/>
    </row>
    <row r="1992" spans="1:51" hidden="1" x14ac:dyDescent="0.2">
      <c r="A1992" s="6"/>
      <c r="E1992" s="2"/>
      <c r="F1992" s="3"/>
      <c r="G1992" s="3"/>
      <c r="P1992" s="8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1"/>
      <c r="AF1992" s="11"/>
      <c r="AG1992" s="11"/>
      <c r="AH1992" s="11"/>
      <c r="AI1992" s="11"/>
      <c r="AJ1992" s="11"/>
      <c r="AK1992" s="11"/>
      <c r="AL1992" s="11"/>
      <c r="AM1992" s="11"/>
      <c r="AN1992" s="11"/>
      <c r="AO1992" s="11"/>
      <c r="AP1992" s="11"/>
      <c r="AQ1992" s="11"/>
      <c r="AR1992" s="11"/>
      <c r="AS1992" s="11"/>
      <c r="AT1992" s="11"/>
      <c r="AU1992" s="11"/>
      <c r="AV1992" s="11"/>
      <c r="AW1992" s="11"/>
      <c r="AX1992" s="11"/>
      <c r="AY1992" s="11"/>
    </row>
    <row r="1993" spans="1:51" hidden="1" x14ac:dyDescent="0.2">
      <c r="A1993" s="6" t="s">
        <v>17</v>
      </c>
      <c r="B1993" t="s">
        <v>35</v>
      </c>
      <c r="C1993" t="s">
        <v>35</v>
      </c>
      <c r="D1993" t="s">
        <v>2543</v>
      </c>
      <c r="E1993" s="2">
        <v>30.98</v>
      </c>
      <c r="F1993" s="3">
        <f t="shared" ref="F1993:G1998" si="173">DATE(2025,8,13)</f>
        <v>45882</v>
      </c>
      <c r="G1993" s="3">
        <f t="shared" si="173"/>
        <v>45882</v>
      </c>
      <c r="H1993">
        <v>2636738817</v>
      </c>
      <c r="I1993" t="s">
        <v>192</v>
      </c>
      <c r="K1993" t="s">
        <v>22</v>
      </c>
      <c r="L1993" t="s">
        <v>23</v>
      </c>
      <c r="M1993" t="s">
        <v>24</v>
      </c>
      <c r="N1993" t="s">
        <v>24</v>
      </c>
      <c r="O1993" t="s">
        <v>25</v>
      </c>
      <c r="P1993" s="8" t="s">
        <v>2544</v>
      </c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1"/>
      <c r="AF1993" s="11"/>
      <c r="AG1993" s="11"/>
      <c r="AH1993" s="11"/>
      <c r="AI1993" s="11"/>
      <c r="AJ1993" s="11"/>
      <c r="AK1993" s="11"/>
      <c r="AL1993" s="11"/>
      <c r="AM1993" s="11"/>
      <c r="AN1993" s="11"/>
      <c r="AO1993" s="11"/>
      <c r="AP1993" s="11"/>
      <c r="AQ1993" s="11"/>
      <c r="AR1993" s="11"/>
      <c r="AS1993" s="11"/>
      <c r="AT1993" s="11"/>
      <c r="AU1993" s="11"/>
      <c r="AV1993" s="11"/>
      <c r="AW1993" s="11"/>
      <c r="AX1993" s="11"/>
      <c r="AY1993" s="11"/>
    </row>
    <row r="1994" spans="1:51" hidden="1" x14ac:dyDescent="0.2">
      <c r="A1994" s="6" t="s">
        <v>17</v>
      </c>
      <c r="B1994" t="s">
        <v>118</v>
      </c>
      <c r="C1994" t="s">
        <v>119</v>
      </c>
      <c r="D1994" t="s">
        <v>2545</v>
      </c>
      <c r="E1994" s="2">
        <v>288.99</v>
      </c>
      <c r="F1994" s="3">
        <f t="shared" si="173"/>
        <v>45882</v>
      </c>
      <c r="G1994" s="3">
        <f t="shared" si="173"/>
        <v>45882</v>
      </c>
      <c r="H1994">
        <v>2636738818</v>
      </c>
      <c r="I1994" t="s">
        <v>192</v>
      </c>
      <c r="K1994" t="s">
        <v>22</v>
      </c>
      <c r="L1994" t="s">
        <v>23</v>
      </c>
      <c r="M1994" t="s">
        <v>24</v>
      </c>
      <c r="N1994" t="s">
        <v>24</v>
      </c>
      <c r="O1994" t="s">
        <v>25</v>
      </c>
      <c r="P1994" s="8" t="s">
        <v>2546</v>
      </c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1"/>
      <c r="AF1994" s="11"/>
      <c r="AG1994" s="11"/>
      <c r="AH1994" s="11"/>
      <c r="AI1994" s="11"/>
      <c r="AJ1994" s="11"/>
      <c r="AK1994" s="11"/>
      <c r="AL1994" s="11"/>
      <c r="AM1994" s="11"/>
      <c r="AN1994" s="11"/>
      <c r="AO1994" s="11"/>
      <c r="AP1994" s="11"/>
      <c r="AQ1994" s="11"/>
      <c r="AR1994" s="11"/>
      <c r="AS1994" s="11"/>
      <c r="AT1994" s="11"/>
      <c r="AU1994" s="11"/>
      <c r="AV1994" s="11"/>
      <c r="AW1994" s="11"/>
      <c r="AX1994" s="11"/>
      <c r="AY1994" s="11"/>
    </row>
    <row r="1995" spans="1:51" hidden="1" x14ac:dyDescent="0.2">
      <c r="A1995" s="6" t="s">
        <v>17</v>
      </c>
      <c r="B1995" t="s">
        <v>31</v>
      </c>
      <c r="C1995" t="s">
        <v>32</v>
      </c>
      <c r="D1995" t="s">
        <v>2547</v>
      </c>
      <c r="E1995" s="2">
        <v>40</v>
      </c>
      <c r="F1995" s="3">
        <f t="shared" si="173"/>
        <v>45882</v>
      </c>
      <c r="G1995" s="3">
        <f t="shared" si="173"/>
        <v>45882</v>
      </c>
      <c r="H1995">
        <v>2642827323</v>
      </c>
      <c r="I1995" t="s">
        <v>158</v>
      </c>
      <c r="K1995" t="s">
        <v>22</v>
      </c>
      <c r="L1995" t="s">
        <v>23</v>
      </c>
      <c r="M1995" t="s">
        <v>24</v>
      </c>
      <c r="N1995" t="s">
        <v>24</v>
      </c>
      <c r="O1995" t="s">
        <v>25</v>
      </c>
      <c r="P1995" s="8" t="s">
        <v>2548</v>
      </c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1"/>
      <c r="AF1995" s="11"/>
      <c r="AG1995" s="11"/>
      <c r="AH1995" s="11"/>
      <c r="AI1995" s="11"/>
      <c r="AJ1995" s="11"/>
      <c r="AK1995" s="11"/>
      <c r="AL1995" s="11"/>
      <c r="AM1995" s="11"/>
      <c r="AN1995" s="11"/>
      <c r="AO1995" s="11"/>
      <c r="AP1995" s="11"/>
      <c r="AQ1995" s="11"/>
      <c r="AR1995" s="11"/>
      <c r="AS1995" s="11"/>
      <c r="AT1995" s="11"/>
      <c r="AU1995" s="11"/>
      <c r="AV1995" s="11"/>
      <c r="AW1995" s="11"/>
      <c r="AX1995" s="11"/>
      <c r="AY1995" s="11"/>
    </row>
    <row r="1996" spans="1:51" hidden="1" x14ac:dyDescent="0.2">
      <c r="A1996" s="6" t="s">
        <v>17</v>
      </c>
      <c r="B1996" t="s">
        <v>173</v>
      </c>
      <c r="C1996" t="s">
        <v>154</v>
      </c>
      <c r="D1996" t="s">
        <v>2549</v>
      </c>
      <c r="E1996" s="2">
        <v>110.01</v>
      </c>
      <c r="F1996" s="3">
        <f t="shared" si="173"/>
        <v>45882</v>
      </c>
      <c r="G1996" s="3">
        <f t="shared" si="173"/>
        <v>45882</v>
      </c>
      <c r="H1996">
        <v>2642827324</v>
      </c>
      <c r="I1996" t="s">
        <v>158</v>
      </c>
      <c r="K1996" t="s">
        <v>22</v>
      </c>
      <c r="L1996" t="s">
        <v>23</v>
      </c>
      <c r="M1996" t="s">
        <v>24</v>
      </c>
      <c r="N1996" t="s">
        <v>24</v>
      </c>
      <c r="O1996" t="s">
        <v>25</v>
      </c>
      <c r="P1996" s="8" t="s">
        <v>2550</v>
      </c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  <c r="AA1996" s="11"/>
      <c r="AB1996" s="11"/>
      <c r="AC1996" s="11"/>
      <c r="AD1996" s="11"/>
      <c r="AE1996" s="11"/>
      <c r="AF1996" s="11"/>
      <c r="AG1996" s="11"/>
      <c r="AH1996" s="11"/>
      <c r="AI1996" s="11"/>
      <c r="AJ1996" s="11"/>
      <c r="AK1996" s="11"/>
      <c r="AL1996" s="11"/>
      <c r="AM1996" s="11"/>
      <c r="AN1996" s="11"/>
      <c r="AO1996" s="11"/>
      <c r="AP1996" s="11"/>
      <c r="AQ1996" s="11"/>
      <c r="AR1996" s="11"/>
      <c r="AS1996" s="11"/>
      <c r="AT1996" s="11"/>
      <c r="AU1996" s="11"/>
      <c r="AV1996" s="11"/>
      <c r="AW1996" s="11"/>
      <c r="AX1996" s="11"/>
      <c r="AY1996" s="11"/>
    </row>
    <row r="1997" spans="1:51" hidden="1" x14ac:dyDescent="0.2">
      <c r="A1997" s="6" t="s">
        <v>17</v>
      </c>
      <c r="B1997" t="s">
        <v>118</v>
      </c>
      <c r="C1997" t="s">
        <v>119</v>
      </c>
      <c r="D1997" t="s">
        <v>2551</v>
      </c>
      <c r="E1997" s="2">
        <v>30.33</v>
      </c>
      <c r="F1997" s="3">
        <f t="shared" si="173"/>
        <v>45882</v>
      </c>
      <c r="G1997" s="3">
        <f t="shared" si="173"/>
        <v>45882</v>
      </c>
      <c r="H1997">
        <v>2642827325</v>
      </c>
      <c r="I1997" t="s">
        <v>158</v>
      </c>
      <c r="K1997" t="s">
        <v>22</v>
      </c>
      <c r="L1997" t="s">
        <v>23</v>
      </c>
      <c r="M1997" t="s">
        <v>24</v>
      </c>
      <c r="N1997" t="s">
        <v>24</v>
      </c>
      <c r="O1997" t="s">
        <v>25</v>
      </c>
      <c r="P1997" s="8" t="s">
        <v>2552</v>
      </c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11"/>
      <c r="AG1997" s="11"/>
      <c r="AH1997" s="11"/>
      <c r="AI1997" s="11"/>
      <c r="AJ1997" s="11"/>
      <c r="AK1997" s="11"/>
      <c r="AL1997" s="11"/>
      <c r="AM1997" s="11"/>
      <c r="AN1997" s="11"/>
      <c r="AO1997" s="11"/>
      <c r="AP1997" s="11"/>
      <c r="AQ1997" s="11"/>
      <c r="AR1997" s="11"/>
      <c r="AS1997" s="11"/>
      <c r="AT1997" s="11"/>
      <c r="AU1997" s="11"/>
      <c r="AV1997" s="11"/>
      <c r="AW1997" s="11"/>
      <c r="AX1997" s="11"/>
      <c r="AY1997" s="11"/>
    </row>
    <row r="1998" spans="1:51" hidden="1" x14ac:dyDescent="0.2">
      <c r="A1998" s="6" t="s">
        <v>17</v>
      </c>
      <c r="B1998" t="s">
        <v>118</v>
      </c>
      <c r="C1998" t="s">
        <v>119</v>
      </c>
      <c r="D1998" t="s">
        <v>2553</v>
      </c>
      <c r="E1998" s="2">
        <v>58.98</v>
      </c>
      <c r="F1998" s="3">
        <f t="shared" si="173"/>
        <v>45882</v>
      </c>
      <c r="G1998" s="3">
        <f t="shared" si="173"/>
        <v>45882</v>
      </c>
      <c r="H1998">
        <v>2642827326</v>
      </c>
      <c r="I1998" t="s">
        <v>158</v>
      </c>
      <c r="K1998" t="s">
        <v>22</v>
      </c>
      <c r="L1998" t="s">
        <v>23</v>
      </c>
      <c r="M1998" t="s">
        <v>24</v>
      </c>
      <c r="N1998" t="s">
        <v>24</v>
      </c>
      <c r="O1998" t="s">
        <v>25</v>
      </c>
      <c r="P1998" s="8" t="s">
        <v>2554</v>
      </c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1"/>
      <c r="AF1998" s="11"/>
      <c r="AG1998" s="11"/>
      <c r="AH1998" s="11"/>
      <c r="AI1998" s="11"/>
      <c r="AJ1998" s="11"/>
      <c r="AK1998" s="11"/>
      <c r="AL1998" s="11"/>
      <c r="AM1998" s="11"/>
      <c r="AN1998" s="11"/>
      <c r="AO1998" s="11"/>
      <c r="AP1998" s="11"/>
      <c r="AQ1998" s="11"/>
      <c r="AR1998" s="11"/>
      <c r="AS1998" s="11"/>
      <c r="AT1998" s="11"/>
      <c r="AU1998" s="11"/>
      <c r="AV1998" s="11"/>
      <c r="AW1998" s="11"/>
      <c r="AX1998" s="11"/>
      <c r="AY1998" s="11"/>
    </row>
    <row r="1999" spans="1:51" hidden="1" x14ac:dyDescent="0.2">
      <c r="A1999" s="6" t="s">
        <v>17</v>
      </c>
      <c r="B1999" t="s">
        <v>42</v>
      </c>
      <c r="C1999" t="s">
        <v>43</v>
      </c>
      <c r="D1999" t="s">
        <v>2555</v>
      </c>
      <c r="E1999" s="2">
        <v>950.4</v>
      </c>
      <c r="F1999" s="3">
        <f t="shared" ref="F1999:G2014" si="174">DATE(2025,8,14)</f>
        <v>45883</v>
      </c>
      <c r="G1999" s="3">
        <f t="shared" si="174"/>
        <v>45883</v>
      </c>
      <c r="H1999">
        <v>2642827327</v>
      </c>
      <c r="I1999" t="s">
        <v>21</v>
      </c>
      <c r="K1999" t="s">
        <v>22</v>
      </c>
      <c r="L1999" t="s">
        <v>23</v>
      </c>
      <c r="M1999" t="s">
        <v>24</v>
      </c>
      <c r="N1999" t="s">
        <v>24</v>
      </c>
      <c r="O1999" t="s">
        <v>25</v>
      </c>
      <c r="P1999" s="8" t="s">
        <v>2556</v>
      </c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1"/>
      <c r="AB1999" s="11"/>
      <c r="AC1999" s="11"/>
      <c r="AD1999" s="11"/>
      <c r="AE1999" s="11"/>
      <c r="AF1999" s="11"/>
      <c r="AG1999" s="11"/>
      <c r="AH1999" s="11"/>
      <c r="AI1999" s="11"/>
      <c r="AJ1999" s="11"/>
      <c r="AK1999" s="11"/>
      <c r="AL1999" s="11"/>
      <c r="AM1999" s="11"/>
      <c r="AN1999" s="11"/>
      <c r="AO1999" s="11"/>
      <c r="AP1999" s="11"/>
      <c r="AQ1999" s="11"/>
      <c r="AR1999" s="11"/>
      <c r="AS1999" s="11"/>
      <c r="AT1999" s="11"/>
      <c r="AU1999" s="11"/>
      <c r="AV1999" s="11"/>
      <c r="AW1999" s="11"/>
      <c r="AX1999" s="11"/>
      <c r="AY1999" s="11"/>
    </row>
    <row r="2000" spans="1:51" x14ac:dyDescent="0.2">
      <c r="A2000" s="6" t="s">
        <v>17</v>
      </c>
      <c r="B2000" t="s">
        <v>342</v>
      </c>
      <c r="C2000" t="s">
        <v>342</v>
      </c>
      <c r="D2000" t="s">
        <v>2557</v>
      </c>
      <c r="E2000" s="2">
        <v>286</v>
      </c>
      <c r="F2000" s="3">
        <f t="shared" si="174"/>
        <v>45883</v>
      </c>
      <c r="G2000" s="3">
        <f t="shared" si="174"/>
        <v>45883</v>
      </c>
      <c r="H2000">
        <v>2642827328</v>
      </c>
      <c r="I2000" t="s">
        <v>21</v>
      </c>
      <c r="K2000" t="s">
        <v>22</v>
      </c>
      <c r="L2000" t="s">
        <v>23</v>
      </c>
      <c r="M2000" t="s">
        <v>24</v>
      </c>
      <c r="N2000" t="s">
        <v>24</v>
      </c>
      <c r="O2000" t="s">
        <v>25</v>
      </c>
      <c r="P2000" s="8" t="s">
        <v>2558</v>
      </c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1"/>
      <c r="AF2000" s="11"/>
      <c r="AG2000" s="11"/>
      <c r="AH2000" s="11"/>
      <c r="AI2000" s="11"/>
      <c r="AJ2000" s="11"/>
      <c r="AK2000" s="11"/>
      <c r="AL2000" s="11"/>
      <c r="AM2000" s="11"/>
      <c r="AN2000" s="11"/>
      <c r="AO2000" s="11"/>
      <c r="AP2000" s="11"/>
      <c r="AQ2000" s="11"/>
      <c r="AR2000" s="11"/>
      <c r="AS2000" s="11"/>
      <c r="AT2000" s="11"/>
      <c r="AU2000" s="11"/>
      <c r="AV2000" s="11"/>
      <c r="AW2000" s="11"/>
      <c r="AX2000" s="11"/>
      <c r="AY2000" s="11"/>
    </row>
    <row r="2001" spans="1:51" hidden="1" x14ac:dyDescent="0.2">
      <c r="A2001" s="6" t="s">
        <v>17</v>
      </c>
      <c r="B2001" t="s">
        <v>50</v>
      </c>
      <c r="C2001" t="s">
        <v>51</v>
      </c>
      <c r="D2001" t="s">
        <v>2559</v>
      </c>
      <c r="E2001" s="2">
        <v>2715.91</v>
      </c>
      <c r="F2001" s="3">
        <f t="shared" si="174"/>
        <v>45883</v>
      </c>
      <c r="G2001" s="3">
        <f t="shared" si="174"/>
        <v>45883</v>
      </c>
      <c r="H2001">
        <v>2642827329</v>
      </c>
      <c r="I2001" t="s">
        <v>21</v>
      </c>
      <c r="K2001" t="s">
        <v>22</v>
      </c>
      <c r="L2001" t="s">
        <v>23</v>
      </c>
      <c r="M2001" t="s">
        <v>24</v>
      </c>
      <c r="N2001" t="s">
        <v>24</v>
      </c>
      <c r="O2001" t="s">
        <v>25</v>
      </c>
      <c r="P2001" s="8" t="s">
        <v>2560</v>
      </c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  <c r="AA2001" s="11"/>
      <c r="AB2001" s="11"/>
      <c r="AC2001" s="11"/>
      <c r="AD2001" s="11"/>
      <c r="AE2001" s="11"/>
      <c r="AF2001" s="11"/>
      <c r="AG2001" s="11"/>
      <c r="AH2001" s="11"/>
      <c r="AI2001" s="11"/>
      <c r="AJ2001" s="11"/>
      <c r="AK2001" s="11"/>
      <c r="AL2001" s="11"/>
      <c r="AM2001" s="11"/>
      <c r="AN2001" s="11"/>
      <c r="AO2001" s="11"/>
      <c r="AP2001" s="11"/>
      <c r="AQ2001" s="11"/>
      <c r="AR2001" s="11"/>
      <c r="AS2001" s="11"/>
      <c r="AT2001" s="11"/>
      <c r="AU2001" s="11"/>
      <c r="AV2001" s="11"/>
      <c r="AW2001" s="11"/>
      <c r="AX2001" s="11"/>
      <c r="AY2001" s="11"/>
    </row>
    <row r="2002" spans="1:51" hidden="1" x14ac:dyDescent="0.2">
      <c r="A2002" s="6"/>
      <c r="E2002" s="2"/>
      <c r="F2002" s="3"/>
      <c r="G2002" s="3"/>
      <c r="P2002" s="8"/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  <c r="AA2002" s="11"/>
      <c r="AB2002" s="11"/>
      <c r="AC2002" s="11"/>
      <c r="AD2002" s="11"/>
      <c r="AE2002" s="11"/>
      <c r="AF2002" s="11"/>
      <c r="AG2002" s="11"/>
      <c r="AH2002" s="11"/>
      <c r="AI2002" s="11"/>
      <c r="AJ2002" s="11"/>
      <c r="AK2002" s="11"/>
      <c r="AL2002" s="11"/>
      <c r="AM2002" s="11"/>
      <c r="AN2002" s="11"/>
      <c r="AO2002" s="11"/>
      <c r="AP2002" s="11"/>
      <c r="AQ2002" s="11"/>
      <c r="AR2002" s="11"/>
      <c r="AS2002" s="11"/>
      <c r="AT2002" s="11"/>
      <c r="AU2002" s="11"/>
      <c r="AV2002" s="11"/>
      <c r="AW2002" s="11"/>
      <c r="AX2002" s="11"/>
      <c r="AY2002" s="11"/>
    </row>
    <row r="2003" spans="1:51" hidden="1" x14ac:dyDescent="0.2">
      <c r="A2003" s="6" t="s">
        <v>17</v>
      </c>
      <c r="B2003" t="s">
        <v>18</v>
      </c>
      <c r="C2003" t="s">
        <v>19</v>
      </c>
      <c r="D2003" t="s">
        <v>2561</v>
      </c>
      <c r="E2003" s="2">
        <v>452.88</v>
      </c>
      <c r="F2003" s="3">
        <f t="shared" si="174"/>
        <v>45883</v>
      </c>
      <c r="G2003" s="3">
        <f t="shared" si="174"/>
        <v>45883</v>
      </c>
      <c r="H2003">
        <v>2642827331</v>
      </c>
      <c r="I2003" t="s">
        <v>21</v>
      </c>
      <c r="K2003" t="s">
        <v>22</v>
      </c>
      <c r="L2003" t="s">
        <v>23</v>
      </c>
      <c r="M2003" t="s">
        <v>24</v>
      </c>
      <c r="N2003" t="s">
        <v>24</v>
      </c>
      <c r="O2003" t="s">
        <v>25</v>
      </c>
      <c r="P2003" s="8" t="s">
        <v>2562</v>
      </c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  <c r="AA2003" s="11"/>
      <c r="AB2003" s="11"/>
      <c r="AC2003" s="11"/>
      <c r="AD2003" s="11"/>
      <c r="AE2003" s="11"/>
      <c r="AF2003" s="11"/>
      <c r="AG2003" s="11"/>
      <c r="AH2003" s="11"/>
      <c r="AI2003" s="11"/>
      <c r="AJ2003" s="11"/>
      <c r="AK2003" s="11"/>
      <c r="AL2003" s="11"/>
      <c r="AM2003" s="11"/>
      <c r="AN2003" s="11"/>
      <c r="AO2003" s="11"/>
      <c r="AP2003" s="11"/>
      <c r="AQ2003" s="11"/>
      <c r="AR2003" s="11"/>
      <c r="AS2003" s="11"/>
      <c r="AT2003" s="11"/>
      <c r="AU2003" s="11"/>
      <c r="AV2003" s="11"/>
      <c r="AW2003" s="11"/>
      <c r="AX2003" s="11"/>
      <c r="AY2003" s="11"/>
    </row>
    <row r="2004" spans="1:51" hidden="1" x14ac:dyDescent="0.2">
      <c r="A2004" s="6" t="s">
        <v>17</v>
      </c>
      <c r="B2004" t="s">
        <v>878</v>
      </c>
      <c r="C2004" t="s">
        <v>879</v>
      </c>
      <c r="D2004" t="s">
        <v>2563</v>
      </c>
      <c r="E2004" s="2">
        <v>1259.8</v>
      </c>
      <c r="F2004" s="3">
        <f t="shared" si="174"/>
        <v>45883</v>
      </c>
      <c r="G2004" s="3">
        <f t="shared" si="174"/>
        <v>45883</v>
      </c>
      <c r="H2004">
        <v>2642827332</v>
      </c>
      <c r="I2004" t="s">
        <v>21</v>
      </c>
      <c r="K2004" t="s">
        <v>22</v>
      </c>
      <c r="L2004" t="s">
        <v>23</v>
      </c>
      <c r="M2004" t="s">
        <v>24</v>
      </c>
      <c r="N2004" t="s">
        <v>24</v>
      </c>
      <c r="O2004" t="s">
        <v>25</v>
      </c>
      <c r="P2004" s="8" t="s">
        <v>2564</v>
      </c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  <c r="AA2004" s="11"/>
      <c r="AB2004" s="11"/>
      <c r="AC2004" s="11"/>
      <c r="AD2004" s="11"/>
      <c r="AE2004" s="11"/>
      <c r="AF2004" s="11"/>
      <c r="AG2004" s="11"/>
      <c r="AH2004" s="11"/>
      <c r="AI2004" s="11"/>
      <c r="AJ2004" s="11"/>
      <c r="AK2004" s="11"/>
      <c r="AL2004" s="11"/>
      <c r="AM2004" s="11"/>
      <c r="AN2004" s="11"/>
      <c r="AO2004" s="11"/>
      <c r="AP2004" s="11"/>
      <c r="AQ2004" s="11"/>
      <c r="AR2004" s="11"/>
      <c r="AS2004" s="11"/>
      <c r="AT2004" s="11"/>
      <c r="AU2004" s="11"/>
      <c r="AV2004" s="11"/>
      <c r="AW2004" s="11"/>
      <c r="AX2004" s="11"/>
      <c r="AY2004" s="11"/>
    </row>
    <row r="2005" spans="1:51" hidden="1" x14ac:dyDescent="0.2">
      <c r="A2005" s="6" t="s">
        <v>17</v>
      </c>
      <c r="B2005" t="s">
        <v>46</v>
      </c>
      <c r="C2005" t="s">
        <v>47</v>
      </c>
      <c r="D2005" t="s">
        <v>2565</v>
      </c>
      <c r="E2005" s="2">
        <v>150</v>
      </c>
      <c r="F2005" s="3">
        <f t="shared" si="174"/>
        <v>45883</v>
      </c>
      <c r="G2005" s="3">
        <f t="shared" si="174"/>
        <v>45883</v>
      </c>
      <c r="H2005">
        <v>2642827333</v>
      </c>
      <c r="I2005" t="s">
        <v>21</v>
      </c>
      <c r="K2005" t="s">
        <v>22</v>
      </c>
      <c r="L2005" t="s">
        <v>23</v>
      </c>
      <c r="M2005" t="s">
        <v>24</v>
      </c>
      <c r="N2005" t="s">
        <v>24</v>
      </c>
      <c r="O2005" t="s">
        <v>25</v>
      </c>
      <c r="P2005" s="8" t="s">
        <v>2566</v>
      </c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  <c r="AA2005" s="11"/>
      <c r="AB2005" s="11"/>
      <c r="AC2005" s="11"/>
      <c r="AD2005" s="11"/>
      <c r="AE2005" s="11"/>
      <c r="AF2005" s="11"/>
      <c r="AG2005" s="11"/>
      <c r="AH2005" s="11"/>
      <c r="AI2005" s="11"/>
      <c r="AJ2005" s="11"/>
      <c r="AK2005" s="11"/>
      <c r="AL2005" s="11"/>
      <c r="AM2005" s="11"/>
      <c r="AN2005" s="11"/>
      <c r="AO2005" s="11"/>
      <c r="AP2005" s="11"/>
      <c r="AQ2005" s="11"/>
      <c r="AR2005" s="11"/>
      <c r="AS2005" s="11"/>
      <c r="AT2005" s="11"/>
      <c r="AU2005" s="11"/>
      <c r="AV2005" s="11"/>
      <c r="AW2005" s="11"/>
      <c r="AX2005" s="11"/>
      <c r="AY2005" s="11"/>
    </row>
    <row r="2006" spans="1:51" hidden="1" x14ac:dyDescent="0.2">
      <c r="A2006" s="6" t="s">
        <v>17</v>
      </c>
      <c r="B2006" t="s">
        <v>825</v>
      </c>
      <c r="C2006" t="s">
        <v>826</v>
      </c>
      <c r="D2006" t="s">
        <v>2567</v>
      </c>
      <c r="E2006" s="2">
        <v>918.05</v>
      </c>
      <c r="F2006" s="3">
        <f t="shared" si="174"/>
        <v>45883</v>
      </c>
      <c r="G2006" s="3">
        <f t="shared" si="174"/>
        <v>45883</v>
      </c>
      <c r="H2006">
        <v>2642827334</v>
      </c>
      <c r="I2006" t="s">
        <v>21</v>
      </c>
      <c r="K2006" t="s">
        <v>22</v>
      </c>
      <c r="L2006" t="s">
        <v>23</v>
      </c>
      <c r="M2006" t="s">
        <v>24</v>
      </c>
      <c r="N2006" t="s">
        <v>24</v>
      </c>
      <c r="O2006" t="s">
        <v>25</v>
      </c>
      <c r="P2006" s="8" t="s">
        <v>2568</v>
      </c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11"/>
      <c r="AG2006" s="11"/>
      <c r="AH2006" s="11"/>
      <c r="AI2006" s="11"/>
      <c r="AJ2006" s="11"/>
      <c r="AK2006" s="11"/>
      <c r="AL2006" s="11"/>
      <c r="AM2006" s="11"/>
      <c r="AN2006" s="11"/>
      <c r="AO2006" s="11"/>
      <c r="AP2006" s="11"/>
      <c r="AQ2006" s="11"/>
      <c r="AR2006" s="11"/>
      <c r="AS2006" s="11"/>
      <c r="AT2006" s="11"/>
      <c r="AU2006" s="11"/>
      <c r="AV2006" s="11"/>
      <c r="AW2006" s="11"/>
      <c r="AX2006" s="11"/>
      <c r="AY2006" s="11"/>
    </row>
    <row r="2007" spans="1:51" hidden="1" x14ac:dyDescent="0.2">
      <c r="A2007" s="6"/>
      <c r="E2007" s="2"/>
      <c r="F2007" s="3"/>
      <c r="G2007" s="3"/>
      <c r="P2007" s="8"/>
      <c r="Q2007" s="11"/>
      <c r="R2007" s="11"/>
      <c r="S2007" s="11"/>
      <c r="T2007" s="11"/>
      <c r="U2007" s="11"/>
      <c r="V2007" s="11"/>
      <c r="W2007" s="11"/>
      <c r="X2007" s="11"/>
      <c r="Y2007" s="11"/>
      <c r="Z2007" s="11"/>
      <c r="AA2007" s="11"/>
      <c r="AB2007" s="11"/>
      <c r="AC2007" s="11"/>
      <c r="AD2007" s="11"/>
      <c r="AE2007" s="11"/>
      <c r="AF2007" s="11"/>
      <c r="AG2007" s="11"/>
      <c r="AH2007" s="11"/>
      <c r="AI2007" s="11"/>
      <c r="AJ2007" s="11"/>
      <c r="AK2007" s="11"/>
      <c r="AL2007" s="11"/>
      <c r="AM2007" s="11"/>
      <c r="AN2007" s="11"/>
      <c r="AO2007" s="11"/>
      <c r="AP2007" s="11"/>
      <c r="AQ2007" s="11"/>
      <c r="AR2007" s="11"/>
      <c r="AS2007" s="11"/>
      <c r="AT2007" s="11"/>
      <c r="AU2007" s="11"/>
      <c r="AV2007" s="11"/>
      <c r="AW2007" s="11"/>
      <c r="AX2007" s="11"/>
      <c r="AY2007" s="11"/>
    </row>
    <row r="2008" spans="1:51" hidden="1" x14ac:dyDescent="0.2">
      <c r="A2008" s="6"/>
      <c r="E2008" s="2"/>
      <c r="F2008" s="3"/>
      <c r="G2008" s="3"/>
      <c r="P2008" s="8"/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  <c r="AA2008" s="11"/>
      <c r="AB2008" s="11"/>
      <c r="AC2008" s="11"/>
      <c r="AD2008" s="11"/>
      <c r="AE2008" s="11"/>
      <c r="AF2008" s="11"/>
      <c r="AG2008" s="11"/>
      <c r="AH2008" s="11"/>
      <c r="AI2008" s="11"/>
      <c r="AJ2008" s="11"/>
      <c r="AK2008" s="11"/>
      <c r="AL2008" s="11"/>
      <c r="AM2008" s="11"/>
      <c r="AN2008" s="11"/>
      <c r="AO2008" s="11"/>
      <c r="AP2008" s="11"/>
      <c r="AQ2008" s="11"/>
      <c r="AR2008" s="11"/>
      <c r="AS2008" s="11"/>
      <c r="AT2008" s="11"/>
      <c r="AU2008" s="11"/>
      <c r="AV2008" s="11"/>
      <c r="AW2008" s="11"/>
      <c r="AX2008" s="11"/>
      <c r="AY2008" s="11"/>
    </row>
    <row r="2009" spans="1:51" hidden="1" x14ac:dyDescent="0.2">
      <c r="A2009" s="6" t="s">
        <v>17</v>
      </c>
      <c r="B2009" t="s">
        <v>589</v>
      </c>
      <c r="C2009" t="s">
        <v>590</v>
      </c>
      <c r="D2009" t="s">
        <v>2569</v>
      </c>
      <c r="E2009" s="2">
        <v>1011.24</v>
      </c>
      <c r="F2009" s="3">
        <f t="shared" si="174"/>
        <v>45883</v>
      </c>
      <c r="G2009" s="3">
        <f t="shared" si="174"/>
        <v>45883</v>
      </c>
      <c r="H2009">
        <v>2642827337</v>
      </c>
      <c r="I2009" t="s">
        <v>21</v>
      </c>
      <c r="K2009" t="s">
        <v>22</v>
      </c>
      <c r="L2009" t="s">
        <v>23</v>
      </c>
      <c r="M2009" t="s">
        <v>24</v>
      </c>
      <c r="N2009" t="s">
        <v>24</v>
      </c>
      <c r="O2009" t="s">
        <v>25</v>
      </c>
      <c r="P2009" s="8" t="s">
        <v>2570</v>
      </c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  <c r="AA2009" s="11"/>
      <c r="AB2009" s="11"/>
      <c r="AC2009" s="11"/>
      <c r="AD2009" s="11"/>
      <c r="AE2009" s="11"/>
      <c r="AF2009" s="11"/>
      <c r="AG2009" s="11"/>
      <c r="AH2009" s="11"/>
      <c r="AI2009" s="11"/>
      <c r="AJ2009" s="11"/>
      <c r="AK2009" s="11"/>
      <c r="AL2009" s="11"/>
      <c r="AM2009" s="11"/>
      <c r="AN2009" s="11"/>
      <c r="AO2009" s="11"/>
      <c r="AP2009" s="11"/>
      <c r="AQ2009" s="11"/>
      <c r="AR2009" s="11"/>
      <c r="AS2009" s="11"/>
      <c r="AT2009" s="11"/>
      <c r="AU2009" s="11"/>
      <c r="AV2009" s="11"/>
      <c r="AW2009" s="11"/>
      <c r="AX2009" s="11"/>
      <c r="AY2009" s="11"/>
    </row>
    <row r="2010" spans="1:51" hidden="1" x14ac:dyDescent="0.2">
      <c r="A2010" s="6" t="s">
        <v>17</v>
      </c>
      <c r="B2010" t="s">
        <v>266</v>
      </c>
      <c r="C2010" t="s">
        <v>267</v>
      </c>
      <c r="D2010" t="s">
        <v>2571</v>
      </c>
      <c r="E2010" s="2">
        <v>168</v>
      </c>
      <c r="F2010" s="3">
        <f t="shared" si="174"/>
        <v>45883</v>
      </c>
      <c r="G2010" s="3">
        <f t="shared" si="174"/>
        <v>45883</v>
      </c>
      <c r="H2010">
        <v>2642827338</v>
      </c>
      <c r="I2010" t="s">
        <v>21</v>
      </c>
      <c r="K2010" t="s">
        <v>22</v>
      </c>
      <c r="L2010" t="s">
        <v>23</v>
      </c>
      <c r="M2010" t="s">
        <v>24</v>
      </c>
      <c r="N2010" t="s">
        <v>24</v>
      </c>
      <c r="O2010" t="s">
        <v>25</v>
      </c>
      <c r="P2010" s="8" t="s">
        <v>2572</v>
      </c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  <c r="AA2010" s="11"/>
      <c r="AB2010" s="11"/>
      <c r="AC2010" s="11"/>
      <c r="AD2010" s="11"/>
      <c r="AE2010" s="11"/>
      <c r="AF2010" s="11"/>
      <c r="AG2010" s="11"/>
      <c r="AH2010" s="11"/>
      <c r="AI2010" s="11"/>
      <c r="AJ2010" s="11"/>
      <c r="AK2010" s="11"/>
      <c r="AL2010" s="11"/>
      <c r="AM2010" s="11"/>
      <c r="AN2010" s="11"/>
      <c r="AO2010" s="11"/>
      <c r="AP2010" s="11"/>
      <c r="AQ2010" s="11"/>
      <c r="AR2010" s="11"/>
      <c r="AS2010" s="11"/>
      <c r="AT2010" s="11"/>
      <c r="AU2010" s="11"/>
      <c r="AV2010" s="11"/>
      <c r="AW2010" s="11"/>
      <c r="AX2010" s="11"/>
      <c r="AY2010" s="11"/>
    </row>
    <row r="2011" spans="1:51" hidden="1" x14ac:dyDescent="0.2">
      <c r="A2011" s="6"/>
      <c r="E2011" s="2"/>
      <c r="F2011" s="3"/>
      <c r="G2011" s="3"/>
      <c r="P2011" s="8"/>
      <c r="Q2011" s="11"/>
      <c r="R2011" s="11"/>
      <c r="S2011" s="11"/>
      <c r="T2011" s="11"/>
      <c r="U2011" s="11"/>
      <c r="V2011" s="11"/>
      <c r="W2011" s="11"/>
      <c r="X2011" s="11"/>
      <c r="Y2011" s="11"/>
      <c r="Z2011" s="11"/>
      <c r="AA2011" s="11"/>
      <c r="AB2011" s="11"/>
      <c r="AC2011" s="11"/>
      <c r="AD2011" s="11"/>
      <c r="AE2011" s="11"/>
      <c r="AF2011" s="11"/>
      <c r="AG2011" s="11"/>
      <c r="AH2011" s="11"/>
      <c r="AI2011" s="11"/>
      <c r="AJ2011" s="11"/>
      <c r="AK2011" s="11"/>
      <c r="AL2011" s="11"/>
      <c r="AM2011" s="11"/>
      <c r="AN2011" s="11"/>
      <c r="AO2011" s="11"/>
      <c r="AP2011" s="11"/>
      <c r="AQ2011" s="11"/>
      <c r="AR2011" s="11"/>
      <c r="AS2011" s="11"/>
      <c r="AT2011" s="11"/>
      <c r="AU2011" s="11"/>
      <c r="AV2011" s="11"/>
      <c r="AW2011" s="11"/>
      <c r="AX2011" s="11"/>
      <c r="AY2011" s="11"/>
    </row>
    <row r="2012" spans="1:51" hidden="1" x14ac:dyDescent="0.2">
      <c r="A2012" s="6" t="s">
        <v>17</v>
      </c>
      <c r="B2012" t="s">
        <v>54</v>
      </c>
      <c r="C2012" t="s">
        <v>55</v>
      </c>
      <c r="D2012" t="s">
        <v>2573</v>
      </c>
      <c r="E2012" s="2">
        <v>303.39999999999998</v>
      </c>
      <c r="F2012" s="3">
        <f t="shared" si="174"/>
        <v>45883</v>
      </c>
      <c r="G2012" s="3">
        <f t="shared" si="174"/>
        <v>45883</v>
      </c>
      <c r="H2012">
        <v>2642827340</v>
      </c>
      <c r="I2012" t="s">
        <v>21</v>
      </c>
      <c r="K2012" t="s">
        <v>22</v>
      </c>
      <c r="L2012" t="s">
        <v>23</v>
      </c>
      <c r="M2012" t="s">
        <v>24</v>
      </c>
      <c r="N2012" t="s">
        <v>24</v>
      </c>
      <c r="O2012" t="s">
        <v>25</v>
      </c>
      <c r="P2012" s="8" t="s">
        <v>2574</v>
      </c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  <c r="AA2012" s="11"/>
      <c r="AB2012" s="11"/>
      <c r="AC2012" s="11"/>
      <c r="AD2012" s="11"/>
      <c r="AE2012" s="11"/>
      <c r="AF2012" s="11"/>
      <c r="AG2012" s="11"/>
      <c r="AH2012" s="11"/>
      <c r="AI2012" s="11"/>
      <c r="AJ2012" s="11"/>
      <c r="AK2012" s="11"/>
      <c r="AL2012" s="11"/>
      <c r="AM2012" s="11"/>
      <c r="AN2012" s="11"/>
      <c r="AO2012" s="11"/>
      <c r="AP2012" s="11"/>
      <c r="AQ2012" s="11"/>
      <c r="AR2012" s="11"/>
      <c r="AS2012" s="11"/>
      <c r="AT2012" s="11"/>
      <c r="AU2012" s="11"/>
      <c r="AV2012" s="11"/>
      <c r="AW2012" s="11"/>
      <c r="AX2012" s="11"/>
      <c r="AY2012" s="11"/>
    </row>
    <row r="2013" spans="1:51" hidden="1" x14ac:dyDescent="0.2">
      <c r="A2013" s="6" t="s">
        <v>17</v>
      </c>
      <c r="B2013" t="s">
        <v>18</v>
      </c>
      <c r="C2013" t="s">
        <v>19</v>
      </c>
      <c r="D2013" t="s">
        <v>2575</v>
      </c>
      <c r="E2013" s="2">
        <v>68.400000000000006</v>
      </c>
      <c r="F2013" s="3">
        <f t="shared" si="174"/>
        <v>45883</v>
      </c>
      <c r="G2013" s="3">
        <f t="shared" si="174"/>
        <v>45883</v>
      </c>
      <c r="H2013">
        <v>2642827341</v>
      </c>
      <c r="I2013" t="s">
        <v>21</v>
      </c>
      <c r="K2013" t="s">
        <v>22</v>
      </c>
      <c r="L2013" t="s">
        <v>23</v>
      </c>
      <c r="M2013" t="s">
        <v>24</v>
      </c>
      <c r="N2013" t="s">
        <v>24</v>
      </c>
      <c r="O2013" t="s">
        <v>25</v>
      </c>
      <c r="P2013" s="8" t="s">
        <v>2576</v>
      </c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  <c r="AA2013" s="11"/>
      <c r="AB2013" s="11"/>
      <c r="AC2013" s="11"/>
      <c r="AD2013" s="11"/>
      <c r="AE2013" s="11"/>
      <c r="AF2013" s="11"/>
      <c r="AG2013" s="11"/>
      <c r="AH2013" s="11"/>
      <c r="AI2013" s="11"/>
      <c r="AJ2013" s="11"/>
      <c r="AK2013" s="11"/>
      <c r="AL2013" s="11"/>
      <c r="AM2013" s="11"/>
      <c r="AN2013" s="11"/>
      <c r="AO2013" s="11"/>
      <c r="AP2013" s="11"/>
      <c r="AQ2013" s="11"/>
      <c r="AR2013" s="11"/>
      <c r="AS2013" s="11"/>
      <c r="AT2013" s="11"/>
      <c r="AU2013" s="11"/>
      <c r="AV2013" s="11"/>
      <c r="AW2013" s="11"/>
      <c r="AX2013" s="11"/>
      <c r="AY2013" s="11"/>
    </row>
    <row r="2014" spans="1:51" hidden="1" x14ac:dyDescent="0.2">
      <c r="A2014" s="6" t="s">
        <v>17</v>
      </c>
      <c r="B2014" t="s">
        <v>50</v>
      </c>
      <c r="C2014" t="s">
        <v>51</v>
      </c>
      <c r="D2014" t="s">
        <v>2577</v>
      </c>
      <c r="E2014" s="2">
        <v>143.06</v>
      </c>
      <c r="F2014" s="3">
        <f t="shared" si="174"/>
        <v>45883</v>
      </c>
      <c r="G2014" s="3">
        <f t="shared" si="174"/>
        <v>45883</v>
      </c>
      <c r="H2014">
        <v>2642827342</v>
      </c>
      <c r="I2014" t="s">
        <v>21</v>
      </c>
      <c r="K2014" t="s">
        <v>22</v>
      </c>
      <c r="L2014" t="s">
        <v>23</v>
      </c>
      <c r="M2014" t="s">
        <v>24</v>
      </c>
      <c r="N2014" t="s">
        <v>24</v>
      </c>
      <c r="O2014" t="s">
        <v>25</v>
      </c>
      <c r="P2014" s="8" t="s">
        <v>2578</v>
      </c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  <c r="AA2014" s="11"/>
      <c r="AB2014" s="11"/>
      <c r="AC2014" s="11"/>
      <c r="AD2014" s="11"/>
      <c r="AE2014" s="11"/>
      <c r="AF2014" s="11"/>
      <c r="AG2014" s="11"/>
      <c r="AH2014" s="11"/>
      <c r="AI2014" s="11"/>
      <c r="AJ2014" s="11"/>
      <c r="AK2014" s="11"/>
      <c r="AL2014" s="11"/>
      <c r="AM2014" s="11"/>
      <c r="AN2014" s="11"/>
      <c r="AO2014" s="11"/>
      <c r="AP2014" s="11"/>
      <c r="AQ2014" s="11"/>
      <c r="AR2014" s="11"/>
      <c r="AS2014" s="11"/>
      <c r="AT2014" s="11"/>
      <c r="AU2014" s="11"/>
      <c r="AV2014" s="11"/>
      <c r="AW2014" s="11"/>
      <c r="AX2014" s="11"/>
      <c r="AY2014" s="11"/>
    </row>
    <row r="2015" spans="1:51" hidden="1" x14ac:dyDescent="0.2">
      <c r="A2015" s="6"/>
      <c r="E2015" s="2"/>
      <c r="F2015" s="3"/>
      <c r="G2015" s="3"/>
      <c r="P2015" s="8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  <c r="AA2015" s="11"/>
      <c r="AB2015" s="11"/>
      <c r="AC2015" s="11"/>
      <c r="AD2015" s="11"/>
      <c r="AE2015" s="11"/>
      <c r="AF2015" s="11"/>
      <c r="AG2015" s="11"/>
      <c r="AH2015" s="11"/>
      <c r="AI2015" s="11"/>
      <c r="AJ2015" s="11"/>
      <c r="AK2015" s="11"/>
      <c r="AL2015" s="11"/>
      <c r="AM2015" s="11"/>
      <c r="AN2015" s="11"/>
      <c r="AO2015" s="11"/>
      <c r="AP2015" s="11"/>
      <c r="AQ2015" s="11"/>
      <c r="AR2015" s="11"/>
      <c r="AS2015" s="11"/>
      <c r="AT2015" s="11"/>
      <c r="AU2015" s="11"/>
      <c r="AV2015" s="11"/>
      <c r="AW2015" s="11"/>
      <c r="AX2015" s="11"/>
      <c r="AY2015" s="11"/>
    </row>
    <row r="2016" spans="1:51" hidden="1" x14ac:dyDescent="0.2">
      <c r="A2016" s="6"/>
      <c r="E2016" s="2"/>
      <c r="F2016" s="3"/>
      <c r="G2016" s="3"/>
      <c r="P2016" s="8"/>
      <c r="Q2016" s="11"/>
      <c r="R2016" s="11"/>
      <c r="S2016" s="11"/>
      <c r="T2016" s="11"/>
      <c r="U2016" s="11"/>
      <c r="V2016" s="11"/>
      <c r="W2016" s="11"/>
      <c r="X2016" s="11"/>
      <c r="Y2016" s="11"/>
      <c r="Z2016" s="11"/>
      <c r="AA2016" s="11"/>
      <c r="AB2016" s="11"/>
      <c r="AC2016" s="11"/>
      <c r="AD2016" s="11"/>
      <c r="AE2016" s="11"/>
      <c r="AF2016" s="11"/>
      <c r="AG2016" s="11"/>
      <c r="AH2016" s="11"/>
      <c r="AI2016" s="11"/>
      <c r="AJ2016" s="11"/>
      <c r="AK2016" s="11"/>
      <c r="AL2016" s="11"/>
      <c r="AM2016" s="11"/>
      <c r="AN2016" s="11"/>
      <c r="AO2016" s="11"/>
      <c r="AP2016" s="11"/>
      <c r="AQ2016" s="11"/>
      <c r="AR2016" s="11"/>
      <c r="AS2016" s="11"/>
      <c r="AT2016" s="11"/>
      <c r="AU2016" s="11"/>
      <c r="AV2016" s="11"/>
      <c r="AW2016" s="11"/>
      <c r="AX2016" s="11"/>
      <c r="AY2016" s="11"/>
    </row>
    <row r="2017" spans="1:51" hidden="1" x14ac:dyDescent="0.2">
      <c r="A2017" s="6"/>
      <c r="E2017" s="2"/>
      <c r="F2017" s="3"/>
      <c r="G2017" s="3"/>
      <c r="P2017" s="8"/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  <c r="AA2017" s="11"/>
      <c r="AB2017" s="11"/>
      <c r="AC2017" s="11"/>
      <c r="AD2017" s="11"/>
      <c r="AE2017" s="11"/>
      <c r="AF2017" s="11"/>
      <c r="AG2017" s="11"/>
      <c r="AH2017" s="11"/>
      <c r="AI2017" s="11"/>
      <c r="AJ2017" s="11"/>
      <c r="AK2017" s="11"/>
      <c r="AL2017" s="11"/>
      <c r="AM2017" s="11"/>
      <c r="AN2017" s="11"/>
      <c r="AO2017" s="11"/>
      <c r="AP2017" s="11"/>
      <c r="AQ2017" s="11"/>
      <c r="AR2017" s="11"/>
      <c r="AS2017" s="11"/>
      <c r="AT2017" s="11"/>
      <c r="AU2017" s="11"/>
      <c r="AV2017" s="11"/>
      <c r="AW2017" s="11"/>
      <c r="AX2017" s="11"/>
      <c r="AY2017" s="11"/>
    </row>
    <row r="2018" spans="1:51" hidden="1" x14ac:dyDescent="0.2">
      <c r="A2018" s="6" t="s">
        <v>17</v>
      </c>
      <c r="B2018" t="s">
        <v>266</v>
      </c>
      <c r="C2018" t="s">
        <v>267</v>
      </c>
      <c r="D2018" t="s">
        <v>2579</v>
      </c>
      <c r="E2018" s="2">
        <v>307.8</v>
      </c>
      <c r="F2018" s="3">
        <f>DATE(2025,8,14)</f>
        <v>45883</v>
      </c>
      <c r="G2018" s="3">
        <f>DATE(2025,8,14)</f>
        <v>45883</v>
      </c>
      <c r="H2018">
        <v>2642827346</v>
      </c>
      <c r="I2018" t="s">
        <v>21</v>
      </c>
      <c r="K2018" t="s">
        <v>22</v>
      </c>
      <c r="L2018" t="s">
        <v>23</v>
      </c>
      <c r="M2018" t="s">
        <v>24</v>
      </c>
      <c r="N2018" t="s">
        <v>24</v>
      </c>
      <c r="O2018" t="s">
        <v>25</v>
      </c>
      <c r="P2018" s="8" t="s">
        <v>2580</v>
      </c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1"/>
      <c r="AB2018" s="11"/>
      <c r="AC2018" s="11"/>
      <c r="AD2018" s="11"/>
      <c r="AE2018" s="11"/>
      <c r="AF2018" s="11"/>
      <c r="AG2018" s="11"/>
      <c r="AH2018" s="11"/>
      <c r="AI2018" s="11"/>
      <c r="AJ2018" s="11"/>
      <c r="AK2018" s="11"/>
      <c r="AL2018" s="11"/>
      <c r="AM2018" s="11"/>
      <c r="AN2018" s="11"/>
      <c r="AO2018" s="11"/>
      <c r="AP2018" s="11"/>
      <c r="AQ2018" s="11"/>
      <c r="AR2018" s="11"/>
      <c r="AS2018" s="11"/>
      <c r="AT2018" s="11"/>
      <c r="AU2018" s="11"/>
      <c r="AV2018" s="11"/>
      <c r="AW2018" s="11"/>
      <c r="AX2018" s="11"/>
      <c r="AY2018" s="11"/>
    </row>
    <row r="2019" spans="1:51" hidden="1" x14ac:dyDescent="0.2">
      <c r="A2019" s="6" t="s">
        <v>17</v>
      </c>
      <c r="B2019" t="s">
        <v>1002</v>
      </c>
      <c r="C2019" t="s">
        <v>1003</v>
      </c>
      <c r="D2019" t="s">
        <v>2581</v>
      </c>
      <c r="E2019" s="2">
        <v>796.76</v>
      </c>
      <c r="F2019" s="3">
        <f>DATE(2025,8,15)</f>
        <v>45884</v>
      </c>
      <c r="G2019" s="3">
        <f>DATE(2025,8,15)</f>
        <v>45884</v>
      </c>
      <c r="H2019">
        <v>2642827347</v>
      </c>
      <c r="I2019" t="s">
        <v>21</v>
      </c>
      <c r="K2019" t="s">
        <v>22</v>
      </c>
      <c r="L2019" t="s">
        <v>23</v>
      </c>
      <c r="M2019" t="s">
        <v>24</v>
      </c>
      <c r="N2019" t="s">
        <v>24</v>
      </c>
      <c r="O2019" t="s">
        <v>25</v>
      </c>
      <c r="P2019" s="8" t="s">
        <v>2582</v>
      </c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1"/>
      <c r="AB2019" s="11"/>
      <c r="AC2019" s="11"/>
      <c r="AD2019" s="11"/>
      <c r="AE2019" s="11"/>
      <c r="AF2019" s="11"/>
      <c r="AG2019" s="11"/>
      <c r="AH2019" s="11"/>
      <c r="AI2019" s="11"/>
      <c r="AJ2019" s="11"/>
      <c r="AK2019" s="11"/>
      <c r="AL2019" s="11"/>
      <c r="AM2019" s="11"/>
      <c r="AN2019" s="11"/>
      <c r="AO2019" s="11"/>
      <c r="AP2019" s="11"/>
      <c r="AQ2019" s="11"/>
      <c r="AR2019" s="11"/>
      <c r="AS2019" s="11"/>
      <c r="AT2019" s="11"/>
      <c r="AU2019" s="11"/>
      <c r="AV2019" s="11"/>
      <c r="AW2019" s="11"/>
      <c r="AX2019" s="11"/>
      <c r="AY2019" s="11"/>
    </row>
    <row r="2020" spans="1:51" hidden="1" x14ac:dyDescent="0.2">
      <c r="A2020" s="6" t="s">
        <v>17</v>
      </c>
      <c r="B2020" t="s">
        <v>42</v>
      </c>
      <c r="C2020" t="s">
        <v>43</v>
      </c>
      <c r="D2020" t="s">
        <v>2583</v>
      </c>
      <c r="E2020" s="2">
        <v>91.9</v>
      </c>
      <c r="F2020" s="3">
        <f t="shared" ref="F2020:G2028" si="175">DATE(2025,8,14)</f>
        <v>45883</v>
      </c>
      <c r="G2020" s="3">
        <f t="shared" si="175"/>
        <v>45883</v>
      </c>
      <c r="H2020">
        <v>2642827348</v>
      </c>
      <c r="I2020" t="s">
        <v>21</v>
      </c>
      <c r="K2020" t="s">
        <v>22</v>
      </c>
      <c r="L2020" t="s">
        <v>23</v>
      </c>
      <c r="M2020" t="s">
        <v>24</v>
      </c>
      <c r="N2020" t="s">
        <v>24</v>
      </c>
      <c r="O2020" t="s">
        <v>25</v>
      </c>
      <c r="P2020" s="8" t="s">
        <v>2584</v>
      </c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  <c r="AA2020" s="11"/>
      <c r="AB2020" s="11"/>
      <c r="AC2020" s="11"/>
      <c r="AD2020" s="11"/>
      <c r="AE2020" s="11"/>
      <c r="AF2020" s="11"/>
      <c r="AG2020" s="11"/>
      <c r="AH2020" s="11"/>
      <c r="AI2020" s="11"/>
      <c r="AJ2020" s="11"/>
      <c r="AK2020" s="11"/>
      <c r="AL2020" s="11"/>
      <c r="AM2020" s="11"/>
      <c r="AN2020" s="11"/>
      <c r="AO2020" s="11"/>
      <c r="AP2020" s="11"/>
      <c r="AQ2020" s="11"/>
      <c r="AR2020" s="11"/>
      <c r="AS2020" s="11"/>
      <c r="AT2020" s="11"/>
      <c r="AU2020" s="11"/>
      <c r="AV2020" s="11"/>
      <c r="AW2020" s="11"/>
      <c r="AX2020" s="11"/>
      <c r="AY2020" s="11"/>
    </row>
    <row r="2021" spans="1:51" x14ac:dyDescent="0.2">
      <c r="A2021" s="6" t="s">
        <v>17</v>
      </c>
      <c r="B2021" t="s">
        <v>342</v>
      </c>
      <c r="C2021" t="s">
        <v>342</v>
      </c>
      <c r="D2021" t="s">
        <v>2585</v>
      </c>
      <c r="E2021" s="2">
        <v>4320</v>
      </c>
      <c r="F2021" s="3">
        <f t="shared" si="175"/>
        <v>45883</v>
      </c>
      <c r="G2021" s="3">
        <f t="shared" si="175"/>
        <v>45883</v>
      </c>
      <c r="H2021">
        <v>2642827349</v>
      </c>
      <c r="I2021" t="s">
        <v>21</v>
      </c>
      <c r="K2021" t="s">
        <v>22</v>
      </c>
      <c r="L2021" t="s">
        <v>23</v>
      </c>
      <c r="M2021" t="s">
        <v>24</v>
      </c>
      <c r="N2021" t="s">
        <v>24</v>
      </c>
      <c r="O2021" t="s">
        <v>25</v>
      </c>
      <c r="P2021" s="8" t="s">
        <v>2586</v>
      </c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  <c r="AA2021" s="11"/>
      <c r="AB2021" s="11"/>
      <c r="AC2021" s="11"/>
      <c r="AD2021" s="11"/>
      <c r="AE2021" s="11"/>
      <c r="AF2021" s="11"/>
      <c r="AG2021" s="11"/>
      <c r="AH2021" s="11"/>
      <c r="AI2021" s="11"/>
      <c r="AJ2021" s="11"/>
      <c r="AK2021" s="11"/>
      <c r="AL2021" s="11"/>
      <c r="AM2021" s="11"/>
      <c r="AN2021" s="11"/>
      <c r="AO2021" s="11"/>
      <c r="AP2021" s="11"/>
      <c r="AQ2021" s="11"/>
      <c r="AR2021" s="11"/>
      <c r="AS2021" s="11"/>
      <c r="AT2021" s="11"/>
      <c r="AU2021" s="11"/>
      <c r="AV2021" s="11"/>
      <c r="AW2021" s="11"/>
      <c r="AX2021" s="11"/>
      <c r="AY2021" s="11"/>
    </row>
    <row r="2022" spans="1:51" hidden="1" x14ac:dyDescent="0.2">
      <c r="A2022" s="6" t="s">
        <v>17</v>
      </c>
      <c r="B2022" t="s">
        <v>244</v>
      </c>
      <c r="C2022" t="s">
        <v>245</v>
      </c>
      <c r="D2022" t="s">
        <v>2587</v>
      </c>
      <c r="E2022" s="2">
        <v>1440</v>
      </c>
      <c r="F2022" s="3">
        <f t="shared" si="175"/>
        <v>45883</v>
      </c>
      <c r="G2022" s="3">
        <f t="shared" si="175"/>
        <v>45883</v>
      </c>
      <c r="H2022">
        <v>2642827350</v>
      </c>
      <c r="I2022" t="s">
        <v>21</v>
      </c>
      <c r="K2022" t="s">
        <v>22</v>
      </c>
      <c r="L2022" t="s">
        <v>23</v>
      </c>
      <c r="M2022" t="s">
        <v>24</v>
      </c>
      <c r="N2022" t="s">
        <v>24</v>
      </c>
      <c r="O2022" t="s">
        <v>25</v>
      </c>
      <c r="P2022" s="8" t="s">
        <v>2588</v>
      </c>
      <c r="Q2022" s="11"/>
      <c r="R2022" s="11"/>
      <c r="S2022" s="11"/>
      <c r="T2022" s="11"/>
      <c r="U2022" s="11"/>
      <c r="V2022" s="11"/>
      <c r="W2022" s="11"/>
      <c r="X2022" s="11"/>
      <c r="Y2022" s="11"/>
      <c r="Z2022" s="11"/>
      <c r="AA2022" s="11"/>
      <c r="AB2022" s="11"/>
      <c r="AC2022" s="11"/>
      <c r="AD2022" s="11"/>
      <c r="AE2022" s="11"/>
      <c r="AF2022" s="11"/>
      <c r="AG2022" s="11"/>
      <c r="AH2022" s="11"/>
      <c r="AI2022" s="11"/>
      <c r="AJ2022" s="11"/>
      <c r="AK2022" s="11"/>
      <c r="AL2022" s="11"/>
      <c r="AM2022" s="11"/>
      <c r="AN2022" s="11"/>
      <c r="AO2022" s="11"/>
      <c r="AP2022" s="11"/>
      <c r="AQ2022" s="11"/>
      <c r="AR2022" s="11"/>
      <c r="AS2022" s="11"/>
      <c r="AT2022" s="11"/>
      <c r="AU2022" s="11"/>
      <c r="AV2022" s="11"/>
      <c r="AW2022" s="11"/>
      <c r="AX2022" s="11"/>
      <c r="AY2022" s="11"/>
    </row>
    <row r="2023" spans="1:51" hidden="1" x14ac:dyDescent="0.2">
      <c r="A2023" s="6" t="s">
        <v>17</v>
      </c>
      <c r="B2023" t="s">
        <v>244</v>
      </c>
      <c r="C2023" t="s">
        <v>245</v>
      </c>
      <c r="D2023" t="s">
        <v>2589</v>
      </c>
      <c r="E2023" s="2">
        <v>240</v>
      </c>
      <c r="F2023" s="3">
        <f t="shared" si="175"/>
        <v>45883</v>
      </c>
      <c r="G2023" s="3">
        <f t="shared" si="175"/>
        <v>45883</v>
      </c>
      <c r="H2023">
        <v>2642827351</v>
      </c>
      <c r="I2023" t="s">
        <v>21</v>
      </c>
      <c r="K2023" t="s">
        <v>22</v>
      </c>
      <c r="L2023" t="s">
        <v>23</v>
      </c>
      <c r="M2023" t="s">
        <v>24</v>
      </c>
      <c r="N2023" t="s">
        <v>24</v>
      </c>
      <c r="O2023" t="s">
        <v>25</v>
      </c>
      <c r="P2023" s="8" t="s">
        <v>2590</v>
      </c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  <c r="AA2023" s="11"/>
      <c r="AB2023" s="11"/>
      <c r="AC2023" s="11"/>
      <c r="AD2023" s="11"/>
      <c r="AE2023" s="11"/>
      <c r="AF2023" s="11"/>
      <c r="AG2023" s="11"/>
      <c r="AH2023" s="11"/>
      <c r="AI2023" s="11"/>
      <c r="AJ2023" s="11"/>
      <c r="AK2023" s="11"/>
      <c r="AL2023" s="11"/>
      <c r="AM2023" s="11"/>
      <c r="AN2023" s="11"/>
      <c r="AO2023" s="11"/>
      <c r="AP2023" s="11"/>
      <c r="AQ2023" s="11"/>
      <c r="AR2023" s="11"/>
      <c r="AS2023" s="11"/>
      <c r="AT2023" s="11"/>
      <c r="AU2023" s="11"/>
      <c r="AV2023" s="11"/>
      <c r="AW2023" s="11"/>
      <c r="AX2023" s="11"/>
      <c r="AY2023" s="11"/>
    </row>
    <row r="2024" spans="1:51" hidden="1" x14ac:dyDescent="0.2">
      <c r="A2024" s="6"/>
      <c r="E2024" s="2"/>
      <c r="F2024" s="3"/>
      <c r="G2024" s="3"/>
      <c r="P2024" s="8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  <c r="AA2024" s="11"/>
      <c r="AB2024" s="11"/>
      <c r="AC2024" s="11"/>
      <c r="AD2024" s="11"/>
      <c r="AE2024" s="11"/>
      <c r="AF2024" s="11"/>
      <c r="AG2024" s="11"/>
      <c r="AH2024" s="11"/>
      <c r="AI2024" s="11"/>
      <c r="AJ2024" s="11"/>
      <c r="AK2024" s="11"/>
      <c r="AL2024" s="11"/>
      <c r="AM2024" s="11"/>
      <c r="AN2024" s="11"/>
      <c r="AO2024" s="11"/>
      <c r="AP2024" s="11"/>
      <c r="AQ2024" s="11"/>
      <c r="AR2024" s="11"/>
      <c r="AS2024" s="11"/>
      <c r="AT2024" s="11"/>
      <c r="AU2024" s="11"/>
      <c r="AV2024" s="11"/>
      <c r="AW2024" s="11"/>
      <c r="AX2024" s="11"/>
      <c r="AY2024" s="11"/>
    </row>
    <row r="2025" spans="1:51" hidden="1" x14ac:dyDescent="0.2">
      <c r="A2025" s="6"/>
      <c r="E2025" s="2"/>
      <c r="F2025" s="3"/>
      <c r="G2025" s="3"/>
      <c r="P2025" s="8"/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  <c r="AA2025" s="11"/>
      <c r="AB2025" s="11"/>
      <c r="AC2025" s="11"/>
      <c r="AD2025" s="11"/>
      <c r="AE2025" s="11"/>
      <c r="AF2025" s="11"/>
      <c r="AG2025" s="11"/>
      <c r="AH2025" s="11"/>
      <c r="AI2025" s="11"/>
      <c r="AJ2025" s="11"/>
      <c r="AK2025" s="11"/>
      <c r="AL2025" s="11"/>
      <c r="AM2025" s="11"/>
      <c r="AN2025" s="11"/>
      <c r="AO2025" s="11"/>
      <c r="AP2025" s="11"/>
      <c r="AQ2025" s="11"/>
      <c r="AR2025" s="11"/>
      <c r="AS2025" s="11"/>
      <c r="AT2025" s="11"/>
      <c r="AU2025" s="11"/>
      <c r="AV2025" s="11"/>
      <c r="AW2025" s="11"/>
      <c r="AX2025" s="11"/>
      <c r="AY2025" s="11"/>
    </row>
    <row r="2026" spans="1:51" hidden="1" x14ac:dyDescent="0.2">
      <c r="A2026" s="6" t="s">
        <v>17</v>
      </c>
      <c r="B2026" t="s">
        <v>46</v>
      </c>
      <c r="C2026" t="s">
        <v>47</v>
      </c>
      <c r="D2026" t="s">
        <v>2591</v>
      </c>
      <c r="E2026" s="2">
        <v>204.44</v>
      </c>
      <c r="F2026" s="3">
        <f t="shared" si="175"/>
        <v>45883</v>
      </c>
      <c r="G2026" s="3">
        <f t="shared" si="175"/>
        <v>45883</v>
      </c>
      <c r="H2026">
        <v>2642831906</v>
      </c>
      <c r="I2026" t="s">
        <v>192</v>
      </c>
      <c r="K2026" t="s">
        <v>22</v>
      </c>
      <c r="L2026" t="s">
        <v>23</v>
      </c>
      <c r="M2026" t="s">
        <v>24</v>
      </c>
      <c r="N2026" t="s">
        <v>24</v>
      </c>
      <c r="O2026" t="s">
        <v>25</v>
      </c>
      <c r="P2026" s="8" t="s">
        <v>2592</v>
      </c>
      <c r="Q2026" s="11"/>
      <c r="R2026" s="11"/>
      <c r="S2026" s="11"/>
      <c r="T2026" s="11"/>
      <c r="U2026" s="11"/>
      <c r="V2026" s="11"/>
      <c r="W2026" s="11"/>
      <c r="X2026" s="11"/>
      <c r="Y2026" s="11"/>
      <c r="Z2026" s="11"/>
      <c r="AA2026" s="11"/>
      <c r="AB2026" s="11"/>
      <c r="AC2026" s="11"/>
      <c r="AD2026" s="11"/>
      <c r="AE2026" s="11"/>
      <c r="AF2026" s="11"/>
      <c r="AG2026" s="11"/>
      <c r="AH2026" s="11"/>
      <c r="AI2026" s="11"/>
      <c r="AJ2026" s="11"/>
      <c r="AK2026" s="11"/>
      <c r="AL2026" s="11"/>
      <c r="AM2026" s="11"/>
      <c r="AN2026" s="11"/>
      <c r="AO2026" s="11"/>
      <c r="AP2026" s="11"/>
      <c r="AQ2026" s="11"/>
      <c r="AR2026" s="11"/>
      <c r="AS2026" s="11"/>
      <c r="AT2026" s="11"/>
      <c r="AU2026" s="11"/>
      <c r="AV2026" s="11"/>
      <c r="AW2026" s="11"/>
      <c r="AX2026" s="11"/>
      <c r="AY2026" s="11"/>
    </row>
    <row r="2027" spans="1:51" hidden="1" x14ac:dyDescent="0.2">
      <c r="A2027" s="6"/>
      <c r="E2027" s="2"/>
      <c r="F2027" s="3"/>
      <c r="G2027" s="3"/>
      <c r="P2027" s="8"/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  <c r="AA2027" s="11"/>
      <c r="AB2027" s="11"/>
      <c r="AC2027" s="11"/>
      <c r="AD2027" s="11"/>
      <c r="AE2027" s="11"/>
      <c r="AF2027" s="11"/>
      <c r="AG2027" s="11"/>
      <c r="AH2027" s="11"/>
      <c r="AI2027" s="11"/>
      <c r="AJ2027" s="11"/>
      <c r="AK2027" s="11"/>
      <c r="AL2027" s="11"/>
      <c r="AM2027" s="11"/>
      <c r="AN2027" s="11"/>
      <c r="AO2027" s="11"/>
      <c r="AP2027" s="11"/>
      <c r="AQ2027" s="11"/>
      <c r="AR2027" s="11"/>
      <c r="AS2027" s="11"/>
      <c r="AT2027" s="11"/>
      <c r="AU2027" s="11"/>
      <c r="AV2027" s="11"/>
      <c r="AW2027" s="11"/>
      <c r="AX2027" s="11"/>
      <c r="AY2027" s="11"/>
    </row>
    <row r="2028" spans="1:51" x14ac:dyDescent="0.2">
      <c r="A2028" s="6" t="s">
        <v>17</v>
      </c>
      <c r="B2028" t="s">
        <v>342</v>
      </c>
      <c r="C2028" t="s">
        <v>342</v>
      </c>
      <c r="D2028" t="s">
        <v>2593</v>
      </c>
      <c r="E2028" s="2">
        <v>495</v>
      </c>
      <c r="F2028" s="3">
        <f t="shared" si="175"/>
        <v>45883</v>
      </c>
      <c r="G2028" s="3">
        <f t="shared" si="175"/>
        <v>45883</v>
      </c>
      <c r="H2028">
        <v>2642831908</v>
      </c>
      <c r="I2028" t="s">
        <v>192</v>
      </c>
      <c r="K2028" t="s">
        <v>22</v>
      </c>
      <c r="L2028" t="s">
        <v>23</v>
      </c>
      <c r="M2028" t="s">
        <v>24</v>
      </c>
      <c r="N2028" t="s">
        <v>24</v>
      </c>
      <c r="O2028" t="s">
        <v>25</v>
      </c>
      <c r="P2028" s="8" t="s">
        <v>2594</v>
      </c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  <c r="AA2028" s="11"/>
      <c r="AB2028" s="11"/>
      <c r="AC2028" s="11"/>
      <c r="AD2028" s="11"/>
      <c r="AE2028" s="11"/>
      <c r="AF2028" s="11"/>
      <c r="AG2028" s="11"/>
      <c r="AH2028" s="11"/>
      <c r="AI2028" s="11"/>
      <c r="AJ2028" s="11"/>
      <c r="AK2028" s="11"/>
      <c r="AL2028" s="11"/>
      <c r="AM2028" s="11"/>
      <c r="AN2028" s="11"/>
      <c r="AO2028" s="11"/>
      <c r="AP2028" s="11"/>
      <c r="AQ2028" s="11"/>
      <c r="AR2028" s="11"/>
      <c r="AS2028" s="11"/>
      <c r="AT2028" s="11"/>
      <c r="AU2028" s="11"/>
      <c r="AV2028" s="11"/>
      <c r="AW2028" s="11"/>
      <c r="AX2028" s="11"/>
      <c r="AY2028" s="11"/>
    </row>
    <row r="2029" spans="1:51" hidden="1" x14ac:dyDescent="0.2">
      <c r="A2029" s="6"/>
      <c r="E2029" s="2"/>
      <c r="F2029" s="3"/>
      <c r="G2029" s="3"/>
      <c r="P2029" s="8"/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  <c r="AA2029" s="11"/>
      <c r="AB2029" s="11"/>
      <c r="AC2029" s="11"/>
      <c r="AD2029" s="11"/>
      <c r="AE2029" s="11"/>
      <c r="AF2029" s="11"/>
      <c r="AG2029" s="11"/>
      <c r="AH2029" s="11"/>
      <c r="AI2029" s="11"/>
      <c r="AJ2029" s="11"/>
      <c r="AK2029" s="11"/>
      <c r="AL2029" s="11"/>
      <c r="AM2029" s="11"/>
      <c r="AN2029" s="11"/>
      <c r="AO2029" s="11"/>
      <c r="AP2029" s="11"/>
      <c r="AQ2029" s="11"/>
      <c r="AR2029" s="11"/>
      <c r="AS2029" s="11"/>
      <c r="AT2029" s="11"/>
      <c r="AU2029" s="11"/>
      <c r="AV2029" s="11"/>
      <c r="AW2029" s="11"/>
      <c r="AX2029" s="11"/>
      <c r="AY2029" s="11"/>
    </row>
    <row r="2030" spans="1:51" x14ac:dyDescent="0.2">
      <c r="A2030" s="6" t="s">
        <v>17</v>
      </c>
      <c r="B2030" t="s">
        <v>342</v>
      </c>
      <c r="C2030" t="s">
        <v>342</v>
      </c>
      <c r="D2030" t="s">
        <v>2595</v>
      </c>
      <c r="E2030" s="2">
        <v>13.36</v>
      </c>
      <c r="F2030" s="3">
        <f t="shared" ref="F2030:G2032" si="176">DATE(2025,8,15)</f>
        <v>45884</v>
      </c>
      <c r="G2030" s="3">
        <f t="shared" si="176"/>
        <v>45884</v>
      </c>
      <c r="H2030">
        <v>2650374450</v>
      </c>
      <c r="I2030" t="s">
        <v>158</v>
      </c>
      <c r="K2030" t="s">
        <v>22</v>
      </c>
      <c r="L2030" t="s">
        <v>23</v>
      </c>
      <c r="M2030" t="s">
        <v>24</v>
      </c>
      <c r="N2030" t="s">
        <v>24</v>
      </c>
      <c r="O2030" t="s">
        <v>25</v>
      </c>
      <c r="P2030" s="8" t="s">
        <v>2596</v>
      </c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1"/>
      <c r="AF2030" s="11"/>
      <c r="AG2030" s="11"/>
      <c r="AH2030" s="11"/>
      <c r="AI2030" s="11"/>
      <c r="AJ2030" s="11"/>
      <c r="AK2030" s="11"/>
      <c r="AL2030" s="11"/>
      <c r="AM2030" s="11"/>
      <c r="AN2030" s="11"/>
      <c r="AO2030" s="11"/>
      <c r="AP2030" s="11"/>
      <c r="AQ2030" s="11"/>
      <c r="AR2030" s="11"/>
      <c r="AS2030" s="11"/>
      <c r="AT2030" s="11"/>
      <c r="AU2030" s="11"/>
      <c r="AV2030" s="11"/>
      <c r="AW2030" s="11"/>
      <c r="AX2030" s="11"/>
      <c r="AY2030" s="11"/>
    </row>
    <row r="2031" spans="1:51" x14ac:dyDescent="0.2">
      <c r="A2031" s="6" t="s">
        <v>17</v>
      </c>
      <c r="B2031" t="s">
        <v>342</v>
      </c>
      <c r="C2031" t="s">
        <v>342</v>
      </c>
      <c r="D2031" t="s">
        <v>2597</v>
      </c>
      <c r="E2031" s="2">
        <v>49.9</v>
      </c>
      <c r="F2031" s="3">
        <f t="shared" si="176"/>
        <v>45884</v>
      </c>
      <c r="G2031" s="3">
        <f t="shared" si="176"/>
        <v>45884</v>
      </c>
      <c r="H2031">
        <v>2650374451</v>
      </c>
      <c r="I2031" t="s">
        <v>158</v>
      </c>
      <c r="K2031" t="s">
        <v>22</v>
      </c>
      <c r="L2031" t="s">
        <v>23</v>
      </c>
      <c r="M2031" t="s">
        <v>24</v>
      </c>
      <c r="N2031" t="s">
        <v>24</v>
      </c>
      <c r="O2031" t="s">
        <v>25</v>
      </c>
      <c r="P2031" s="8" t="s">
        <v>2598</v>
      </c>
      <c r="Q2031" s="11"/>
      <c r="R2031" s="11"/>
      <c r="S2031" s="11"/>
      <c r="T2031" s="11"/>
      <c r="U2031" s="11"/>
      <c r="V2031" s="11"/>
      <c r="W2031" s="11"/>
      <c r="X2031" s="11"/>
      <c r="Y2031" s="11"/>
      <c r="Z2031" s="11"/>
      <c r="AA2031" s="11"/>
      <c r="AB2031" s="11"/>
      <c r="AC2031" s="11"/>
      <c r="AD2031" s="11"/>
      <c r="AE2031" s="11"/>
      <c r="AF2031" s="11"/>
      <c r="AG2031" s="11"/>
      <c r="AH2031" s="11"/>
      <c r="AI2031" s="11"/>
      <c r="AJ2031" s="11"/>
      <c r="AK2031" s="11"/>
      <c r="AL2031" s="11"/>
      <c r="AM2031" s="11"/>
      <c r="AN2031" s="11"/>
      <c r="AO2031" s="11"/>
      <c r="AP2031" s="11"/>
      <c r="AQ2031" s="11"/>
      <c r="AR2031" s="11"/>
      <c r="AS2031" s="11"/>
      <c r="AT2031" s="11"/>
      <c r="AU2031" s="11"/>
      <c r="AV2031" s="11"/>
      <c r="AW2031" s="11"/>
      <c r="AX2031" s="11"/>
      <c r="AY2031" s="11"/>
    </row>
    <row r="2032" spans="1:51" x14ac:dyDescent="0.2">
      <c r="A2032" s="6" t="s">
        <v>17</v>
      </c>
      <c r="B2032" t="s">
        <v>342</v>
      </c>
      <c r="C2032" t="s">
        <v>342</v>
      </c>
      <c r="D2032" t="s">
        <v>2599</v>
      </c>
      <c r="E2032" s="2">
        <v>50.43</v>
      </c>
      <c r="F2032" s="3">
        <f t="shared" si="176"/>
        <v>45884</v>
      </c>
      <c r="G2032" s="3">
        <f t="shared" si="176"/>
        <v>45884</v>
      </c>
      <c r="H2032">
        <v>2650374452</v>
      </c>
      <c r="I2032" t="s">
        <v>158</v>
      </c>
      <c r="K2032" t="s">
        <v>22</v>
      </c>
      <c r="L2032" t="s">
        <v>23</v>
      </c>
      <c r="M2032" t="s">
        <v>24</v>
      </c>
      <c r="N2032" t="s">
        <v>24</v>
      </c>
      <c r="O2032" t="s">
        <v>25</v>
      </c>
      <c r="P2032" s="8" t="s">
        <v>2600</v>
      </c>
      <c r="Q2032" s="11"/>
      <c r="R2032" s="11"/>
      <c r="S2032" s="11"/>
      <c r="T2032" s="11"/>
      <c r="U2032" s="11"/>
      <c r="V2032" s="11"/>
      <c r="W2032" s="11"/>
      <c r="X2032" s="11"/>
      <c r="Y2032" s="11"/>
      <c r="Z2032" s="11"/>
      <c r="AA2032" s="11"/>
      <c r="AB2032" s="11"/>
      <c r="AC2032" s="11"/>
      <c r="AD2032" s="11"/>
      <c r="AE2032" s="11"/>
      <c r="AF2032" s="11"/>
      <c r="AG2032" s="11"/>
      <c r="AH2032" s="11"/>
      <c r="AI2032" s="11"/>
      <c r="AJ2032" s="11"/>
      <c r="AK2032" s="11"/>
      <c r="AL2032" s="11"/>
      <c r="AM2032" s="11"/>
      <c r="AN2032" s="11"/>
      <c r="AO2032" s="11"/>
      <c r="AP2032" s="11"/>
      <c r="AQ2032" s="11"/>
      <c r="AR2032" s="11"/>
      <c r="AS2032" s="11"/>
      <c r="AT2032" s="11"/>
      <c r="AU2032" s="11"/>
      <c r="AV2032" s="11"/>
      <c r="AW2032" s="11"/>
      <c r="AX2032" s="11"/>
      <c r="AY2032" s="11"/>
    </row>
    <row r="2033" spans="1:51" x14ac:dyDescent="0.2">
      <c r="A2033" s="6" t="s">
        <v>17</v>
      </c>
      <c r="B2033" t="s">
        <v>342</v>
      </c>
      <c r="C2033" t="s">
        <v>342</v>
      </c>
      <c r="D2033" t="s">
        <v>2601</v>
      </c>
      <c r="E2033" s="2">
        <v>25</v>
      </c>
      <c r="F2033" s="3">
        <f>DATE(2025,8,16)</f>
        <v>45885</v>
      </c>
      <c r="G2033" s="3">
        <f>DATE(2025,8,16)</f>
        <v>45885</v>
      </c>
      <c r="H2033">
        <v>2650374453</v>
      </c>
      <c r="I2033" t="s">
        <v>21</v>
      </c>
      <c r="K2033" t="s">
        <v>22</v>
      </c>
      <c r="L2033" t="s">
        <v>23</v>
      </c>
      <c r="M2033" t="s">
        <v>24</v>
      </c>
      <c r="N2033" t="s">
        <v>24</v>
      </c>
      <c r="O2033" t="s">
        <v>25</v>
      </c>
      <c r="P2033" s="8" t="s">
        <v>2602</v>
      </c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  <c r="AA2033" s="11"/>
      <c r="AB2033" s="11"/>
      <c r="AC2033" s="11"/>
      <c r="AD2033" s="11"/>
      <c r="AE2033" s="11"/>
      <c r="AF2033" s="11"/>
      <c r="AG2033" s="11"/>
      <c r="AH2033" s="11"/>
      <c r="AI2033" s="11"/>
      <c r="AJ2033" s="11"/>
      <c r="AK2033" s="11"/>
      <c r="AL2033" s="11"/>
      <c r="AM2033" s="11"/>
      <c r="AN2033" s="11"/>
      <c r="AO2033" s="11"/>
      <c r="AP2033" s="11"/>
      <c r="AQ2033" s="11"/>
      <c r="AR2033" s="11"/>
      <c r="AS2033" s="11"/>
      <c r="AT2033" s="11"/>
      <c r="AU2033" s="11"/>
      <c r="AV2033" s="11"/>
      <c r="AW2033" s="11"/>
      <c r="AX2033" s="11"/>
      <c r="AY2033" s="11"/>
    </row>
    <row r="2034" spans="1:51" hidden="1" x14ac:dyDescent="0.2">
      <c r="A2034" s="6"/>
      <c r="E2034" s="2"/>
      <c r="F2034" s="3"/>
      <c r="G2034" s="3"/>
      <c r="P2034" s="8"/>
      <c r="Q2034" s="11"/>
      <c r="R2034" s="11"/>
      <c r="S2034" s="11"/>
      <c r="T2034" s="11"/>
      <c r="U2034" s="11"/>
      <c r="V2034" s="11"/>
      <c r="W2034" s="11"/>
      <c r="X2034" s="11"/>
      <c r="Y2034" s="11"/>
      <c r="Z2034" s="11"/>
      <c r="AA2034" s="11"/>
      <c r="AB2034" s="11"/>
      <c r="AC2034" s="11"/>
      <c r="AD2034" s="11"/>
      <c r="AE2034" s="11"/>
      <c r="AF2034" s="11"/>
      <c r="AG2034" s="11"/>
      <c r="AH2034" s="11"/>
      <c r="AI2034" s="11"/>
      <c r="AJ2034" s="11"/>
      <c r="AK2034" s="11"/>
      <c r="AL2034" s="11"/>
      <c r="AM2034" s="11"/>
      <c r="AN2034" s="11"/>
      <c r="AO2034" s="11"/>
      <c r="AP2034" s="11"/>
      <c r="AQ2034" s="11"/>
      <c r="AR2034" s="11"/>
      <c r="AS2034" s="11"/>
      <c r="AT2034" s="11"/>
      <c r="AU2034" s="11"/>
      <c r="AV2034" s="11"/>
      <c r="AW2034" s="11"/>
      <c r="AX2034" s="11"/>
      <c r="AY2034" s="11"/>
    </row>
    <row r="2035" spans="1:51" hidden="1" x14ac:dyDescent="0.2">
      <c r="A2035" s="6" t="s">
        <v>17</v>
      </c>
      <c r="B2035" t="s">
        <v>31</v>
      </c>
      <c r="C2035" t="s">
        <v>32</v>
      </c>
      <c r="D2035" t="s">
        <v>2603</v>
      </c>
      <c r="E2035" s="2">
        <v>27.99</v>
      </c>
      <c r="F2035" s="3">
        <f t="shared" ref="F2035:G2042" si="177">DATE(2025,8,18)</f>
        <v>45887</v>
      </c>
      <c r="G2035" s="3">
        <f t="shared" si="177"/>
        <v>45887</v>
      </c>
      <c r="H2035">
        <v>2656199234</v>
      </c>
      <c r="I2035" t="s">
        <v>21</v>
      </c>
      <c r="K2035" t="s">
        <v>22</v>
      </c>
      <c r="L2035" t="s">
        <v>23</v>
      </c>
      <c r="M2035" t="s">
        <v>24</v>
      </c>
      <c r="N2035" t="s">
        <v>24</v>
      </c>
      <c r="O2035" t="s">
        <v>25</v>
      </c>
      <c r="P2035" s="8" t="s">
        <v>2604</v>
      </c>
      <c r="Q2035" s="11"/>
      <c r="R2035" s="11"/>
      <c r="S2035" s="11"/>
      <c r="T2035" s="11"/>
      <c r="U2035" s="11"/>
      <c r="V2035" s="11"/>
      <c r="W2035" s="11"/>
      <c r="X2035" s="11"/>
      <c r="Y2035" s="11"/>
      <c r="Z2035" s="11"/>
      <c r="AA2035" s="11"/>
      <c r="AB2035" s="11"/>
      <c r="AC2035" s="11"/>
      <c r="AD2035" s="11"/>
      <c r="AE2035" s="11"/>
      <c r="AF2035" s="11"/>
      <c r="AG2035" s="11"/>
      <c r="AH2035" s="11"/>
      <c r="AI2035" s="11"/>
      <c r="AJ2035" s="11"/>
      <c r="AK2035" s="11"/>
      <c r="AL2035" s="11"/>
      <c r="AM2035" s="11"/>
      <c r="AN2035" s="11"/>
      <c r="AO2035" s="11"/>
      <c r="AP2035" s="11"/>
      <c r="AQ2035" s="11"/>
      <c r="AR2035" s="11"/>
      <c r="AS2035" s="11"/>
      <c r="AT2035" s="11"/>
      <c r="AU2035" s="11"/>
      <c r="AV2035" s="11"/>
      <c r="AW2035" s="11"/>
      <c r="AX2035" s="11"/>
      <c r="AY2035" s="11"/>
    </row>
    <row r="2036" spans="1:51" hidden="1" x14ac:dyDescent="0.2">
      <c r="A2036" s="6" t="s">
        <v>17</v>
      </c>
      <c r="B2036" t="s">
        <v>255</v>
      </c>
      <c r="C2036" t="s">
        <v>255</v>
      </c>
      <c r="D2036" t="s">
        <v>2605</v>
      </c>
      <c r="E2036" s="2">
        <v>1232.19</v>
      </c>
      <c r="F2036" s="3">
        <f t="shared" si="177"/>
        <v>45887</v>
      </c>
      <c r="G2036" s="3">
        <f t="shared" si="177"/>
        <v>45887</v>
      </c>
      <c r="H2036">
        <v>2656199235</v>
      </c>
      <c r="I2036" t="s">
        <v>21</v>
      </c>
      <c r="K2036" t="s">
        <v>22</v>
      </c>
      <c r="L2036" t="s">
        <v>23</v>
      </c>
      <c r="M2036" t="s">
        <v>24</v>
      </c>
      <c r="N2036" t="s">
        <v>24</v>
      </c>
      <c r="O2036" t="s">
        <v>25</v>
      </c>
      <c r="P2036" s="8" t="s">
        <v>2606</v>
      </c>
      <c r="Q2036" s="11"/>
      <c r="R2036" s="11"/>
      <c r="S2036" s="11"/>
      <c r="T2036" s="11"/>
      <c r="U2036" s="11"/>
      <c r="V2036" s="11"/>
      <c r="W2036" s="11"/>
      <c r="X2036" s="11"/>
      <c r="Y2036" s="11"/>
      <c r="Z2036" s="11"/>
      <c r="AA2036" s="11"/>
      <c r="AB2036" s="11"/>
      <c r="AC2036" s="11"/>
      <c r="AD2036" s="11"/>
      <c r="AE2036" s="11"/>
      <c r="AF2036" s="11"/>
      <c r="AG2036" s="11"/>
      <c r="AH2036" s="11"/>
      <c r="AI2036" s="11"/>
      <c r="AJ2036" s="11"/>
      <c r="AK2036" s="11"/>
      <c r="AL2036" s="11"/>
      <c r="AM2036" s="11"/>
      <c r="AN2036" s="11"/>
      <c r="AO2036" s="11"/>
      <c r="AP2036" s="11"/>
      <c r="AQ2036" s="11"/>
      <c r="AR2036" s="11"/>
      <c r="AS2036" s="11"/>
      <c r="AT2036" s="11"/>
      <c r="AU2036" s="11"/>
      <c r="AV2036" s="11"/>
      <c r="AW2036" s="11"/>
      <c r="AX2036" s="11"/>
      <c r="AY2036" s="11"/>
    </row>
    <row r="2037" spans="1:51" hidden="1" x14ac:dyDescent="0.2">
      <c r="A2037" s="6" t="s">
        <v>17</v>
      </c>
      <c r="B2037" t="s">
        <v>565</v>
      </c>
      <c r="C2037" t="s">
        <v>566</v>
      </c>
      <c r="D2037" t="s">
        <v>2607</v>
      </c>
      <c r="E2037" s="2">
        <v>328.07</v>
      </c>
      <c r="F2037" s="3">
        <f t="shared" si="177"/>
        <v>45887</v>
      </c>
      <c r="G2037" s="3">
        <f t="shared" si="177"/>
        <v>45887</v>
      </c>
      <c r="H2037">
        <v>2656199236</v>
      </c>
      <c r="I2037" t="s">
        <v>21</v>
      </c>
      <c r="K2037" t="s">
        <v>22</v>
      </c>
      <c r="L2037" t="s">
        <v>23</v>
      </c>
      <c r="M2037" t="s">
        <v>24</v>
      </c>
      <c r="N2037" t="s">
        <v>24</v>
      </c>
      <c r="O2037" t="s">
        <v>25</v>
      </c>
      <c r="P2037" s="8" t="s">
        <v>2608</v>
      </c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  <c r="AA2037" s="11"/>
      <c r="AB2037" s="11"/>
      <c r="AC2037" s="11"/>
      <c r="AD2037" s="11"/>
      <c r="AE2037" s="11"/>
      <c r="AF2037" s="11"/>
      <c r="AG2037" s="11"/>
      <c r="AH2037" s="11"/>
      <c r="AI2037" s="11"/>
      <c r="AJ2037" s="11"/>
      <c r="AK2037" s="11"/>
      <c r="AL2037" s="11"/>
      <c r="AM2037" s="11"/>
      <c r="AN2037" s="11"/>
      <c r="AO2037" s="11"/>
      <c r="AP2037" s="11"/>
      <c r="AQ2037" s="11"/>
      <c r="AR2037" s="11"/>
      <c r="AS2037" s="11"/>
      <c r="AT2037" s="11"/>
      <c r="AU2037" s="11"/>
      <c r="AV2037" s="11"/>
      <c r="AW2037" s="11"/>
      <c r="AX2037" s="11"/>
      <c r="AY2037" s="11"/>
    </row>
    <row r="2038" spans="1:51" hidden="1" x14ac:dyDescent="0.2">
      <c r="A2038" s="6" t="s">
        <v>17</v>
      </c>
      <c r="B2038" t="s">
        <v>255</v>
      </c>
      <c r="C2038" t="s">
        <v>255</v>
      </c>
      <c r="D2038" t="s">
        <v>2609</v>
      </c>
      <c r="E2038" s="2">
        <v>240</v>
      </c>
      <c r="F2038" s="3">
        <f t="shared" si="177"/>
        <v>45887</v>
      </c>
      <c r="G2038" s="3">
        <f t="shared" si="177"/>
        <v>45887</v>
      </c>
      <c r="H2038">
        <v>2656199237</v>
      </c>
      <c r="I2038" t="s">
        <v>21</v>
      </c>
      <c r="K2038" t="s">
        <v>22</v>
      </c>
      <c r="L2038" t="s">
        <v>23</v>
      </c>
      <c r="M2038" t="s">
        <v>24</v>
      </c>
      <c r="N2038" t="s">
        <v>24</v>
      </c>
      <c r="O2038" t="s">
        <v>25</v>
      </c>
      <c r="P2038" s="8" t="s">
        <v>2610</v>
      </c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  <c r="AA2038" s="11"/>
      <c r="AB2038" s="11"/>
      <c r="AC2038" s="11"/>
      <c r="AD2038" s="11"/>
      <c r="AE2038" s="11"/>
      <c r="AF2038" s="11"/>
      <c r="AG2038" s="11"/>
      <c r="AH2038" s="11"/>
      <c r="AI2038" s="11"/>
      <c r="AJ2038" s="11"/>
      <c r="AK2038" s="11"/>
      <c r="AL2038" s="11"/>
      <c r="AM2038" s="11"/>
      <c r="AN2038" s="11"/>
      <c r="AO2038" s="11"/>
      <c r="AP2038" s="11"/>
      <c r="AQ2038" s="11"/>
      <c r="AR2038" s="11"/>
      <c r="AS2038" s="11"/>
      <c r="AT2038" s="11"/>
      <c r="AU2038" s="11"/>
      <c r="AV2038" s="11"/>
      <c r="AW2038" s="11"/>
      <c r="AX2038" s="11"/>
      <c r="AY2038" s="11"/>
    </row>
    <row r="2039" spans="1:51" hidden="1" x14ac:dyDescent="0.2">
      <c r="A2039" s="6" t="s">
        <v>17</v>
      </c>
      <c r="B2039" t="s">
        <v>35</v>
      </c>
      <c r="C2039" t="s">
        <v>35</v>
      </c>
      <c r="D2039" t="s">
        <v>2611</v>
      </c>
      <c r="E2039" s="2">
        <v>3.17</v>
      </c>
      <c r="F2039" s="3">
        <f t="shared" si="177"/>
        <v>45887</v>
      </c>
      <c r="G2039" s="3">
        <f t="shared" si="177"/>
        <v>45887</v>
      </c>
      <c r="H2039">
        <v>2656199238</v>
      </c>
      <c r="I2039" t="s">
        <v>21</v>
      </c>
      <c r="K2039" t="s">
        <v>22</v>
      </c>
      <c r="L2039" t="s">
        <v>23</v>
      </c>
      <c r="M2039" t="s">
        <v>24</v>
      </c>
      <c r="N2039" t="s">
        <v>24</v>
      </c>
      <c r="O2039" t="s">
        <v>25</v>
      </c>
      <c r="P2039" s="8" t="s">
        <v>2612</v>
      </c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  <c r="AA2039" s="11"/>
      <c r="AB2039" s="11"/>
      <c r="AC2039" s="11"/>
      <c r="AD2039" s="11"/>
      <c r="AE2039" s="11"/>
      <c r="AF2039" s="11"/>
      <c r="AG2039" s="11"/>
      <c r="AH2039" s="11"/>
      <c r="AI2039" s="11"/>
      <c r="AJ2039" s="11"/>
      <c r="AK2039" s="11"/>
      <c r="AL2039" s="11"/>
      <c r="AM2039" s="11"/>
      <c r="AN2039" s="11"/>
      <c r="AO2039" s="11"/>
      <c r="AP2039" s="11"/>
      <c r="AQ2039" s="11"/>
      <c r="AR2039" s="11"/>
      <c r="AS2039" s="11"/>
      <c r="AT2039" s="11"/>
      <c r="AU2039" s="11"/>
      <c r="AV2039" s="11"/>
      <c r="AW2039" s="11"/>
      <c r="AX2039" s="11"/>
      <c r="AY2039" s="11"/>
    </row>
    <row r="2040" spans="1:51" hidden="1" x14ac:dyDescent="0.2">
      <c r="A2040" s="6"/>
      <c r="E2040" s="2"/>
      <c r="F2040" s="3"/>
      <c r="G2040" s="3"/>
      <c r="P2040" s="8"/>
      <c r="Q2040" s="11"/>
      <c r="R2040" s="11"/>
      <c r="S2040" s="11"/>
      <c r="T2040" s="11"/>
      <c r="U2040" s="11"/>
      <c r="V2040" s="11"/>
      <c r="W2040" s="11"/>
      <c r="X2040" s="11"/>
      <c r="Y2040" s="11"/>
      <c r="Z2040" s="11"/>
      <c r="AA2040" s="11"/>
      <c r="AB2040" s="11"/>
      <c r="AC2040" s="11"/>
      <c r="AD2040" s="11"/>
      <c r="AE2040" s="11"/>
      <c r="AF2040" s="11"/>
      <c r="AG2040" s="11"/>
      <c r="AH2040" s="11"/>
      <c r="AI2040" s="11"/>
      <c r="AJ2040" s="11"/>
      <c r="AK2040" s="11"/>
      <c r="AL2040" s="11"/>
      <c r="AM2040" s="11"/>
      <c r="AN2040" s="11"/>
      <c r="AO2040" s="11"/>
      <c r="AP2040" s="11"/>
      <c r="AQ2040" s="11"/>
      <c r="AR2040" s="11"/>
      <c r="AS2040" s="11"/>
      <c r="AT2040" s="11"/>
      <c r="AU2040" s="11"/>
      <c r="AV2040" s="11"/>
      <c r="AW2040" s="11"/>
      <c r="AX2040" s="11"/>
      <c r="AY2040" s="11"/>
    </row>
    <row r="2041" spans="1:51" hidden="1" x14ac:dyDescent="0.2">
      <c r="A2041" s="6"/>
      <c r="E2041" s="2"/>
      <c r="F2041" s="3"/>
      <c r="G2041" s="3"/>
      <c r="P2041" s="8"/>
      <c r="Q2041" s="11"/>
      <c r="R2041" s="11"/>
      <c r="S2041" s="11"/>
      <c r="T2041" s="11"/>
      <c r="U2041" s="11"/>
      <c r="V2041" s="11"/>
      <c r="W2041" s="11"/>
      <c r="X2041" s="11"/>
      <c r="Y2041" s="11"/>
      <c r="Z2041" s="11"/>
      <c r="AA2041" s="11"/>
      <c r="AB2041" s="11"/>
      <c r="AC2041" s="11"/>
      <c r="AD2041" s="11"/>
      <c r="AE2041" s="11"/>
      <c r="AF2041" s="11"/>
      <c r="AG2041" s="11"/>
      <c r="AH2041" s="11"/>
      <c r="AI2041" s="11"/>
      <c r="AJ2041" s="11"/>
      <c r="AK2041" s="11"/>
      <c r="AL2041" s="11"/>
      <c r="AM2041" s="11"/>
      <c r="AN2041" s="11"/>
      <c r="AO2041" s="11"/>
      <c r="AP2041" s="11"/>
      <c r="AQ2041" s="11"/>
      <c r="AR2041" s="11"/>
      <c r="AS2041" s="11"/>
      <c r="AT2041" s="11"/>
      <c r="AU2041" s="11"/>
      <c r="AV2041" s="11"/>
      <c r="AW2041" s="11"/>
      <c r="AX2041" s="11"/>
      <c r="AY2041" s="11"/>
    </row>
    <row r="2042" spans="1:51" hidden="1" x14ac:dyDescent="0.2">
      <c r="A2042" s="6" t="s">
        <v>17</v>
      </c>
      <c r="B2042" t="s">
        <v>589</v>
      </c>
      <c r="C2042" t="s">
        <v>590</v>
      </c>
      <c r="D2042" t="s">
        <v>2613</v>
      </c>
      <c r="E2042" s="2">
        <v>56.97</v>
      </c>
      <c r="F2042" s="3">
        <f t="shared" si="177"/>
        <v>45887</v>
      </c>
      <c r="G2042" s="3">
        <f t="shared" si="177"/>
        <v>45887</v>
      </c>
      <c r="H2042">
        <v>2656202937</v>
      </c>
      <c r="I2042" t="s">
        <v>192</v>
      </c>
      <c r="K2042" t="s">
        <v>22</v>
      </c>
      <c r="L2042" t="s">
        <v>23</v>
      </c>
      <c r="M2042" t="s">
        <v>24</v>
      </c>
      <c r="N2042" t="s">
        <v>24</v>
      </c>
      <c r="O2042" t="s">
        <v>25</v>
      </c>
      <c r="P2042" s="8" t="s">
        <v>2614</v>
      </c>
      <c r="Q2042" s="11"/>
      <c r="R2042" s="11"/>
      <c r="S2042" s="11"/>
      <c r="T2042" s="11"/>
      <c r="U2042" s="11"/>
      <c r="V2042" s="11"/>
      <c r="W2042" s="11"/>
      <c r="X2042" s="11"/>
      <c r="Y2042" s="11"/>
      <c r="Z2042" s="11"/>
      <c r="AA2042" s="11"/>
      <c r="AB2042" s="11"/>
      <c r="AC2042" s="11"/>
      <c r="AD2042" s="11"/>
      <c r="AE2042" s="11"/>
      <c r="AF2042" s="11"/>
      <c r="AG2042" s="11"/>
      <c r="AH2042" s="11"/>
      <c r="AI2042" s="11"/>
      <c r="AJ2042" s="11"/>
      <c r="AK2042" s="11"/>
      <c r="AL2042" s="11"/>
      <c r="AM2042" s="11"/>
      <c r="AN2042" s="11"/>
      <c r="AO2042" s="11"/>
      <c r="AP2042" s="11"/>
      <c r="AQ2042" s="11"/>
      <c r="AR2042" s="11"/>
      <c r="AS2042" s="11"/>
      <c r="AT2042" s="11"/>
      <c r="AU2042" s="11"/>
      <c r="AV2042" s="11"/>
      <c r="AW2042" s="11"/>
      <c r="AX2042" s="11"/>
      <c r="AY2042" s="11"/>
    </row>
    <row r="2043" spans="1:51" x14ac:dyDescent="0.2">
      <c r="A2043" s="6" t="s">
        <v>17</v>
      </c>
      <c r="B2043" t="s">
        <v>342</v>
      </c>
      <c r="C2043" t="s">
        <v>342</v>
      </c>
      <c r="D2043" t="s">
        <v>2615</v>
      </c>
      <c r="E2043" s="2">
        <v>11.15</v>
      </c>
      <c r="F2043" s="3">
        <f>DATE(2025,8,16)</f>
        <v>45885</v>
      </c>
      <c r="G2043" s="3">
        <f>DATE(2025,8,16)</f>
        <v>45885</v>
      </c>
      <c r="H2043">
        <v>2663315049</v>
      </c>
      <c r="I2043" t="s">
        <v>158</v>
      </c>
      <c r="K2043" t="s">
        <v>22</v>
      </c>
      <c r="L2043" t="s">
        <v>23</v>
      </c>
      <c r="M2043" t="s">
        <v>24</v>
      </c>
      <c r="N2043" t="s">
        <v>24</v>
      </c>
      <c r="O2043" t="s">
        <v>25</v>
      </c>
      <c r="P2043" s="8" t="s">
        <v>2616</v>
      </c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  <c r="AA2043" s="11"/>
      <c r="AB2043" s="11"/>
      <c r="AC2043" s="11"/>
      <c r="AD2043" s="11"/>
      <c r="AE2043" s="11"/>
      <c r="AF2043" s="11"/>
      <c r="AG2043" s="11"/>
      <c r="AH2043" s="11"/>
      <c r="AI2043" s="11"/>
      <c r="AJ2043" s="11"/>
      <c r="AK2043" s="11"/>
      <c r="AL2043" s="11"/>
      <c r="AM2043" s="11"/>
      <c r="AN2043" s="11"/>
      <c r="AO2043" s="11"/>
      <c r="AP2043" s="11"/>
      <c r="AQ2043" s="11"/>
      <c r="AR2043" s="11"/>
      <c r="AS2043" s="11"/>
      <c r="AT2043" s="11"/>
      <c r="AU2043" s="11"/>
      <c r="AV2043" s="11"/>
      <c r="AW2043" s="11"/>
      <c r="AX2043" s="11"/>
      <c r="AY2043" s="11"/>
    </row>
    <row r="2044" spans="1:51" hidden="1" x14ac:dyDescent="0.2">
      <c r="A2044" s="6" t="s">
        <v>17</v>
      </c>
      <c r="B2044" t="s">
        <v>118</v>
      </c>
      <c r="C2044" t="s">
        <v>119</v>
      </c>
      <c r="D2044" t="s">
        <v>2617</v>
      </c>
      <c r="E2044" s="2">
        <v>6.99</v>
      </c>
      <c r="F2044" s="3">
        <f>DATE(2025,8,16)</f>
        <v>45885</v>
      </c>
      <c r="G2044" s="3">
        <f>DATE(2025,8,16)</f>
        <v>45885</v>
      </c>
      <c r="H2044">
        <v>2663315050</v>
      </c>
      <c r="I2044" t="s">
        <v>158</v>
      </c>
      <c r="K2044" t="s">
        <v>22</v>
      </c>
      <c r="L2044" t="s">
        <v>23</v>
      </c>
      <c r="M2044" t="s">
        <v>24</v>
      </c>
      <c r="N2044" t="s">
        <v>24</v>
      </c>
      <c r="O2044" t="s">
        <v>25</v>
      </c>
      <c r="P2044" s="8" t="s">
        <v>2618</v>
      </c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  <c r="AA2044" s="11"/>
      <c r="AB2044" s="11"/>
      <c r="AC2044" s="11"/>
      <c r="AD2044" s="11"/>
      <c r="AE2044" s="11"/>
      <c r="AF2044" s="11"/>
      <c r="AG2044" s="11"/>
      <c r="AH2044" s="11"/>
      <c r="AI2044" s="11"/>
      <c r="AJ2044" s="11"/>
      <c r="AK2044" s="11"/>
      <c r="AL2044" s="11"/>
      <c r="AM2044" s="11"/>
      <c r="AN2044" s="11"/>
      <c r="AO2044" s="11"/>
      <c r="AP2044" s="11"/>
      <c r="AQ2044" s="11"/>
      <c r="AR2044" s="11"/>
      <c r="AS2044" s="11"/>
      <c r="AT2044" s="11"/>
      <c r="AU2044" s="11"/>
      <c r="AV2044" s="11"/>
      <c r="AW2044" s="11"/>
      <c r="AX2044" s="11"/>
      <c r="AY2044" s="11"/>
    </row>
    <row r="2045" spans="1:51" hidden="1" x14ac:dyDescent="0.2">
      <c r="A2045" s="6" t="s">
        <v>17</v>
      </c>
      <c r="B2045" t="s">
        <v>118</v>
      </c>
      <c r="C2045" t="s">
        <v>119</v>
      </c>
      <c r="D2045" t="s">
        <v>2619</v>
      </c>
      <c r="E2045" s="2">
        <v>13.99</v>
      </c>
      <c r="F2045" s="3">
        <f>DATE(2025,8,18)</f>
        <v>45887</v>
      </c>
      <c r="G2045" s="3">
        <f>DATE(2025,8,18)</f>
        <v>45887</v>
      </c>
      <c r="H2045">
        <v>2663315051</v>
      </c>
      <c r="I2045" t="s">
        <v>158</v>
      </c>
      <c r="K2045" t="s">
        <v>22</v>
      </c>
      <c r="L2045" t="s">
        <v>23</v>
      </c>
      <c r="M2045" t="s">
        <v>24</v>
      </c>
      <c r="N2045" t="s">
        <v>24</v>
      </c>
      <c r="O2045" t="s">
        <v>25</v>
      </c>
      <c r="P2045" s="8" t="s">
        <v>2620</v>
      </c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1"/>
      <c r="AF2045" s="11"/>
      <c r="AG2045" s="11"/>
      <c r="AH2045" s="11"/>
      <c r="AI2045" s="11"/>
      <c r="AJ2045" s="11"/>
      <c r="AK2045" s="11"/>
      <c r="AL2045" s="11"/>
      <c r="AM2045" s="11"/>
      <c r="AN2045" s="11"/>
      <c r="AO2045" s="11"/>
      <c r="AP2045" s="11"/>
      <c r="AQ2045" s="11"/>
      <c r="AR2045" s="11"/>
      <c r="AS2045" s="11"/>
      <c r="AT2045" s="11"/>
      <c r="AU2045" s="11"/>
      <c r="AV2045" s="11"/>
      <c r="AW2045" s="11"/>
      <c r="AX2045" s="11"/>
      <c r="AY2045" s="11"/>
    </row>
    <row r="2046" spans="1:51" hidden="1" x14ac:dyDescent="0.2">
      <c r="A2046" s="6" t="s">
        <v>17</v>
      </c>
      <c r="B2046" t="s">
        <v>118</v>
      </c>
      <c r="C2046" t="s">
        <v>119</v>
      </c>
      <c r="D2046" t="s">
        <v>2621</v>
      </c>
      <c r="E2046" s="2">
        <v>16.8</v>
      </c>
      <c r="F2046" s="3">
        <f>DATE(2025,8,18)</f>
        <v>45887</v>
      </c>
      <c r="G2046" s="3">
        <f>DATE(2025,8,18)</f>
        <v>45887</v>
      </c>
      <c r="H2046">
        <v>2663315052</v>
      </c>
      <c r="I2046" t="s">
        <v>158</v>
      </c>
      <c r="K2046" t="s">
        <v>22</v>
      </c>
      <c r="L2046" t="s">
        <v>23</v>
      </c>
      <c r="M2046" t="s">
        <v>24</v>
      </c>
      <c r="N2046" t="s">
        <v>24</v>
      </c>
      <c r="O2046" t="s">
        <v>25</v>
      </c>
      <c r="P2046" s="8" t="s">
        <v>2622</v>
      </c>
      <c r="Q2046" s="11"/>
      <c r="R2046" s="11"/>
      <c r="S2046" s="11"/>
      <c r="T2046" s="11"/>
      <c r="U2046" s="11"/>
      <c r="V2046" s="11"/>
      <c r="W2046" s="11"/>
      <c r="X2046" s="11"/>
      <c r="Y2046" s="11"/>
      <c r="Z2046" s="11"/>
      <c r="AA2046" s="11"/>
      <c r="AB2046" s="11"/>
      <c r="AC2046" s="11"/>
      <c r="AD2046" s="11"/>
      <c r="AE2046" s="11"/>
      <c r="AF2046" s="11"/>
      <c r="AG2046" s="11"/>
      <c r="AH2046" s="11"/>
      <c r="AI2046" s="11"/>
      <c r="AJ2046" s="11"/>
      <c r="AK2046" s="11"/>
      <c r="AL2046" s="11"/>
      <c r="AM2046" s="11"/>
      <c r="AN2046" s="11"/>
      <c r="AO2046" s="11"/>
      <c r="AP2046" s="11"/>
      <c r="AQ2046" s="11"/>
      <c r="AR2046" s="11"/>
      <c r="AS2046" s="11"/>
      <c r="AT2046" s="11"/>
      <c r="AU2046" s="11"/>
      <c r="AV2046" s="11"/>
      <c r="AW2046" s="11"/>
      <c r="AX2046" s="11"/>
      <c r="AY2046" s="11"/>
    </row>
    <row r="2047" spans="1:51" hidden="1" x14ac:dyDescent="0.2">
      <c r="A2047" s="6" t="s">
        <v>17</v>
      </c>
      <c r="B2047" t="s">
        <v>173</v>
      </c>
      <c r="C2047" t="s">
        <v>154</v>
      </c>
      <c r="D2047" t="s">
        <v>2623</v>
      </c>
      <c r="E2047" s="2">
        <v>30.27</v>
      </c>
      <c r="F2047" s="3">
        <f>DATE(2025,8,16)</f>
        <v>45885</v>
      </c>
      <c r="G2047" s="3">
        <f>DATE(2025,8,16)</f>
        <v>45885</v>
      </c>
      <c r="H2047">
        <v>2663315053</v>
      </c>
      <c r="I2047" t="s">
        <v>158</v>
      </c>
      <c r="K2047" t="s">
        <v>22</v>
      </c>
      <c r="L2047" t="s">
        <v>23</v>
      </c>
      <c r="M2047" t="s">
        <v>24</v>
      </c>
      <c r="N2047" t="s">
        <v>24</v>
      </c>
      <c r="O2047" t="s">
        <v>25</v>
      </c>
      <c r="P2047" s="8" t="s">
        <v>2624</v>
      </c>
      <c r="Q2047" s="11"/>
      <c r="R2047" s="11"/>
      <c r="S2047" s="11"/>
      <c r="T2047" s="11"/>
      <c r="U2047" s="11"/>
      <c r="V2047" s="11"/>
      <c r="W2047" s="11"/>
      <c r="X2047" s="11"/>
      <c r="Y2047" s="11"/>
      <c r="Z2047" s="11"/>
      <c r="AA2047" s="11"/>
      <c r="AB2047" s="11"/>
      <c r="AC2047" s="11"/>
      <c r="AD2047" s="11"/>
      <c r="AE2047" s="11"/>
      <c r="AF2047" s="11"/>
      <c r="AG2047" s="11"/>
      <c r="AH2047" s="11"/>
      <c r="AI2047" s="11"/>
      <c r="AJ2047" s="11"/>
      <c r="AK2047" s="11"/>
      <c r="AL2047" s="11"/>
      <c r="AM2047" s="11"/>
      <c r="AN2047" s="11"/>
      <c r="AO2047" s="11"/>
      <c r="AP2047" s="11"/>
      <c r="AQ2047" s="11"/>
      <c r="AR2047" s="11"/>
      <c r="AS2047" s="11"/>
      <c r="AT2047" s="11"/>
      <c r="AU2047" s="11"/>
      <c r="AV2047" s="11"/>
      <c r="AW2047" s="11"/>
      <c r="AX2047" s="11"/>
      <c r="AY2047" s="11"/>
    </row>
    <row r="2048" spans="1:51" hidden="1" x14ac:dyDescent="0.2">
      <c r="A2048" s="6"/>
      <c r="E2048" s="2"/>
      <c r="F2048" s="3"/>
      <c r="G2048" s="3"/>
      <c r="P2048" s="8"/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  <c r="AA2048" s="11"/>
      <c r="AB2048" s="11"/>
      <c r="AC2048" s="11"/>
      <c r="AD2048" s="11"/>
      <c r="AE2048" s="11"/>
      <c r="AF2048" s="11"/>
      <c r="AG2048" s="11"/>
      <c r="AH2048" s="11"/>
      <c r="AI2048" s="11"/>
      <c r="AJ2048" s="11"/>
      <c r="AK2048" s="11"/>
      <c r="AL2048" s="11"/>
      <c r="AM2048" s="11"/>
      <c r="AN2048" s="11"/>
      <c r="AO2048" s="11"/>
      <c r="AP2048" s="11"/>
      <c r="AQ2048" s="11"/>
      <c r="AR2048" s="11"/>
      <c r="AS2048" s="11"/>
      <c r="AT2048" s="11"/>
      <c r="AU2048" s="11"/>
      <c r="AV2048" s="11"/>
      <c r="AW2048" s="11"/>
      <c r="AX2048" s="11"/>
      <c r="AY2048" s="11"/>
    </row>
    <row r="2049" spans="1:51" hidden="1" x14ac:dyDescent="0.2">
      <c r="A2049" s="6" t="s">
        <v>17</v>
      </c>
      <c r="B2049" t="s">
        <v>140</v>
      </c>
      <c r="C2049" t="s">
        <v>141</v>
      </c>
      <c r="D2049" t="s">
        <v>2625</v>
      </c>
      <c r="E2049" s="2">
        <v>15447</v>
      </c>
      <c r="F2049" s="3">
        <f>DATE(2025,8,19)</f>
        <v>45888</v>
      </c>
      <c r="G2049" s="3">
        <f>DATE(2025,8,19)</f>
        <v>45888</v>
      </c>
      <c r="H2049">
        <v>2663315055</v>
      </c>
      <c r="I2049" t="s">
        <v>21</v>
      </c>
      <c r="K2049" t="s">
        <v>22</v>
      </c>
      <c r="L2049" t="s">
        <v>23</v>
      </c>
      <c r="M2049" t="s">
        <v>24</v>
      </c>
      <c r="N2049" t="s">
        <v>24</v>
      </c>
      <c r="O2049" t="s">
        <v>25</v>
      </c>
      <c r="P2049" s="8" t="s">
        <v>2626</v>
      </c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  <c r="AA2049" s="11"/>
      <c r="AB2049" s="11"/>
      <c r="AC2049" s="11"/>
      <c r="AD2049" s="11"/>
      <c r="AE2049" s="11"/>
      <c r="AF2049" s="11"/>
      <c r="AG2049" s="11"/>
      <c r="AH2049" s="11"/>
      <c r="AI2049" s="11"/>
      <c r="AJ2049" s="11"/>
      <c r="AK2049" s="11"/>
      <c r="AL2049" s="11"/>
      <c r="AM2049" s="11"/>
      <c r="AN2049" s="11"/>
      <c r="AO2049" s="11"/>
      <c r="AP2049" s="11"/>
      <c r="AQ2049" s="11"/>
      <c r="AR2049" s="11"/>
      <c r="AS2049" s="11"/>
      <c r="AT2049" s="11"/>
      <c r="AU2049" s="11"/>
      <c r="AV2049" s="11"/>
      <c r="AW2049" s="11"/>
      <c r="AX2049" s="11"/>
      <c r="AY2049" s="11"/>
    </row>
    <row r="2050" spans="1:51" hidden="1" x14ac:dyDescent="0.2">
      <c r="A2050" s="6"/>
      <c r="E2050" s="2"/>
      <c r="F2050" s="3"/>
      <c r="G2050" s="3"/>
      <c r="P2050" s="8"/>
      <c r="Q2050" s="11"/>
      <c r="R2050" s="11"/>
      <c r="S2050" s="11"/>
      <c r="T2050" s="11"/>
      <c r="U2050" s="11"/>
      <c r="V2050" s="11"/>
      <c r="W2050" s="11"/>
      <c r="X2050" s="11"/>
      <c r="Y2050" s="11"/>
      <c r="Z2050" s="11"/>
      <c r="AA2050" s="11"/>
      <c r="AB2050" s="11"/>
      <c r="AC2050" s="11"/>
      <c r="AD2050" s="11"/>
      <c r="AE2050" s="11"/>
      <c r="AF2050" s="11"/>
      <c r="AG2050" s="11"/>
      <c r="AH2050" s="11"/>
      <c r="AI2050" s="11"/>
      <c r="AJ2050" s="11"/>
      <c r="AK2050" s="11"/>
      <c r="AL2050" s="11"/>
      <c r="AM2050" s="11"/>
      <c r="AN2050" s="11"/>
      <c r="AO2050" s="11"/>
      <c r="AP2050" s="11"/>
      <c r="AQ2050" s="11"/>
      <c r="AR2050" s="11"/>
      <c r="AS2050" s="11"/>
      <c r="AT2050" s="11"/>
      <c r="AU2050" s="11"/>
      <c r="AV2050" s="11"/>
      <c r="AW2050" s="11"/>
      <c r="AX2050" s="11"/>
      <c r="AY2050" s="11"/>
    </row>
    <row r="2051" spans="1:51" hidden="1" x14ac:dyDescent="0.2">
      <c r="A2051" s="6"/>
      <c r="E2051" s="2"/>
      <c r="F2051" s="3"/>
      <c r="G2051" s="3"/>
      <c r="P2051" s="8"/>
      <c r="Q2051" s="11"/>
      <c r="R2051" s="11"/>
      <c r="S2051" s="11"/>
      <c r="T2051" s="11"/>
      <c r="U2051" s="11"/>
      <c r="V2051" s="11"/>
      <c r="W2051" s="11"/>
      <c r="X2051" s="11"/>
      <c r="Y2051" s="11"/>
      <c r="Z2051" s="11"/>
      <c r="AA2051" s="11"/>
      <c r="AB2051" s="11"/>
      <c r="AC2051" s="11"/>
      <c r="AD2051" s="11"/>
      <c r="AE2051" s="11"/>
      <c r="AF2051" s="11"/>
      <c r="AG2051" s="11"/>
      <c r="AH2051" s="11"/>
      <c r="AI2051" s="11"/>
      <c r="AJ2051" s="11"/>
      <c r="AK2051" s="11"/>
      <c r="AL2051" s="11"/>
      <c r="AM2051" s="11"/>
      <c r="AN2051" s="11"/>
      <c r="AO2051" s="11"/>
      <c r="AP2051" s="11"/>
      <c r="AQ2051" s="11"/>
      <c r="AR2051" s="11"/>
      <c r="AS2051" s="11"/>
      <c r="AT2051" s="11"/>
      <c r="AU2051" s="11"/>
      <c r="AV2051" s="11"/>
      <c r="AW2051" s="11"/>
      <c r="AX2051" s="11"/>
      <c r="AY2051" s="11"/>
    </row>
    <row r="2052" spans="1:51" hidden="1" x14ac:dyDescent="0.2">
      <c r="A2052" s="6"/>
      <c r="E2052" s="2"/>
      <c r="F2052" s="3"/>
      <c r="G2052" s="3"/>
      <c r="P2052" s="8"/>
      <c r="Q2052" s="11"/>
      <c r="R2052" s="11"/>
      <c r="S2052" s="11"/>
      <c r="T2052" s="11"/>
      <c r="U2052" s="11"/>
      <c r="V2052" s="11"/>
      <c r="W2052" s="11"/>
      <c r="X2052" s="11"/>
      <c r="Y2052" s="11"/>
      <c r="Z2052" s="11"/>
      <c r="AA2052" s="11"/>
      <c r="AB2052" s="11"/>
      <c r="AC2052" s="11"/>
      <c r="AD2052" s="11"/>
      <c r="AE2052" s="11"/>
      <c r="AF2052" s="11"/>
      <c r="AG2052" s="11"/>
      <c r="AH2052" s="11"/>
      <c r="AI2052" s="11"/>
      <c r="AJ2052" s="11"/>
      <c r="AK2052" s="11"/>
      <c r="AL2052" s="11"/>
      <c r="AM2052" s="11"/>
      <c r="AN2052" s="11"/>
      <c r="AO2052" s="11"/>
      <c r="AP2052" s="11"/>
      <c r="AQ2052" s="11"/>
      <c r="AR2052" s="11"/>
      <c r="AS2052" s="11"/>
      <c r="AT2052" s="11"/>
      <c r="AU2052" s="11"/>
      <c r="AV2052" s="11"/>
      <c r="AW2052" s="11"/>
      <c r="AX2052" s="11"/>
      <c r="AY2052" s="11"/>
    </row>
    <row r="2053" spans="1:51" hidden="1" x14ac:dyDescent="0.2">
      <c r="A2053" s="6"/>
      <c r="E2053" s="2"/>
      <c r="F2053" s="3"/>
      <c r="G2053" s="3"/>
      <c r="P2053" s="8"/>
      <c r="Q2053" s="11"/>
      <c r="R2053" s="11"/>
      <c r="S2053" s="11"/>
      <c r="T2053" s="11"/>
      <c r="U2053" s="11"/>
      <c r="V2053" s="11"/>
      <c r="W2053" s="11"/>
      <c r="X2053" s="11"/>
      <c r="Y2053" s="11"/>
      <c r="Z2053" s="11"/>
      <c r="AA2053" s="11"/>
      <c r="AB2053" s="11"/>
      <c r="AC2053" s="11"/>
      <c r="AD2053" s="11"/>
      <c r="AE2053" s="11"/>
      <c r="AF2053" s="11"/>
      <c r="AG2053" s="11"/>
      <c r="AH2053" s="11"/>
      <c r="AI2053" s="11"/>
      <c r="AJ2053" s="11"/>
      <c r="AK2053" s="11"/>
      <c r="AL2053" s="11"/>
      <c r="AM2053" s="11"/>
      <c r="AN2053" s="11"/>
      <c r="AO2053" s="11"/>
      <c r="AP2053" s="11"/>
      <c r="AQ2053" s="11"/>
      <c r="AR2053" s="11"/>
      <c r="AS2053" s="11"/>
      <c r="AT2053" s="11"/>
      <c r="AU2053" s="11"/>
      <c r="AV2053" s="11"/>
      <c r="AW2053" s="11"/>
      <c r="AX2053" s="11"/>
      <c r="AY2053" s="11"/>
    </row>
    <row r="2054" spans="1:51" hidden="1" x14ac:dyDescent="0.2">
      <c r="A2054" s="6"/>
      <c r="E2054" s="2"/>
      <c r="F2054" s="3"/>
      <c r="G2054" s="3"/>
      <c r="P2054" s="8"/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  <c r="AA2054" s="11"/>
      <c r="AB2054" s="11"/>
      <c r="AC2054" s="11"/>
      <c r="AD2054" s="11"/>
      <c r="AE2054" s="11"/>
      <c r="AF2054" s="11"/>
      <c r="AG2054" s="11"/>
      <c r="AH2054" s="11"/>
      <c r="AI2054" s="11"/>
      <c r="AJ2054" s="11"/>
      <c r="AK2054" s="11"/>
      <c r="AL2054" s="11"/>
      <c r="AM2054" s="11"/>
      <c r="AN2054" s="11"/>
      <c r="AO2054" s="11"/>
      <c r="AP2054" s="11"/>
      <c r="AQ2054" s="11"/>
      <c r="AR2054" s="11"/>
      <c r="AS2054" s="11"/>
      <c r="AT2054" s="11"/>
      <c r="AU2054" s="11"/>
      <c r="AV2054" s="11"/>
      <c r="AW2054" s="11"/>
      <c r="AX2054" s="11"/>
      <c r="AY2054" s="11"/>
    </row>
    <row r="2055" spans="1:51" hidden="1" x14ac:dyDescent="0.2">
      <c r="A2055" s="6" t="s">
        <v>17</v>
      </c>
      <c r="B2055" t="s">
        <v>18</v>
      </c>
      <c r="C2055" t="s">
        <v>19</v>
      </c>
      <c r="D2055" t="s">
        <v>2627</v>
      </c>
      <c r="E2055" s="2">
        <v>0.37</v>
      </c>
      <c r="F2055" s="3">
        <f t="shared" ref="F2055:G2065" si="178">DATE(2025,8,18)</f>
        <v>45887</v>
      </c>
      <c r="G2055" s="3">
        <f t="shared" si="178"/>
        <v>45887</v>
      </c>
      <c r="H2055">
        <v>2663332143</v>
      </c>
      <c r="I2055" t="s">
        <v>192</v>
      </c>
      <c r="K2055" t="s">
        <v>22</v>
      </c>
      <c r="L2055" t="s">
        <v>23</v>
      </c>
      <c r="M2055" t="s">
        <v>24</v>
      </c>
      <c r="N2055" t="s">
        <v>24</v>
      </c>
      <c r="O2055" t="s">
        <v>25</v>
      </c>
      <c r="P2055" s="8" t="s">
        <v>2628</v>
      </c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  <c r="AA2055" s="11"/>
      <c r="AB2055" s="11"/>
      <c r="AC2055" s="11"/>
      <c r="AD2055" s="11"/>
      <c r="AE2055" s="11"/>
      <c r="AF2055" s="11"/>
      <c r="AG2055" s="11"/>
      <c r="AH2055" s="11"/>
      <c r="AI2055" s="11"/>
      <c r="AJ2055" s="11"/>
      <c r="AK2055" s="11"/>
      <c r="AL2055" s="11"/>
      <c r="AM2055" s="11"/>
      <c r="AN2055" s="11"/>
      <c r="AO2055" s="11"/>
      <c r="AP2055" s="11"/>
      <c r="AQ2055" s="11"/>
      <c r="AR2055" s="11"/>
      <c r="AS2055" s="11"/>
      <c r="AT2055" s="11"/>
      <c r="AU2055" s="11"/>
      <c r="AV2055" s="11"/>
      <c r="AW2055" s="11"/>
      <c r="AX2055" s="11"/>
      <c r="AY2055" s="11"/>
    </row>
    <row r="2056" spans="1:51" hidden="1" x14ac:dyDescent="0.2">
      <c r="A2056" s="6" t="s">
        <v>17</v>
      </c>
      <c r="B2056" t="s">
        <v>35</v>
      </c>
      <c r="C2056" t="s">
        <v>35</v>
      </c>
      <c r="D2056" t="s">
        <v>242</v>
      </c>
      <c r="E2056" s="2">
        <v>57</v>
      </c>
      <c r="F2056" s="3">
        <f t="shared" si="178"/>
        <v>45887</v>
      </c>
      <c r="G2056" s="3">
        <f t="shared" si="178"/>
        <v>45887</v>
      </c>
      <c r="H2056">
        <v>2663332144</v>
      </c>
      <c r="I2056" t="s">
        <v>192</v>
      </c>
      <c r="K2056" t="s">
        <v>22</v>
      </c>
      <c r="L2056" t="s">
        <v>23</v>
      </c>
      <c r="M2056" t="s">
        <v>24</v>
      </c>
      <c r="N2056" t="s">
        <v>24</v>
      </c>
      <c r="O2056" t="s">
        <v>25</v>
      </c>
      <c r="P2056" s="8" t="s">
        <v>2629</v>
      </c>
      <c r="Q2056" s="11"/>
      <c r="R2056" s="11"/>
      <c r="S2056" s="11"/>
      <c r="T2056" s="11"/>
      <c r="U2056" s="11"/>
      <c r="V2056" s="11"/>
      <c r="W2056" s="11"/>
      <c r="X2056" s="11"/>
      <c r="Y2056" s="11"/>
      <c r="Z2056" s="11"/>
      <c r="AA2056" s="11"/>
      <c r="AB2056" s="11"/>
      <c r="AC2056" s="11"/>
      <c r="AD2056" s="11"/>
      <c r="AE2056" s="11"/>
      <c r="AF2056" s="11"/>
      <c r="AG2056" s="11"/>
      <c r="AH2056" s="11"/>
      <c r="AI2056" s="11"/>
      <c r="AJ2056" s="11"/>
      <c r="AK2056" s="11"/>
      <c r="AL2056" s="11"/>
      <c r="AM2056" s="11"/>
      <c r="AN2056" s="11"/>
      <c r="AO2056" s="11"/>
      <c r="AP2056" s="11"/>
      <c r="AQ2056" s="11"/>
      <c r="AR2056" s="11"/>
      <c r="AS2056" s="11"/>
      <c r="AT2056" s="11"/>
      <c r="AU2056" s="11"/>
      <c r="AV2056" s="11"/>
      <c r="AW2056" s="11"/>
      <c r="AX2056" s="11"/>
      <c r="AY2056" s="11"/>
    </row>
    <row r="2057" spans="1:51" hidden="1" x14ac:dyDescent="0.2">
      <c r="A2057" s="6"/>
      <c r="E2057" s="2"/>
      <c r="F2057" s="3"/>
      <c r="G2057" s="3"/>
      <c r="P2057" s="8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1"/>
      <c r="AF2057" s="11"/>
      <c r="AG2057" s="11"/>
      <c r="AH2057" s="11"/>
      <c r="AI2057" s="11"/>
      <c r="AJ2057" s="11"/>
      <c r="AK2057" s="11"/>
      <c r="AL2057" s="11"/>
      <c r="AM2057" s="11"/>
      <c r="AN2057" s="11"/>
      <c r="AO2057" s="11"/>
      <c r="AP2057" s="11"/>
      <c r="AQ2057" s="11"/>
      <c r="AR2057" s="11"/>
      <c r="AS2057" s="11"/>
      <c r="AT2057" s="11"/>
      <c r="AU2057" s="11"/>
      <c r="AV2057" s="11"/>
      <c r="AW2057" s="11"/>
      <c r="AX2057" s="11"/>
      <c r="AY2057" s="11"/>
    </row>
    <row r="2058" spans="1:51" hidden="1" x14ac:dyDescent="0.2">
      <c r="A2058" s="6"/>
      <c r="E2058" s="2"/>
      <c r="F2058" s="3"/>
      <c r="G2058" s="3"/>
      <c r="P2058" s="8"/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  <c r="AA2058" s="11"/>
      <c r="AB2058" s="11"/>
      <c r="AC2058" s="11"/>
      <c r="AD2058" s="11"/>
      <c r="AE2058" s="11"/>
      <c r="AF2058" s="11"/>
      <c r="AG2058" s="11"/>
      <c r="AH2058" s="11"/>
      <c r="AI2058" s="11"/>
      <c r="AJ2058" s="11"/>
      <c r="AK2058" s="11"/>
      <c r="AL2058" s="11"/>
      <c r="AM2058" s="11"/>
      <c r="AN2058" s="11"/>
      <c r="AO2058" s="11"/>
      <c r="AP2058" s="11"/>
      <c r="AQ2058" s="11"/>
      <c r="AR2058" s="11"/>
      <c r="AS2058" s="11"/>
      <c r="AT2058" s="11"/>
      <c r="AU2058" s="11"/>
      <c r="AV2058" s="11"/>
      <c r="AW2058" s="11"/>
      <c r="AX2058" s="11"/>
      <c r="AY2058" s="11"/>
    </row>
    <row r="2059" spans="1:51" hidden="1" x14ac:dyDescent="0.2">
      <c r="A2059" s="6"/>
      <c r="E2059" s="2"/>
      <c r="F2059" s="3"/>
      <c r="G2059" s="3"/>
      <c r="P2059" s="8"/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  <c r="AA2059" s="11"/>
      <c r="AB2059" s="11"/>
      <c r="AC2059" s="11"/>
      <c r="AD2059" s="11"/>
      <c r="AE2059" s="11"/>
      <c r="AF2059" s="11"/>
      <c r="AG2059" s="11"/>
      <c r="AH2059" s="11"/>
      <c r="AI2059" s="11"/>
      <c r="AJ2059" s="11"/>
      <c r="AK2059" s="11"/>
      <c r="AL2059" s="11"/>
      <c r="AM2059" s="11"/>
      <c r="AN2059" s="11"/>
      <c r="AO2059" s="11"/>
      <c r="AP2059" s="11"/>
      <c r="AQ2059" s="11"/>
      <c r="AR2059" s="11"/>
      <c r="AS2059" s="11"/>
      <c r="AT2059" s="11"/>
      <c r="AU2059" s="11"/>
      <c r="AV2059" s="11"/>
      <c r="AW2059" s="11"/>
      <c r="AX2059" s="11"/>
      <c r="AY2059" s="11"/>
    </row>
    <row r="2060" spans="1:51" hidden="1" x14ac:dyDescent="0.2">
      <c r="A2060" s="6" t="s">
        <v>17</v>
      </c>
      <c r="B2060" t="s">
        <v>18</v>
      </c>
      <c r="C2060" t="s">
        <v>19</v>
      </c>
      <c r="D2060" t="s">
        <v>2630</v>
      </c>
      <c r="E2060" s="2">
        <v>0.61</v>
      </c>
      <c r="F2060" s="3">
        <f t="shared" si="178"/>
        <v>45887</v>
      </c>
      <c r="G2060" s="3">
        <f t="shared" si="178"/>
        <v>45887</v>
      </c>
      <c r="H2060">
        <v>2663332148</v>
      </c>
      <c r="I2060" t="s">
        <v>192</v>
      </c>
      <c r="K2060" t="s">
        <v>22</v>
      </c>
      <c r="L2060" t="s">
        <v>23</v>
      </c>
      <c r="M2060" t="s">
        <v>24</v>
      </c>
      <c r="N2060" t="s">
        <v>24</v>
      </c>
      <c r="O2060" t="s">
        <v>25</v>
      </c>
      <c r="P2060" s="8" t="s">
        <v>2631</v>
      </c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  <c r="AA2060" s="11"/>
      <c r="AB2060" s="11"/>
      <c r="AC2060" s="11"/>
      <c r="AD2060" s="11"/>
      <c r="AE2060" s="11"/>
      <c r="AF2060" s="11"/>
      <c r="AG2060" s="11"/>
      <c r="AH2060" s="11"/>
      <c r="AI2060" s="11"/>
      <c r="AJ2060" s="11"/>
      <c r="AK2060" s="11"/>
      <c r="AL2060" s="11"/>
      <c r="AM2060" s="11"/>
      <c r="AN2060" s="11"/>
      <c r="AO2060" s="11"/>
      <c r="AP2060" s="11"/>
      <c r="AQ2060" s="11"/>
      <c r="AR2060" s="11"/>
      <c r="AS2060" s="11"/>
      <c r="AT2060" s="11"/>
      <c r="AU2060" s="11"/>
      <c r="AV2060" s="11"/>
      <c r="AW2060" s="11"/>
      <c r="AX2060" s="11"/>
      <c r="AY2060" s="11"/>
    </row>
    <row r="2061" spans="1:51" hidden="1" x14ac:dyDescent="0.2">
      <c r="A2061" s="6"/>
      <c r="E2061" s="2"/>
      <c r="F2061" s="3"/>
      <c r="G2061" s="3"/>
      <c r="P2061" s="8"/>
      <c r="Q2061" s="11"/>
      <c r="R2061" s="11"/>
      <c r="S2061" s="11"/>
      <c r="T2061" s="11"/>
      <c r="U2061" s="11"/>
      <c r="V2061" s="11"/>
      <c r="W2061" s="11"/>
      <c r="X2061" s="11"/>
      <c r="Y2061" s="11"/>
      <c r="Z2061" s="11"/>
      <c r="AA2061" s="11"/>
      <c r="AB2061" s="11"/>
      <c r="AC2061" s="11"/>
      <c r="AD2061" s="11"/>
      <c r="AE2061" s="11"/>
      <c r="AF2061" s="11"/>
      <c r="AG2061" s="11"/>
      <c r="AH2061" s="11"/>
      <c r="AI2061" s="11"/>
      <c r="AJ2061" s="11"/>
      <c r="AK2061" s="11"/>
      <c r="AL2061" s="11"/>
      <c r="AM2061" s="11"/>
      <c r="AN2061" s="11"/>
      <c r="AO2061" s="11"/>
      <c r="AP2061" s="11"/>
      <c r="AQ2061" s="11"/>
      <c r="AR2061" s="11"/>
      <c r="AS2061" s="11"/>
      <c r="AT2061" s="11"/>
      <c r="AU2061" s="11"/>
      <c r="AV2061" s="11"/>
      <c r="AW2061" s="11"/>
      <c r="AX2061" s="11"/>
      <c r="AY2061" s="11"/>
    </row>
    <row r="2062" spans="1:51" hidden="1" x14ac:dyDescent="0.2">
      <c r="A2062" s="6" t="s">
        <v>17</v>
      </c>
      <c r="B2062" t="s">
        <v>42</v>
      </c>
      <c r="C2062" t="s">
        <v>43</v>
      </c>
      <c r="D2062" t="s">
        <v>2632</v>
      </c>
      <c r="E2062" s="2">
        <v>19.989999999999998</v>
      </c>
      <c r="F2062" s="3">
        <f t="shared" si="178"/>
        <v>45887</v>
      </c>
      <c r="G2062" s="3">
        <f t="shared" si="178"/>
        <v>45887</v>
      </c>
      <c r="H2062">
        <v>2671816280</v>
      </c>
      <c r="I2062" t="s">
        <v>158</v>
      </c>
      <c r="K2062" t="s">
        <v>22</v>
      </c>
      <c r="L2062" t="s">
        <v>23</v>
      </c>
      <c r="M2062" t="s">
        <v>24</v>
      </c>
      <c r="N2062" t="s">
        <v>24</v>
      </c>
      <c r="O2062" t="s">
        <v>25</v>
      </c>
      <c r="P2062" s="8" t="s">
        <v>2633</v>
      </c>
      <c r="Q2062" s="11"/>
      <c r="R2062" s="11"/>
      <c r="S2062" s="11"/>
      <c r="T2062" s="11"/>
      <c r="U2062" s="11"/>
      <c r="V2062" s="11"/>
      <c r="W2062" s="11"/>
      <c r="X2062" s="11"/>
      <c r="Y2062" s="11"/>
      <c r="Z2062" s="11"/>
      <c r="AA2062" s="11"/>
      <c r="AB2062" s="11"/>
      <c r="AC2062" s="11"/>
      <c r="AD2062" s="11"/>
      <c r="AE2062" s="11"/>
      <c r="AF2062" s="11"/>
      <c r="AG2062" s="11"/>
      <c r="AH2062" s="11"/>
      <c r="AI2062" s="11"/>
      <c r="AJ2062" s="11"/>
      <c r="AK2062" s="11"/>
      <c r="AL2062" s="11"/>
      <c r="AM2062" s="11"/>
      <c r="AN2062" s="11"/>
      <c r="AO2062" s="11"/>
      <c r="AP2062" s="11"/>
      <c r="AQ2062" s="11"/>
      <c r="AR2062" s="11"/>
      <c r="AS2062" s="11"/>
      <c r="AT2062" s="11"/>
      <c r="AU2062" s="11"/>
      <c r="AV2062" s="11"/>
      <c r="AW2062" s="11"/>
      <c r="AX2062" s="11"/>
      <c r="AY2062" s="11"/>
    </row>
    <row r="2063" spans="1:51" x14ac:dyDescent="0.2">
      <c r="A2063" s="6" t="s">
        <v>17</v>
      </c>
      <c r="B2063" t="s">
        <v>342</v>
      </c>
      <c r="C2063" t="s">
        <v>342</v>
      </c>
      <c r="D2063" t="s">
        <v>2634</v>
      </c>
      <c r="E2063" s="2">
        <v>72.11</v>
      </c>
      <c r="F2063" s="3">
        <f t="shared" si="178"/>
        <v>45887</v>
      </c>
      <c r="G2063" s="3">
        <f t="shared" si="178"/>
        <v>45887</v>
      </c>
      <c r="H2063">
        <v>2671816281</v>
      </c>
      <c r="I2063" t="s">
        <v>158</v>
      </c>
      <c r="K2063" t="s">
        <v>22</v>
      </c>
      <c r="L2063" t="s">
        <v>23</v>
      </c>
      <c r="M2063" t="s">
        <v>24</v>
      </c>
      <c r="N2063" t="s">
        <v>24</v>
      </c>
      <c r="O2063" t="s">
        <v>25</v>
      </c>
      <c r="P2063" s="8" t="s">
        <v>2635</v>
      </c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1"/>
      <c r="AF2063" s="11"/>
      <c r="AG2063" s="11"/>
      <c r="AH2063" s="11"/>
      <c r="AI2063" s="11"/>
      <c r="AJ2063" s="11"/>
      <c r="AK2063" s="11"/>
      <c r="AL2063" s="11"/>
      <c r="AM2063" s="11"/>
      <c r="AN2063" s="11"/>
      <c r="AO2063" s="11"/>
      <c r="AP2063" s="11"/>
      <c r="AQ2063" s="11"/>
      <c r="AR2063" s="11"/>
      <c r="AS2063" s="11"/>
      <c r="AT2063" s="11"/>
      <c r="AU2063" s="11"/>
      <c r="AV2063" s="11"/>
      <c r="AW2063" s="11"/>
      <c r="AX2063" s="11"/>
      <c r="AY2063" s="11"/>
    </row>
    <row r="2064" spans="1:51" hidden="1" x14ac:dyDescent="0.2">
      <c r="A2064" s="6" t="s">
        <v>17</v>
      </c>
      <c r="B2064" t="s">
        <v>118</v>
      </c>
      <c r="C2064" t="s">
        <v>119</v>
      </c>
      <c r="D2064" t="s">
        <v>2636</v>
      </c>
      <c r="E2064" s="2">
        <v>26.81</v>
      </c>
      <c r="F2064" s="3">
        <f t="shared" si="178"/>
        <v>45887</v>
      </c>
      <c r="G2064" s="3">
        <f t="shared" si="178"/>
        <v>45887</v>
      </c>
      <c r="H2064">
        <v>2671816282</v>
      </c>
      <c r="I2064" t="s">
        <v>158</v>
      </c>
      <c r="K2064" t="s">
        <v>22</v>
      </c>
      <c r="L2064" t="s">
        <v>23</v>
      </c>
      <c r="M2064" t="s">
        <v>24</v>
      </c>
      <c r="N2064" t="s">
        <v>24</v>
      </c>
      <c r="O2064" t="s">
        <v>25</v>
      </c>
      <c r="P2064" s="8" t="s">
        <v>2637</v>
      </c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  <c r="AA2064" s="11"/>
      <c r="AB2064" s="11"/>
      <c r="AC2064" s="11"/>
      <c r="AD2064" s="11"/>
      <c r="AE2064" s="11"/>
      <c r="AF2064" s="11"/>
      <c r="AG2064" s="11"/>
      <c r="AH2064" s="11"/>
      <c r="AI2064" s="11"/>
      <c r="AJ2064" s="11"/>
      <c r="AK2064" s="11"/>
      <c r="AL2064" s="11"/>
      <c r="AM2064" s="11"/>
      <c r="AN2064" s="11"/>
      <c r="AO2064" s="11"/>
      <c r="AP2064" s="11"/>
      <c r="AQ2064" s="11"/>
      <c r="AR2064" s="11"/>
      <c r="AS2064" s="11"/>
      <c r="AT2064" s="11"/>
      <c r="AU2064" s="11"/>
      <c r="AV2064" s="11"/>
      <c r="AW2064" s="11"/>
      <c r="AX2064" s="11"/>
      <c r="AY2064" s="11"/>
    </row>
    <row r="2065" spans="1:51" hidden="1" x14ac:dyDescent="0.2">
      <c r="A2065" s="6" t="s">
        <v>17</v>
      </c>
      <c r="B2065" t="s">
        <v>132</v>
      </c>
      <c r="C2065" t="s">
        <v>133</v>
      </c>
      <c r="D2065" t="s">
        <v>2638</v>
      </c>
      <c r="E2065" s="2">
        <v>2</v>
      </c>
      <c r="F2065" s="3">
        <f t="shared" si="178"/>
        <v>45887</v>
      </c>
      <c r="G2065" s="3">
        <f t="shared" si="178"/>
        <v>45887</v>
      </c>
      <c r="H2065">
        <v>2671816283</v>
      </c>
      <c r="I2065" t="s">
        <v>158</v>
      </c>
      <c r="K2065" t="s">
        <v>22</v>
      </c>
      <c r="L2065" t="s">
        <v>23</v>
      </c>
      <c r="M2065" t="s">
        <v>24</v>
      </c>
      <c r="N2065" t="s">
        <v>24</v>
      </c>
      <c r="O2065" t="s">
        <v>25</v>
      </c>
      <c r="P2065" s="8" t="s">
        <v>2639</v>
      </c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  <c r="AA2065" s="11"/>
      <c r="AB2065" s="11"/>
      <c r="AC2065" s="11"/>
      <c r="AD2065" s="11"/>
      <c r="AE2065" s="11"/>
      <c r="AF2065" s="11"/>
      <c r="AG2065" s="11"/>
      <c r="AH2065" s="11"/>
      <c r="AI2065" s="11"/>
      <c r="AJ2065" s="11"/>
      <c r="AK2065" s="11"/>
      <c r="AL2065" s="11"/>
      <c r="AM2065" s="11"/>
      <c r="AN2065" s="11"/>
      <c r="AO2065" s="11"/>
      <c r="AP2065" s="11"/>
      <c r="AQ2065" s="11"/>
      <c r="AR2065" s="11"/>
      <c r="AS2065" s="11"/>
      <c r="AT2065" s="11"/>
      <c r="AU2065" s="11"/>
      <c r="AV2065" s="11"/>
      <c r="AW2065" s="11"/>
      <c r="AX2065" s="11"/>
      <c r="AY2065" s="11"/>
    </row>
    <row r="2066" spans="1:51" x14ac:dyDescent="0.2">
      <c r="A2066" s="6" t="s">
        <v>17</v>
      </c>
      <c r="B2066" t="s">
        <v>342</v>
      </c>
      <c r="C2066" t="s">
        <v>342</v>
      </c>
      <c r="D2066" t="s">
        <v>2640</v>
      </c>
      <c r="E2066" s="2">
        <v>60</v>
      </c>
      <c r="F2066" s="3">
        <f t="shared" ref="F2066:G2072" si="179">DATE(2025,8,20)</f>
        <v>45889</v>
      </c>
      <c r="G2066" s="3">
        <f t="shared" si="179"/>
        <v>45889</v>
      </c>
      <c r="H2066">
        <v>2671816284</v>
      </c>
      <c r="I2066" t="s">
        <v>21</v>
      </c>
      <c r="K2066" t="s">
        <v>22</v>
      </c>
      <c r="L2066" t="s">
        <v>23</v>
      </c>
      <c r="M2066" t="s">
        <v>24</v>
      </c>
      <c r="N2066" t="s">
        <v>24</v>
      </c>
      <c r="O2066" t="s">
        <v>25</v>
      </c>
      <c r="P2066" s="8" t="s">
        <v>2641</v>
      </c>
      <c r="Q2066" s="11"/>
      <c r="R2066" s="11"/>
      <c r="S2066" s="11"/>
      <c r="T2066" s="11"/>
      <c r="U2066" s="11"/>
      <c r="V2066" s="11"/>
      <c r="W2066" s="11"/>
      <c r="X2066" s="11"/>
      <c r="Y2066" s="11"/>
      <c r="Z2066" s="11"/>
      <c r="AA2066" s="11"/>
      <c r="AB2066" s="11"/>
      <c r="AC2066" s="11"/>
      <c r="AD2066" s="11"/>
      <c r="AE2066" s="11"/>
      <c r="AF2066" s="11"/>
      <c r="AG2066" s="11"/>
      <c r="AH2066" s="11"/>
      <c r="AI2066" s="11"/>
      <c r="AJ2066" s="11"/>
      <c r="AK2066" s="11"/>
      <c r="AL2066" s="11"/>
      <c r="AM2066" s="11"/>
      <c r="AN2066" s="11"/>
      <c r="AO2066" s="11"/>
      <c r="AP2066" s="11"/>
      <c r="AQ2066" s="11"/>
      <c r="AR2066" s="11"/>
      <c r="AS2066" s="11"/>
      <c r="AT2066" s="11"/>
      <c r="AU2066" s="11"/>
      <c r="AV2066" s="11"/>
      <c r="AW2066" s="11"/>
      <c r="AX2066" s="11"/>
      <c r="AY2066" s="11"/>
    </row>
    <row r="2067" spans="1:51" hidden="1" x14ac:dyDescent="0.2">
      <c r="A2067" s="6"/>
      <c r="E2067" s="2"/>
      <c r="F2067" s="3"/>
      <c r="G2067" s="3"/>
      <c r="P2067" s="8"/>
      <c r="Q2067" s="11"/>
      <c r="R2067" s="11"/>
      <c r="S2067" s="11"/>
      <c r="T2067" s="11"/>
      <c r="U2067" s="11"/>
      <c r="V2067" s="11"/>
      <c r="W2067" s="11"/>
      <c r="X2067" s="11"/>
      <c r="Y2067" s="11"/>
      <c r="Z2067" s="11"/>
      <c r="AA2067" s="11"/>
      <c r="AB2067" s="11"/>
      <c r="AC2067" s="11"/>
      <c r="AD2067" s="11"/>
      <c r="AE2067" s="11"/>
      <c r="AF2067" s="11"/>
      <c r="AG2067" s="11"/>
      <c r="AH2067" s="11"/>
      <c r="AI2067" s="11"/>
      <c r="AJ2067" s="11"/>
      <c r="AK2067" s="11"/>
      <c r="AL2067" s="11"/>
      <c r="AM2067" s="11"/>
      <c r="AN2067" s="11"/>
      <c r="AO2067" s="11"/>
      <c r="AP2067" s="11"/>
      <c r="AQ2067" s="11"/>
      <c r="AR2067" s="11"/>
      <c r="AS2067" s="11"/>
      <c r="AT2067" s="11"/>
      <c r="AU2067" s="11"/>
      <c r="AV2067" s="11"/>
      <c r="AW2067" s="11"/>
      <c r="AX2067" s="11"/>
      <c r="AY2067" s="11"/>
    </row>
    <row r="2068" spans="1:51" hidden="1" x14ac:dyDescent="0.2">
      <c r="A2068" s="6" t="s">
        <v>17</v>
      </c>
      <c r="B2068" t="s">
        <v>70</v>
      </c>
      <c r="C2068" t="s">
        <v>71</v>
      </c>
      <c r="D2068" t="s">
        <v>2642</v>
      </c>
      <c r="E2068" s="2">
        <v>2308.8000000000002</v>
      </c>
      <c r="F2068" s="3">
        <f t="shared" si="179"/>
        <v>45889</v>
      </c>
      <c r="G2068" s="3">
        <f t="shared" si="179"/>
        <v>45889</v>
      </c>
      <c r="H2068">
        <v>2671816286</v>
      </c>
      <c r="I2068" t="s">
        <v>21</v>
      </c>
      <c r="K2068" t="s">
        <v>22</v>
      </c>
      <c r="L2068" t="s">
        <v>23</v>
      </c>
      <c r="M2068" t="s">
        <v>24</v>
      </c>
      <c r="N2068" t="s">
        <v>24</v>
      </c>
      <c r="O2068" t="s">
        <v>25</v>
      </c>
      <c r="P2068" s="8" t="s">
        <v>2643</v>
      </c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  <c r="AA2068" s="11"/>
      <c r="AB2068" s="11"/>
      <c r="AC2068" s="11"/>
      <c r="AD2068" s="11"/>
      <c r="AE2068" s="11"/>
      <c r="AF2068" s="11"/>
      <c r="AG2068" s="11"/>
      <c r="AH2068" s="11"/>
      <c r="AI2068" s="11"/>
      <c r="AJ2068" s="11"/>
      <c r="AK2068" s="11"/>
      <c r="AL2068" s="11"/>
      <c r="AM2068" s="11"/>
      <c r="AN2068" s="11"/>
      <c r="AO2068" s="11"/>
      <c r="AP2068" s="11"/>
      <c r="AQ2068" s="11"/>
      <c r="AR2068" s="11"/>
      <c r="AS2068" s="11"/>
      <c r="AT2068" s="11"/>
      <c r="AU2068" s="11"/>
      <c r="AV2068" s="11"/>
      <c r="AW2068" s="11"/>
      <c r="AX2068" s="11"/>
      <c r="AY2068" s="11"/>
    </row>
    <row r="2069" spans="1:51" hidden="1" x14ac:dyDescent="0.2">
      <c r="A2069" s="6" t="s">
        <v>17</v>
      </c>
      <c r="B2069" t="s">
        <v>1002</v>
      </c>
      <c r="C2069" t="s">
        <v>1003</v>
      </c>
      <c r="D2069" t="s">
        <v>2644</v>
      </c>
      <c r="E2069" s="2">
        <v>5028.08</v>
      </c>
      <c r="F2069" s="3">
        <f t="shared" si="179"/>
        <v>45889</v>
      </c>
      <c r="G2069" s="3">
        <f t="shared" si="179"/>
        <v>45889</v>
      </c>
      <c r="H2069">
        <v>2671816287</v>
      </c>
      <c r="I2069" t="s">
        <v>21</v>
      </c>
      <c r="K2069" t="s">
        <v>22</v>
      </c>
      <c r="L2069" t="s">
        <v>23</v>
      </c>
      <c r="M2069" t="s">
        <v>24</v>
      </c>
      <c r="N2069" t="s">
        <v>24</v>
      </c>
      <c r="O2069" t="s">
        <v>25</v>
      </c>
      <c r="P2069" s="8" t="s">
        <v>2645</v>
      </c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1"/>
      <c r="AB2069" s="11"/>
      <c r="AC2069" s="11"/>
      <c r="AD2069" s="11"/>
      <c r="AE2069" s="11"/>
      <c r="AF2069" s="11"/>
      <c r="AG2069" s="11"/>
      <c r="AH2069" s="11"/>
      <c r="AI2069" s="11"/>
      <c r="AJ2069" s="11"/>
      <c r="AK2069" s="11"/>
      <c r="AL2069" s="11"/>
      <c r="AM2069" s="11"/>
      <c r="AN2069" s="11"/>
      <c r="AO2069" s="11"/>
      <c r="AP2069" s="11"/>
      <c r="AQ2069" s="11"/>
      <c r="AR2069" s="11"/>
      <c r="AS2069" s="11"/>
      <c r="AT2069" s="11"/>
      <c r="AU2069" s="11"/>
      <c r="AV2069" s="11"/>
      <c r="AW2069" s="11"/>
      <c r="AX2069" s="11"/>
      <c r="AY2069" s="11"/>
    </row>
    <row r="2070" spans="1:51" hidden="1" x14ac:dyDescent="0.2">
      <c r="A2070" s="6" t="s">
        <v>17</v>
      </c>
      <c r="B2070" t="s">
        <v>155</v>
      </c>
      <c r="C2070" t="s">
        <v>156</v>
      </c>
      <c r="D2070" t="s">
        <v>2646</v>
      </c>
      <c r="E2070" s="2">
        <v>63.54</v>
      </c>
      <c r="F2070" s="3">
        <f t="shared" si="179"/>
        <v>45889</v>
      </c>
      <c r="G2070" s="3">
        <f t="shared" si="179"/>
        <v>45889</v>
      </c>
      <c r="H2070">
        <v>2671816288</v>
      </c>
      <c r="I2070" t="s">
        <v>21</v>
      </c>
      <c r="K2070" t="s">
        <v>22</v>
      </c>
      <c r="L2070" t="s">
        <v>23</v>
      </c>
      <c r="M2070" t="s">
        <v>24</v>
      </c>
      <c r="N2070" t="s">
        <v>24</v>
      </c>
      <c r="O2070" t="s">
        <v>25</v>
      </c>
      <c r="P2070" s="8" t="s">
        <v>2647</v>
      </c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  <c r="AA2070" s="11"/>
      <c r="AB2070" s="11"/>
      <c r="AC2070" s="11"/>
      <c r="AD2070" s="11"/>
      <c r="AE2070" s="11"/>
      <c r="AF2070" s="11"/>
      <c r="AG2070" s="11"/>
      <c r="AH2070" s="11"/>
      <c r="AI2070" s="11"/>
      <c r="AJ2070" s="11"/>
      <c r="AK2070" s="11"/>
      <c r="AL2070" s="11"/>
      <c r="AM2070" s="11"/>
      <c r="AN2070" s="11"/>
      <c r="AO2070" s="11"/>
      <c r="AP2070" s="11"/>
      <c r="AQ2070" s="11"/>
      <c r="AR2070" s="11"/>
      <c r="AS2070" s="11"/>
      <c r="AT2070" s="11"/>
      <c r="AU2070" s="11"/>
      <c r="AV2070" s="11"/>
      <c r="AW2070" s="11"/>
      <c r="AX2070" s="11"/>
      <c r="AY2070" s="11"/>
    </row>
    <row r="2071" spans="1:51" hidden="1" x14ac:dyDescent="0.2">
      <c r="A2071" s="6" t="s">
        <v>17</v>
      </c>
      <c r="B2071" t="s">
        <v>565</v>
      </c>
      <c r="C2071" t="s">
        <v>566</v>
      </c>
      <c r="D2071" t="s">
        <v>2648</v>
      </c>
      <c r="E2071" s="2">
        <v>2316.77</v>
      </c>
      <c r="F2071" s="3">
        <f t="shared" si="179"/>
        <v>45889</v>
      </c>
      <c r="G2071" s="3">
        <f t="shared" si="179"/>
        <v>45889</v>
      </c>
      <c r="H2071">
        <v>2671816289</v>
      </c>
      <c r="I2071" t="s">
        <v>21</v>
      </c>
      <c r="K2071" t="s">
        <v>22</v>
      </c>
      <c r="L2071" t="s">
        <v>23</v>
      </c>
      <c r="M2071" t="s">
        <v>24</v>
      </c>
      <c r="N2071" t="s">
        <v>24</v>
      </c>
      <c r="O2071" t="s">
        <v>25</v>
      </c>
      <c r="P2071" s="8" t="s">
        <v>2649</v>
      </c>
      <c r="Q2071" s="11"/>
      <c r="R2071" s="11"/>
      <c r="S2071" s="11"/>
      <c r="T2071" s="11"/>
      <c r="U2071" s="11"/>
      <c r="V2071" s="11"/>
      <c r="W2071" s="11"/>
      <c r="X2071" s="11"/>
      <c r="Y2071" s="11"/>
      <c r="Z2071" s="11"/>
      <c r="AA2071" s="11"/>
      <c r="AB2071" s="11"/>
      <c r="AC2071" s="11"/>
      <c r="AD2071" s="11"/>
      <c r="AE2071" s="11"/>
      <c r="AF2071" s="11"/>
      <c r="AG2071" s="11"/>
      <c r="AH2071" s="11"/>
      <c r="AI2071" s="11"/>
      <c r="AJ2071" s="11"/>
      <c r="AK2071" s="11"/>
      <c r="AL2071" s="11"/>
      <c r="AM2071" s="11"/>
      <c r="AN2071" s="11"/>
      <c r="AO2071" s="11"/>
      <c r="AP2071" s="11"/>
      <c r="AQ2071" s="11"/>
      <c r="AR2071" s="11"/>
      <c r="AS2071" s="11"/>
      <c r="AT2071" s="11"/>
      <c r="AU2071" s="11"/>
      <c r="AV2071" s="11"/>
      <c r="AW2071" s="11"/>
      <c r="AX2071" s="11"/>
      <c r="AY2071" s="11"/>
    </row>
    <row r="2072" spans="1:51" hidden="1" x14ac:dyDescent="0.2">
      <c r="A2072" s="6" t="s">
        <v>17</v>
      </c>
      <c r="B2072" t="s">
        <v>54</v>
      </c>
      <c r="C2072" t="s">
        <v>55</v>
      </c>
      <c r="D2072" t="s">
        <v>2650</v>
      </c>
      <c r="E2072" s="2">
        <v>235.56</v>
      </c>
      <c r="F2072" s="3">
        <f t="shared" si="179"/>
        <v>45889</v>
      </c>
      <c r="G2072" s="3">
        <f t="shared" si="179"/>
        <v>45889</v>
      </c>
      <c r="H2072">
        <v>2671816290</v>
      </c>
      <c r="I2072" t="s">
        <v>21</v>
      </c>
      <c r="K2072" t="s">
        <v>22</v>
      </c>
      <c r="L2072" t="s">
        <v>23</v>
      </c>
      <c r="M2072" t="s">
        <v>24</v>
      </c>
      <c r="N2072" t="s">
        <v>24</v>
      </c>
      <c r="O2072" t="s">
        <v>25</v>
      </c>
      <c r="P2072" s="8" t="s">
        <v>2651</v>
      </c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1"/>
      <c r="AF2072" s="11"/>
      <c r="AG2072" s="11"/>
      <c r="AH2072" s="11"/>
      <c r="AI2072" s="11"/>
      <c r="AJ2072" s="11"/>
      <c r="AK2072" s="11"/>
      <c r="AL2072" s="11"/>
      <c r="AM2072" s="11"/>
      <c r="AN2072" s="11"/>
      <c r="AO2072" s="11"/>
      <c r="AP2072" s="11"/>
      <c r="AQ2072" s="11"/>
      <c r="AR2072" s="11"/>
      <c r="AS2072" s="11"/>
      <c r="AT2072" s="11"/>
      <c r="AU2072" s="11"/>
      <c r="AV2072" s="11"/>
      <c r="AW2072" s="11"/>
      <c r="AX2072" s="11"/>
      <c r="AY2072" s="11"/>
    </row>
    <row r="2073" spans="1:51" hidden="1" x14ac:dyDescent="0.2">
      <c r="A2073" s="6"/>
      <c r="E2073" s="2"/>
      <c r="F2073" s="3"/>
      <c r="G2073" s="3"/>
      <c r="P2073" s="8"/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  <c r="AA2073" s="11"/>
      <c r="AB2073" s="11"/>
      <c r="AC2073" s="11"/>
      <c r="AD2073" s="11"/>
      <c r="AE2073" s="11"/>
      <c r="AF2073" s="11"/>
      <c r="AG2073" s="11"/>
      <c r="AH2073" s="11"/>
      <c r="AI2073" s="11"/>
      <c r="AJ2073" s="11"/>
      <c r="AK2073" s="11"/>
      <c r="AL2073" s="11"/>
      <c r="AM2073" s="11"/>
      <c r="AN2073" s="11"/>
      <c r="AO2073" s="11"/>
      <c r="AP2073" s="11"/>
      <c r="AQ2073" s="11"/>
      <c r="AR2073" s="11"/>
      <c r="AS2073" s="11"/>
      <c r="AT2073" s="11"/>
      <c r="AU2073" s="11"/>
      <c r="AV2073" s="11"/>
      <c r="AW2073" s="11"/>
      <c r="AX2073" s="11"/>
      <c r="AY2073" s="11"/>
    </row>
    <row r="2074" spans="1:51" hidden="1" x14ac:dyDescent="0.2">
      <c r="A2074" s="6" t="s">
        <v>17</v>
      </c>
      <c r="B2074" t="s">
        <v>31</v>
      </c>
      <c r="C2074" t="s">
        <v>32</v>
      </c>
      <c r="D2074" t="s">
        <v>2652</v>
      </c>
      <c r="E2074" s="2">
        <v>51.99</v>
      </c>
      <c r="F2074" s="3">
        <f>DATE(2025,8,21)</f>
        <v>45890</v>
      </c>
      <c r="G2074" s="3">
        <f>DATE(2025,8,21)</f>
        <v>45890</v>
      </c>
      <c r="H2074">
        <v>2671816292</v>
      </c>
      <c r="I2074" t="s">
        <v>21</v>
      </c>
      <c r="K2074" t="s">
        <v>22</v>
      </c>
      <c r="L2074" t="s">
        <v>23</v>
      </c>
      <c r="M2074" t="s">
        <v>24</v>
      </c>
      <c r="N2074" t="s">
        <v>24</v>
      </c>
      <c r="O2074" t="s">
        <v>25</v>
      </c>
      <c r="P2074" s="8" t="s">
        <v>2653</v>
      </c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  <c r="AA2074" s="11"/>
      <c r="AB2074" s="11"/>
      <c r="AC2074" s="11"/>
      <c r="AD2074" s="11"/>
      <c r="AE2074" s="11"/>
      <c r="AF2074" s="11"/>
      <c r="AG2074" s="11"/>
      <c r="AH2074" s="11"/>
      <c r="AI2074" s="11"/>
      <c r="AJ2074" s="11"/>
      <c r="AK2074" s="11"/>
      <c r="AL2074" s="11"/>
      <c r="AM2074" s="11"/>
      <c r="AN2074" s="11"/>
      <c r="AO2074" s="11"/>
      <c r="AP2074" s="11"/>
      <c r="AQ2074" s="11"/>
      <c r="AR2074" s="11"/>
      <c r="AS2074" s="11"/>
      <c r="AT2074" s="11"/>
      <c r="AU2074" s="11"/>
      <c r="AV2074" s="11"/>
      <c r="AW2074" s="11"/>
      <c r="AX2074" s="11"/>
      <c r="AY2074" s="11"/>
    </row>
    <row r="2075" spans="1:51" hidden="1" x14ac:dyDescent="0.2">
      <c r="A2075" s="6" t="s">
        <v>17</v>
      </c>
      <c r="B2075" t="s">
        <v>1048</v>
      </c>
      <c r="C2075" t="s">
        <v>1049</v>
      </c>
      <c r="D2075" t="s">
        <v>2654</v>
      </c>
      <c r="E2075" s="2">
        <v>612.46</v>
      </c>
      <c r="F2075" s="3">
        <f>DATE(2025,8,20)</f>
        <v>45889</v>
      </c>
      <c r="G2075" s="3">
        <f>DATE(2025,8,20)</f>
        <v>45889</v>
      </c>
      <c r="H2075">
        <v>2671816293</v>
      </c>
      <c r="I2075" t="s">
        <v>21</v>
      </c>
      <c r="K2075" t="s">
        <v>22</v>
      </c>
      <c r="L2075" t="s">
        <v>23</v>
      </c>
      <c r="M2075" t="s">
        <v>24</v>
      </c>
      <c r="N2075" t="s">
        <v>24</v>
      </c>
      <c r="O2075" t="s">
        <v>25</v>
      </c>
      <c r="P2075" s="8" t="s">
        <v>2655</v>
      </c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  <c r="AA2075" s="11"/>
      <c r="AB2075" s="11"/>
      <c r="AC2075" s="11"/>
      <c r="AD2075" s="11"/>
      <c r="AE2075" s="11"/>
      <c r="AF2075" s="11"/>
      <c r="AG2075" s="11"/>
      <c r="AH2075" s="11"/>
      <c r="AI2075" s="11"/>
      <c r="AJ2075" s="11"/>
      <c r="AK2075" s="11"/>
      <c r="AL2075" s="11"/>
      <c r="AM2075" s="11"/>
      <c r="AN2075" s="11"/>
      <c r="AO2075" s="11"/>
      <c r="AP2075" s="11"/>
      <c r="AQ2075" s="11"/>
      <c r="AR2075" s="11"/>
      <c r="AS2075" s="11"/>
      <c r="AT2075" s="11"/>
      <c r="AU2075" s="11"/>
      <c r="AV2075" s="11"/>
      <c r="AW2075" s="11"/>
      <c r="AX2075" s="11"/>
      <c r="AY2075" s="11"/>
    </row>
    <row r="2076" spans="1:51" hidden="1" x14ac:dyDescent="0.2">
      <c r="A2076" s="6"/>
      <c r="E2076" s="2"/>
      <c r="F2076" s="3"/>
      <c r="G2076" s="3"/>
      <c r="P2076" s="8"/>
      <c r="Q2076" s="11"/>
      <c r="R2076" s="11"/>
      <c r="S2076" s="11"/>
      <c r="T2076" s="11"/>
      <c r="U2076" s="11"/>
      <c r="V2076" s="11"/>
      <c r="W2076" s="11"/>
      <c r="X2076" s="11"/>
      <c r="Y2076" s="11"/>
      <c r="Z2076" s="11"/>
      <c r="AA2076" s="11"/>
      <c r="AB2076" s="11"/>
      <c r="AC2076" s="11"/>
      <c r="AD2076" s="11"/>
      <c r="AE2076" s="11"/>
      <c r="AF2076" s="11"/>
      <c r="AG2076" s="11"/>
      <c r="AH2076" s="11"/>
      <c r="AI2076" s="11"/>
      <c r="AJ2076" s="11"/>
      <c r="AK2076" s="11"/>
      <c r="AL2076" s="11"/>
      <c r="AM2076" s="11"/>
      <c r="AN2076" s="11"/>
      <c r="AO2076" s="11"/>
      <c r="AP2076" s="11"/>
      <c r="AQ2076" s="11"/>
      <c r="AR2076" s="11"/>
      <c r="AS2076" s="11"/>
      <c r="AT2076" s="11"/>
      <c r="AU2076" s="11"/>
      <c r="AV2076" s="11"/>
      <c r="AW2076" s="11"/>
      <c r="AX2076" s="11"/>
      <c r="AY2076" s="11"/>
    </row>
    <row r="2077" spans="1:51" hidden="1" x14ac:dyDescent="0.2">
      <c r="A2077" s="6" t="s">
        <v>17</v>
      </c>
      <c r="B2077" t="s">
        <v>266</v>
      </c>
      <c r="C2077" t="s">
        <v>267</v>
      </c>
      <c r="D2077" t="s">
        <v>2656</v>
      </c>
      <c r="E2077" s="2">
        <v>1041.74</v>
      </c>
      <c r="F2077" s="3">
        <f>DATE(2025,8,20)</f>
        <v>45889</v>
      </c>
      <c r="G2077" s="3">
        <f>DATE(2025,8,20)</f>
        <v>45889</v>
      </c>
      <c r="H2077">
        <v>2671816295</v>
      </c>
      <c r="I2077" t="s">
        <v>21</v>
      </c>
      <c r="K2077" t="s">
        <v>22</v>
      </c>
      <c r="L2077" t="s">
        <v>23</v>
      </c>
      <c r="M2077" t="s">
        <v>24</v>
      </c>
      <c r="N2077" t="s">
        <v>24</v>
      </c>
      <c r="O2077" t="s">
        <v>25</v>
      </c>
      <c r="P2077" s="8" t="s">
        <v>2657</v>
      </c>
      <c r="Q2077" s="11"/>
      <c r="R2077" s="11"/>
      <c r="S2077" s="11"/>
      <c r="T2077" s="11"/>
      <c r="U2077" s="11"/>
      <c r="V2077" s="11"/>
      <c r="W2077" s="11"/>
      <c r="X2077" s="11"/>
      <c r="Y2077" s="11"/>
      <c r="Z2077" s="11"/>
      <c r="AA2077" s="11"/>
      <c r="AB2077" s="11"/>
      <c r="AC2077" s="11"/>
      <c r="AD2077" s="11"/>
      <c r="AE2077" s="11"/>
      <c r="AF2077" s="11"/>
      <c r="AG2077" s="11"/>
      <c r="AH2077" s="11"/>
      <c r="AI2077" s="11"/>
      <c r="AJ2077" s="11"/>
      <c r="AK2077" s="11"/>
      <c r="AL2077" s="11"/>
      <c r="AM2077" s="11"/>
      <c r="AN2077" s="11"/>
      <c r="AO2077" s="11"/>
      <c r="AP2077" s="11"/>
      <c r="AQ2077" s="11"/>
      <c r="AR2077" s="11"/>
      <c r="AS2077" s="11"/>
      <c r="AT2077" s="11"/>
      <c r="AU2077" s="11"/>
      <c r="AV2077" s="11"/>
      <c r="AW2077" s="11"/>
      <c r="AX2077" s="11"/>
      <c r="AY2077" s="11"/>
    </row>
    <row r="2078" spans="1:51" hidden="1" x14ac:dyDescent="0.2">
      <c r="A2078" s="6"/>
      <c r="E2078" s="2"/>
      <c r="F2078" s="3"/>
      <c r="G2078" s="3"/>
      <c r="P2078" s="8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  <c r="AA2078" s="11"/>
      <c r="AB2078" s="11"/>
      <c r="AC2078" s="11"/>
      <c r="AD2078" s="11"/>
      <c r="AE2078" s="11"/>
      <c r="AF2078" s="11"/>
      <c r="AG2078" s="11"/>
      <c r="AH2078" s="11"/>
      <c r="AI2078" s="11"/>
      <c r="AJ2078" s="11"/>
      <c r="AK2078" s="11"/>
      <c r="AL2078" s="11"/>
      <c r="AM2078" s="11"/>
      <c r="AN2078" s="11"/>
      <c r="AO2078" s="11"/>
      <c r="AP2078" s="11"/>
      <c r="AQ2078" s="11"/>
      <c r="AR2078" s="11"/>
      <c r="AS2078" s="11"/>
      <c r="AT2078" s="11"/>
      <c r="AU2078" s="11"/>
      <c r="AV2078" s="11"/>
      <c r="AW2078" s="11"/>
      <c r="AX2078" s="11"/>
      <c r="AY2078" s="11"/>
    </row>
    <row r="2079" spans="1:51" hidden="1" x14ac:dyDescent="0.2">
      <c r="A2079" s="6" t="s">
        <v>17</v>
      </c>
      <c r="B2079" t="s">
        <v>18</v>
      </c>
      <c r="C2079" t="s">
        <v>19</v>
      </c>
      <c r="D2079" t="s">
        <v>2658</v>
      </c>
      <c r="E2079" s="2">
        <v>2.0699999999999998</v>
      </c>
      <c r="F2079" s="3">
        <f>DATE(2025,8,20)</f>
        <v>45889</v>
      </c>
      <c r="G2079" s="3">
        <f>DATE(2025,8,20)</f>
        <v>45889</v>
      </c>
      <c r="H2079">
        <v>2671825847</v>
      </c>
      <c r="I2079" t="s">
        <v>192</v>
      </c>
      <c r="K2079" t="s">
        <v>22</v>
      </c>
      <c r="L2079" t="s">
        <v>23</v>
      </c>
      <c r="M2079" t="s">
        <v>24</v>
      </c>
      <c r="N2079" t="s">
        <v>24</v>
      </c>
      <c r="O2079" t="s">
        <v>25</v>
      </c>
      <c r="P2079" s="8" t="s">
        <v>2659</v>
      </c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  <c r="AA2079" s="11"/>
      <c r="AB2079" s="11"/>
      <c r="AC2079" s="11"/>
      <c r="AD2079" s="11"/>
      <c r="AE2079" s="11"/>
      <c r="AF2079" s="11"/>
      <c r="AG2079" s="11"/>
      <c r="AH2079" s="11"/>
      <c r="AI2079" s="11"/>
      <c r="AJ2079" s="11"/>
      <c r="AK2079" s="11"/>
      <c r="AL2079" s="11"/>
      <c r="AM2079" s="11"/>
      <c r="AN2079" s="11"/>
      <c r="AO2079" s="11"/>
      <c r="AP2079" s="11"/>
      <c r="AQ2079" s="11"/>
      <c r="AR2079" s="11"/>
      <c r="AS2079" s="11"/>
      <c r="AT2079" s="11"/>
      <c r="AU2079" s="11"/>
      <c r="AV2079" s="11"/>
      <c r="AW2079" s="11"/>
      <c r="AX2079" s="11"/>
      <c r="AY2079" s="11"/>
    </row>
    <row r="2080" spans="1:51" hidden="1" x14ac:dyDescent="0.2">
      <c r="A2080" s="6"/>
      <c r="E2080" s="2"/>
      <c r="F2080" s="3"/>
      <c r="G2080" s="3"/>
      <c r="P2080" s="8"/>
      <c r="Q2080" s="11"/>
      <c r="R2080" s="11"/>
      <c r="S2080" s="11"/>
      <c r="T2080" s="11"/>
      <c r="U2080" s="11"/>
      <c r="V2080" s="11"/>
      <c r="W2080" s="11"/>
      <c r="X2080" s="11"/>
      <c r="Y2080" s="11"/>
      <c r="Z2080" s="11"/>
      <c r="AA2080" s="11"/>
      <c r="AB2080" s="11"/>
      <c r="AC2080" s="11"/>
      <c r="AD2080" s="11"/>
      <c r="AE2080" s="11"/>
      <c r="AF2080" s="11"/>
      <c r="AG2080" s="11"/>
      <c r="AH2080" s="11"/>
      <c r="AI2080" s="11"/>
      <c r="AJ2080" s="11"/>
      <c r="AK2080" s="11"/>
      <c r="AL2080" s="11"/>
      <c r="AM2080" s="11"/>
      <c r="AN2080" s="11"/>
      <c r="AO2080" s="11"/>
      <c r="AP2080" s="11"/>
      <c r="AQ2080" s="11"/>
      <c r="AR2080" s="11"/>
      <c r="AS2080" s="11"/>
      <c r="AT2080" s="11"/>
      <c r="AU2080" s="11"/>
      <c r="AV2080" s="11"/>
      <c r="AW2080" s="11"/>
      <c r="AX2080" s="11"/>
      <c r="AY2080" s="11"/>
    </row>
    <row r="2081" spans="1:51" x14ac:dyDescent="0.2">
      <c r="A2081" s="6" t="s">
        <v>17</v>
      </c>
      <c r="B2081" t="s">
        <v>342</v>
      </c>
      <c r="C2081" t="s">
        <v>342</v>
      </c>
      <c r="D2081" t="s">
        <v>2660</v>
      </c>
      <c r="E2081" s="2">
        <v>278</v>
      </c>
      <c r="F2081" s="3">
        <f>DATE(2025,8,20)</f>
        <v>45889</v>
      </c>
      <c r="G2081" s="3">
        <f>DATE(2025,8,20)</f>
        <v>45889</v>
      </c>
      <c r="H2081">
        <v>2671825849</v>
      </c>
      <c r="I2081" t="s">
        <v>192</v>
      </c>
      <c r="K2081" t="s">
        <v>22</v>
      </c>
      <c r="L2081" t="s">
        <v>23</v>
      </c>
      <c r="M2081" t="s">
        <v>24</v>
      </c>
      <c r="N2081" t="s">
        <v>24</v>
      </c>
      <c r="O2081" t="s">
        <v>25</v>
      </c>
      <c r="P2081" s="8" t="s">
        <v>2661</v>
      </c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  <c r="AA2081" s="11"/>
      <c r="AB2081" s="11"/>
      <c r="AC2081" s="11"/>
      <c r="AD2081" s="11"/>
      <c r="AE2081" s="11"/>
      <c r="AF2081" s="11"/>
      <c r="AG2081" s="11"/>
      <c r="AH2081" s="11"/>
      <c r="AI2081" s="11"/>
      <c r="AJ2081" s="11"/>
      <c r="AK2081" s="11"/>
      <c r="AL2081" s="11"/>
      <c r="AM2081" s="11"/>
      <c r="AN2081" s="11"/>
      <c r="AO2081" s="11"/>
      <c r="AP2081" s="11"/>
      <c r="AQ2081" s="11"/>
      <c r="AR2081" s="11"/>
      <c r="AS2081" s="11"/>
      <c r="AT2081" s="11"/>
      <c r="AU2081" s="11"/>
      <c r="AV2081" s="11"/>
      <c r="AW2081" s="11"/>
      <c r="AX2081" s="11"/>
      <c r="AY2081" s="11"/>
    </row>
    <row r="2082" spans="1:51" hidden="1" x14ac:dyDescent="0.2">
      <c r="A2082" s="6"/>
      <c r="E2082" s="2"/>
      <c r="F2082" s="3"/>
      <c r="G2082" s="3"/>
      <c r="P2082" s="8"/>
      <c r="Q2082" s="11"/>
      <c r="R2082" s="11"/>
      <c r="S2082" s="11"/>
      <c r="T2082" s="11"/>
      <c r="U2082" s="11"/>
      <c r="V2082" s="11"/>
      <c r="W2082" s="11"/>
      <c r="X2082" s="11"/>
      <c r="Y2082" s="11"/>
      <c r="Z2082" s="11"/>
      <c r="AA2082" s="11"/>
      <c r="AB2082" s="11"/>
      <c r="AC2082" s="11"/>
      <c r="AD2082" s="11"/>
      <c r="AE2082" s="11"/>
      <c r="AF2082" s="11"/>
      <c r="AG2082" s="11"/>
      <c r="AH2082" s="11"/>
      <c r="AI2082" s="11"/>
      <c r="AJ2082" s="11"/>
      <c r="AK2082" s="11"/>
      <c r="AL2082" s="11"/>
      <c r="AM2082" s="11"/>
      <c r="AN2082" s="11"/>
      <c r="AO2082" s="11"/>
      <c r="AP2082" s="11"/>
      <c r="AQ2082" s="11"/>
      <c r="AR2082" s="11"/>
      <c r="AS2082" s="11"/>
      <c r="AT2082" s="11"/>
      <c r="AU2082" s="11"/>
      <c r="AV2082" s="11"/>
      <c r="AW2082" s="11"/>
      <c r="AX2082" s="11"/>
      <c r="AY2082" s="11"/>
    </row>
    <row r="2083" spans="1:51" hidden="1" x14ac:dyDescent="0.2">
      <c r="A2083" s="6"/>
      <c r="E2083" s="2"/>
      <c r="F2083" s="3"/>
      <c r="G2083" s="3"/>
      <c r="P2083" s="8"/>
      <c r="Q2083" s="11"/>
      <c r="R2083" s="11"/>
      <c r="S2083" s="11"/>
      <c r="T2083" s="11"/>
      <c r="U2083" s="11"/>
      <c r="V2083" s="11"/>
      <c r="W2083" s="11"/>
      <c r="X2083" s="11"/>
      <c r="Y2083" s="11"/>
      <c r="Z2083" s="11"/>
      <c r="AA2083" s="11"/>
      <c r="AB2083" s="11"/>
      <c r="AC2083" s="11"/>
      <c r="AD2083" s="11"/>
      <c r="AE2083" s="11"/>
      <c r="AF2083" s="11"/>
      <c r="AG2083" s="11"/>
      <c r="AH2083" s="11"/>
      <c r="AI2083" s="11"/>
      <c r="AJ2083" s="11"/>
      <c r="AK2083" s="11"/>
      <c r="AL2083" s="11"/>
      <c r="AM2083" s="11"/>
      <c r="AN2083" s="11"/>
      <c r="AO2083" s="11"/>
      <c r="AP2083" s="11"/>
      <c r="AQ2083" s="11"/>
      <c r="AR2083" s="11"/>
      <c r="AS2083" s="11"/>
      <c r="AT2083" s="11"/>
      <c r="AU2083" s="11"/>
      <c r="AV2083" s="11"/>
      <c r="AW2083" s="11"/>
      <c r="AX2083" s="11"/>
      <c r="AY2083" s="11"/>
    </row>
    <row r="2084" spans="1:51" hidden="1" x14ac:dyDescent="0.2">
      <c r="A2084" s="6" t="s">
        <v>17</v>
      </c>
      <c r="B2084" t="s">
        <v>173</v>
      </c>
      <c r="C2084" t="s">
        <v>154</v>
      </c>
      <c r="D2084" t="s">
        <v>2662</v>
      </c>
      <c r="E2084" s="2">
        <v>66.510000000000005</v>
      </c>
      <c r="F2084" s="3">
        <f>DATE(2025,8,21)</f>
        <v>45890</v>
      </c>
      <c r="G2084" s="3">
        <f>DATE(2025,8,21)</f>
        <v>45890</v>
      </c>
      <c r="H2084">
        <v>2671825852</v>
      </c>
      <c r="I2084" t="s">
        <v>192</v>
      </c>
      <c r="K2084" t="s">
        <v>22</v>
      </c>
      <c r="L2084" t="s">
        <v>23</v>
      </c>
      <c r="M2084" t="s">
        <v>24</v>
      </c>
      <c r="N2084" t="s">
        <v>24</v>
      </c>
      <c r="O2084" t="s">
        <v>25</v>
      </c>
      <c r="P2084" s="8" t="s">
        <v>2663</v>
      </c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1"/>
      <c r="AF2084" s="11"/>
      <c r="AG2084" s="11"/>
      <c r="AH2084" s="11"/>
      <c r="AI2084" s="11"/>
      <c r="AJ2084" s="11"/>
      <c r="AK2084" s="11"/>
      <c r="AL2084" s="11"/>
      <c r="AM2084" s="11"/>
      <c r="AN2084" s="11"/>
      <c r="AO2084" s="11"/>
      <c r="AP2084" s="11"/>
      <c r="AQ2084" s="11"/>
      <c r="AR2084" s="11"/>
      <c r="AS2084" s="11"/>
      <c r="AT2084" s="11"/>
      <c r="AU2084" s="11"/>
      <c r="AV2084" s="11"/>
      <c r="AW2084" s="11"/>
      <c r="AX2084" s="11"/>
      <c r="AY2084" s="11"/>
    </row>
    <row r="2085" spans="1:51" hidden="1" x14ac:dyDescent="0.2">
      <c r="A2085" s="6"/>
      <c r="E2085" s="2"/>
      <c r="F2085" s="3"/>
      <c r="G2085" s="3"/>
      <c r="P2085" s="8"/>
      <c r="Q2085" s="11"/>
      <c r="R2085" s="11"/>
      <c r="S2085" s="11"/>
      <c r="T2085" s="11"/>
      <c r="U2085" s="11"/>
      <c r="V2085" s="11"/>
      <c r="W2085" s="11"/>
      <c r="X2085" s="11"/>
      <c r="Y2085" s="11"/>
      <c r="Z2085" s="11"/>
      <c r="AA2085" s="11"/>
      <c r="AB2085" s="11"/>
      <c r="AC2085" s="11"/>
      <c r="AD2085" s="11"/>
      <c r="AE2085" s="11"/>
      <c r="AF2085" s="11"/>
      <c r="AG2085" s="11"/>
      <c r="AH2085" s="11"/>
      <c r="AI2085" s="11"/>
      <c r="AJ2085" s="11"/>
      <c r="AK2085" s="11"/>
      <c r="AL2085" s="11"/>
      <c r="AM2085" s="11"/>
      <c r="AN2085" s="11"/>
      <c r="AO2085" s="11"/>
      <c r="AP2085" s="11"/>
      <c r="AQ2085" s="11"/>
      <c r="AR2085" s="11"/>
      <c r="AS2085" s="11"/>
      <c r="AT2085" s="11"/>
      <c r="AU2085" s="11"/>
      <c r="AV2085" s="11"/>
      <c r="AW2085" s="11"/>
      <c r="AX2085" s="11"/>
      <c r="AY2085" s="11"/>
    </row>
    <row r="2086" spans="1:51" hidden="1" x14ac:dyDescent="0.2">
      <c r="A2086" s="6" t="s">
        <v>17</v>
      </c>
      <c r="B2086" t="s">
        <v>173</v>
      </c>
      <c r="C2086" t="s">
        <v>154</v>
      </c>
      <c r="D2086" t="s">
        <v>2664</v>
      </c>
      <c r="E2086" s="2">
        <v>39.270000000000003</v>
      </c>
      <c r="F2086" s="3">
        <f>DATE(2025,8,20)</f>
        <v>45889</v>
      </c>
      <c r="G2086" s="3">
        <f>DATE(2025,8,20)</f>
        <v>45889</v>
      </c>
      <c r="H2086">
        <v>2678693919</v>
      </c>
      <c r="I2086" t="s">
        <v>158</v>
      </c>
      <c r="K2086" t="s">
        <v>22</v>
      </c>
      <c r="L2086" t="s">
        <v>23</v>
      </c>
      <c r="M2086" t="s">
        <v>24</v>
      </c>
      <c r="N2086" t="s">
        <v>24</v>
      </c>
      <c r="O2086" t="s">
        <v>25</v>
      </c>
      <c r="P2086" s="8" t="s">
        <v>2665</v>
      </c>
      <c r="Q2086" s="11"/>
      <c r="R2086" s="11"/>
      <c r="S2086" s="11"/>
      <c r="T2086" s="11"/>
      <c r="U2086" s="11"/>
      <c r="V2086" s="11"/>
      <c r="W2086" s="11"/>
      <c r="X2086" s="11"/>
      <c r="Y2086" s="11"/>
      <c r="Z2086" s="11"/>
      <c r="AA2086" s="11"/>
      <c r="AB2086" s="11"/>
      <c r="AC2086" s="11"/>
      <c r="AD2086" s="11"/>
      <c r="AE2086" s="11"/>
      <c r="AF2086" s="11"/>
      <c r="AG2086" s="11"/>
      <c r="AH2086" s="11"/>
      <c r="AI2086" s="11"/>
      <c r="AJ2086" s="11"/>
      <c r="AK2086" s="11"/>
      <c r="AL2086" s="11"/>
      <c r="AM2086" s="11"/>
      <c r="AN2086" s="11"/>
      <c r="AO2086" s="11"/>
      <c r="AP2086" s="11"/>
      <c r="AQ2086" s="11"/>
      <c r="AR2086" s="11"/>
      <c r="AS2086" s="11"/>
      <c r="AT2086" s="11"/>
      <c r="AU2086" s="11"/>
      <c r="AV2086" s="11"/>
      <c r="AW2086" s="11"/>
      <c r="AX2086" s="11"/>
      <c r="AY2086" s="11"/>
    </row>
    <row r="2087" spans="1:51" hidden="1" x14ac:dyDescent="0.2">
      <c r="A2087" s="6"/>
      <c r="E2087" s="2"/>
      <c r="F2087" s="3"/>
      <c r="G2087" s="3"/>
      <c r="P2087" s="8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  <c r="AA2087" s="11"/>
      <c r="AB2087" s="11"/>
      <c r="AC2087" s="11"/>
      <c r="AD2087" s="11"/>
      <c r="AE2087" s="11"/>
      <c r="AF2087" s="11"/>
      <c r="AG2087" s="11"/>
      <c r="AH2087" s="11"/>
      <c r="AI2087" s="11"/>
      <c r="AJ2087" s="11"/>
      <c r="AK2087" s="11"/>
      <c r="AL2087" s="11"/>
      <c r="AM2087" s="11"/>
      <c r="AN2087" s="11"/>
      <c r="AO2087" s="11"/>
      <c r="AP2087" s="11"/>
      <c r="AQ2087" s="11"/>
      <c r="AR2087" s="11"/>
      <c r="AS2087" s="11"/>
      <c r="AT2087" s="11"/>
      <c r="AU2087" s="11"/>
      <c r="AV2087" s="11"/>
      <c r="AW2087" s="11"/>
      <c r="AX2087" s="11"/>
      <c r="AY2087" s="11"/>
    </row>
    <row r="2088" spans="1:51" hidden="1" x14ac:dyDescent="0.2">
      <c r="A2088" s="6"/>
      <c r="E2088" s="2"/>
      <c r="F2088" s="3"/>
      <c r="G2088" s="3"/>
      <c r="P2088" s="8"/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  <c r="AA2088" s="11"/>
      <c r="AB2088" s="11"/>
      <c r="AC2088" s="11"/>
      <c r="AD2088" s="11"/>
      <c r="AE2088" s="11"/>
      <c r="AF2088" s="11"/>
      <c r="AG2088" s="11"/>
      <c r="AH2088" s="11"/>
      <c r="AI2088" s="11"/>
      <c r="AJ2088" s="11"/>
      <c r="AK2088" s="11"/>
      <c r="AL2088" s="11"/>
      <c r="AM2088" s="11"/>
      <c r="AN2088" s="11"/>
      <c r="AO2088" s="11"/>
      <c r="AP2088" s="11"/>
      <c r="AQ2088" s="11"/>
      <c r="AR2088" s="11"/>
      <c r="AS2088" s="11"/>
      <c r="AT2088" s="11"/>
      <c r="AU2088" s="11"/>
      <c r="AV2088" s="11"/>
      <c r="AW2088" s="11"/>
      <c r="AX2088" s="11"/>
      <c r="AY2088" s="11"/>
    </row>
    <row r="2089" spans="1:51" hidden="1" x14ac:dyDescent="0.2">
      <c r="A2089" s="6"/>
      <c r="E2089" s="2"/>
      <c r="F2089" s="3"/>
      <c r="G2089" s="3"/>
      <c r="P2089" s="8"/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  <c r="AA2089" s="11"/>
      <c r="AB2089" s="11"/>
      <c r="AC2089" s="11"/>
      <c r="AD2089" s="11"/>
      <c r="AE2089" s="11"/>
      <c r="AF2089" s="11"/>
      <c r="AG2089" s="11"/>
      <c r="AH2089" s="11"/>
      <c r="AI2089" s="11"/>
      <c r="AJ2089" s="11"/>
      <c r="AK2089" s="11"/>
      <c r="AL2089" s="11"/>
      <c r="AM2089" s="11"/>
      <c r="AN2089" s="11"/>
      <c r="AO2089" s="11"/>
      <c r="AP2089" s="11"/>
      <c r="AQ2089" s="11"/>
      <c r="AR2089" s="11"/>
      <c r="AS2089" s="11"/>
      <c r="AT2089" s="11"/>
      <c r="AU2089" s="11"/>
      <c r="AV2089" s="11"/>
      <c r="AW2089" s="11"/>
      <c r="AX2089" s="11"/>
      <c r="AY2089" s="11"/>
    </row>
    <row r="2090" spans="1:51" hidden="1" x14ac:dyDescent="0.2">
      <c r="A2090" s="6"/>
      <c r="E2090" s="2"/>
      <c r="F2090" s="3"/>
      <c r="G2090" s="3"/>
      <c r="P2090" s="8"/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  <c r="AA2090" s="11"/>
      <c r="AB2090" s="11"/>
      <c r="AC2090" s="11"/>
      <c r="AD2090" s="11"/>
      <c r="AE2090" s="11"/>
      <c r="AF2090" s="11"/>
      <c r="AG2090" s="11"/>
      <c r="AH2090" s="11"/>
      <c r="AI2090" s="11"/>
      <c r="AJ2090" s="11"/>
      <c r="AK2090" s="11"/>
      <c r="AL2090" s="11"/>
      <c r="AM2090" s="11"/>
      <c r="AN2090" s="11"/>
      <c r="AO2090" s="11"/>
      <c r="AP2090" s="11"/>
      <c r="AQ2090" s="11"/>
      <c r="AR2090" s="11"/>
      <c r="AS2090" s="11"/>
      <c r="AT2090" s="11"/>
      <c r="AU2090" s="11"/>
      <c r="AV2090" s="11"/>
      <c r="AW2090" s="11"/>
      <c r="AX2090" s="11"/>
      <c r="AY2090" s="11"/>
    </row>
    <row r="2091" spans="1:51" hidden="1" x14ac:dyDescent="0.2">
      <c r="A2091" s="6" t="s">
        <v>17</v>
      </c>
      <c r="B2091" t="s">
        <v>90</v>
      </c>
      <c r="C2091" t="s">
        <v>91</v>
      </c>
      <c r="D2091" t="s">
        <v>2666</v>
      </c>
      <c r="E2091" s="2">
        <v>500</v>
      </c>
      <c r="F2091" s="3">
        <f>DATE(2025,8,22)</f>
        <v>45891</v>
      </c>
      <c r="G2091" s="3">
        <f>DATE(2025,8,22)</f>
        <v>45891</v>
      </c>
      <c r="H2091">
        <v>2678693924</v>
      </c>
      <c r="I2091" t="s">
        <v>21</v>
      </c>
      <c r="K2091" t="s">
        <v>22</v>
      </c>
      <c r="L2091" t="s">
        <v>23</v>
      </c>
      <c r="M2091" t="s">
        <v>24</v>
      </c>
      <c r="N2091" t="s">
        <v>24</v>
      </c>
      <c r="O2091" t="s">
        <v>25</v>
      </c>
      <c r="P2091" s="8" t="s">
        <v>2667</v>
      </c>
      <c r="Q2091" s="11"/>
      <c r="R2091" s="11"/>
      <c r="S2091" s="11"/>
      <c r="T2091" s="11"/>
      <c r="U2091" s="11"/>
      <c r="V2091" s="11"/>
      <c r="W2091" s="11"/>
      <c r="X2091" s="11"/>
      <c r="Y2091" s="11"/>
      <c r="Z2091" s="11"/>
      <c r="AA2091" s="11"/>
      <c r="AB2091" s="11"/>
      <c r="AC2091" s="11"/>
      <c r="AD2091" s="11"/>
      <c r="AE2091" s="11"/>
      <c r="AF2091" s="11"/>
      <c r="AG2091" s="11"/>
      <c r="AH2091" s="11"/>
      <c r="AI2091" s="11"/>
      <c r="AJ2091" s="11"/>
      <c r="AK2091" s="11"/>
      <c r="AL2091" s="11"/>
      <c r="AM2091" s="11"/>
      <c r="AN2091" s="11"/>
      <c r="AO2091" s="11"/>
      <c r="AP2091" s="11"/>
      <c r="AQ2091" s="11"/>
      <c r="AR2091" s="11"/>
      <c r="AS2091" s="11"/>
      <c r="AT2091" s="11"/>
      <c r="AU2091" s="11"/>
      <c r="AV2091" s="11"/>
      <c r="AW2091" s="11"/>
      <c r="AX2091" s="11"/>
      <c r="AY2091" s="11"/>
    </row>
    <row r="2092" spans="1:51" hidden="1" x14ac:dyDescent="0.2">
      <c r="A2092" s="6"/>
      <c r="E2092" s="2"/>
      <c r="F2092" s="3"/>
      <c r="G2092" s="3"/>
      <c r="P2092" s="8"/>
      <c r="Q2092" s="11"/>
      <c r="R2092" s="11"/>
      <c r="S2092" s="11"/>
      <c r="T2092" s="11"/>
      <c r="U2092" s="11"/>
      <c r="V2092" s="11"/>
      <c r="W2092" s="11"/>
      <c r="X2092" s="11"/>
      <c r="Y2092" s="11"/>
      <c r="Z2092" s="11"/>
      <c r="AA2092" s="11"/>
      <c r="AB2092" s="11"/>
      <c r="AC2092" s="11"/>
      <c r="AD2092" s="11"/>
      <c r="AE2092" s="11"/>
      <c r="AF2092" s="11"/>
      <c r="AG2092" s="11"/>
      <c r="AH2092" s="11"/>
      <c r="AI2092" s="11"/>
      <c r="AJ2092" s="11"/>
      <c r="AK2092" s="11"/>
      <c r="AL2092" s="11"/>
      <c r="AM2092" s="11"/>
      <c r="AN2092" s="11"/>
      <c r="AO2092" s="11"/>
      <c r="AP2092" s="11"/>
      <c r="AQ2092" s="11"/>
      <c r="AR2092" s="11"/>
      <c r="AS2092" s="11"/>
      <c r="AT2092" s="11"/>
      <c r="AU2092" s="11"/>
      <c r="AV2092" s="11"/>
      <c r="AW2092" s="11"/>
      <c r="AX2092" s="11"/>
      <c r="AY2092" s="11"/>
    </row>
    <row r="2093" spans="1:51" hidden="1" x14ac:dyDescent="0.2">
      <c r="A2093" s="6" t="s">
        <v>17</v>
      </c>
      <c r="B2093" t="s">
        <v>173</v>
      </c>
      <c r="C2093" t="s">
        <v>154</v>
      </c>
      <c r="D2093" t="s">
        <v>2668</v>
      </c>
      <c r="E2093" s="2">
        <v>7.99</v>
      </c>
      <c r="F2093" s="3">
        <f>DATE(2025,8,21)</f>
        <v>45890</v>
      </c>
      <c r="G2093" s="3">
        <f>DATE(2025,8,21)</f>
        <v>45890</v>
      </c>
      <c r="H2093">
        <v>2683218909</v>
      </c>
      <c r="I2093" t="s">
        <v>158</v>
      </c>
      <c r="K2093" t="s">
        <v>22</v>
      </c>
      <c r="L2093" t="s">
        <v>23</v>
      </c>
      <c r="M2093" t="s">
        <v>24</v>
      </c>
      <c r="N2093" t="s">
        <v>24</v>
      </c>
      <c r="O2093" t="s">
        <v>25</v>
      </c>
      <c r="P2093" s="8" t="s">
        <v>2669</v>
      </c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1"/>
      <c r="AF2093" s="11"/>
      <c r="AG2093" s="11"/>
      <c r="AH2093" s="11"/>
      <c r="AI2093" s="11"/>
      <c r="AJ2093" s="11"/>
      <c r="AK2093" s="11"/>
      <c r="AL2093" s="11"/>
      <c r="AM2093" s="11"/>
      <c r="AN2093" s="11"/>
      <c r="AO2093" s="11"/>
      <c r="AP2093" s="11"/>
      <c r="AQ2093" s="11"/>
      <c r="AR2093" s="11"/>
      <c r="AS2093" s="11"/>
      <c r="AT2093" s="11"/>
      <c r="AU2093" s="11"/>
      <c r="AV2093" s="11"/>
      <c r="AW2093" s="11"/>
      <c r="AX2093" s="11"/>
      <c r="AY2093" s="11"/>
    </row>
    <row r="2094" spans="1:51" hidden="1" x14ac:dyDescent="0.2">
      <c r="A2094" s="6"/>
      <c r="E2094" s="2"/>
      <c r="F2094" s="3"/>
      <c r="G2094" s="3"/>
      <c r="P2094" s="8"/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  <c r="AA2094" s="11"/>
      <c r="AB2094" s="11"/>
      <c r="AC2094" s="11"/>
      <c r="AD2094" s="11"/>
      <c r="AE2094" s="11"/>
      <c r="AF2094" s="11"/>
      <c r="AG2094" s="11"/>
      <c r="AH2094" s="11"/>
      <c r="AI2094" s="11"/>
      <c r="AJ2094" s="11"/>
      <c r="AK2094" s="11"/>
      <c r="AL2094" s="11"/>
      <c r="AM2094" s="11"/>
      <c r="AN2094" s="11"/>
      <c r="AO2094" s="11"/>
      <c r="AP2094" s="11"/>
      <c r="AQ2094" s="11"/>
      <c r="AR2094" s="11"/>
      <c r="AS2094" s="11"/>
      <c r="AT2094" s="11"/>
      <c r="AU2094" s="11"/>
      <c r="AV2094" s="11"/>
      <c r="AW2094" s="11"/>
      <c r="AX2094" s="11"/>
      <c r="AY2094" s="11"/>
    </row>
    <row r="2095" spans="1:51" hidden="1" x14ac:dyDescent="0.2">
      <c r="A2095" s="6" t="s">
        <v>17</v>
      </c>
      <c r="B2095" t="s">
        <v>18</v>
      </c>
      <c r="C2095" t="s">
        <v>19</v>
      </c>
      <c r="D2095" t="s">
        <v>2670</v>
      </c>
      <c r="E2095" s="2">
        <v>4.24</v>
      </c>
      <c r="F2095" s="3">
        <f>DATE(2025,8,23)</f>
        <v>45892</v>
      </c>
      <c r="G2095" s="3">
        <f>DATE(2025,8,23)</f>
        <v>45892</v>
      </c>
      <c r="H2095">
        <v>2683223708</v>
      </c>
      <c r="I2095" t="s">
        <v>192</v>
      </c>
      <c r="K2095" t="s">
        <v>22</v>
      </c>
      <c r="L2095" t="s">
        <v>23</v>
      </c>
      <c r="M2095" t="s">
        <v>24</v>
      </c>
      <c r="N2095" t="s">
        <v>24</v>
      </c>
      <c r="O2095" t="s">
        <v>25</v>
      </c>
      <c r="P2095" s="8" t="s">
        <v>2671</v>
      </c>
      <c r="Q2095" s="11"/>
      <c r="R2095" s="11"/>
      <c r="S2095" s="11"/>
      <c r="T2095" s="11"/>
      <c r="U2095" s="11"/>
      <c r="V2095" s="11"/>
      <c r="W2095" s="11"/>
      <c r="X2095" s="11"/>
      <c r="Y2095" s="11"/>
      <c r="Z2095" s="11"/>
      <c r="AA2095" s="11"/>
      <c r="AB2095" s="11"/>
      <c r="AC2095" s="11"/>
      <c r="AD2095" s="11"/>
      <c r="AE2095" s="11"/>
      <c r="AF2095" s="11"/>
      <c r="AG2095" s="11"/>
      <c r="AH2095" s="11"/>
      <c r="AI2095" s="11"/>
      <c r="AJ2095" s="11"/>
      <c r="AK2095" s="11"/>
      <c r="AL2095" s="11"/>
      <c r="AM2095" s="11"/>
      <c r="AN2095" s="11"/>
      <c r="AO2095" s="11"/>
      <c r="AP2095" s="11"/>
      <c r="AQ2095" s="11"/>
      <c r="AR2095" s="11"/>
      <c r="AS2095" s="11"/>
      <c r="AT2095" s="11"/>
      <c r="AU2095" s="11"/>
      <c r="AV2095" s="11"/>
      <c r="AW2095" s="11"/>
      <c r="AX2095" s="11"/>
      <c r="AY2095" s="11"/>
    </row>
    <row r="2096" spans="1:51" hidden="1" x14ac:dyDescent="0.2">
      <c r="A2096" s="6"/>
      <c r="E2096" s="2"/>
      <c r="F2096" s="3"/>
      <c r="G2096" s="3"/>
      <c r="P2096" s="8"/>
      <c r="Q2096" s="11"/>
      <c r="R2096" s="11"/>
      <c r="S2096" s="11"/>
      <c r="T2096" s="11"/>
      <c r="U2096" s="11"/>
      <c r="V2096" s="11"/>
      <c r="W2096" s="11"/>
      <c r="X2096" s="11"/>
      <c r="Y2096" s="11"/>
      <c r="Z2096" s="11"/>
      <c r="AA2096" s="11"/>
      <c r="AB2096" s="11"/>
      <c r="AC2096" s="11"/>
      <c r="AD2096" s="11"/>
      <c r="AE2096" s="11"/>
      <c r="AF2096" s="11"/>
      <c r="AG2096" s="11"/>
      <c r="AH2096" s="11"/>
      <c r="AI2096" s="11"/>
      <c r="AJ2096" s="11"/>
      <c r="AK2096" s="11"/>
      <c r="AL2096" s="11"/>
      <c r="AM2096" s="11"/>
      <c r="AN2096" s="11"/>
      <c r="AO2096" s="11"/>
      <c r="AP2096" s="11"/>
      <c r="AQ2096" s="11"/>
      <c r="AR2096" s="11"/>
      <c r="AS2096" s="11"/>
      <c r="AT2096" s="11"/>
      <c r="AU2096" s="11"/>
      <c r="AV2096" s="11"/>
      <c r="AW2096" s="11"/>
      <c r="AX2096" s="11"/>
      <c r="AY2096" s="11"/>
    </row>
    <row r="2097" spans="1:51" hidden="1" x14ac:dyDescent="0.2">
      <c r="A2097" s="6"/>
      <c r="E2097" s="2"/>
      <c r="F2097" s="3"/>
      <c r="G2097" s="3"/>
      <c r="P2097" s="8"/>
      <c r="Q2097" s="11"/>
      <c r="R2097" s="11"/>
      <c r="S2097" s="11"/>
      <c r="T2097" s="11"/>
      <c r="U2097" s="11"/>
      <c r="V2097" s="11"/>
      <c r="W2097" s="11"/>
      <c r="X2097" s="11"/>
      <c r="Y2097" s="11"/>
      <c r="Z2097" s="11"/>
      <c r="AA2097" s="11"/>
      <c r="AB2097" s="11"/>
      <c r="AC2097" s="11"/>
      <c r="AD2097" s="11"/>
      <c r="AE2097" s="11"/>
      <c r="AF2097" s="11"/>
      <c r="AG2097" s="11"/>
      <c r="AH2097" s="11"/>
      <c r="AI2097" s="11"/>
      <c r="AJ2097" s="11"/>
      <c r="AK2097" s="11"/>
      <c r="AL2097" s="11"/>
      <c r="AM2097" s="11"/>
      <c r="AN2097" s="11"/>
      <c r="AO2097" s="11"/>
      <c r="AP2097" s="11"/>
      <c r="AQ2097" s="11"/>
      <c r="AR2097" s="11"/>
      <c r="AS2097" s="11"/>
      <c r="AT2097" s="11"/>
      <c r="AU2097" s="11"/>
      <c r="AV2097" s="11"/>
      <c r="AW2097" s="11"/>
      <c r="AX2097" s="11"/>
      <c r="AY2097" s="11"/>
    </row>
    <row r="2098" spans="1:51" hidden="1" x14ac:dyDescent="0.2">
      <c r="A2098" s="6"/>
      <c r="E2098" s="2"/>
      <c r="F2098" s="3"/>
      <c r="G2098" s="3"/>
      <c r="P2098" s="8"/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  <c r="AA2098" s="11"/>
      <c r="AB2098" s="11"/>
      <c r="AC2098" s="11"/>
      <c r="AD2098" s="11"/>
      <c r="AE2098" s="11"/>
      <c r="AF2098" s="11"/>
      <c r="AG2098" s="11"/>
      <c r="AH2098" s="11"/>
      <c r="AI2098" s="11"/>
      <c r="AJ2098" s="11"/>
      <c r="AK2098" s="11"/>
      <c r="AL2098" s="11"/>
      <c r="AM2098" s="11"/>
      <c r="AN2098" s="11"/>
      <c r="AO2098" s="11"/>
      <c r="AP2098" s="11"/>
      <c r="AQ2098" s="11"/>
      <c r="AR2098" s="11"/>
      <c r="AS2098" s="11"/>
      <c r="AT2098" s="11"/>
      <c r="AU2098" s="11"/>
      <c r="AV2098" s="11"/>
      <c r="AW2098" s="11"/>
      <c r="AX2098" s="11"/>
      <c r="AY2098" s="11"/>
    </row>
    <row r="2099" spans="1:51" hidden="1" x14ac:dyDescent="0.2">
      <c r="A2099" s="6"/>
      <c r="E2099" s="2"/>
      <c r="F2099" s="3"/>
      <c r="G2099" s="3"/>
      <c r="P2099" s="8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  <c r="AA2099" s="11"/>
      <c r="AB2099" s="11"/>
      <c r="AC2099" s="11"/>
      <c r="AD2099" s="11"/>
      <c r="AE2099" s="11"/>
      <c r="AF2099" s="11"/>
      <c r="AG2099" s="11"/>
      <c r="AH2099" s="11"/>
      <c r="AI2099" s="11"/>
      <c r="AJ2099" s="11"/>
      <c r="AK2099" s="11"/>
      <c r="AL2099" s="11"/>
      <c r="AM2099" s="11"/>
      <c r="AN2099" s="11"/>
      <c r="AO2099" s="11"/>
      <c r="AP2099" s="11"/>
      <c r="AQ2099" s="11"/>
      <c r="AR2099" s="11"/>
      <c r="AS2099" s="11"/>
      <c r="AT2099" s="11"/>
      <c r="AU2099" s="11"/>
      <c r="AV2099" s="11"/>
      <c r="AW2099" s="11"/>
      <c r="AX2099" s="11"/>
      <c r="AY2099" s="11"/>
    </row>
    <row r="2100" spans="1:51" hidden="1" x14ac:dyDescent="0.2">
      <c r="A2100" s="6"/>
      <c r="E2100" s="2"/>
      <c r="F2100" s="3"/>
      <c r="G2100" s="3"/>
      <c r="P2100" s="8"/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  <c r="AA2100" s="11"/>
      <c r="AB2100" s="11"/>
      <c r="AC2100" s="11"/>
      <c r="AD2100" s="11"/>
      <c r="AE2100" s="11"/>
      <c r="AF2100" s="11"/>
      <c r="AG2100" s="11"/>
      <c r="AH2100" s="11"/>
      <c r="AI2100" s="11"/>
      <c r="AJ2100" s="11"/>
      <c r="AK2100" s="11"/>
      <c r="AL2100" s="11"/>
      <c r="AM2100" s="11"/>
      <c r="AN2100" s="11"/>
      <c r="AO2100" s="11"/>
      <c r="AP2100" s="11"/>
      <c r="AQ2100" s="11"/>
      <c r="AR2100" s="11"/>
      <c r="AS2100" s="11"/>
      <c r="AT2100" s="11"/>
      <c r="AU2100" s="11"/>
      <c r="AV2100" s="11"/>
      <c r="AW2100" s="11"/>
      <c r="AX2100" s="11"/>
      <c r="AY2100" s="11"/>
    </row>
    <row r="2101" spans="1:51" hidden="1" x14ac:dyDescent="0.2">
      <c r="A2101" s="6" t="s">
        <v>17</v>
      </c>
      <c r="B2101" t="s">
        <v>90</v>
      </c>
      <c r="C2101" t="s">
        <v>91</v>
      </c>
      <c r="D2101" t="s">
        <v>2672</v>
      </c>
      <c r="E2101" s="2">
        <v>300</v>
      </c>
      <c r="F2101" s="3">
        <f>DATE(2025,8,23)</f>
        <v>45892</v>
      </c>
      <c r="G2101" s="3">
        <f>DATE(2025,8,23)</f>
        <v>45892</v>
      </c>
      <c r="H2101">
        <v>2686666914</v>
      </c>
      <c r="I2101" t="s">
        <v>21</v>
      </c>
      <c r="K2101" t="s">
        <v>22</v>
      </c>
      <c r="L2101" t="s">
        <v>23</v>
      </c>
      <c r="M2101" t="s">
        <v>24</v>
      </c>
      <c r="N2101" t="s">
        <v>24</v>
      </c>
      <c r="O2101" t="s">
        <v>25</v>
      </c>
      <c r="P2101" s="8" t="s">
        <v>2673</v>
      </c>
      <c r="Q2101" s="11"/>
      <c r="R2101" s="11"/>
      <c r="S2101" s="11"/>
      <c r="T2101" s="11"/>
      <c r="U2101" s="11"/>
      <c r="V2101" s="11"/>
      <c r="W2101" s="11"/>
      <c r="X2101" s="11"/>
      <c r="Y2101" s="11"/>
      <c r="Z2101" s="11"/>
      <c r="AA2101" s="11"/>
      <c r="AB2101" s="11"/>
      <c r="AC2101" s="11"/>
      <c r="AD2101" s="11"/>
      <c r="AE2101" s="11"/>
      <c r="AF2101" s="11"/>
      <c r="AG2101" s="11"/>
      <c r="AH2101" s="11"/>
      <c r="AI2101" s="11"/>
      <c r="AJ2101" s="11"/>
      <c r="AK2101" s="11"/>
      <c r="AL2101" s="11"/>
      <c r="AM2101" s="11"/>
      <c r="AN2101" s="11"/>
      <c r="AO2101" s="11"/>
      <c r="AP2101" s="11"/>
      <c r="AQ2101" s="11"/>
      <c r="AR2101" s="11"/>
      <c r="AS2101" s="11"/>
      <c r="AT2101" s="11"/>
      <c r="AU2101" s="11"/>
      <c r="AV2101" s="11"/>
      <c r="AW2101" s="11"/>
      <c r="AX2101" s="11"/>
      <c r="AY2101" s="11"/>
    </row>
    <row r="2102" spans="1:51" hidden="1" x14ac:dyDescent="0.2">
      <c r="A2102" s="6" t="s">
        <v>17</v>
      </c>
      <c r="B2102" t="s">
        <v>90</v>
      </c>
      <c r="C2102" t="s">
        <v>91</v>
      </c>
      <c r="D2102" t="s">
        <v>2674</v>
      </c>
      <c r="E2102" s="2">
        <v>600</v>
      </c>
      <c r="F2102" s="3">
        <f>DATE(2025,8,23)</f>
        <v>45892</v>
      </c>
      <c r="G2102" s="3">
        <f>DATE(2025,8,23)</f>
        <v>45892</v>
      </c>
      <c r="H2102">
        <v>2686666915</v>
      </c>
      <c r="I2102" t="s">
        <v>21</v>
      </c>
      <c r="K2102" t="s">
        <v>22</v>
      </c>
      <c r="L2102" t="s">
        <v>23</v>
      </c>
      <c r="M2102" t="s">
        <v>24</v>
      </c>
      <c r="N2102" t="s">
        <v>24</v>
      </c>
      <c r="O2102" t="s">
        <v>25</v>
      </c>
      <c r="P2102" s="8" t="s">
        <v>2675</v>
      </c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  <c r="AA2102" s="11"/>
      <c r="AB2102" s="11"/>
      <c r="AC2102" s="11"/>
      <c r="AD2102" s="11"/>
      <c r="AE2102" s="11"/>
      <c r="AF2102" s="11"/>
      <c r="AG2102" s="11"/>
      <c r="AH2102" s="11"/>
      <c r="AI2102" s="11"/>
      <c r="AJ2102" s="11"/>
      <c r="AK2102" s="11"/>
      <c r="AL2102" s="11"/>
      <c r="AM2102" s="11"/>
      <c r="AN2102" s="11"/>
      <c r="AO2102" s="11"/>
      <c r="AP2102" s="11"/>
      <c r="AQ2102" s="11"/>
      <c r="AR2102" s="11"/>
      <c r="AS2102" s="11"/>
      <c r="AT2102" s="11"/>
      <c r="AU2102" s="11"/>
      <c r="AV2102" s="11"/>
      <c r="AW2102" s="11"/>
      <c r="AX2102" s="11"/>
      <c r="AY2102" s="11"/>
    </row>
    <row r="2103" spans="1:51" hidden="1" x14ac:dyDescent="0.2">
      <c r="A2103" s="6" t="s">
        <v>17</v>
      </c>
      <c r="B2103" t="s">
        <v>255</v>
      </c>
      <c r="C2103" t="s">
        <v>255</v>
      </c>
      <c r="D2103" t="s">
        <v>2676</v>
      </c>
      <c r="E2103" s="2">
        <v>64.42</v>
      </c>
      <c r="F2103" s="3">
        <f t="shared" ref="F2103:G2108" si="180">DATE(2025,8,25)</f>
        <v>45894</v>
      </c>
      <c r="G2103" s="3">
        <f t="shared" si="180"/>
        <v>45894</v>
      </c>
      <c r="H2103">
        <v>2692245804</v>
      </c>
      <c r="I2103" t="s">
        <v>21</v>
      </c>
      <c r="K2103" t="s">
        <v>22</v>
      </c>
      <c r="L2103" t="s">
        <v>23</v>
      </c>
      <c r="M2103" t="s">
        <v>24</v>
      </c>
      <c r="N2103" t="s">
        <v>24</v>
      </c>
      <c r="O2103" t="s">
        <v>25</v>
      </c>
      <c r="P2103" s="8" t="s">
        <v>2677</v>
      </c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  <c r="AA2103" s="11"/>
      <c r="AB2103" s="11"/>
      <c r="AC2103" s="11"/>
      <c r="AD2103" s="11"/>
      <c r="AE2103" s="11"/>
      <c r="AF2103" s="11"/>
      <c r="AG2103" s="11"/>
      <c r="AH2103" s="11"/>
      <c r="AI2103" s="11"/>
      <c r="AJ2103" s="11"/>
      <c r="AK2103" s="11"/>
      <c r="AL2103" s="11"/>
      <c r="AM2103" s="11"/>
      <c r="AN2103" s="11"/>
      <c r="AO2103" s="11"/>
      <c r="AP2103" s="11"/>
      <c r="AQ2103" s="11"/>
      <c r="AR2103" s="11"/>
      <c r="AS2103" s="11"/>
      <c r="AT2103" s="11"/>
      <c r="AU2103" s="11"/>
      <c r="AV2103" s="11"/>
      <c r="AW2103" s="11"/>
      <c r="AX2103" s="11"/>
      <c r="AY2103" s="11"/>
    </row>
    <row r="2104" spans="1:51" hidden="1" x14ac:dyDescent="0.2">
      <c r="A2104" s="6" t="s">
        <v>17</v>
      </c>
      <c r="B2104" t="s">
        <v>50</v>
      </c>
      <c r="C2104" t="s">
        <v>51</v>
      </c>
      <c r="D2104" t="s">
        <v>2678</v>
      </c>
      <c r="E2104" s="2">
        <v>302.39999999999998</v>
      </c>
      <c r="F2104" s="3">
        <f t="shared" si="180"/>
        <v>45894</v>
      </c>
      <c r="G2104" s="3">
        <f t="shared" si="180"/>
        <v>45894</v>
      </c>
      <c r="H2104">
        <v>2692245805</v>
      </c>
      <c r="I2104" t="s">
        <v>21</v>
      </c>
      <c r="K2104" t="s">
        <v>22</v>
      </c>
      <c r="L2104" t="s">
        <v>23</v>
      </c>
      <c r="M2104" t="s">
        <v>24</v>
      </c>
      <c r="N2104" t="s">
        <v>24</v>
      </c>
      <c r="O2104" t="s">
        <v>25</v>
      </c>
      <c r="P2104" s="8" t="s">
        <v>2679</v>
      </c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  <c r="AA2104" s="11"/>
      <c r="AB2104" s="11"/>
      <c r="AC2104" s="11"/>
      <c r="AD2104" s="11"/>
      <c r="AE2104" s="11"/>
      <c r="AF2104" s="11"/>
      <c r="AG2104" s="11"/>
      <c r="AH2104" s="11"/>
      <c r="AI2104" s="11"/>
      <c r="AJ2104" s="11"/>
      <c r="AK2104" s="11"/>
      <c r="AL2104" s="11"/>
      <c r="AM2104" s="11"/>
      <c r="AN2104" s="11"/>
      <c r="AO2104" s="11"/>
      <c r="AP2104" s="11"/>
      <c r="AQ2104" s="11"/>
      <c r="AR2104" s="11"/>
      <c r="AS2104" s="11"/>
      <c r="AT2104" s="11"/>
      <c r="AU2104" s="11"/>
      <c r="AV2104" s="11"/>
      <c r="AW2104" s="11"/>
      <c r="AX2104" s="11"/>
      <c r="AY2104" s="11"/>
    </row>
    <row r="2105" spans="1:51" hidden="1" x14ac:dyDescent="0.2">
      <c r="A2105" s="6" t="s">
        <v>17</v>
      </c>
      <c r="B2105" t="s">
        <v>31</v>
      </c>
      <c r="C2105" t="s">
        <v>32</v>
      </c>
      <c r="D2105" t="s">
        <v>2680</v>
      </c>
      <c r="E2105" s="2">
        <v>69.98</v>
      </c>
      <c r="F2105" s="3">
        <f t="shared" si="180"/>
        <v>45894</v>
      </c>
      <c r="G2105" s="3">
        <f t="shared" si="180"/>
        <v>45894</v>
      </c>
      <c r="H2105">
        <v>2692245806</v>
      </c>
      <c r="I2105" t="s">
        <v>21</v>
      </c>
      <c r="K2105" t="s">
        <v>22</v>
      </c>
      <c r="L2105" t="s">
        <v>23</v>
      </c>
      <c r="M2105" t="s">
        <v>24</v>
      </c>
      <c r="N2105" t="s">
        <v>24</v>
      </c>
      <c r="O2105" t="s">
        <v>25</v>
      </c>
      <c r="P2105" s="8" t="s">
        <v>2681</v>
      </c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  <c r="AA2105" s="11"/>
      <c r="AB2105" s="11"/>
      <c r="AC2105" s="11"/>
      <c r="AD2105" s="11"/>
      <c r="AE2105" s="11"/>
      <c r="AF2105" s="11"/>
      <c r="AG2105" s="11"/>
      <c r="AH2105" s="11"/>
      <c r="AI2105" s="11"/>
      <c r="AJ2105" s="11"/>
      <c r="AK2105" s="11"/>
      <c r="AL2105" s="11"/>
      <c r="AM2105" s="11"/>
      <c r="AN2105" s="11"/>
      <c r="AO2105" s="11"/>
      <c r="AP2105" s="11"/>
      <c r="AQ2105" s="11"/>
      <c r="AR2105" s="11"/>
      <c r="AS2105" s="11"/>
      <c r="AT2105" s="11"/>
      <c r="AU2105" s="11"/>
      <c r="AV2105" s="11"/>
      <c r="AW2105" s="11"/>
      <c r="AX2105" s="11"/>
      <c r="AY2105" s="11"/>
    </row>
    <row r="2106" spans="1:51" hidden="1" x14ac:dyDescent="0.2">
      <c r="A2106" s="6" t="s">
        <v>17</v>
      </c>
      <c r="B2106" t="s">
        <v>825</v>
      </c>
      <c r="C2106" t="s">
        <v>826</v>
      </c>
      <c r="D2106" t="s">
        <v>2682</v>
      </c>
      <c r="E2106" s="2">
        <v>1635.37</v>
      </c>
      <c r="F2106" s="3">
        <f t="shared" si="180"/>
        <v>45894</v>
      </c>
      <c r="G2106" s="3">
        <f t="shared" si="180"/>
        <v>45894</v>
      </c>
      <c r="H2106">
        <v>2692245807</v>
      </c>
      <c r="I2106" t="s">
        <v>21</v>
      </c>
      <c r="K2106" t="s">
        <v>22</v>
      </c>
      <c r="L2106" t="s">
        <v>23</v>
      </c>
      <c r="M2106" t="s">
        <v>24</v>
      </c>
      <c r="N2106" t="s">
        <v>24</v>
      </c>
      <c r="O2106" t="s">
        <v>25</v>
      </c>
      <c r="P2106" s="8" t="s">
        <v>2683</v>
      </c>
      <c r="Q2106" s="11"/>
      <c r="R2106" s="11"/>
      <c r="S2106" s="11"/>
      <c r="T2106" s="11"/>
      <c r="U2106" s="11"/>
      <c r="V2106" s="11"/>
      <c r="W2106" s="11"/>
      <c r="X2106" s="11"/>
      <c r="Y2106" s="11"/>
      <c r="Z2106" s="11"/>
      <c r="AA2106" s="11"/>
      <c r="AB2106" s="11"/>
      <c r="AC2106" s="11"/>
      <c r="AD2106" s="11"/>
      <c r="AE2106" s="11"/>
      <c r="AF2106" s="11"/>
      <c r="AG2106" s="11"/>
      <c r="AH2106" s="11"/>
      <c r="AI2106" s="11"/>
      <c r="AJ2106" s="11"/>
      <c r="AK2106" s="11"/>
      <c r="AL2106" s="11"/>
      <c r="AM2106" s="11"/>
      <c r="AN2106" s="11"/>
      <c r="AO2106" s="11"/>
      <c r="AP2106" s="11"/>
      <c r="AQ2106" s="11"/>
      <c r="AR2106" s="11"/>
      <c r="AS2106" s="11"/>
      <c r="AT2106" s="11"/>
      <c r="AU2106" s="11"/>
      <c r="AV2106" s="11"/>
      <c r="AW2106" s="11"/>
      <c r="AX2106" s="11"/>
      <c r="AY2106" s="11"/>
    </row>
    <row r="2107" spans="1:51" hidden="1" x14ac:dyDescent="0.2">
      <c r="A2107" s="6" t="s">
        <v>17</v>
      </c>
      <c r="B2107" t="s">
        <v>50</v>
      </c>
      <c r="C2107" t="s">
        <v>51</v>
      </c>
      <c r="D2107" t="s">
        <v>2684</v>
      </c>
      <c r="E2107" s="2">
        <v>475.2</v>
      </c>
      <c r="F2107" s="3">
        <f t="shared" si="180"/>
        <v>45894</v>
      </c>
      <c r="G2107" s="3">
        <f t="shared" si="180"/>
        <v>45894</v>
      </c>
      <c r="H2107">
        <v>2692245808</v>
      </c>
      <c r="I2107" t="s">
        <v>21</v>
      </c>
      <c r="K2107" t="s">
        <v>22</v>
      </c>
      <c r="L2107" t="s">
        <v>23</v>
      </c>
      <c r="M2107" t="s">
        <v>24</v>
      </c>
      <c r="N2107" t="s">
        <v>24</v>
      </c>
      <c r="O2107" t="s">
        <v>25</v>
      </c>
      <c r="P2107" s="8" t="s">
        <v>2685</v>
      </c>
      <c r="Q2107" s="11"/>
      <c r="R2107" s="11"/>
      <c r="S2107" s="11"/>
      <c r="T2107" s="11"/>
      <c r="U2107" s="11"/>
      <c r="V2107" s="11"/>
      <c r="W2107" s="11"/>
      <c r="X2107" s="11"/>
      <c r="Y2107" s="11"/>
      <c r="Z2107" s="11"/>
      <c r="AA2107" s="11"/>
      <c r="AB2107" s="11"/>
      <c r="AC2107" s="11"/>
      <c r="AD2107" s="11"/>
      <c r="AE2107" s="11"/>
      <c r="AF2107" s="11"/>
      <c r="AG2107" s="11"/>
      <c r="AH2107" s="11"/>
      <c r="AI2107" s="11"/>
      <c r="AJ2107" s="11"/>
      <c r="AK2107" s="11"/>
      <c r="AL2107" s="11"/>
      <c r="AM2107" s="11"/>
      <c r="AN2107" s="11"/>
      <c r="AO2107" s="11"/>
      <c r="AP2107" s="11"/>
      <c r="AQ2107" s="11"/>
      <c r="AR2107" s="11"/>
      <c r="AS2107" s="11"/>
      <c r="AT2107" s="11"/>
      <c r="AU2107" s="11"/>
      <c r="AV2107" s="11"/>
      <c r="AW2107" s="11"/>
      <c r="AX2107" s="11"/>
      <c r="AY2107" s="11"/>
    </row>
    <row r="2108" spans="1:51" hidden="1" x14ac:dyDescent="0.2">
      <c r="A2108" s="6" t="s">
        <v>17</v>
      </c>
      <c r="B2108" t="s">
        <v>878</v>
      </c>
      <c r="C2108" t="s">
        <v>879</v>
      </c>
      <c r="D2108" t="s">
        <v>2686</v>
      </c>
      <c r="E2108" s="2">
        <v>1846.56</v>
      </c>
      <c r="F2108" s="3">
        <f t="shared" si="180"/>
        <v>45894</v>
      </c>
      <c r="G2108" s="3">
        <f t="shared" si="180"/>
        <v>45894</v>
      </c>
      <c r="H2108">
        <v>2692245809</v>
      </c>
      <c r="I2108" t="s">
        <v>21</v>
      </c>
      <c r="K2108" t="s">
        <v>22</v>
      </c>
      <c r="L2108" t="s">
        <v>23</v>
      </c>
      <c r="M2108" t="s">
        <v>24</v>
      </c>
      <c r="N2108" t="s">
        <v>24</v>
      </c>
      <c r="O2108" t="s">
        <v>25</v>
      </c>
      <c r="P2108" s="8" t="s">
        <v>2687</v>
      </c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  <c r="AA2108" s="11"/>
      <c r="AB2108" s="11"/>
      <c r="AC2108" s="11"/>
      <c r="AD2108" s="11"/>
      <c r="AE2108" s="11"/>
      <c r="AF2108" s="11"/>
      <c r="AG2108" s="11"/>
      <c r="AH2108" s="11"/>
      <c r="AI2108" s="11"/>
      <c r="AJ2108" s="11"/>
      <c r="AK2108" s="11"/>
      <c r="AL2108" s="11"/>
      <c r="AM2108" s="11"/>
      <c r="AN2108" s="11"/>
      <c r="AO2108" s="11"/>
      <c r="AP2108" s="11"/>
      <c r="AQ2108" s="11"/>
      <c r="AR2108" s="11"/>
      <c r="AS2108" s="11"/>
      <c r="AT2108" s="11"/>
      <c r="AU2108" s="11"/>
      <c r="AV2108" s="11"/>
      <c r="AW2108" s="11"/>
      <c r="AX2108" s="11"/>
      <c r="AY2108" s="11"/>
    </row>
    <row r="2109" spans="1:51" hidden="1" x14ac:dyDescent="0.2">
      <c r="A2109" s="6"/>
      <c r="E2109" s="2"/>
      <c r="F2109" s="3"/>
      <c r="G2109" s="3"/>
      <c r="P2109" s="8"/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  <c r="AA2109" s="11"/>
      <c r="AB2109" s="11"/>
      <c r="AC2109" s="11"/>
      <c r="AD2109" s="11"/>
      <c r="AE2109" s="11"/>
      <c r="AF2109" s="11"/>
      <c r="AG2109" s="11"/>
      <c r="AH2109" s="11"/>
      <c r="AI2109" s="11"/>
      <c r="AJ2109" s="11"/>
      <c r="AK2109" s="11"/>
      <c r="AL2109" s="11"/>
      <c r="AM2109" s="11"/>
      <c r="AN2109" s="11"/>
      <c r="AO2109" s="11"/>
      <c r="AP2109" s="11"/>
      <c r="AQ2109" s="11"/>
      <c r="AR2109" s="11"/>
      <c r="AS2109" s="11"/>
      <c r="AT2109" s="11"/>
      <c r="AU2109" s="11"/>
      <c r="AV2109" s="11"/>
      <c r="AW2109" s="11"/>
      <c r="AX2109" s="11"/>
      <c r="AY2109" s="11"/>
    </row>
    <row r="2110" spans="1:51" hidden="1" x14ac:dyDescent="0.2">
      <c r="A2110" s="6"/>
      <c r="E2110" s="2"/>
      <c r="F2110" s="3"/>
      <c r="G2110" s="3"/>
      <c r="P2110" s="8"/>
      <c r="Q2110" s="11"/>
      <c r="R2110" s="11"/>
      <c r="S2110" s="11"/>
      <c r="T2110" s="11"/>
      <c r="U2110" s="11"/>
      <c r="V2110" s="11"/>
      <c r="W2110" s="11"/>
      <c r="X2110" s="11"/>
      <c r="Y2110" s="11"/>
      <c r="Z2110" s="11"/>
      <c r="AA2110" s="11"/>
      <c r="AB2110" s="11"/>
      <c r="AC2110" s="11"/>
      <c r="AD2110" s="11"/>
      <c r="AE2110" s="11"/>
      <c r="AF2110" s="11"/>
      <c r="AG2110" s="11"/>
      <c r="AH2110" s="11"/>
      <c r="AI2110" s="11"/>
      <c r="AJ2110" s="11"/>
      <c r="AK2110" s="11"/>
      <c r="AL2110" s="11"/>
      <c r="AM2110" s="11"/>
      <c r="AN2110" s="11"/>
      <c r="AO2110" s="11"/>
      <c r="AP2110" s="11"/>
      <c r="AQ2110" s="11"/>
      <c r="AR2110" s="11"/>
      <c r="AS2110" s="11"/>
      <c r="AT2110" s="11"/>
      <c r="AU2110" s="11"/>
      <c r="AV2110" s="11"/>
      <c r="AW2110" s="11"/>
      <c r="AX2110" s="11"/>
      <c r="AY2110" s="11"/>
    </row>
    <row r="2111" spans="1:51" hidden="1" x14ac:dyDescent="0.2">
      <c r="A2111" s="6" t="s">
        <v>17</v>
      </c>
      <c r="B2111" t="s">
        <v>18</v>
      </c>
      <c r="C2111" t="s">
        <v>19</v>
      </c>
      <c r="D2111" t="s">
        <v>2688</v>
      </c>
      <c r="E2111" s="2">
        <v>1005.48</v>
      </c>
      <c r="F2111" s="3">
        <f>DATE(2025,8,25)</f>
        <v>45894</v>
      </c>
      <c r="G2111" s="3">
        <f>DATE(2025,8,25)</f>
        <v>45894</v>
      </c>
      <c r="H2111">
        <v>2692245812</v>
      </c>
      <c r="I2111" t="s">
        <v>21</v>
      </c>
      <c r="K2111" t="s">
        <v>22</v>
      </c>
      <c r="L2111" t="s">
        <v>23</v>
      </c>
      <c r="M2111" t="s">
        <v>24</v>
      </c>
      <c r="N2111" t="s">
        <v>24</v>
      </c>
      <c r="O2111" t="s">
        <v>25</v>
      </c>
      <c r="P2111" s="8" t="s">
        <v>2689</v>
      </c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  <c r="AA2111" s="11"/>
      <c r="AB2111" s="11"/>
      <c r="AC2111" s="11"/>
      <c r="AD2111" s="11"/>
      <c r="AE2111" s="11"/>
      <c r="AF2111" s="11"/>
      <c r="AG2111" s="11"/>
      <c r="AH2111" s="11"/>
      <c r="AI2111" s="11"/>
      <c r="AJ2111" s="11"/>
      <c r="AK2111" s="11"/>
      <c r="AL2111" s="11"/>
      <c r="AM2111" s="11"/>
      <c r="AN2111" s="11"/>
      <c r="AO2111" s="11"/>
      <c r="AP2111" s="11"/>
      <c r="AQ2111" s="11"/>
      <c r="AR2111" s="11"/>
      <c r="AS2111" s="11"/>
      <c r="AT2111" s="11"/>
      <c r="AU2111" s="11"/>
      <c r="AV2111" s="11"/>
      <c r="AW2111" s="11"/>
      <c r="AX2111" s="11"/>
      <c r="AY2111" s="11"/>
    </row>
    <row r="2112" spans="1:51" hidden="1" x14ac:dyDescent="0.2">
      <c r="A2112" s="6"/>
      <c r="E2112" s="2"/>
      <c r="F2112" s="3"/>
      <c r="G2112" s="3"/>
      <c r="P2112" s="8"/>
      <c r="Q2112" s="11"/>
      <c r="R2112" s="11"/>
      <c r="S2112" s="11"/>
      <c r="T2112" s="11"/>
      <c r="U2112" s="11"/>
      <c r="V2112" s="11"/>
      <c r="W2112" s="11"/>
      <c r="X2112" s="11"/>
      <c r="Y2112" s="11"/>
      <c r="Z2112" s="11"/>
      <c r="AA2112" s="11"/>
      <c r="AB2112" s="11"/>
      <c r="AC2112" s="11"/>
      <c r="AD2112" s="11"/>
      <c r="AE2112" s="11"/>
      <c r="AF2112" s="11"/>
      <c r="AG2112" s="11"/>
      <c r="AH2112" s="11"/>
      <c r="AI2112" s="11"/>
      <c r="AJ2112" s="11"/>
      <c r="AK2112" s="11"/>
      <c r="AL2112" s="11"/>
      <c r="AM2112" s="11"/>
      <c r="AN2112" s="11"/>
      <c r="AO2112" s="11"/>
      <c r="AP2112" s="11"/>
      <c r="AQ2112" s="11"/>
      <c r="AR2112" s="11"/>
      <c r="AS2112" s="11"/>
      <c r="AT2112" s="11"/>
      <c r="AU2112" s="11"/>
      <c r="AV2112" s="11"/>
      <c r="AW2112" s="11"/>
      <c r="AX2112" s="11"/>
      <c r="AY2112" s="11"/>
    </row>
    <row r="2113" spans="1:51" hidden="1" x14ac:dyDescent="0.2">
      <c r="A2113" s="6"/>
      <c r="E2113" s="2"/>
      <c r="F2113" s="3"/>
      <c r="G2113" s="3"/>
      <c r="P2113" s="8"/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  <c r="AA2113" s="11"/>
      <c r="AB2113" s="11"/>
      <c r="AC2113" s="11"/>
      <c r="AD2113" s="11"/>
      <c r="AE2113" s="11"/>
      <c r="AF2113" s="11"/>
      <c r="AG2113" s="11"/>
      <c r="AH2113" s="11"/>
      <c r="AI2113" s="11"/>
      <c r="AJ2113" s="11"/>
      <c r="AK2113" s="11"/>
      <c r="AL2113" s="11"/>
      <c r="AM2113" s="11"/>
      <c r="AN2113" s="11"/>
      <c r="AO2113" s="11"/>
      <c r="AP2113" s="11"/>
      <c r="AQ2113" s="11"/>
      <c r="AR2113" s="11"/>
      <c r="AS2113" s="11"/>
      <c r="AT2113" s="11"/>
      <c r="AU2113" s="11"/>
      <c r="AV2113" s="11"/>
      <c r="AW2113" s="11"/>
      <c r="AX2113" s="11"/>
      <c r="AY2113" s="11"/>
    </row>
    <row r="2114" spans="1:51" x14ac:dyDescent="0.2">
      <c r="A2114" s="6" t="s">
        <v>17</v>
      </c>
      <c r="B2114" t="s">
        <v>342</v>
      </c>
      <c r="C2114" t="s">
        <v>342</v>
      </c>
      <c r="D2114" t="s">
        <v>2690</v>
      </c>
      <c r="E2114" s="2">
        <v>1.3</v>
      </c>
      <c r="F2114" s="3">
        <f t="shared" ref="F2114:G2114" si="181">DATE(2025,8,24)</f>
        <v>45893</v>
      </c>
      <c r="G2114" s="3">
        <f t="shared" si="181"/>
        <v>45893</v>
      </c>
      <c r="H2114">
        <v>2699125741</v>
      </c>
      <c r="I2114" t="s">
        <v>158</v>
      </c>
      <c r="K2114" t="s">
        <v>22</v>
      </c>
      <c r="L2114" t="s">
        <v>23</v>
      </c>
      <c r="M2114" t="s">
        <v>24</v>
      </c>
      <c r="N2114" t="s">
        <v>24</v>
      </c>
      <c r="O2114" t="s">
        <v>25</v>
      </c>
      <c r="P2114" s="8" t="s">
        <v>2691</v>
      </c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1"/>
      <c r="AF2114" s="11"/>
      <c r="AG2114" s="11"/>
      <c r="AH2114" s="11"/>
      <c r="AI2114" s="11"/>
      <c r="AJ2114" s="11"/>
      <c r="AK2114" s="11"/>
      <c r="AL2114" s="11"/>
      <c r="AM2114" s="11"/>
      <c r="AN2114" s="11"/>
      <c r="AO2114" s="11"/>
      <c r="AP2114" s="11"/>
      <c r="AQ2114" s="11"/>
      <c r="AR2114" s="11"/>
      <c r="AS2114" s="11"/>
      <c r="AT2114" s="11"/>
      <c r="AU2114" s="11"/>
      <c r="AV2114" s="11"/>
      <c r="AW2114" s="11"/>
      <c r="AX2114" s="11"/>
      <c r="AY2114" s="11"/>
    </row>
    <row r="2115" spans="1:51" hidden="1" x14ac:dyDescent="0.2">
      <c r="A2115" s="6"/>
      <c r="E2115" s="2"/>
      <c r="F2115" s="3"/>
      <c r="G2115" s="3"/>
      <c r="P2115" s="8"/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  <c r="AA2115" s="11"/>
      <c r="AB2115" s="11"/>
      <c r="AC2115" s="11"/>
      <c r="AD2115" s="11"/>
      <c r="AE2115" s="11"/>
      <c r="AF2115" s="11"/>
      <c r="AG2115" s="11"/>
      <c r="AH2115" s="11"/>
      <c r="AI2115" s="11"/>
      <c r="AJ2115" s="11"/>
      <c r="AK2115" s="11"/>
      <c r="AL2115" s="11"/>
      <c r="AM2115" s="11"/>
      <c r="AN2115" s="11"/>
      <c r="AO2115" s="11"/>
      <c r="AP2115" s="11"/>
      <c r="AQ2115" s="11"/>
      <c r="AR2115" s="11"/>
      <c r="AS2115" s="11"/>
      <c r="AT2115" s="11"/>
      <c r="AU2115" s="11"/>
      <c r="AV2115" s="11"/>
      <c r="AW2115" s="11"/>
      <c r="AX2115" s="11"/>
      <c r="AY2115" s="11"/>
    </row>
    <row r="2116" spans="1:51" hidden="1" x14ac:dyDescent="0.2">
      <c r="A2116" s="6"/>
      <c r="E2116" s="2"/>
      <c r="F2116" s="3"/>
      <c r="G2116" s="3"/>
      <c r="P2116" s="8"/>
      <c r="Q2116" s="11"/>
      <c r="R2116" s="11"/>
      <c r="S2116" s="11"/>
      <c r="T2116" s="11"/>
      <c r="U2116" s="11"/>
      <c r="V2116" s="11"/>
      <c r="W2116" s="11"/>
      <c r="X2116" s="11"/>
      <c r="Y2116" s="11"/>
      <c r="Z2116" s="11"/>
      <c r="AA2116" s="11"/>
      <c r="AB2116" s="11"/>
      <c r="AC2116" s="11"/>
      <c r="AD2116" s="11"/>
      <c r="AE2116" s="11"/>
      <c r="AF2116" s="11"/>
      <c r="AG2116" s="11"/>
      <c r="AH2116" s="11"/>
      <c r="AI2116" s="11"/>
      <c r="AJ2116" s="11"/>
      <c r="AK2116" s="11"/>
      <c r="AL2116" s="11"/>
      <c r="AM2116" s="11"/>
      <c r="AN2116" s="11"/>
      <c r="AO2116" s="11"/>
      <c r="AP2116" s="11"/>
      <c r="AQ2116" s="11"/>
      <c r="AR2116" s="11"/>
      <c r="AS2116" s="11"/>
      <c r="AT2116" s="11"/>
      <c r="AU2116" s="11"/>
      <c r="AV2116" s="11"/>
      <c r="AW2116" s="11"/>
      <c r="AX2116" s="11"/>
      <c r="AY2116" s="11"/>
    </row>
    <row r="2117" spans="1:51" hidden="1" x14ac:dyDescent="0.2">
      <c r="A2117" s="6"/>
      <c r="E2117" s="2"/>
      <c r="F2117" s="3"/>
      <c r="G2117" s="3"/>
      <c r="P2117" s="8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1"/>
      <c r="AF2117" s="11"/>
      <c r="AG2117" s="11"/>
      <c r="AH2117" s="11"/>
      <c r="AI2117" s="11"/>
      <c r="AJ2117" s="11"/>
      <c r="AK2117" s="11"/>
      <c r="AL2117" s="11"/>
      <c r="AM2117" s="11"/>
      <c r="AN2117" s="11"/>
      <c r="AO2117" s="11"/>
      <c r="AP2117" s="11"/>
      <c r="AQ2117" s="11"/>
      <c r="AR2117" s="11"/>
      <c r="AS2117" s="11"/>
      <c r="AT2117" s="11"/>
      <c r="AU2117" s="11"/>
      <c r="AV2117" s="11"/>
      <c r="AW2117" s="11"/>
      <c r="AX2117" s="11"/>
      <c r="AY2117" s="11"/>
    </row>
    <row r="2118" spans="1:51" hidden="1" x14ac:dyDescent="0.2">
      <c r="A2118" s="6" t="s">
        <v>17</v>
      </c>
      <c r="B2118" t="s">
        <v>1002</v>
      </c>
      <c r="C2118" t="s">
        <v>1003</v>
      </c>
      <c r="D2118" t="s">
        <v>2692</v>
      </c>
      <c r="E2118" s="2">
        <v>1834.74</v>
      </c>
      <c r="F2118" s="3">
        <f>DATE(2025,8,26)</f>
        <v>45895</v>
      </c>
      <c r="G2118" s="3">
        <f>DATE(2025,8,26)</f>
        <v>45895</v>
      </c>
      <c r="H2118">
        <v>2699125745</v>
      </c>
      <c r="I2118" t="s">
        <v>21</v>
      </c>
      <c r="K2118" t="s">
        <v>22</v>
      </c>
      <c r="L2118" t="s">
        <v>23</v>
      </c>
      <c r="M2118" t="s">
        <v>24</v>
      </c>
      <c r="N2118" t="s">
        <v>24</v>
      </c>
      <c r="O2118" t="s">
        <v>25</v>
      </c>
      <c r="P2118" s="8" t="s">
        <v>2693</v>
      </c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  <c r="AA2118" s="11"/>
      <c r="AB2118" s="11"/>
      <c r="AC2118" s="11"/>
      <c r="AD2118" s="11"/>
      <c r="AE2118" s="11"/>
      <c r="AF2118" s="11"/>
      <c r="AG2118" s="11"/>
      <c r="AH2118" s="11"/>
      <c r="AI2118" s="11"/>
      <c r="AJ2118" s="11"/>
      <c r="AK2118" s="11"/>
      <c r="AL2118" s="11"/>
      <c r="AM2118" s="11"/>
      <c r="AN2118" s="11"/>
      <c r="AO2118" s="11"/>
      <c r="AP2118" s="11"/>
      <c r="AQ2118" s="11"/>
      <c r="AR2118" s="11"/>
      <c r="AS2118" s="11"/>
      <c r="AT2118" s="11"/>
      <c r="AU2118" s="11"/>
      <c r="AV2118" s="11"/>
      <c r="AW2118" s="11"/>
      <c r="AX2118" s="11"/>
      <c r="AY2118" s="11"/>
    </row>
    <row r="2119" spans="1:51" hidden="1" x14ac:dyDescent="0.2">
      <c r="A2119" s="6"/>
      <c r="E2119" s="2"/>
      <c r="F2119" s="3"/>
      <c r="G2119" s="3"/>
      <c r="P2119" s="8"/>
      <c r="Q2119" s="11"/>
      <c r="R2119" s="11"/>
      <c r="S2119" s="11"/>
      <c r="T2119" s="11"/>
      <c r="U2119" s="11"/>
      <c r="V2119" s="11"/>
      <c r="W2119" s="11"/>
      <c r="X2119" s="11"/>
      <c r="Y2119" s="11"/>
      <c r="Z2119" s="11"/>
      <c r="AA2119" s="11"/>
      <c r="AB2119" s="11"/>
      <c r="AC2119" s="11"/>
      <c r="AD2119" s="11"/>
      <c r="AE2119" s="11"/>
      <c r="AF2119" s="11"/>
      <c r="AG2119" s="11"/>
      <c r="AH2119" s="11"/>
      <c r="AI2119" s="11"/>
      <c r="AJ2119" s="11"/>
      <c r="AK2119" s="11"/>
      <c r="AL2119" s="11"/>
      <c r="AM2119" s="11"/>
      <c r="AN2119" s="11"/>
      <c r="AO2119" s="11"/>
      <c r="AP2119" s="11"/>
      <c r="AQ2119" s="11"/>
      <c r="AR2119" s="11"/>
      <c r="AS2119" s="11"/>
      <c r="AT2119" s="11"/>
      <c r="AU2119" s="11"/>
      <c r="AV2119" s="11"/>
      <c r="AW2119" s="11"/>
      <c r="AX2119" s="11"/>
      <c r="AY2119" s="11"/>
    </row>
    <row r="2120" spans="1:51" hidden="1" x14ac:dyDescent="0.2">
      <c r="A2120" s="6" t="s">
        <v>17</v>
      </c>
      <c r="B2120" t="s">
        <v>309</v>
      </c>
      <c r="C2120" t="s">
        <v>310</v>
      </c>
      <c r="D2120" t="s">
        <v>2694</v>
      </c>
      <c r="E2120" s="2">
        <v>3191.52</v>
      </c>
      <c r="F2120" s="3">
        <f>DATE(2025,8,26)</f>
        <v>45895</v>
      </c>
      <c r="G2120" s="3">
        <f>DATE(2025,8,26)</f>
        <v>45895</v>
      </c>
      <c r="H2120">
        <v>2699125747</v>
      </c>
      <c r="I2120" t="s">
        <v>21</v>
      </c>
      <c r="K2120" t="s">
        <v>22</v>
      </c>
      <c r="L2120" t="s">
        <v>23</v>
      </c>
      <c r="M2120" t="s">
        <v>24</v>
      </c>
      <c r="N2120" t="s">
        <v>24</v>
      </c>
      <c r="O2120" t="s">
        <v>25</v>
      </c>
      <c r="P2120" s="8" t="s">
        <v>2695</v>
      </c>
      <c r="Q2120" s="11"/>
      <c r="R2120" s="11"/>
      <c r="S2120" s="11"/>
      <c r="T2120" s="11"/>
      <c r="U2120" s="11"/>
      <c r="V2120" s="11"/>
      <c r="W2120" s="11"/>
      <c r="X2120" s="11"/>
      <c r="Y2120" s="11"/>
      <c r="Z2120" s="11"/>
      <c r="AA2120" s="11"/>
      <c r="AB2120" s="11"/>
      <c r="AC2120" s="11"/>
      <c r="AD2120" s="11"/>
      <c r="AE2120" s="11"/>
      <c r="AF2120" s="11"/>
      <c r="AG2120" s="11"/>
      <c r="AH2120" s="11"/>
      <c r="AI2120" s="11"/>
      <c r="AJ2120" s="11"/>
      <c r="AK2120" s="11"/>
      <c r="AL2120" s="11"/>
      <c r="AM2120" s="11"/>
      <c r="AN2120" s="11"/>
      <c r="AO2120" s="11"/>
      <c r="AP2120" s="11"/>
      <c r="AQ2120" s="11"/>
      <c r="AR2120" s="11"/>
      <c r="AS2120" s="11"/>
      <c r="AT2120" s="11"/>
      <c r="AU2120" s="11"/>
      <c r="AV2120" s="11"/>
      <c r="AW2120" s="11"/>
      <c r="AX2120" s="11"/>
      <c r="AY2120" s="11"/>
    </row>
    <row r="2121" spans="1:51" hidden="1" x14ac:dyDescent="0.2">
      <c r="A2121" s="6" t="s">
        <v>17</v>
      </c>
      <c r="B2121" t="s">
        <v>287</v>
      </c>
      <c r="C2121" t="s">
        <v>288</v>
      </c>
      <c r="D2121" t="s">
        <v>2696</v>
      </c>
      <c r="E2121" s="2">
        <v>10000</v>
      </c>
      <c r="F2121" s="3">
        <f t="shared" ref="F2121:G2124" si="182">DATE(2025,8,25)</f>
        <v>45894</v>
      </c>
      <c r="G2121" s="3">
        <f t="shared" si="182"/>
        <v>45894</v>
      </c>
      <c r="H2121">
        <v>2699125748</v>
      </c>
      <c r="I2121" t="s">
        <v>21</v>
      </c>
      <c r="K2121" t="s">
        <v>22</v>
      </c>
      <c r="L2121" t="s">
        <v>23</v>
      </c>
      <c r="M2121" t="s">
        <v>24</v>
      </c>
      <c r="N2121" t="s">
        <v>24</v>
      </c>
      <c r="O2121" t="s">
        <v>25</v>
      </c>
      <c r="P2121" s="8" t="s">
        <v>2697</v>
      </c>
      <c r="Q2121" s="11"/>
      <c r="R2121" s="11"/>
      <c r="S2121" s="11"/>
      <c r="T2121" s="11"/>
      <c r="U2121" s="11"/>
      <c r="V2121" s="11"/>
      <c r="W2121" s="11"/>
      <c r="X2121" s="11"/>
      <c r="Y2121" s="11"/>
      <c r="Z2121" s="11"/>
      <c r="AA2121" s="11"/>
      <c r="AB2121" s="11"/>
      <c r="AC2121" s="11"/>
      <c r="AD2121" s="11"/>
      <c r="AE2121" s="11"/>
      <c r="AF2121" s="11"/>
      <c r="AG2121" s="11"/>
      <c r="AH2121" s="11"/>
      <c r="AI2121" s="11"/>
      <c r="AJ2121" s="11"/>
      <c r="AK2121" s="11"/>
      <c r="AL2121" s="11"/>
      <c r="AM2121" s="11"/>
      <c r="AN2121" s="11"/>
      <c r="AO2121" s="11"/>
      <c r="AP2121" s="11"/>
      <c r="AQ2121" s="11"/>
      <c r="AR2121" s="11"/>
      <c r="AS2121" s="11"/>
      <c r="AT2121" s="11"/>
      <c r="AU2121" s="11"/>
      <c r="AV2121" s="11"/>
      <c r="AW2121" s="11"/>
      <c r="AX2121" s="11"/>
      <c r="AY2121" s="11"/>
    </row>
    <row r="2122" spans="1:51" hidden="1" x14ac:dyDescent="0.2">
      <c r="A2122" s="6"/>
      <c r="E2122" s="2"/>
      <c r="F2122" s="3"/>
      <c r="G2122" s="3"/>
      <c r="P2122" s="8"/>
      <c r="Q2122" s="11"/>
      <c r="R2122" s="11"/>
      <c r="S2122" s="11"/>
      <c r="T2122" s="11"/>
      <c r="U2122" s="11"/>
      <c r="V2122" s="11"/>
      <c r="W2122" s="11"/>
      <c r="X2122" s="11"/>
      <c r="Y2122" s="11"/>
      <c r="Z2122" s="11"/>
      <c r="AA2122" s="11"/>
      <c r="AB2122" s="11"/>
      <c r="AC2122" s="11"/>
      <c r="AD2122" s="11"/>
      <c r="AE2122" s="11"/>
      <c r="AF2122" s="11"/>
      <c r="AG2122" s="11"/>
      <c r="AH2122" s="11"/>
      <c r="AI2122" s="11"/>
      <c r="AJ2122" s="11"/>
      <c r="AK2122" s="11"/>
      <c r="AL2122" s="11"/>
      <c r="AM2122" s="11"/>
      <c r="AN2122" s="11"/>
      <c r="AO2122" s="11"/>
      <c r="AP2122" s="11"/>
      <c r="AQ2122" s="11"/>
      <c r="AR2122" s="11"/>
      <c r="AS2122" s="11"/>
      <c r="AT2122" s="11"/>
      <c r="AU2122" s="11"/>
      <c r="AV2122" s="11"/>
      <c r="AW2122" s="11"/>
      <c r="AX2122" s="11"/>
      <c r="AY2122" s="11"/>
    </row>
    <row r="2123" spans="1:51" hidden="1" x14ac:dyDescent="0.2">
      <c r="A2123" s="6"/>
      <c r="E2123" s="2"/>
      <c r="F2123" s="3"/>
      <c r="G2123" s="3"/>
      <c r="P2123" s="8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1"/>
      <c r="AF2123" s="11"/>
      <c r="AG2123" s="11"/>
      <c r="AH2123" s="11"/>
      <c r="AI2123" s="11"/>
      <c r="AJ2123" s="11"/>
      <c r="AK2123" s="11"/>
      <c r="AL2123" s="11"/>
      <c r="AM2123" s="11"/>
      <c r="AN2123" s="11"/>
      <c r="AO2123" s="11"/>
      <c r="AP2123" s="11"/>
      <c r="AQ2123" s="11"/>
      <c r="AR2123" s="11"/>
      <c r="AS2123" s="11"/>
      <c r="AT2123" s="11"/>
      <c r="AU2123" s="11"/>
      <c r="AV2123" s="11"/>
      <c r="AW2123" s="11"/>
      <c r="AX2123" s="11"/>
      <c r="AY2123" s="11"/>
    </row>
    <row r="2124" spans="1:51" hidden="1" x14ac:dyDescent="0.2">
      <c r="A2124" s="6" t="s">
        <v>17</v>
      </c>
      <c r="B2124" t="s">
        <v>18</v>
      </c>
      <c r="C2124" t="s">
        <v>19</v>
      </c>
      <c r="D2124" t="s">
        <v>2698</v>
      </c>
      <c r="E2124" s="2">
        <v>1.53</v>
      </c>
      <c r="F2124" s="3">
        <f t="shared" si="182"/>
        <v>45894</v>
      </c>
      <c r="G2124" s="3">
        <f t="shared" si="182"/>
        <v>45894</v>
      </c>
      <c r="H2124">
        <v>2699174231</v>
      </c>
      <c r="I2124" t="s">
        <v>192</v>
      </c>
      <c r="K2124" t="s">
        <v>22</v>
      </c>
      <c r="L2124" t="s">
        <v>23</v>
      </c>
      <c r="M2124" t="s">
        <v>24</v>
      </c>
      <c r="N2124" t="s">
        <v>24</v>
      </c>
      <c r="O2124" t="s">
        <v>25</v>
      </c>
      <c r="P2124" s="8" t="s">
        <v>2699</v>
      </c>
      <c r="Q2124" s="11"/>
      <c r="R2124" s="11"/>
      <c r="S2124" s="11"/>
      <c r="T2124" s="11"/>
      <c r="U2124" s="11"/>
      <c r="V2124" s="11"/>
      <c r="W2124" s="11"/>
      <c r="X2124" s="11"/>
      <c r="Y2124" s="11"/>
      <c r="Z2124" s="11"/>
      <c r="AA2124" s="11"/>
      <c r="AB2124" s="11"/>
      <c r="AC2124" s="11"/>
      <c r="AD2124" s="11"/>
      <c r="AE2124" s="11"/>
      <c r="AF2124" s="11"/>
      <c r="AG2124" s="11"/>
      <c r="AH2124" s="11"/>
      <c r="AI2124" s="11"/>
      <c r="AJ2124" s="11"/>
      <c r="AK2124" s="11"/>
      <c r="AL2124" s="11"/>
      <c r="AM2124" s="11"/>
      <c r="AN2124" s="11"/>
      <c r="AO2124" s="11"/>
      <c r="AP2124" s="11"/>
      <c r="AQ2124" s="11"/>
      <c r="AR2124" s="11"/>
      <c r="AS2124" s="11"/>
      <c r="AT2124" s="11"/>
      <c r="AU2124" s="11"/>
      <c r="AV2124" s="11"/>
      <c r="AW2124" s="11"/>
      <c r="AX2124" s="11"/>
      <c r="AY2124" s="11"/>
    </row>
    <row r="2125" spans="1:51" hidden="1" x14ac:dyDescent="0.2">
      <c r="A2125" s="6"/>
      <c r="E2125" s="2"/>
      <c r="F2125" s="3"/>
      <c r="G2125" s="3"/>
      <c r="P2125" s="8"/>
      <c r="Q2125" s="11"/>
      <c r="R2125" s="11"/>
      <c r="S2125" s="11"/>
      <c r="T2125" s="11"/>
      <c r="U2125" s="11"/>
      <c r="V2125" s="11"/>
      <c r="W2125" s="11"/>
      <c r="X2125" s="11"/>
      <c r="Y2125" s="11"/>
      <c r="Z2125" s="11"/>
      <c r="AA2125" s="11"/>
      <c r="AB2125" s="11"/>
      <c r="AC2125" s="11"/>
      <c r="AD2125" s="11"/>
      <c r="AE2125" s="11"/>
      <c r="AF2125" s="11"/>
      <c r="AG2125" s="11"/>
      <c r="AH2125" s="11"/>
      <c r="AI2125" s="11"/>
      <c r="AJ2125" s="11"/>
      <c r="AK2125" s="11"/>
      <c r="AL2125" s="11"/>
      <c r="AM2125" s="11"/>
      <c r="AN2125" s="11"/>
      <c r="AO2125" s="11"/>
      <c r="AP2125" s="11"/>
      <c r="AQ2125" s="11"/>
      <c r="AR2125" s="11"/>
      <c r="AS2125" s="11"/>
      <c r="AT2125" s="11"/>
      <c r="AU2125" s="11"/>
      <c r="AV2125" s="11"/>
      <c r="AW2125" s="11"/>
      <c r="AX2125" s="11"/>
      <c r="AY2125" s="11"/>
    </row>
    <row r="2126" spans="1:51" hidden="1" x14ac:dyDescent="0.2">
      <c r="A2126" s="6" t="s">
        <v>17</v>
      </c>
      <c r="B2126" t="s">
        <v>980</v>
      </c>
      <c r="C2126" t="s">
        <v>981</v>
      </c>
      <c r="D2126" t="s">
        <v>2700</v>
      </c>
      <c r="E2126" s="2">
        <v>165.7</v>
      </c>
      <c r="F2126" s="3">
        <f>DATE(2025,8,27)</f>
        <v>45896</v>
      </c>
      <c r="G2126" s="3">
        <f>DATE(2025,8,27)</f>
        <v>45896</v>
      </c>
      <c r="H2126">
        <v>2708664703</v>
      </c>
      <c r="I2126" t="s">
        <v>21</v>
      </c>
      <c r="K2126" t="s">
        <v>22</v>
      </c>
      <c r="L2126" t="s">
        <v>23</v>
      </c>
      <c r="M2126" t="s">
        <v>24</v>
      </c>
      <c r="N2126" t="s">
        <v>24</v>
      </c>
      <c r="O2126" t="s">
        <v>25</v>
      </c>
      <c r="P2126" s="8" t="s">
        <v>2701</v>
      </c>
      <c r="Q2126" s="11"/>
      <c r="R2126" s="11"/>
      <c r="S2126" s="11"/>
      <c r="T2126" s="11"/>
      <c r="U2126" s="11"/>
      <c r="V2126" s="11"/>
      <c r="W2126" s="11"/>
      <c r="X2126" s="11"/>
      <c r="Y2126" s="11"/>
      <c r="Z2126" s="11"/>
      <c r="AA2126" s="11"/>
      <c r="AB2126" s="11"/>
      <c r="AC2126" s="11"/>
      <c r="AD2126" s="11"/>
      <c r="AE2126" s="11"/>
      <c r="AF2126" s="11"/>
      <c r="AG2126" s="11"/>
      <c r="AH2126" s="11"/>
      <c r="AI2126" s="11"/>
      <c r="AJ2126" s="11"/>
      <c r="AK2126" s="11"/>
      <c r="AL2126" s="11"/>
      <c r="AM2126" s="11"/>
      <c r="AN2126" s="11"/>
      <c r="AO2126" s="11"/>
      <c r="AP2126" s="11"/>
      <c r="AQ2126" s="11"/>
      <c r="AR2126" s="11"/>
      <c r="AS2126" s="11"/>
      <c r="AT2126" s="11"/>
      <c r="AU2126" s="11"/>
      <c r="AV2126" s="11"/>
      <c r="AW2126" s="11"/>
      <c r="AX2126" s="11"/>
      <c r="AY2126" s="11"/>
    </row>
    <row r="2127" spans="1:51" hidden="1" x14ac:dyDescent="0.2">
      <c r="A2127" s="6" t="s">
        <v>17</v>
      </c>
      <c r="B2127" t="s">
        <v>565</v>
      </c>
      <c r="C2127" t="s">
        <v>566</v>
      </c>
      <c r="D2127" t="s">
        <v>2702</v>
      </c>
      <c r="E2127" s="2">
        <v>801.29</v>
      </c>
      <c r="F2127" s="3">
        <f>DATE(2025,8,28)</f>
        <v>45897</v>
      </c>
      <c r="G2127" s="3">
        <f>DATE(2025,8,28)</f>
        <v>45897</v>
      </c>
      <c r="H2127">
        <v>2708664704</v>
      </c>
      <c r="I2127" t="s">
        <v>21</v>
      </c>
      <c r="K2127" t="s">
        <v>22</v>
      </c>
      <c r="L2127" t="s">
        <v>23</v>
      </c>
      <c r="M2127" t="s">
        <v>24</v>
      </c>
      <c r="N2127" t="s">
        <v>24</v>
      </c>
      <c r="O2127" t="s">
        <v>25</v>
      </c>
      <c r="P2127" s="8" t="s">
        <v>2703</v>
      </c>
      <c r="Q2127" s="11"/>
      <c r="R2127" s="11"/>
      <c r="S2127" s="11"/>
      <c r="T2127" s="11"/>
      <c r="U2127" s="11"/>
      <c r="V2127" s="11"/>
      <c r="W2127" s="11"/>
      <c r="X2127" s="11"/>
      <c r="Y2127" s="11"/>
      <c r="Z2127" s="11"/>
      <c r="AA2127" s="11"/>
      <c r="AB2127" s="11"/>
      <c r="AC2127" s="11"/>
      <c r="AD2127" s="11"/>
      <c r="AE2127" s="11"/>
      <c r="AF2127" s="11"/>
      <c r="AG2127" s="11"/>
      <c r="AH2127" s="11"/>
      <c r="AI2127" s="11"/>
      <c r="AJ2127" s="11"/>
      <c r="AK2127" s="11"/>
      <c r="AL2127" s="11"/>
      <c r="AM2127" s="11"/>
      <c r="AN2127" s="11"/>
      <c r="AO2127" s="11"/>
      <c r="AP2127" s="11"/>
      <c r="AQ2127" s="11"/>
      <c r="AR2127" s="11"/>
      <c r="AS2127" s="11"/>
      <c r="AT2127" s="11"/>
      <c r="AU2127" s="11"/>
      <c r="AV2127" s="11"/>
      <c r="AW2127" s="11"/>
      <c r="AX2127" s="11"/>
      <c r="AY2127" s="11"/>
    </row>
    <row r="2128" spans="1:51" hidden="1" x14ac:dyDescent="0.2">
      <c r="A2128" s="6"/>
      <c r="E2128" s="2"/>
      <c r="F2128" s="3"/>
      <c r="G2128" s="3"/>
      <c r="P2128" s="8"/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  <c r="AA2128" s="11"/>
      <c r="AB2128" s="11"/>
      <c r="AC2128" s="11"/>
      <c r="AD2128" s="11"/>
      <c r="AE2128" s="11"/>
      <c r="AF2128" s="11"/>
      <c r="AG2128" s="11"/>
      <c r="AH2128" s="11"/>
      <c r="AI2128" s="11"/>
      <c r="AJ2128" s="11"/>
      <c r="AK2128" s="11"/>
      <c r="AL2128" s="11"/>
      <c r="AM2128" s="11"/>
      <c r="AN2128" s="11"/>
      <c r="AO2128" s="11"/>
      <c r="AP2128" s="11"/>
      <c r="AQ2128" s="11"/>
      <c r="AR2128" s="11"/>
      <c r="AS2128" s="11"/>
      <c r="AT2128" s="11"/>
      <c r="AU2128" s="11"/>
      <c r="AV2128" s="11"/>
      <c r="AW2128" s="11"/>
      <c r="AX2128" s="11"/>
      <c r="AY2128" s="11"/>
    </row>
    <row r="2129" spans="1:51" hidden="1" x14ac:dyDescent="0.2">
      <c r="A2129" s="6"/>
      <c r="E2129" s="2"/>
      <c r="F2129" s="3"/>
      <c r="G2129" s="3"/>
      <c r="P2129" s="8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  <c r="AA2129" s="11"/>
      <c r="AB2129" s="11"/>
      <c r="AC2129" s="11"/>
      <c r="AD2129" s="11"/>
      <c r="AE2129" s="11"/>
      <c r="AF2129" s="11"/>
      <c r="AG2129" s="11"/>
      <c r="AH2129" s="11"/>
      <c r="AI2129" s="11"/>
      <c r="AJ2129" s="11"/>
      <c r="AK2129" s="11"/>
      <c r="AL2129" s="11"/>
      <c r="AM2129" s="11"/>
      <c r="AN2129" s="11"/>
      <c r="AO2129" s="11"/>
      <c r="AP2129" s="11"/>
      <c r="AQ2129" s="11"/>
      <c r="AR2129" s="11"/>
      <c r="AS2129" s="11"/>
      <c r="AT2129" s="11"/>
      <c r="AU2129" s="11"/>
      <c r="AV2129" s="11"/>
      <c r="AW2129" s="11"/>
      <c r="AX2129" s="11"/>
      <c r="AY2129" s="11"/>
    </row>
    <row r="2130" spans="1:51" hidden="1" x14ac:dyDescent="0.2">
      <c r="A2130" s="6" t="s">
        <v>17</v>
      </c>
      <c r="B2130" t="s">
        <v>287</v>
      </c>
      <c r="C2130" t="s">
        <v>288</v>
      </c>
      <c r="D2130" t="s">
        <v>2704</v>
      </c>
      <c r="E2130" s="2">
        <v>593</v>
      </c>
      <c r="F2130" s="3">
        <f t="shared" ref="F2130:G2130" si="183">DATE(2025,8,26)</f>
        <v>45895</v>
      </c>
      <c r="G2130" s="3">
        <f t="shared" si="183"/>
        <v>45895</v>
      </c>
      <c r="H2130">
        <v>2708664707</v>
      </c>
      <c r="I2130" t="s">
        <v>21</v>
      </c>
      <c r="K2130" t="s">
        <v>22</v>
      </c>
      <c r="L2130" t="s">
        <v>23</v>
      </c>
      <c r="M2130" t="s">
        <v>24</v>
      </c>
      <c r="N2130" t="s">
        <v>24</v>
      </c>
      <c r="O2130" t="s">
        <v>25</v>
      </c>
      <c r="P2130" s="8" t="s">
        <v>2705</v>
      </c>
      <c r="Q2130" s="11"/>
      <c r="R2130" s="11"/>
      <c r="S2130" s="11"/>
      <c r="T2130" s="11"/>
      <c r="U2130" s="11"/>
      <c r="V2130" s="11"/>
      <c r="W2130" s="11"/>
      <c r="X2130" s="11"/>
      <c r="Y2130" s="11"/>
      <c r="Z2130" s="11"/>
      <c r="AA2130" s="11"/>
      <c r="AB2130" s="11"/>
      <c r="AC2130" s="11"/>
      <c r="AD2130" s="11"/>
      <c r="AE2130" s="11"/>
      <c r="AF2130" s="11"/>
      <c r="AG2130" s="11"/>
      <c r="AH2130" s="11"/>
      <c r="AI2130" s="11"/>
      <c r="AJ2130" s="11"/>
      <c r="AK2130" s="11"/>
      <c r="AL2130" s="11"/>
      <c r="AM2130" s="11"/>
      <c r="AN2130" s="11"/>
      <c r="AO2130" s="11"/>
      <c r="AP2130" s="11"/>
      <c r="AQ2130" s="11"/>
      <c r="AR2130" s="11"/>
      <c r="AS2130" s="11"/>
      <c r="AT2130" s="11"/>
      <c r="AU2130" s="11"/>
      <c r="AV2130" s="11"/>
      <c r="AW2130" s="11"/>
      <c r="AX2130" s="11"/>
      <c r="AY2130" s="11"/>
    </row>
    <row r="2131" spans="1:51" hidden="1" x14ac:dyDescent="0.2">
      <c r="A2131" s="6" t="s">
        <v>17</v>
      </c>
      <c r="B2131" t="s">
        <v>46</v>
      </c>
      <c r="C2131" t="s">
        <v>47</v>
      </c>
      <c r="D2131" t="s">
        <v>2706</v>
      </c>
      <c r="E2131" s="2">
        <v>720</v>
      </c>
      <c r="F2131" s="3">
        <f>DATE(2025,8,27)</f>
        <v>45896</v>
      </c>
      <c r="G2131" s="3">
        <f>DATE(2025,8,27)</f>
        <v>45896</v>
      </c>
      <c r="H2131">
        <v>2708664708</v>
      </c>
      <c r="I2131" t="s">
        <v>21</v>
      </c>
      <c r="K2131" t="s">
        <v>22</v>
      </c>
      <c r="L2131" t="s">
        <v>23</v>
      </c>
      <c r="M2131" t="s">
        <v>24</v>
      </c>
      <c r="N2131" t="s">
        <v>24</v>
      </c>
      <c r="O2131" t="s">
        <v>25</v>
      </c>
      <c r="P2131" s="8" t="s">
        <v>2707</v>
      </c>
      <c r="Q2131" s="11"/>
      <c r="R2131" s="11"/>
      <c r="S2131" s="11"/>
      <c r="T2131" s="11"/>
      <c r="U2131" s="11"/>
      <c r="V2131" s="11"/>
      <c r="W2131" s="11"/>
      <c r="X2131" s="11"/>
      <c r="Y2131" s="11"/>
      <c r="Z2131" s="11"/>
      <c r="AA2131" s="11"/>
      <c r="AB2131" s="11"/>
      <c r="AC2131" s="11"/>
      <c r="AD2131" s="11"/>
      <c r="AE2131" s="11"/>
      <c r="AF2131" s="11"/>
      <c r="AG2131" s="11"/>
      <c r="AH2131" s="11"/>
      <c r="AI2131" s="11"/>
      <c r="AJ2131" s="11"/>
      <c r="AK2131" s="11"/>
      <c r="AL2131" s="11"/>
      <c r="AM2131" s="11"/>
      <c r="AN2131" s="11"/>
      <c r="AO2131" s="11"/>
      <c r="AP2131" s="11"/>
      <c r="AQ2131" s="11"/>
      <c r="AR2131" s="11"/>
      <c r="AS2131" s="11"/>
      <c r="AT2131" s="11"/>
      <c r="AU2131" s="11"/>
      <c r="AV2131" s="11"/>
      <c r="AW2131" s="11"/>
      <c r="AX2131" s="11"/>
      <c r="AY2131" s="11"/>
    </row>
    <row r="2132" spans="1:51" hidden="1" x14ac:dyDescent="0.2">
      <c r="A2132" s="6" t="s">
        <v>17</v>
      </c>
      <c r="B2132" t="s">
        <v>60</v>
      </c>
      <c r="C2132" t="s">
        <v>61</v>
      </c>
      <c r="D2132" t="s">
        <v>2708</v>
      </c>
      <c r="E2132" s="2">
        <v>413.6</v>
      </c>
      <c r="F2132" s="3">
        <f>DATE(2025,8,28)</f>
        <v>45897</v>
      </c>
      <c r="G2132" s="3">
        <f>DATE(2025,8,28)</f>
        <v>45897</v>
      </c>
      <c r="H2132">
        <v>2708664709</v>
      </c>
      <c r="I2132" t="s">
        <v>21</v>
      </c>
      <c r="K2132" t="s">
        <v>22</v>
      </c>
      <c r="L2132" t="s">
        <v>23</v>
      </c>
      <c r="M2132" t="s">
        <v>24</v>
      </c>
      <c r="N2132" t="s">
        <v>24</v>
      </c>
      <c r="O2132" t="s">
        <v>25</v>
      </c>
      <c r="P2132" s="8" t="s">
        <v>2709</v>
      </c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  <c r="AA2132" s="11"/>
      <c r="AB2132" s="11"/>
      <c r="AC2132" s="11"/>
      <c r="AD2132" s="11"/>
      <c r="AE2132" s="11"/>
      <c r="AF2132" s="11"/>
      <c r="AG2132" s="11"/>
      <c r="AH2132" s="11"/>
      <c r="AI2132" s="11"/>
      <c r="AJ2132" s="11"/>
      <c r="AK2132" s="11"/>
      <c r="AL2132" s="11"/>
      <c r="AM2132" s="11"/>
      <c r="AN2132" s="11"/>
      <c r="AO2132" s="11"/>
      <c r="AP2132" s="11"/>
      <c r="AQ2132" s="11"/>
      <c r="AR2132" s="11"/>
      <c r="AS2132" s="11"/>
      <c r="AT2132" s="11"/>
      <c r="AU2132" s="11"/>
      <c r="AV2132" s="11"/>
      <c r="AW2132" s="11"/>
      <c r="AX2132" s="11"/>
      <c r="AY2132" s="11"/>
    </row>
    <row r="2133" spans="1:51" hidden="1" x14ac:dyDescent="0.2">
      <c r="A2133" s="6"/>
      <c r="E2133" s="2"/>
      <c r="F2133" s="3"/>
      <c r="G2133" s="3"/>
      <c r="P2133" s="8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11"/>
      <c r="AB2133" s="11"/>
      <c r="AC2133" s="11"/>
      <c r="AD2133" s="11"/>
      <c r="AE2133" s="11"/>
      <c r="AF2133" s="11"/>
      <c r="AG2133" s="11"/>
      <c r="AH2133" s="11"/>
      <c r="AI2133" s="11"/>
      <c r="AJ2133" s="11"/>
      <c r="AK2133" s="11"/>
      <c r="AL2133" s="11"/>
      <c r="AM2133" s="11"/>
      <c r="AN2133" s="11"/>
      <c r="AO2133" s="11"/>
      <c r="AP2133" s="11"/>
      <c r="AQ2133" s="11"/>
      <c r="AR2133" s="11"/>
      <c r="AS2133" s="11"/>
      <c r="AT2133" s="11"/>
      <c r="AU2133" s="11"/>
      <c r="AV2133" s="11"/>
      <c r="AW2133" s="11"/>
      <c r="AX2133" s="11"/>
      <c r="AY2133" s="11"/>
    </row>
    <row r="2134" spans="1:51" hidden="1" x14ac:dyDescent="0.2">
      <c r="A2134" s="6"/>
      <c r="E2134" s="2"/>
      <c r="F2134" s="3"/>
      <c r="G2134" s="3"/>
      <c r="P2134" s="8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  <c r="AA2134" s="11"/>
      <c r="AB2134" s="11"/>
      <c r="AC2134" s="11"/>
      <c r="AD2134" s="11"/>
      <c r="AE2134" s="11"/>
      <c r="AF2134" s="11"/>
      <c r="AG2134" s="11"/>
      <c r="AH2134" s="11"/>
      <c r="AI2134" s="11"/>
      <c r="AJ2134" s="11"/>
      <c r="AK2134" s="11"/>
      <c r="AL2134" s="11"/>
      <c r="AM2134" s="11"/>
      <c r="AN2134" s="11"/>
      <c r="AO2134" s="11"/>
      <c r="AP2134" s="11"/>
      <c r="AQ2134" s="11"/>
      <c r="AR2134" s="11"/>
      <c r="AS2134" s="11"/>
      <c r="AT2134" s="11"/>
      <c r="AU2134" s="11"/>
      <c r="AV2134" s="11"/>
      <c r="AW2134" s="11"/>
      <c r="AX2134" s="11"/>
      <c r="AY2134" s="11"/>
    </row>
    <row r="2135" spans="1:51" hidden="1" x14ac:dyDescent="0.2">
      <c r="A2135" s="6"/>
      <c r="E2135" s="2"/>
      <c r="F2135" s="3"/>
      <c r="G2135" s="3"/>
      <c r="P2135" s="8"/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  <c r="AA2135" s="11"/>
      <c r="AB2135" s="11"/>
      <c r="AC2135" s="11"/>
      <c r="AD2135" s="11"/>
      <c r="AE2135" s="11"/>
      <c r="AF2135" s="11"/>
      <c r="AG2135" s="11"/>
      <c r="AH2135" s="11"/>
      <c r="AI2135" s="11"/>
      <c r="AJ2135" s="11"/>
      <c r="AK2135" s="11"/>
      <c r="AL2135" s="11"/>
      <c r="AM2135" s="11"/>
      <c r="AN2135" s="11"/>
      <c r="AO2135" s="11"/>
      <c r="AP2135" s="11"/>
      <c r="AQ2135" s="11"/>
      <c r="AR2135" s="11"/>
      <c r="AS2135" s="11"/>
      <c r="AT2135" s="11"/>
      <c r="AU2135" s="11"/>
      <c r="AV2135" s="11"/>
      <c r="AW2135" s="11"/>
      <c r="AX2135" s="11"/>
      <c r="AY2135" s="11"/>
    </row>
    <row r="2136" spans="1:51" hidden="1" x14ac:dyDescent="0.2">
      <c r="A2136" s="6"/>
      <c r="E2136" s="2"/>
      <c r="F2136" s="3"/>
      <c r="G2136" s="3"/>
      <c r="P2136" s="8"/>
      <c r="Q2136" s="11"/>
      <c r="R2136" s="11"/>
      <c r="S2136" s="11"/>
      <c r="T2136" s="11"/>
      <c r="U2136" s="11"/>
      <c r="V2136" s="11"/>
      <c r="W2136" s="11"/>
      <c r="X2136" s="11"/>
      <c r="Y2136" s="11"/>
      <c r="Z2136" s="11"/>
      <c r="AA2136" s="11"/>
      <c r="AB2136" s="11"/>
      <c r="AC2136" s="11"/>
      <c r="AD2136" s="11"/>
      <c r="AE2136" s="11"/>
      <c r="AF2136" s="11"/>
      <c r="AG2136" s="11"/>
      <c r="AH2136" s="11"/>
      <c r="AI2136" s="11"/>
      <c r="AJ2136" s="11"/>
      <c r="AK2136" s="11"/>
      <c r="AL2136" s="11"/>
      <c r="AM2136" s="11"/>
      <c r="AN2136" s="11"/>
      <c r="AO2136" s="11"/>
      <c r="AP2136" s="11"/>
      <c r="AQ2136" s="11"/>
      <c r="AR2136" s="11"/>
      <c r="AS2136" s="11"/>
      <c r="AT2136" s="11"/>
      <c r="AU2136" s="11"/>
      <c r="AV2136" s="11"/>
      <c r="AW2136" s="11"/>
      <c r="AX2136" s="11"/>
      <c r="AY2136" s="11"/>
    </row>
    <row r="2137" spans="1:51" hidden="1" x14ac:dyDescent="0.2">
      <c r="A2137" s="6"/>
      <c r="E2137" s="2"/>
      <c r="F2137" s="3"/>
      <c r="G2137" s="3"/>
      <c r="P2137" s="8"/>
      <c r="Q2137" s="11"/>
      <c r="R2137" s="11"/>
      <c r="S2137" s="11"/>
      <c r="T2137" s="11"/>
      <c r="U2137" s="11"/>
      <c r="V2137" s="11"/>
      <c r="W2137" s="11"/>
      <c r="X2137" s="11"/>
      <c r="Y2137" s="11"/>
      <c r="Z2137" s="11"/>
      <c r="AA2137" s="11"/>
      <c r="AB2137" s="11"/>
      <c r="AC2137" s="11"/>
      <c r="AD2137" s="11"/>
      <c r="AE2137" s="11"/>
      <c r="AF2137" s="11"/>
      <c r="AG2137" s="11"/>
      <c r="AH2137" s="11"/>
      <c r="AI2137" s="11"/>
      <c r="AJ2137" s="11"/>
      <c r="AK2137" s="11"/>
      <c r="AL2137" s="11"/>
      <c r="AM2137" s="11"/>
      <c r="AN2137" s="11"/>
      <c r="AO2137" s="11"/>
      <c r="AP2137" s="11"/>
      <c r="AQ2137" s="11"/>
      <c r="AR2137" s="11"/>
      <c r="AS2137" s="11"/>
      <c r="AT2137" s="11"/>
      <c r="AU2137" s="11"/>
      <c r="AV2137" s="11"/>
      <c r="AW2137" s="11"/>
      <c r="AX2137" s="11"/>
      <c r="AY2137" s="11"/>
    </row>
    <row r="2138" spans="1:51" hidden="1" x14ac:dyDescent="0.2">
      <c r="A2138" s="6" t="s">
        <v>17</v>
      </c>
      <c r="B2138" t="s">
        <v>18</v>
      </c>
      <c r="C2138" t="s">
        <v>19</v>
      </c>
      <c r="D2138" t="s">
        <v>2710</v>
      </c>
      <c r="E2138" s="2">
        <v>1.64</v>
      </c>
      <c r="F2138" s="3">
        <f>DATE(2025,8,27)</f>
        <v>45896</v>
      </c>
      <c r="G2138" s="3">
        <f>DATE(2025,8,27)</f>
        <v>45896</v>
      </c>
      <c r="H2138">
        <v>2708690236</v>
      </c>
      <c r="I2138" t="s">
        <v>192</v>
      </c>
      <c r="K2138" t="s">
        <v>22</v>
      </c>
      <c r="L2138" t="s">
        <v>23</v>
      </c>
      <c r="M2138" t="s">
        <v>24</v>
      </c>
      <c r="N2138" t="s">
        <v>24</v>
      </c>
      <c r="O2138" t="s">
        <v>25</v>
      </c>
      <c r="P2138" s="8" t="s">
        <v>2711</v>
      </c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1"/>
      <c r="AF2138" s="11"/>
      <c r="AG2138" s="11"/>
      <c r="AH2138" s="11"/>
      <c r="AI2138" s="11"/>
      <c r="AJ2138" s="11"/>
      <c r="AK2138" s="11"/>
      <c r="AL2138" s="11"/>
      <c r="AM2138" s="11"/>
      <c r="AN2138" s="11"/>
      <c r="AO2138" s="11"/>
      <c r="AP2138" s="11"/>
      <c r="AQ2138" s="11"/>
      <c r="AR2138" s="11"/>
      <c r="AS2138" s="11"/>
      <c r="AT2138" s="11"/>
      <c r="AU2138" s="11"/>
      <c r="AV2138" s="11"/>
      <c r="AW2138" s="11"/>
      <c r="AX2138" s="11"/>
      <c r="AY2138" s="11"/>
    </row>
    <row r="2139" spans="1:51" hidden="1" x14ac:dyDescent="0.2">
      <c r="A2139" s="6"/>
      <c r="E2139" s="2"/>
      <c r="F2139" s="3"/>
      <c r="G2139" s="3"/>
      <c r="P2139" s="8"/>
      <c r="Q2139" s="11"/>
      <c r="R2139" s="11"/>
      <c r="S2139" s="11"/>
      <c r="T2139" s="11"/>
      <c r="U2139" s="11"/>
      <c r="V2139" s="11"/>
      <c r="W2139" s="11"/>
      <c r="X2139" s="11"/>
      <c r="Y2139" s="11"/>
      <c r="Z2139" s="11"/>
      <c r="AA2139" s="11"/>
      <c r="AB2139" s="11"/>
      <c r="AC2139" s="11"/>
      <c r="AD2139" s="11"/>
      <c r="AE2139" s="11"/>
      <c r="AF2139" s="11"/>
      <c r="AG2139" s="11"/>
      <c r="AH2139" s="11"/>
      <c r="AI2139" s="11"/>
      <c r="AJ2139" s="11"/>
      <c r="AK2139" s="11"/>
      <c r="AL2139" s="11"/>
      <c r="AM2139" s="11"/>
      <c r="AN2139" s="11"/>
      <c r="AO2139" s="11"/>
      <c r="AP2139" s="11"/>
      <c r="AQ2139" s="11"/>
      <c r="AR2139" s="11"/>
      <c r="AS2139" s="11"/>
      <c r="AT2139" s="11"/>
      <c r="AU2139" s="11"/>
      <c r="AV2139" s="11"/>
      <c r="AW2139" s="11"/>
      <c r="AX2139" s="11"/>
      <c r="AY2139" s="11"/>
    </row>
    <row r="2140" spans="1:51" hidden="1" x14ac:dyDescent="0.2">
      <c r="A2140" s="6" t="s">
        <v>17</v>
      </c>
      <c r="B2140" t="s">
        <v>18</v>
      </c>
      <c r="C2140" t="s">
        <v>19</v>
      </c>
      <c r="D2140" t="s">
        <v>2712</v>
      </c>
      <c r="E2140" s="2">
        <v>1.29</v>
      </c>
      <c r="F2140" s="3">
        <f>DATE(2025,8,26)</f>
        <v>45895</v>
      </c>
      <c r="G2140" s="3">
        <f>DATE(2025,8,26)</f>
        <v>45895</v>
      </c>
      <c r="H2140">
        <v>2708690238</v>
      </c>
      <c r="I2140" t="s">
        <v>192</v>
      </c>
      <c r="K2140" t="s">
        <v>22</v>
      </c>
      <c r="L2140" t="s">
        <v>23</v>
      </c>
      <c r="M2140" t="s">
        <v>24</v>
      </c>
      <c r="N2140" t="s">
        <v>24</v>
      </c>
      <c r="O2140" t="s">
        <v>25</v>
      </c>
      <c r="P2140" s="8" t="s">
        <v>2713</v>
      </c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  <c r="AA2140" s="11"/>
      <c r="AB2140" s="11"/>
      <c r="AC2140" s="11"/>
      <c r="AD2140" s="11"/>
      <c r="AE2140" s="11"/>
      <c r="AF2140" s="11"/>
      <c r="AG2140" s="11"/>
      <c r="AH2140" s="11"/>
      <c r="AI2140" s="11"/>
      <c r="AJ2140" s="11"/>
      <c r="AK2140" s="11"/>
      <c r="AL2140" s="11"/>
      <c r="AM2140" s="11"/>
      <c r="AN2140" s="11"/>
      <c r="AO2140" s="11"/>
      <c r="AP2140" s="11"/>
      <c r="AQ2140" s="11"/>
      <c r="AR2140" s="11"/>
      <c r="AS2140" s="11"/>
      <c r="AT2140" s="11"/>
      <c r="AU2140" s="11"/>
      <c r="AV2140" s="11"/>
      <c r="AW2140" s="11"/>
      <c r="AX2140" s="11"/>
      <c r="AY2140" s="11"/>
    </row>
    <row r="2141" spans="1:51" x14ac:dyDescent="0.2">
      <c r="A2141" s="6" t="s">
        <v>17</v>
      </c>
      <c r="B2141" t="s">
        <v>342</v>
      </c>
      <c r="C2141" t="s">
        <v>342</v>
      </c>
      <c r="D2141" t="s">
        <v>2714</v>
      </c>
      <c r="E2141" s="2">
        <v>96.46</v>
      </c>
      <c r="F2141" s="3">
        <f>DATE(2025,8,27)</f>
        <v>45896</v>
      </c>
      <c r="G2141" s="3">
        <f>DATE(2025,8,27)</f>
        <v>45896</v>
      </c>
      <c r="H2141">
        <v>2715720787</v>
      </c>
      <c r="I2141" t="s">
        <v>158</v>
      </c>
      <c r="K2141" t="s">
        <v>22</v>
      </c>
      <c r="L2141" t="s">
        <v>23</v>
      </c>
      <c r="M2141" t="s">
        <v>24</v>
      </c>
      <c r="N2141" t="s">
        <v>24</v>
      </c>
      <c r="O2141" t="s">
        <v>25</v>
      </c>
      <c r="P2141" s="8" t="s">
        <v>2715</v>
      </c>
      <c r="Q2141" s="11"/>
      <c r="R2141" s="11"/>
      <c r="S2141" s="11"/>
      <c r="T2141" s="11"/>
      <c r="U2141" s="11"/>
      <c r="V2141" s="11"/>
      <c r="W2141" s="11"/>
      <c r="X2141" s="11"/>
      <c r="Y2141" s="11"/>
      <c r="Z2141" s="11"/>
      <c r="AA2141" s="11"/>
      <c r="AB2141" s="11"/>
      <c r="AC2141" s="11"/>
      <c r="AD2141" s="11"/>
      <c r="AE2141" s="11"/>
      <c r="AF2141" s="11"/>
      <c r="AG2141" s="11"/>
      <c r="AH2141" s="11"/>
      <c r="AI2141" s="11"/>
      <c r="AJ2141" s="11"/>
      <c r="AK2141" s="11"/>
      <c r="AL2141" s="11"/>
      <c r="AM2141" s="11"/>
      <c r="AN2141" s="11"/>
      <c r="AO2141" s="11"/>
      <c r="AP2141" s="11"/>
      <c r="AQ2141" s="11"/>
      <c r="AR2141" s="11"/>
      <c r="AS2141" s="11"/>
      <c r="AT2141" s="11"/>
      <c r="AU2141" s="11"/>
      <c r="AV2141" s="11"/>
      <c r="AW2141" s="11"/>
      <c r="AX2141" s="11"/>
      <c r="AY2141" s="11"/>
    </row>
    <row r="2142" spans="1:51" hidden="1" x14ac:dyDescent="0.2">
      <c r="A2142" s="6" t="s">
        <v>17</v>
      </c>
      <c r="B2142" t="s">
        <v>118</v>
      </c>
      <c r="C2142" t="s">
        <v>119</v>
      </c>
      <c r="D2142" t="s">
        <v>2716</v>
      </c>
      <c r="E2142" s="2">
        <v>329.58</v>
      </c>
      <c r="F2142" s="3">
        <f>DATE(2025,8,29)</f>
        <v>45898</v>
      </c>
      <c r="G2142" s="3">
        <f>DATE(2025,8,29)</f>
        <v>45898</v>
      </c>
      <c r="H2142">
        <v>2715720788</v>
      </c>
      <c r="I2142" t="s">
        <v>21</v>
      </c>
      <c r="K2142" t="s">
        <v>22</v>
      </c>
      <c r="L2142" t="s">
        <v>23</v>
      </c>
      <c r="M2142" t="s">
        <v>24</v>
      </c>
      <c r="N2142" t="s">
        <v>24</v>
      </c>
      <c r="O2142" t="s">
        <v>25</v>
      </c>
      <c r="P2142" s="8" t="s">
        <v>2717</v>
      </c>
      <c r="Q2142" s="11"/>
      <c r="R2142" s="11"/>
      <c r="S2142" s="11"/>
      <c r="T2142" s="11"/>
      <c r="U2142" s="11"/>
      <c r="V2142" s="11"/>
      <c r="W2142" s="11"/>
      <c r="X2142" s="11"/>
      <c r="Y2142" s="11"/>
      <c r="Z2142" s="11"/>
      <c r="AA2142" s="11"/>
      <c r="AB2142" s="11"/>
      <c r="AC2142" s="11"/>
      <c r="AD2142" s="11"/>
      <c r="AE2142" s="11"/>
      <c r="AF2142" s="11"/>
      <c r="AG2142" s="11"/>
      <c r="AH2142" s="11"/>
      <c r="AI2142" s="11"/>
      <c r="AJ2142" s="11"/>
      <c r="AK2142" s="11"/>
      <c r="AL2142" s="11"/>
      <c r="AM2142" s="11"/>
      <c r="AN2142" s="11"/>
      <c r="AO2142" s="11"/>
      <c r="AP2142" s="11"/>
      <c r="AQ2142" s="11"/>
      <c r="AR2142" s="11"/>
      <c r="AS2142" s="11"/>
      <c r="AT2142" s="11"/>
      <c r="AU2142" s="11"/>
      <c r="AV2142" s="11"/>
      <c r="AW2142" s="11"/>
      <c r="AX2142" s="11"/>
      <c r="AY2142" s="11"/>
    </row>
    <row r="2143" spans="1:51" x14ac:dyDescent="0.2">
      <c r="A2143" s="6" t="s">
        <v>17</v>
      </c>
      <c r="B2143" t="s">
        <v>342</v>
      </c>
      <c r="C2143" t="s">
        <v>342</v>
      </c>
      <c r="D2143" t="s">
        <v>2718</v>
      </c>
      <c r="E2143" s="2">
        <v>180.3</v>
      </c>
      <c r="F2143" s="3">
        <f>DATE(2025,8,28)</f>
        <v>45897</v>
      </c>
      <c r="G2143" s="3">
        <f>DATE(2025,8,28)</f>
        <v>45897</v>
      </c>
      <c r="H2143">
        <v>2715720789</v>
      </c>
      <c r="I2143" t="s">
        <v>21</v>
      </c>
      <c r="K2143" t="s">
        <v>22</v>
      </c>
      <c r="L2143" t="s">
        <v>23</v>
      </c>
      <c r="M2143" t="s">
        <v>24</v>
      </c>
      <c r="N2143" t="s">
        <v>24</v>
      </c>
      <c r="O2143" t="s">
        <v>25</v>
      </c>
      <c r="P2143" s="8" t="s">
        <v>2719</v>
      </c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  <c r="AA2143" s="11"/>
      <c r="AB2143" s="11"/>
      <c r="AC2143" s="11"/>
      <c r="AD2143" s="11"/>
      <c r="AE2143" s="11"/>
      <c r="AF2143" s="11"/>
      <c r="AG2143" s="11"/>
      <c r="AH2143" s="11"/>
      <c r="AI2143" s="11"/>
      <c r="AJ2143" s="11"/>
      <c r="AK2143" s="11"/>
      <c r="AL2143" s="11"/>
      <c r="AM2143" s="11"/>
      <c r="AN2143" s="11"/>
      <c r="AO2143" s="11"/>
      <c r="AP2143" s="11"/>
      <c r="AQ2143" s="11"/>
      <c r="AR2143" s="11"/>
      <c r="AS2143" s="11"/>
      <c r="AT2143" s="11"/>
      <c r="AU2143" s="11"/>
      <c r="AV2143" s="11"/>
      <c r="AW2143" s="11"/>
      <c r="AX2143" s="11"/>
      <c r="AY2143" s="11"/>
    </row>
    <row r="2144" spans="1:51" hidden="1" x14ac:dyDescent="0.2">
      <c r="A2144" s="6"/>
      <c r="E2144" s="2"/>
      <c r="F2144" s="3"/>
      <c r="G2144" s="3"/>
      <c r="P2144" s="8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1"/>
      <c r="AF2144" s="11"/>
      <c r="AG2144" s="11"/>
      <c r="AH2144" s="11"/>
      <c r="AI2144" s="11"/>
      <c r="AJ2144" s="11"/>
      <c r="AK2144" s="11"/>
      <c r="AL2144" s="11"/>
      <c r="AM2144" s="11"/>
      <c r="AN2144" s="11"/>
      <c r="AO2144" s="11"/>
      <c r="AP2144" s="11"/>
      <c r="AQ2144" s="11"/>
      <c r="AR2144" s="11"/>
      <c r="AS2144" s="11"/>
      <c r="AT2144" s="11"/>
      <c r="AU2144" s="11"/>
      <c r="AV2144" s="11"/>
      <c r="AW2144" s="11"/>
      <c r="AX2144" s="11"/>
      <c r="AY2144" s="11"/>
    </row>
    <row r="2145" spans="1:51" hidden="1" x14ac:dyDescent="0.2">
      <c r="A2145" s="6" t="s">
        <v>17</v>
      </c>
      <c r="B2145" t="s">
        <v>589</v>
      </c>
      <c r="C2145" t="s">
        <v>590</v>
      </c>
      <c r="D2145" t="s">
        <v>2720</v>
      </c>
      <c r="E2145" s="2">
        <v>102.52</v>
      </c>
      <c r="F2145" s="3">
        <f>DATE(2025,8,29)</f>
        <v>45898</v>
      </c>
      <c r="G2145" s="3">
        <f>DATE(2025,8,29)</f>
        <v>45898</v>
      </c>
      <c r="H2145">
        <v>2715782795</v>
      </c>
      <c r="I2145" t="s">
        <v>192</v>
      </c>
      <c r="K2145" t="s">
        <v>22</v>
      </c>
      <c r="L2145" t="s">
        <v>23</v>
      </c>
      <c r="M2145" t="s">
        <v>24</v>
      </c>
      <c r="N2145" t="s">
        <v>24</v>
      </c>
      <c r="O2145" t="s">
        <v>25</v>
      </c>
      <c r="P2145" s="8" t="s">
        <v>2721</v>
      </c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  <c r="AA2145" s="11"/>
      <c r="AB2145" s="11"/>
      <c r="AC2145" s="11"/>
      <c r="AD2145" s="11"/>
      <c r="AE2145" s="11"/>
      <c r="AF2145" s="11"/>
      <c r="AG2145" s="11"/>
      <c r="AH2145" s="11"/>
      <c r="AI2145" s="11"/>
      <c r="AJ2145" s="11"/>
      <c r="AK2145" s="11"/>
      <c r="AL2145" s="11"/>
      <c r="AM2145" s="11"/>
      <c r="AN2145" s="11"/>
      <c r="AO2145" s="11"/>
      <c r="AP2145" s="11"/>
      <c r="AQ2145" s="11"/>
      <c r="AR2145" s="11"/>
      <c r="AS2145" s="11"/>
      <c r="AT2145" s="11"/>
      <c r="AU2145" s="11"/>
      <c r="AV2145" s="11"/>
      <c r="AW2145" s="11"/>
      <c r="AX2145" s="11"/>
      <c r="AY2145" s="11"/>
    </row>
    <row r="2146" spans="1:51" hidden="1" x14ac:dyDescent="0.2">
      <c r="A2146" s="6" t="s">
        <v>17</v>
      </c>
      <c r="B2146" t="s">
        <v>18</v>
      </c>
      <c r="C2146" t="s">
        <v>19</v>
      </c>
      <c r="D2146" t="s">
        <v>2722</v>
      </c>
      <c r="E2146" s="2">
        <v>2.04</v>
      </c>
      <c r="F2146" s="3">
        <f t="shared" ref="F2146:G2146" si="184">DATE(2025,8,28)</f>
        <v>45897</v>
      </c>
      <c r="G2146" s="3">
        <f t="shared" si="184"/>
        <v>45897</v>
      </c>
      <c r="H2146">
        <v>2715782796</v>
      </c>
      <c r="I2146" t="s">
        <v>192</v>
      </c>
      <c r="K2146" t="s">
        <v>22</v>
      </c>
      <c r="L2146" t="s">
        <v>23</v>
      </c>
      <c r="M2146" t="s">
        <v>24</v>
      </c>
      <c r="N2146" t="s">
        <v>24</v>
      </c>
      <c r="O2146" t="s">
        <v>25</v>
      </c>
      <c r="P2146" s="8" t="s">
        <v>2723</v>
      </c>
      <c r="Q2146" s="11"/>
      <c r="R2146" s="11"/>
      <c r="S2146" s="11"/>
      <c r="T2146" s="11"/>
      <c r="U2146" s="11"/>
      <c r="V2146" s="11"/>
      <c r="W2146" s="11"/>
      <c r="X2146" s="11"/>
      <c r="Y2146" s="11"/>
      <c r="Z2146" s="11"/>
      <c r="AA2146" s="11"/>
      <c r="AB2146" s="11"/>
      <c r="AC2146" s="11"/>
      <c r="AD2146" s="11"/>
      <c r="AE2146" s="11"/>
      <c r="AF2146" s="11"/>
      <c r="AG2146" s="11"/>
      <c r="AH2146" s="11"/>
      <c r="AI2146" s="11"/>
      <c r="AJ2146" s="11"/>
      <c r="AK2146" s="11"/>
      <c r="AL2146" s="11"/>
      <c r="AM2146" s="11"/>
      <c r="AN2146" s="11"/>
      <c r="AO2146" s="11"/>
      <c r="AP2146" s="11"/>
      <c r="AQ2146" s="11"/>
      <c r="AR2146" s="11"/>
      <c r="AS2146" s="11"/>
      <c r="AT2146" s="11"/>
      <c r="AU2146" s="11"/>
      <c r="AV2146" s="11"/>
      <c r="AW2146" s="11"/>
      <c r="AX2146" s="11"/>
      <c r="AY2146" s="11"/>
    </row>
    <row r="2147" spans="1:51" hidden="1" x14ac:dyDescent="0.2">
      <c r="A2147" s="6"/>
      <c r="E2147" s="2"/>
      <c r="F2147" s="3"/>
      <c r="G2147" s="3"/>
      <c r="P2147" s="8"/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  <c r="AA2147" s="11"/>
      <c r="AB2147" s="11"/>
      <c r="AC2147" s="11"/>
      <c r="AD2147" s="11"/>
      <c r="AE2147" s="11"/>
      <c r="AF2147" s="11"/>
      <c r="AG2147" s="11"/>
      <c r="AH2147" s="11"/>
      <c r="AI2147" s="11"/>
      <c r="AJ2147" s="11"/>
      <c r="AK2147" s="11"/>
      <c r="AL2147" s="11"/>
      <c r="AM2147" s="11"/>
      <c r="AN2147" s="11"/>
      <c r="AO2147" s="11"/>
      <c r="AP2147" s="11"/>
      <c r="AQ2147" s="11"/>
      <c r="AR2147" s="11"/>
      <c r="AS2147" s="11"/>
      <c r="AT2147" s="11"/>
      <c r="AU2147" s="11"/>
      <c r="AV2147" s="11"/>
      <c r="AW2147" s="11"/>
      <c r="AX2147" s="11"/>
      <c r="AY2147" s="11"/>
    </row>
    <row r="2148" spans="1:51" hidden="1" x14ac:dyDescent="0.2">
      <c r="A2148" s="6"/>
      <c r="E2148" s="2"/>
      <c r="F2148" s="3"/>
      <c r="G2148" s="3"/>
      <c r="P2148" s="8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  <c r="AA2148" s="11"/>
      <c r="AB2148" s="11"/>
      <c r="AC2148" s="11"/>
      <c r="AD2148" s="11"/>
      <c r="AE2148" s="11"/>
      <c r="AF2148" s="11"/>
      <c r="AG2148" s="11"/>
      <c r="AH2148" s="11"/>
      <c r="AI2148" s="11"/>
      <c r="AJ2148" s="11"/>
      <c r="AK2148" s="11"/>
      <c r="AL2148" s="11"/>
      <c r="AM2148" s="11"/>
      <c r="AN2148" s="11"/>
      <c r="AO2148" s="11"/>
      <c r="AP2148" s="11"/>
      <c r="AQ2148" s="11"/>
      <c r="AR2148" s="11"/>
      <c r="AS2148" s="11"/>
      <c r="AT2148" s="11"/>
      <c r="AU2148" s="11"/>
      <c r="AV2148" s="11"/>
      <c r="AW2148" s="11"/>
      <c r="AX2148" s="11"/>
      <c r="AY2148" s="11"/>
    </row>
    <row r="2149" spans="1:51" hidden="1" x14ac:dyDescent="0.2">
      <c r="A2149" s="6"/>
      <c r="E2149" s="2"/>
      <c r="F2149" s="3"/>
      <c r="G2149" s="3"/>
      <c r="P2149" s="8"/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  <c r="AA2149" s="11"/>
      <c r="AB2149" s="11"/>
      <c r="AC2149" s="11"/>
      <c r="AD2149" s="11"/>
      <c r="AE2149" s="11"/>
      <c r="AF2149" s="11"/>
      <c r="AG2149" s="11"/>
      <c r="AH2149" s="11"/>
      <c r="AI2149" s="11"/>
      <c r="AJ2149" s="11"/>
      <c r="AK2149" s="11"/>
      <c r="AL2149" s="11"/>
      <c r="AM2149" s="11"/>
      <c r="AN2149" s="11"/>
      <c r="AO2149" s="11"/>
      <c r="AP2149" s="11"/>
      <c r="AQ2149" s="11"/>
      <c r="AR2149" s="11"/>
      <c r="AS2149" s="11"/>
      <c r="AT2149" s="11"/>
      <c r="AU2149" s="11"/>
      <c r="AV2149" s="11"/>
      <c r="AW2149" s="11"/>
      <c r="AX2149" s="11"/>
      <c r="AY2149" s="11"/>
    </row>
    <row r="2150" spans="1:51" hidden="1" x14ac:dyDescent="0.2">
      <c r="A2150" s="6" t="s">
        <v>17</v>
      </c>
      <c r="B2150" t="s">
        <v>18</v>
      </c>
      <c r="C2150" t="s">
        <v>19</v>
      </c>
      <c r="D2150" t="s">
        <v>2724</v>
      </c>
      <c r="E2150" s="2">
        <v>62.2</v>
      </c>
      <c r="F2150" s="3">
        <f>DATE(2025,8,30)</f>
        <v>45899</v>
      </c>
      <c r="G2150" s="3">
        <f>DATE(2025,8,30)</f>
        <v>45899</v>
      </c>
      <c r="H2150">
        <v>2720585352</v>
      </c>
      <c r="I2150" t="s">
        <v>21</v>
      </c>
      <c r="K2150" t="s">
        <v>22</v>
      </c>
      <c r="L2150" t="s">
        <v>23</v>
      </c>
      <c r="M2150" t="s">
        <v>24</v>
      </c>
      <c r="N2150" t="s">
        <v>24</v>
      </c>
      <c r="O2150" t="s">
        <v>25</v>
      </c>
      <c r="P2150" s="8" t="s">
        <v>2725</v>
      </c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1"/>
      <c r="AF2150" s="11"/>
      <c r="AG2150" s="11"/>
      <c r="AH2150" s="11"/>
      <c r="AI2150" s="11"/>
      <c r="AJ2150" s="11"/>
      <c r="AK2150" s="11"/>
      <c r="AL2150" s="11"/>
      <c r="AM2150" s="11"/>
      <c r="AN2150" s="11"/>
      <c r="AO2150" s="11"/>
      <c r="AP2150" s="11"/>
      <c r="AQ2150" s="11"/>
      <c r="AR2150" s="11"/>
      <c r="AS2150" s="11"/>
      <c r="AT2150" s="11"/>
      <c r="AU2150" s="11"/>
      <c r="AV2150" s="11"/>
      <c r="AW2150" s="11"/>
      <c r="AX2150" s="11"/>
      <c r="AY2150" s="11"/>
    </row>
    <row r="2151" spans="1:51" hidden="1" x14ac:dyDescent="0.2">
      <c r="A2151" s="6"/>
      <c r="E2151" s="2"/>
      <c r="F2151" s="3"/>
      <c r="G2151" s="3"/>
      <c r="P2151" s="8"/>
      <c r="Q2151" s="11"/>
      <c r="R2151" s="11"/>
      <c r="S2151" s="11"/>
      <c r="T2151" s="11"/>
      <c r="U2151" s="11"/>
      <c r="V2151" s="11"/>
      <c r="W2151" s="11"/>
      <c r="X2151" s="11"/>
      <c r="Y2151" s="11"/>
      <c r="Z2151" s="11"/>
      <c r="AA2151" s="11"/>
      <c r="AB2151" s="11"/>
      <c r="AC2151" s="11"/>
      <c r="AD2151" s="11"/>
      <c r="AE2151" s="11"/>
      <c r="AF2151" s="11"/>
      <c r="AG2151" s="11"/>
      <c r="AH2151" s="11"/>
      <c r="AI2151" s="11"/>
      <c r="AJ2151" s="11"/>
      <c r="AK2151" s="11"/>
      <c r="AL2151" s="11"/>
      <c r="AM2151" s="11"/>
      <c r="AN2151" s="11"/>
      <c r="AO2151" s="11"/>
      <c r="AP2151" s="11"/>
      <c r="AQ2151" s="11"/>
      <c r="AR2151" s="11"/>
      <c r="AS2151" s="11"/>
      <c r="AT2151" s="11"/>
      <c r="AU2151" s="11"/>
      <c r="AV2151" s="11"/>
      <c r="AW2151" s="11"/>
      <c r="AX2151" s="11"/>
      <c r="AY2151" s="11"/>
    </row>
    <row r="2152" spans="1:51" hidden="1" x14ac:dyDescent="0.2">
      <c r="A2152" s="6" t="s">
        <v>17</v>
      </c>
      <c r="B2152" t="s">
        <v>27</v>
      </c>
      <c r="C2152" t="s">
        <v>28</v>
      </c>
      <c r="D2152" t="s">
        <v>2726</v>
      </c>
      <c r="E2152" s="2">
        <v>1313.46</v>
      </c>
      <c r="F2152" s="3">
        <f>DATE(2025,8,30)</f>
        <v>45899</v>
      </c>
      <c r="G2152" s="3">
        <f>DATE(2025,8,30)</f>
        <v>45899</v>
      </c>
      <c r="H2152">
        <v>2720585354</v>
      </c>
      <c r="I2152" t="s">
        <v>21</v>
      </c>
      <c r="K2152" t="s">
        <v>22</v>
      </c>
      <c r="L2152" t="s">
        <v>23</v>
      </c>
      <c r="M2152" t="s">
        <v>24</v>
      </c>
      <c r="N2152" t="s">
        <v>24</v>
      </c>
      <c r="O2152" t="s">
        <v>25</v>
      </c>
      <c r="P2152" s="8" t="s">
        <v>2727</v>
      </c>
      <c r="Q2152" s="11"/>
      <c r="R2152" s="11"/>
      <c r="S2152" s="11"/>
      <c r="T2152" s="11"/>
      <c r="U2152" s="11"/>
      <c r="V2152" s="11"/>
      <c r="W2152" s="11"/>
      <c r="X2152" s="11"/>
      <c r="Y2152" s="11"/>
      <c r="Z2152" s="11"/>
      <c r="AA2152" s="11"/>
      <c r="AB2152" s="11"/>
      <c r="AC2152" s="11"/>
      <c r="AD2152" s="11"/>
      <c r="AE2152" s="11"/>
      <c r="AF2152" s="11"/>
      <c r="AG2152" s="11"/>
      <c r="AH2152" s="11"/>
      <c r="AI2152" s="11"/>
      <c r="AJ2152" s="11"/>
      <c r="AK2152" s="11"/>
      <c r="AL2152" s="11"/>
      <c r="AM2152" s="11"/>
      <c r="AN2152" s="11"/>
      <c r="AO2152" s="11"/>
      <c r="AP2152" s="11"/>
      <c r="AQ2152" s="11"/>
      <c r="AR2152" s="11"/>
      <c r="AS2152" s="11"/>
      <c r="AT2152" s="11"/>
      <c r="AU2152" s="11"/>
      <c r="AV2152" s="11"/>
      <c r="AW2152" s="11"/>
      <c r="AX2152" s="11"/>
      <c r="AY2152" s="11"/>
    </row>
    <row r="2153" spans="1:51" hidden="1" x14ac:dyDescent="0.2">
      <c r="A2153" s="6"/>
      <c r="E2153" s="2"/>
      <c r="F2153" s="3"/>
      <c r="G2153" s="3"/>
      <c r="P2153" s="8"/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  <c r="AA2153" s="11"/>
      <c r="AB2153" s="11"/>
      <c r="AC2153" s="11"/>
      <c r="AD2153" s="11"/>
      <c r="AE2153" s="11"/>
      <c r="AF2153" s="11"/>
      <c r="AG2153" s="11"/>
      <c r="AH2153" s="11"/>
      <c r="AI2153" s="11"/>
      <c r="AJ2153" s="11"/>
      <c r="AK2153" s="11"/>
      <c r="AL2153" s="11"/>
      <c r="AM2153" s="11"/>
      <c r="AN2153" s="11"/>
      <c r="AO2153" s="11"/>
      <c r="AP2153" s="11"/>
      <c r="AQ2153" s="11"/>
      <c r="AR2153" s="11"/>
      <c r="AS2153" s="11"/>
      <c r="AT2153" s="11"/>
      <c r="AU2153" s="11"/>
      <c r="AV2153" s="11"/>
      <c r="AW2153" s="11"/>
      <c r="AX2153" s="11"/>
      <c r="AY2153" s="11"/>
    </row>
    <row r="2154" spans="1:51" x14ac:dyDescent="0.2">
      <c r="A2154" s="6" t="s">
        <v>17</v>
      </c>
      <c r="B2154" t="s">
        <v>342</v>
      </c>
      <c r="C2154" t="s">
        <v>342</v>
      </c>
      <c r="D2154" t="s">
        <v>359</v>
      </c>
      <c r="E2154" s="2">
        <v>2127.4899999999998</v>
      </c>
      <c r="F2154" s="3">
        <f>DATE(2025,8,29)</f>
        <v>45898</v>
      </c>
      <c r="G2154" s="3">
        <f>DATE(2025,8,29)</f>
        <v>45898</v>
      </c>
      <c r="H2154">
        <v>2720585356</v>
      </c>
      <c r="I2154" t="s">
        <v>21</v>
      </c>
      <c r="K2154" t="s">
        <v>22</v>
      </c>
      <c r="L2154" t="s">
        <v>23</v>
      </c>
      <c r="M2154" t="s">
        <v>24</v>
      </c>
      <c r="N2154" t="s">
        <v>25</v>
      </c>
      <c r="O2154" t="s">
        <v>25</v>
      </c>
      <c r="P2154" s="8" t="s">
        <v>2728</v>
      </c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  <c r="AA2154" s="11"/>
      <c r="AB2154" s="11"/>
      <c r="AC2154" s="11"/>
      <c r="AD2154" s="11"/>
      <c r="AE2154" s="11"/>
      <c r="AF2154" s="11"/>
      <c r="AG2154" s="11"/>
      <c r="AH2154" s="11"/>
      <c r="AI2154" s="11"/>
      <c r="AJ2154" s="11"/>
      <c r="AK2154" s="11"/>
      <c r="AL2154" s="11"/>
      <c r="AM2154" s="11"/>
      <c r="AN2154" s="11"/>
      <c r="AO2154" s="11"/>
      <c r="AP2154" s="11"/>
      <c r="AQ2154" s="11"/>
      <c r="AR2154" s="11"/>
      <c r="AS2154" s="11"/>
      <c r="AT2154" s="11"/>
      <c r="AU2154" s="11"/>
      <c r="AV2154" s="11"/>
      <c r="AW2154" s="11"/>
      <c r="AX2154" s="11"/>
      <c r="AY2154" s="11"/>
    </row>
    <row r="2155" spans="1:51" x14ac:dyDescent="0.2">
      <c r="A2155" s="6" t="s">
        <v>17</v>
      </c>
      <c r="B2155" t="s">
        <v>342</v>
      </c>
      <c r="C2155" t="s">
        <v>342</v>
      </c>
      <c r="D2155" t="s">
        <v>2729</v>
      </c>
      <c r="E2155" s="2">
        <v>426</v>
      </c>
      <c r="F2155" s="3">
        <f>DATE(2025,8,28)</f>
        <v>45897</v>
      </c>
      <c r="G2155" s="3">
        <f>DATE(2025,8,28)</f>
        <v>45897</v>
      </c>
      <c r="H2155">
        <v>2720585357</v>
      </c>
      <c r="I2155" t="s">
        <v>158</v>
      </c>
      <c r="K2155" t="s">
        <v>22</v>
      </c>
      <c r="L2155" t="s">
        <v>23</v>
      </c>
      <c r="M2155" t="s">
        <v>24</v>
      </c>
      <c r="N2155" t="s">
        <v>24</v>
      </c>
      <c r="O2155" t="s">
        <v>25</v>
      </c>
      <c r="P2155" s="8" t="s">
        <v>2730</v>
      </c>
      <c r="Q2155" s="11"/>
      <c r="R2155" s="11"/>
      <c r="S2155" s="11"/>
      <c r="T2155" s="11"/>
      <c r="U2155" s="11"/>
      <c r="V2155" s="11"/>
      <c r="W2155" s="11"/>
      <c r="X2155" s="11"/>
      <c r="Y2155" s="11"/>
      <c r="Z2155" s="11"/>
      <c r="AA2155" s="11"/>
      <c r="AB2155" s="11"/>
      <c r="AC2155" s="11"/>
      <c r="AD2155" s="11"/>
      <c r="AE2155" s="11"/>
      <c r="AF2155" s="11"/>
      <c r="AG2155" s="11"/>
      <c r="AH2155" s="11"/>
      <c r="AI2155" s="11"/>
      <c r="AJ2155" s="11"/>
      <c r="AK2155" s="11"/>
      <c r="AL2155" s="11"/>
      <c r="AM2155" s="11"/>
      <c r="AN2155" s="11"/>
      <c r="AO2155" s="11"/>
      <c r="AP2155" s="11"/>
      <c r="AQ2155" s="11"/>
      <c r="AR2155" s="11"/>
      <c r="AS2155" s="11"/>
      <c r="AT2155" s="11"/>
      <c r="AU2155" s="11"/>
      <c r="AV2155" s="11"/>
      <c r="AW2155" s="11"/>
      <c r="AX2155" s="11"/>
      <c r="AY2155" s="11"/>
    </row>
    <row r="2156" spans="1:51" hidden="1" x14ac:dyDescent="0.2">
      <c r="A2156" s="6"/>
      <c r="E2156" s="2"/>
      <c r="F2156" s="3"/>
      <c r="G2156" s="3"/>
      <c r="P2156" s="8"/>
      <c r="Q2156" s="11"/>
      <c r="R2156" s="11"/>
      <c r="S2156" s="11"/>
      <c r="T2156" s="11"/>
      <c r="U2156" s="11"/>
      <c r="V2156" s="11"/>
      <c r="W2156" s="11"/>
      <c r="X2156" s="11"/>
      <c r="Y2156" s="11"/>
      <c r="Z2156" s="11"/>
      <c r="AA2156" s="11"/>
      <c r="AB2156" s="11"/>
      <c r="AC2156" s="11"/>
      <c r="AD2156" s="11"/>
      <c r="AE2156" s="11"/>
      <c r="AF2156" s="11"/>
      <c r="AG2156" s="11"/>
      <c r="AH2156" s="11"/>
      <c r="AI2156" s="11"/>
      <c r="AJ2156" s="11"/>
      <c r="AK2156" s="11"/>
      <c r="AL2156" s="11"/>
      <c r="AM2156" s="11"/>
      <c r="AN2156" s="11"/>
      <c r="AO2156" s="11"/>
      <c r="AP2156" s="11"/>
      <c r="AQ2156" s="11"/>
      <c r="AR2156" s="11"/>
      <c r="AS2156" s="11"/>
      <c r="AT2156" s="11"/>
      <c r="AU2156" s="11"/>
      <c r="AV2156" s="11"/>
      <c r="AW2156" s="11"/>
      <c r="AX2156" s="11"/>
      <c r="AY2156" s="11"/>
    </row>
    <row r="2157" spans="1:51" hidden="1" x14ac:dyDescent="0.2">
      <c r="A2157" s="6" t="s">
        <v>17</v>
      </c>
      <c r="B2157" t="s">
        <v>18</v>
      </c>
      <c r="C2157" t="s">
        <v>19</v>
      </c>
      <c r="D2157" t="s">
        <v>2731</v>
      </c>
      <c r="E2157" s="2">
        <v>0.99</v>
      </c>
      <c r="F2157" s="3">
        <f t="shared" ref="F2157:G2166" si="185">DATE(2025,8,29)</f>
        <v>45898</v>
      </c>
      <c r="G2157" s="3">
        <f t="shared" si="185"/>
        <v>45898</v>
      </c>
      <c r="H2157">
        <v>2720588310</v>
      </c>
      <c r="I2157" t="s">
        <v>192</v>
      </c>
      <c r="K2157" t="s">
        <v>22</v>
      </c>
      <c r="L2157" t="s">
        <v>23</v>
      </c>
      <c r="M2157" t="s">
        <v>24</v>
      </c>
      <c r="N2157" t="s">
        <v>24</v>
      </c>
      <c r="O2157" t="s">
        <v>25</v>
      </c>
      <c r="P2157" s="8" t="s">
        <v>2732</v>
      </c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  <c r="AA2157" s="11"/>
      <c r="AB2157" s="11"/>
      <c r="AC2157" s="11"/>
      <c r="AD2157" s="11"/>
      <c r="AE2157" s="11"/>
      <c r="AF2157" s="11"/>
      <c r="AG2157" s="11"/>
      <c r="AH2157" s="11"/>
      <c r="AI2157" s="11"/>
      <c r="AJ2157" s="11"/>
      <c r="AK2157" s="11"/>
      <c r="AL2157" s="11"/>
      <c r="AM2157" s="11"/>
      <c r="AN2157" s="11"/>
      <c r="AO2157" s="11"/>
      <c r="AP2157" s="11"/>
      <c r="AQ2157" s="11"/>
      <c r="AR2157" s="11"/>
      <c r="AS2157" s="11"/>
      <c r="AT2157" s="11"/>
      <c r="AU2157" s="11"/>
      <c r="AV2157" s="11"/>
      <c r="AW2157" s="11"/>
      <c r="AX2157" s="11"/>
      <c r="AY2157" s="11"/>
    </row>
    <row r="2158" spans="1:51" hidden="1" x14ac:dyDescent="0.2">
      <c r="A2158" s="6"/>
      <c r="E2158" s="2"/>
      <c r="F2158" s="3"/>
      <c r="G2158" s="3"/>
      <c r="P2158" s="8"/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  <c r="AA2158" s="11"/>
      <c r="AB2158" s="11"/>
      <c r="AC2158" s="11"/>
      <c r="AD2158" s="11"/>
      <c r="AE2158" s="11"/>
      <c r="AF2158" s="11"/>
      <c r="AG2158" s="11"/>
      <c r="AH2158" s="11"/>
      <c r="AI2158" s="11"/>
      <c r="AJ2158" s="11"/>
      <c r="AK2158" s="11"/>
      <c r="AL2158" s="11"/>
      <c r="AM2158" s="11"/>
      <c r="AN2158" s="11"/>
      <c r="AO2158" s="11"/>
      <c r="AP2158" s="11"/>
      <c r="AQ2158" s="11"/>
      <c r="AR2158" s="11"/>
      <c r="AS2158" s="11"/>
      <c r="AT2158" s="11"/>
      <c r="AU2158" s="11"/>
      <c r="AV2158" s="11"/>
      <c r="AW2158" s="11"/>
      <c r="AX2158" s="11"/>
      <c r="AY2158" s="11"/>
    </row>
    <row r="2159" spans="1:51" hidden="1" x14ac:dyDescent="0.2">
      <c r="A2159" s="6"/>
      <c r="E2159" s="2"/>
      <c r="F2159" s="3"/>
      <c r="G2159" s="3"/>
      <c r="P2159" s="8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1"/>
      <c r="AB2159" s="11"/>
      <c r="AC2159" s="11"/>
      <c r="AD2159" s="11"/>
      <c r="AE2159" s="11"/>
      <c r="AF2159" s="11"/>
      <c r="AG2159" s="11"/>
      <c r="AH2159" s="11"/>
      <c r="AI2159" s="11"/>
      <c r="AJ2159" s="11"/>
      <c r="AK2159" s="11"/>
      <c r="AL2159" s="11"/>
      <c r="AM2159" s="11"/>
      <c r="AN2159" s="11"/>
      <c r="AO2159" s="11"/>
      <c r="AP2159" s="11"/>
      <c r="AQ2159" s="11"/>
      <c r="AR2159" s="11"/>
      <c r="AS2159" s="11"/>
      <c r="AT2159" s="11"/>
      <c r="AU2159" s="11"/>
      <c r="AV2159" s="11"/>
      <c r="AW2159" s="11"/>
      <c r="AX2159" s="11"/>
      <c r="AY2159" s="11"/>
    </row>
    <row r="2160" spans="1:51" hidden="1" x14ac:dyDescent="0.2">
      <c r="A2160" s="6"/>
      <c r="E2160" s="2"/>
      <c r="F2160" s="3"/>
      <c r="G2160" s="3"/>
      <c r="P2160" s="8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1"/>
      <c r="AB2160" s="11"/>
      <c r="AC2160" s="11"/>
      <c r="AD2160" s="11"/>
      <c r="AE2160" s="11"/>
      <c r="AF2160" s="11"/>
      <c r="AG2160" s="11"/>
      <c r="AH2160" s="11"/>
      <c r="AI2160" s="11"/>
      <c r="AJ2160" s="11"/>
      <c r="AK2160" s="11"/>
      <c r="AL2160" s="11"/>
      <c r="AM2160" s="11"/>
      <c r="AN2160" s="11"/>
      <c r="AO2160" s="11"/>
      <c r="AP2160" s="11"/>
      <c r="AQ2160" s="11"/>
      <c r="AR2160" s="11"/>
      <c r="AS2160" s="11"/>
      <c r="AT2160" s="11"/>
      <c r="AU2160" s="11"/>
      <c r="AV2160" s="11"/>
      <c r="AW2160" s="11"/>
      <c r="AX2160" s="11"/>
      <c r="AY2160" s="11"/>
    </row>
    <row r="2161" spans="1:51" hidden="1" x14ac:dyDescent="0.2">
      <c r="A2161" s="6"/>
      <c r="E2161" s="2"/>
      <c r="F2161" s="3"/>
      <c r="G2161" s="3"/>
      <c r="P2161" s="8"/>
      <c r="Q2161" s="11"/>
      <c r="R2161" s="11"/>
      <c r="S2161" s="11"/>
      <c r="T2161" s="11"/>
      <c r="U2161" s="11"/>
      <c r="V2161" s="11"/>
      <c r="W2161" s="11"/>
      <c r="X2161" s="11"/>
      <c r="Y2161" s="11"/>
      <c r="Z2161" s="11"/>
      <c r="AA2161" s="11"/>
      <c r="AB2161" s="11"/>
      <c r="AC2161" s="11"/>
      <c r="AD2161" s="11"/>
      <c r="AE2161" s="11"/>
      <c r="AF2161" s="11"/>
      <c r="AG2161" s="11"/>
      <c r="AH2161" s="11"/>
      <c r="AI2161" s="11"/>
      <c r="AJ2161" s="11"/>
      <c r="AK2161" s="11"/>
      <c r="AL2161" s="11"/>
      <c r="AM2161" s="11"/>
      <c r="AN2161" s="11"/>
      <c r="AO2161" s="11"/>
      <c r="AP2161" s="11"/>
      <c r="AQ2161" s="11"/>
      <c r="AR2161" s="11"/>
      <c r="AS2161" s="11"/>
      <c r="AT2161" s="11"/>
      <c r="AU2161" s="11"/>
      <c r="AV2161" s="11"/>
      <c r="AW2161" s="11"/>
      <c r="AX2161" s="11"/>
      <c r="AY2161" s="11"/>
    </row>
    <row r="2162" spans="1:51" hidden="1" x14ac:dyDescent="0.2">
      <c r="A2162" s="6"/>
      <c r="E2162" s="2"/>
      <c r="F2162" s="3"/>
      <c r="G2162" s="3"/>
      <c r="P2162" s="8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1"/>
      <c r="AF2162" s="11"/>
      <c r="AG2162" s="11"/>
      <c r="AH2162" s="11"/>
      <c r="AI2162" s="11"/>
      <c r="AJ2162" s="11"/>
      <c r="AK2162" s="11"/>
      <c r="AL2162" s="11"/>
      <c r="AM2162" s="11"/>
      <c r="AN2162" s="11"/>
      <c r="AO2162" s="11"/>
      <c r="AP2162" s="11"/>
      <c r="AQ2162" s="11"/>
      <c r="AR2162" s="11"/>
      <c r="AS2162" s="11"/>
      <c r="AT2162" s="11"/>
      <c r="AU2162" s="11"/>
      <c r="AV2162" s="11"/>
      <c r="AW2162" s="11"/>
      <c r="AX2162" s="11"/>
      <c r="AY2162" s="11"/>
    </row>
    <row r="2163" spans="1:51" hidden="1" x14ac:dyDescent="0.2">
      <c r="A2163" s="6" t="s">
        <v>17</v>
      </c>
      <c r="B2163" t="s">
        <v>173</v>
      </c>
      <c r="C2163" t="s">
        <v>154</v>
      </c>
      <c r="D2163" t="s">
        <v>2733</v>
      </c>
      <c r="E2163" s="2">
        <v>144.57</v>
      </c>
      <c r="F2163" s="3">
        <f t="shared" si="185"/>
        <v>45898</v>
      </c>
      <c r="G2163" s="3">
        <f t="shared" si="185"/>
        <v>45898</v>
      </c>
      <c r="H2163">
        <v>2724137667</v>
      </c>
      <c r="I2163" t="s">
        <v>158</v>
      </c>
      <c r="K2163" t="s">
        <v>22</v>
      </c>
      <c r="L2163" t="s">
        <v>23</v>
      </c>
      <c r="M2163" t="s">
        <v>24</v>
      </c>
      <c r="N2163" t="s">
        <v>24</v>
      </c>
      <c r="O2163" t="s">
        <v>25</v>
      </c>
      <c r="P2163" s="8" t="s">
        <v>2734</v>
      </c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1"/>
      <c r="AB2163" s="11"/>
      <c r="AC2163" s="11"/>
      <c r="AD2163" s="11"/>
      <c r="AE2163" s="11"/>
      <c r="AF2163" s="11"/>
      <c r="AG2163" s="11"/>
      <c r="AH2163" s="11"/>
      <c r="AI2163" s="11"/>
      <c r="AJ2163" s="11"/>
      <c r="AK2163" s="11"/>
      <c r="AL2163" s="11"/>
      <c r="AM2163" s="11"/>
      <c r="AN2163" s="11"/>
      <c r="AO2163" s="11"/>
      <c r="AP2163" s="11"/>
      <c r="AQ2163" s="11"/>
      <c r="AR2163" s="11"/>
      <c r="AS2163" s="11"/>
      <c r="AT2163" s="11"/>
      <c r="AU2163" s="11"/>
      <c r="AV2163" s="11"/>
      <c r="AW2163" s="11"/>
      <c r="AX2163" s="11"/>
      <c r="AY2163" s="11"/>
    </row>
    <row r="2164" spans="1:51" hidden="1" x14ac:dyDescent="0.2">
      <c r="A2164" s="6" t="s">
        <v>17</v>
      </c>
      <c r="B2164" t="s">
        <v>399</v>
      </c>
      <c r="C2164" t="s">
        <v>400</v>
      </c>
      <c r="D2164" t="s">
        <v>2735</v>
      </c>
      <c r="E2164" s="2">
        <v>12.95</v>
      </c>
      <c r="F2164" s="3">
        <f t="shared" si="185"/>
        <v>45898</v>
      </c>
      <c r="G2164" s="3">
        <f t="shared" si="185"/>
        <v>45898</v>
      </c>
      <c r="H2164">
        <v>2724137668</v>
      </c>
      <c r="I2164" t="s">
        <v>158</v>
      </c>
      <c r="K2164" t="s">
        <v>22</v>
      </c>
      <c r="L2164" t="s">
        <v>23</v>
      </c>
      <c r="M2164" t="s">
        <v>24</v>
      </c>
      <c r="N2164" t="s">
        <v>24</v>
      </c>
      <c r="O2164" t="s">
        <v>25</v>
      </c>
      <c r="P2164" s="8" t="s">
        <v>2736</v>
      </c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1"/>
      <c r="AB2164" s="11"/>
      <c r="AC2164" s="11"/>
      <c r="AD2164" s="11"/>
      <c r="AE2164" s="11"/>
      <c r="AF2164" s="11"/>
      <c r="AG2164" s="11"/>
      <c r="AH2164" s="11"/>
      <c r="AI2164" s="11"/>
      <c r="AJ2164" s="11"/>
      <c r="AK2164" s="11"/>
      <c r="AL2164" s="11"/>
      <c r="AM2164" s="11"/>
      <c r="AN2164" s="11"/>
      <c r="AO2164" s="11"/>
      <c r="AP2164" s="11"/>
      <c r="AQ2164" s="11"/>
      <c r="AR2164" s="11"/>
      <c r="AS2164" s="11"/>
      <c r="AT2164" s="11"/>
      <c r="AU2164" s="11"/>
      <c r="AV2164" s="11"/>
      <c r="AW2164" s="11"/>
      <c r="AX2164" s="11"/>
      <c r="AY2164" s="11"/>
    </row>
    <row r="2165" spans="1:51" hidden="1" x14ac:dyDescent="0.2">
      <c r="A2165" s="6" t="s">
        <v>17</v>
      </c>
      <c r="B2165" t="s">
        <v>132</v>
      </c>
      <c r="C2165" t="s">
        <v>133</v>
      </c>
      <c r="D2165" t="s">
        <v>2737</v>
      </c>
      <c r="E2165" s="2">
        <v>743.21</v>
      </c>
      <c r="F2165" s="3">
        <f t="shared" si="185"/>
        <v>45898</v>
      </c>
      <c r="G2165" s="3">
        <f t="shared" si="185"/>
        <v>45898</v>
      </c>
      <c r="H2165">
        <v>2724137669</v>
      </c>
      <c r="I2165" t="s">
        <v>158</v>
      </c>
      <c r="K2165" t="s">
        <v>22</v>
      </c>
      <c r="L2165" t="s">
        <v>23</v>
      </c>
      <c r="M2165" t="s">
        <v>24</v>
      </c>
      <c r="N2165" t="s">
        <v>24</v>
      </c>
      <c r="O2165" t="s">
        <v>25</v>
      </c>
      <c r="P2165" s="8" t="s">
        <v>2738</v>
      </c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  <c r="AA2165" s="11"/>
      <c r="AB2165" s="11"/>
      <c r="AC2165" s="11"/>
      <c r="AD2165" s="11"/>
      <c r="AE2165" s="11"/>
      <c r="AF2165" s="11"/>
      <c r="AG2165" s="11"/>
      <c r="AH2165" s="11"/>
      <c r="AI2165" s="11"/>
      <c r="AJ2165" s="11"/>
      <c r="AK2165" s="11"/>
      <c r="AL2165" s="11"/>
      <c r="AM2165" s="11"/>
      <c r="AN2165" s="11"/>
      <c r="AO2165" s="11"/>
      <c r="AP2165" s="11"/>
      <c r="AQ2165" s="11"/>
      <c r="AR2165" s="11"/>
      <c r="AS2165" s="11"/>
      <c r="AT2165" s="11"/>
      <c r="AU2165" s="11"/>
      <c r="AV2165" s="11"/>
      <c r="AW2165" s="11"/>
      <c r="AX2165" s="11"/>
      <c r="AY2165" s="11"/>
    </row>
    <row r="2166" spans="1:51" hidden="1" x14ac:dyDescent="0.2">
      <c r="A2166" s="6" t="s">
        <v>17</v>
      </c>
      <c r="B2166" t="s">
        <v>399</v>
      </c>
      <c r="C2166" t="s">
        <v>400</v>
      </c>
      <c r="D2166" t="s">
        <v>2739</v>
      </c>
      <c r="E2166" s="2">
        <v>50.6</v>
      </c>
      <c r="F2166" s="3">
        <f t="shared" si="185"/>
        <v>45898</v>
      </c>
      <c r="G2166" s="3">
        <f t="shared" si="185"/>
        <v>45898</v>
      </c>
      <c r="H2166">
        <v>2724137670</v>
      </c>
      <c r="I2166" t="s">
        <v>158</v>
      </c>
      <c r="K2166" t="s">
        <v>22</v>
      </c>
      <c r="L2166" t="s">
        <v>23</v>
      </c>
      <c r="M2166" t="s">
        <v>24</v>
      </c>
      <c r="N2166" t="s">
        <v>24</v>
      </c>
      <c r="O2166" t="s">
        <v>25</v>
      </c>
      <c r="P2166" s="8" t="s">
        <v>2740</v>
      </c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  <c r="AA2166" s="11"/>
      <c r="AB2166" s="11"/>
      <c r="AC2166" s="11"/>
      <c r="AD2166" s="11"/>
      <c r="AE2166" s="11"/>
      <c r="AF2166" s="11"/>
      <c r="AG2166" s="11"/>
      <c r="AH2166" s="11"/>
      <c r="AI2166" s="11"/>
      <c r="AJ2166" s="11"/>
      <c r="AK2166" s="11"/>
      <c r="AL2166" s="11"/>
      <c r="AM2166" s="11"/>
      <c r="AN2166" s="11"/>
      <c r="AO2166" s="11"/>
      <c r="AP2166" s="11"/>
      <c r="AQ2166" s="11"/>
      <c r="AR2166" s="11"/>
      <c r="AS2166" s="11"/>
      <c r="AT2166" s="11"/>
      <c r="AU2166" s="11"/>
      <c r="AV2166" s="11"/>
      <c r="AW2166" s="11"/>
      <c r="AX2166" s="11"/>
      <c r="AY2166" s="11"/>
    </row>
    <row r="2167" spans="1:51" hidden="1" x14ac:dyDescent="0.2">
      <c r="A2167" s="6"/>
      <c r="E2167" s="2"/>
      <c r="F2167" s="3"/>
      <c r="G2167" s="3"/>
      <c r="P2167" s="8"/>
      <c r="Q2167" s="11"/>
      <c r="R2167" s="11"/>
      <c r="S2167" s="11"/>
      <c r="T2167" s="11"/>
      <c r="U2167" s="11"/>
      <c r="V2167" s="11"/>
      <c r="W2167" s="11"/>
      <c r="X2167" s="11"/>
      <c r="Y2167" s="11"/>
      <c r="Z2167" s="11"/>
      <c r="AA2167" s="11"/>
      <c r="AB2167" s="11"/>
      <c r="AC2167" s="11"/>
      <c r="AD2167" s="11"/>
      <c r="AE2167" s="11"/>
      <c r="AF2167" s="11"/>
      <c r="AG2167" s="11"/>
      <c r="AH2167" s="11"/>
      <c r="AI2167" s="11"/>
      <c r="AJ2167" s="11"/>
      <c r="AK2167" s="11"/>
      <c r="AL2167" s="11"/>
      <c r="AM2167" s="11"/>
      <c r="AN2167" s="11"/>
      <c r="AO2167" s="11"/>
      <c r="AP2167" s="11"/>
      <c r="AQ2167" s="11"/>
      <c r="AR2167" s="11"/>
      <c r="AS2167" s="11"/>
      <c r="AT2167" s="11"/>
      <c r="AU2167" s="11"/>
      <c r="AV2167" s="11"/>
      <c r="AW2167" s="11"/>
      <c r="AX2167" s="11"/>
      <c r="AY2167" s="11"/>
    </row>
    <row r="2168" spans="1:51" hidden="1" x14ac:dyDescent="0.2">
      <c r="A2168" s="6"/>
      <c r="E2168" s="2"/>
      <c r="F2168" s="3"/>
      <c r="G2168" s="3"/>
      <c r="P2168" s="8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1"/>
      <c r="AF2168" s="11"/>
      <c r="AG2168" s="11"/>
      <c r="AH2168" s="11"/>
      <c r="AI2168" s="11"/>
      <c r="AJ2168" s="11"/>
      <c r="AK2168" s="11"/>
      <c r="AL2168" s="11"/>
      <c r="AM2168" s="11"/>
      <c r="AN2168" s="11"/>
      <c r="AO2168" s="11"/>
      <c r="AP2168" s="11"/>
      <c r="AQ2168" s="11"/>
      <c r="AR2168" s="11"/>
      <c r="AS2168" s="11"/>
      <c r="AT2168" s="11"/>
      <c r="AU2168" s="11"/>
      <c r="AV2168" s="11"/>
      <c r="AW2168" s="11"/>
      <c r="AX2168" s="11"/>
      <c r="AY2168" s="11"/>
    </row>
    <row r="2169" spans="1:51" hidden="1" x14ac:dyDescent="0.2">
      <c r="A2169" s="6"/>
      <c r="E2169" s="2"/>
      <c r="F2169" s="3"/>
      <c r="G2169" s="3"/>
      <c r="P2169" s="8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1"/>
      <c r="AB2169" s="11"/>
      <c r="AC2169" s="11"/>
      <c r="AD2169" s="11"/>
      <c r="AE2169" s="11"/>
      <c r="AF2169" s="11"/>
      <c r="AG2169" s="11"/>
      <c r="AH2169" s="11"/>
      <c r="AI2169" s="11"/>
      <c r="AJ2169" s="11"/>
      <c r="AK2169" s="11"/>
      <c r="AL2169" s="11"/>
      <c r="AM2169" s="11"/>
      <c r="AN2169" s="11"/>
      <c r="AO2169" s="11"/>
      <c r="AP2169" s="11"/>
      <c r="AQ2169" s="11"/>
      <c r="AR2169" s="11"/>
      <c r="AS2169" s="11"/>
      <c r="AT2169" s="11"/>
      <c r="AU2169" s="11"/>
      <c r="AV2169" s="11"/>
      <c r="AW2169" s="11"/>
      <c r="AX2169" s="11"/>
      <c r="AY2169" s="11"/>
    </row>
    <row r="2170" spans="1:51" hidden="1" x14ac:dyDescent="0.2">
      <c r="A2170" s="6" t="s">
        <v>17</v>
      </c>
      <c r="B2170" t="s">
        <v>1002</v>
      </c>
      <c r="C2170" t="s">
        <v>1003</v>
      </c>
      <c r="D2170" t="s">
        <v>2741</v>
      </c>
      <c r="E2170" s="2">
        <v>3751.97</v>
      </c>
      <c r="F2170" s="3">
        <f t="shared" ref="F2170:G2181" si="186">DATE(2025,9,1)</f>
        <v>45901</v>
      </c>
      <c r="G2170" s="3">
        <f t="shared" si="186"/>
        <v>45901</v>
      </c>
      <c r="H2170">
        <v>2730276307</v>
      </c>
      <c r="I2170" t="s">
        <v>21</v>
      </c>
      <c r="K2170" t="s">
        <v>22</v>
      </c>
      <c r="L2170" t="s">
        <v>23</v>
      </c>
      <c r="M2170" t="s">
        <v>24</v>
      </c>
      <c r="N2170" t="s">
        <v>24</v>
      </c>
      <c r="O2170" t="s">
        <v>25</v>
      </c>
      <c r="P2170" s="8" t="s">
        <v>2742</v>
      </c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1"/>
      <c r="AF2170" s="11"/>
      <c r="AG2170" s="11"/>
      <c r="AH2170" s="11"/>
      <c r="AI2170" s="11"/>
      <c r="AJ2170" s="11"/>
      <c r="AK2170" s="11"/>
      <c r="AL2170" s="11"/>
      <c r="AM2170" s="11"/>
      <c r="AN2170" s="11"/>
      <c r="AO2170" s="11"/>
      <c r="AP2170" s="11"/>
      <c r="AQ2170" s="11"/>
      <c r="AR2170" s="11"/>
      <c r="AS2170" s="11"/>
      <c r="AT2170" s="11"/>
      <c r="AU2170" s="11"/>
      <c r="AV2170" s="11"/>
      <c r="AW2170" s="11"/>
      <c r="AX2170" s="11"/>
      <c r="AY2170" s="11"/>
    </row>
    <row r="2171" spans="1:51" hidden="1" x14ac:dyDescent="0.2">
      <c r="A2171" s="6" t="s">
        <v>17</v>
      </c>
      <c r="B2171" t="s">
        <v>244</v>
      </c>
      <c r="C2171" t="s">
        <v>245</v>
      </c>
      <c r="D2171" t="s">
        <v>2743</v>
      </c>
      <c r="E2171" s="2">
        <v>629.04</v>
      </c>
      <c r="F2171" s="3">
        <f t="shared" si="186"/>
        <v>45901</v>
      </c>
      <c r="G2171" s="3">
        <f t="shared" si="186"/>
        <v>45901</v>
      </c>
      <c r="H2171">
        <v>2730276376</v>
      </c>
      <c r="I2171" t="s">
        <v>21</v>
      </c>
      <c r="K2171" t="s">
        <v>22</v>
      </c>
      <c r="L2171" t="s">
        <v>23</v>
      </c>
      <c r="M2171" t="s">
        <v>24</v>
      </c>
      <c r="N2171" t="s">
        <v>24</v>
      </c>
      <c r="O2171" t="s">
        <v>25</v>
      </c>
      <c r="P2171" s="8" t="s">
        <v>2744</v>
      </c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  <c r="AA2171" s="11"/>
      <c r="AB2171" s="11"/>
      <c r="AC2171" s="11"/>
      <c r="AD2171" s="11"/>
      <c r="AE2171" s="11"/>
      <c r="AF2171" s="11"/>
      <c r="AG2171" s="11"/>
      <c r="AH2171" s="11"/>
      <c r="AI2171" s="11"/>
      <c r="AJ2171" s="11"/>
      <c r="AK2171" s="11"/>
      <c r="AL2171" s="11"/>
      <c r="AM2171" s="11"/>
      <c r="AN2171" s="11"/>
      <c r="AO2171" s="11"/>
      <c r="AP2171" s="11"/>
      <c r="AQ2171" s="11"/>
      <c r="AR2171" s="11"/>
      <c r="AS2171" s="11"/>
      <c r="AT2171" s="11"/>
      <c r="AU2171" s="11"/>
      <c r="AV2171" s="11"/>
      <c r="AW2171" s="11"/>
      <c r="AX2171" s="11"/>
      <c r="AY2171" s="11"/>
    </row>
    <row r="2172" spans="1:51" hidden="1" x14ac:dyDescent="0.2">
      <c r="A2172" s="6" t="s">
        <v>17</v>
      </c>
      <c r="B2172" t="s">
        <v>1048</v>
      </c>
      <c r="C2172" t="s">
        <v>1049</v>
      </c>
      <c r="D2172" t="s">
        <v>2745</v>
      </c>
      <c r="E2172" s="2">
        <v>2785.72</v>
      </c>
      <c r="F2172" s="3">
        <f t="shared" si="186"/>
        <v>45901</v>
      </c>
      <c r="G2172" s="3">
        <f t="shared" si="186"/>
        <v>45901</v>
      </c>
      <c r="H2172">
        <v>2730276439</v>
      </c>
      <c r="I2172" t="s">
        <v>21</v>
      </c>
      <c r="K2172" t="s">
        <v>22</v>
      </c>
      <c r="L2172" t="s">
        <v>23</v>
      </c>
      <c r="M2172" t="s">
        <v>24</v>
      </c>
      <c r="N2172" t="s">
        <v>24</v>
      </c>
      <c r="O2172" t="s">
        <v>25</v>
      </c>
      <c r="P2172" s="8" t="s">
        <v>2746</v>
      </c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1"/>
      <c r="AF2172" s="11"/>
      <c r="AG2172" s="11"/>
      <c r="AH2172" s="11"/>
      <c r="AI2172" s="11"/>
      <c r="AJ2172" s="11"/>
      <c r="AK2172" s="11"/>
      <c r="AL2172" s="11"/>
      <c r="AM2172" s="11"/>
      <c r="AN2172" s="11"/>
      <c r="AO2172" s="11"/>
      <c r="AP2172" s="11"/>
      <c r="AQ2172" s="11"/>
      <c r="AR2172" s="11"/>
      <c r="AS2172" s="11"/>
      <c r="AT2172" s="11"/>
      <c r="AU2172" s="11"/>
      <c r="AV2172" s="11"/>
      <c r="AW2172" s="11"/>
      <c r="AX2172" s="11"/>
      <c r="AY2172" s="11"/>
    </row>
    <row r="2173" spans="1:51" hidden="1" x14ac:dyDescent="0.2">
      <c r="A2173" s="6"/>
      <c r="E2173" s="2"/>
      <c r="F2173" s="3"/>
      <c r="G2173" s="3"/>
      <c r="P2173" s="8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  <c r="AA2173" s="11"/>
      <c r="AB2173" s="11"/>
      <c r="AC2173" s="11"/>
      <c r="AD2173" s="11"/>
      <c r="AE2173" s="11"/>
      <c r="AF2173" s="11"/>
      <c r="AG2173" s="11"/>
      <c r="AH2173" s="11"/>
      <c r="AI2173" s="11"/>
      <c r="AJ2173" s="11"/>
      <c r="AK2173" s="11"/>
      <c r="AL2173" s="11"/>
      <c r="AM2173" s="11"/>
      <c r="AN2173" s="11"/>
      <c r="AO2173" s="11"/>
      <c r="AP2173" s="11"/>
      <c r="AQ2173" s="11"/>
      <c r="AR2173" s="11"/>
      <c r="AS2173" s="11"/>
      <c r="AT2173" s="11"/>
      <c r="AU2173" s="11"/>
      <c r="AV2173" s="11"/>
      <c r="AW2173" s="11"/>
      <c r="AX2173" s="11"/>
      <c r="AY2173" s="11"/>
    </row>
    <row r="2174" spans="1:51" hidden="1" x14ac:dyDescent="0.2">
      <c r="A2174" s="6" t="s">
        <v>17</v>
      </c>
      <c r="B2174" t="s">
        <v>42</v>
      </c>
      <c r="C2174" t="s">
        <v>43</v>
      </c>
      <c r="D2174" t="s">
        <v>2747</v>
      </c>
      <c r="E2174" s="2">
        <v>102.16</v>
      </c>
      <c r="F2174" s="3">
        <f t="shared" si="186"/>
        <v>45901</v>
      </c>
      <c r="G2174" s="3">
        <f t="shared" si="186"/>
        <v>45901</v>
      </c>
      <c r="H2174">
        <v>2730276514</v>
      </c>
      <c r="I2174" t="s">
        <v>21</v>
      </c>
      <c r="K2174" t="s">
        <v>22</v>
      </c>
      <c r="L2174" t="s">
        <v>23</v>
      </c>
      <c r="M2174" t="s">
        <v>24</v>
      </c>
      <c r="N2174" t="s">
        <v>24</v>
      </c>
      <c r="O2174" t="s">
        <v>25</v>
      </c>
      <c r="P2174" s="8" t="s">
        <v>2748</v>
      </c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1"/>
      <c r="AF2174" s="11"/>
      <c r="AG2174" s="11"/>
      <c r="AH2174" s="11"/>
      <c r="AI2174" s="11"/>
      <c r="AJ2174" s="11"/>
      <c r="AK2174" s="11"/>
      <c r="AL2174" s="11"/>
      <c r="AM2174" s="11"/>
      <c r="AN2174" s="11"/>
      <c r="AO2174" s="11"/>
      <c r="AP2174" s="11"/>
      <c r="AQ2174" s="11"/>
      <c r="AR2174" s="11"/>
      <c r="AS2174" s="11"/>
      <c r="AT2174" s="11"/>
      <c r="AU2174" s="11"/>
      <c r="AV2174" s="11"/>
      <c r="AW2174" s="11"/>
      <c r="AX2174" s="11"/>
      <c r="AY2174" s="11"/>
    </row>
    <row r="2175" spans="1:51" hidden="1" x14ac:dyDescent="0.2">
      <c r="A2175" s="6" t="s">
        <v>17</v>
      </c>
      <c r="B2175" t="s">
        <v>118</v>
      </c>
      <c r="C2175" t="s">
        <v>119</v>
      </c>
      <c r="D2175" t="s">
        <v>2749</v>
      </c>
      <c r="E2175" s="2">
        <v>1483.02</v>
      </c>
      <c r="F2175" s="3">
        <f t="shared" si="186"/>
        <v>45901</v>
      </c>
      <c r="G2175" s="3">
        <f t="shared" si="186"/>
        <v>45901</v>
      </c>
      <c r="H2175">
        <v>2730276534</v>
      </c>
      <c r="I2175" t="s">
        <v>21</v>
      </c>
      <c r="K2175" t="s">
        <v>22</v>
      </c>
      <c r="L2175" t="s">
        <v>23</v>
      </c>
      <c r="M2175" t="s">
        <v>24</v>
      </c>
      <c r="N2175" t="s">
        <v>24</v>
      </c>
      <c r="O2175" t="s">
        <v>25</v>
      </c>
      <c r="P2175" s="8" t="s">
        <v>2750</v>
      </c>
      <c r="Q2175" s="11"/>
      <c r="R2175" s="11"/>
      <c r="S2175" s="11"/>
      <c r="T2175" s="11"/>
      <c r="U2175" s="11"/>
      <c r="V2175" s="11"/>
      <c r="W2175" s="11"/>
      <c r="X2175" s="11"/>
      <c r="Y2175" s="11"/>
      <c r="Z2175" s="11"/>
      <c r="AA2175" s="11"/>
      <c r="AB2175" s="11"/>
      <c r="AC2175" s="11"/>
      <c r="AD2175" s="11"/>
      <c r="AE2175" s="11"/>
      <c r="AF2175" s="11"/>
      <c r="AG2175" s="11"/>
      <c r="AH2175" s="11"/>
      <c r="AI2175" s="11"/>
      <c r="AJ2175" s="11"/>
      <c r="AK2175" s="11"/>
      <c r="AL2175" s="11"/>
      <c r="AM2175" s="11"/>
      <c r="AN2175" s="11"/>
      <c r="AO2175" s="11"/>
      <c r="AP2175" s="11"/>
      <c r="AQ2175" s="11"/>
      <c r="AR2175" s="11"/>
      <c r="AS2175" s="11"/>
      <c r="AT2175" s="11"/>
      <c r="AU2175" s="11"/>
      <c r="AV2175" s="11"/>
      <c r="AW2175" s="11"/>
      <c r="AX2175" s="11"/>
      <c r="AY2175" s="11"/>
    </row>
    <row r="2176" spans="1:51" hidden="1" x14ac:dyDescent="0.2">
      <c r="A2176" s="6" t="s">
        <v>17</v>
      </c>
      <c r="B2176" t="s">
        <v>50</v>
      </c>
      <c r="C2176" t="s">
        <v>51</v>
      </c>
      <c r="D2176" t="s">
        <v>2751</v>
      </c>
      <c r="E2176" s="2">
        <v>2741.34</v>
      </c>
      <c r="F2176" s="3">
        <f t="shared" si="186"/>
        <v>45901</v>
      </c>
      <c r="G2176" s="3">
        <f t="shared" si="186"/>
        <v>45901</v>
      </c>
      <c r="H2176">
        <v>2730276552</v>
      </c>
      <c r="I2176" t="s">
        <v>21</v>
      </c>
      <c r="K2176" t="s">
        <v>22</v>
      </c>
      <c r="L2176" t="s">
        <v>23</v>
      </c>
      <c r="M2176" t="s">
        <v>24</v>
      </c>
      <c r="N2176" t="s">
        <v>24</v>
      </c>
      <c r="O2176" t="s">
        <v>25</v>
      </c>
      <c r="P2176" s="8" t="s">
        <v>2752</v>
      </c>
      <c r="Q2176" s="11"/>
      <c r="R2176" s="11"/>
      <c r="S2176" s="11"/>
      <c r="T2176" s="11"/>
      <c r="U2176" s="11"/>
      <c r="V2176" s="11"/>
      <c r="W2176" s="11"/>
      <c r="X2176" s="11"/>
      <c r="Y2176" s="11"/>
      <c r="Z2176" s="11"/>
      <c r="AA2176" s="11"/>
      <c r="AB2176" s="11"/>
      <c r="AC2176" s="11"/>
      <c r="AD2176" s="11"/>
      <c r="AE2176" s="11"/>
      <c r="AF2176" s="11"/>
      <c r="AG2176" s="11"/>
      <c r="AH2176" s="11"/>
      <c r="AI2176" s="11"/>
      <c r="AJ2176" s="11"/>
      <c r="AK2176" s="11"/>
      <c r="AL2176" s="11"/>
      <c r="AM2176" s="11"/>
      <c r="AN2176" s="11"/>
      <c r="AO2176" s="11"/>
      <c r="AP2176" s="11"/>
      <c r="AQ2176" s="11"/>
      <c r="AR2176" s="11"/>
      <c r="AS2176" s="11"/>
      <c r="AT2176" s="11"/>
      <c r="AU2176" s="11"/>
      <c r="AV2176" s="11"/>
      <c r="AW2176" s="11"/>
      <c r="AX2176" s="11"/>
      <c r="AY2176" s="11"/>
    </row>
    <row r="2177" spans="1:51" x14ac:dyDescent="0.2">
      <c r="A2177" s="6" t="s">
        <v>17</v>
      </c>
      <c r="B2177" t="s">
        <v>342</v>
      </c>
      <c r="C2177" t="s">
        <v>342</v>
      </c>
      <c r="D2177" t="s">
        <v>2753</v>
      </c>
      <c r="E2177" s="2">
        <v>359.82</v>
      </c>
      <c r="F2177" s="3">
        <f t="shared" si="186"/>
        <v>45901</v>
      </c>
      <c r="G2177" s="3">
        <f t="shared" si="186"/>
        <v>45901</v>
      </c>
      <c r="H2177">
        <v>2730276570</v>
      </c>
      <c r="I2177" t="s">
        <v>21</v>
      </c>
      <c r="K2177" t="s">
        <v>22</v>
      </c>
      <c r="L2177" t="s">
        <v>23</v>
      </c>
      <c r="M2177" t="s">
        <v>24</v>
      </c>
      <c r="N2177" t="s">
        <v>24</v>
      </c>
      <c r="O2177" t="s">
        <v>25</v>
      </c>
      <c r="P2177" s="8" t="s">
        <v>2754</v>
      </c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1"/>
      <c r="AF2177" s="11"/>
      <c r="AG2177" s="11"/>
      <c r="AH2177" s="11"/>
      <c r="AI2177" s="11"/>
      <c r="AJ2177" s="11"/>
      <c r="AK2177" s="11"/>
      <c r="AL2177" s="11"/>
      <c r="AM2177" s="11"/>
      <c r="AN2177" s="11"/>
      <c r="AO2177" s="11"/>
      <c r="AP2177" s="11"/>
      <c r="AQ2177" s="11"/>
      <c r="AR2177" s="11"/>
      <c r="AS2177" s="11"/>
      <c r="AT2177" s="11"/>
      <c r="AU2177" s="11"/>
      <c r="AV2177" s="11"/>
      <c r="AW2177" s="11"/>
      <c r="AX2177" s="11"/>
      <c r="AY2177" s="11"/>
    </row>
    <row r="2178" spans="1:51" hidden="1" x14ac:dyDescent="0.2">
      <c r="A2178" s="6" t="s">
        <v>17</v>
      </c>
      <c r="B2178" t="s">
        <v>144</v>
      </c>
      <c r="C2178" t="s">
        <v>145</v>
      </c>
      <c r="D2178" t="s">
        <v>2755</v>
      </c>
      <c r="E2178" s="2">
        <v>12019.22</v>
      </c>
      <c r="F2178" s="3">
        <f t="shared" si="186"/>
        <v>45901</v>
      </c>
      <c r="G2178" s="3">
        <f t="shared" si="186"/>
        <v>45901</v>
      </c>
      <c r="H2178">
        <v>2730276580</v>
      </c>
      <c r="I2178" t="s">
        <v>21</v>
      </c>
      <c r="K2178" t="s">
        <v>22</v>
      </c>
      <c r="L2178" t="s">
        <v>23</v>
      </c>
      <c r="M2178" t="s">
        <v>24</v>
      </c>
      <c r="N2178" t="s">
        <v>24</v>
      </c>
      <c r="O2178" t="s">
        <v>25</v>
      </c>
      <c r="P2178" s="8" t="s">
        <v>2756</v>
      </c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  <c r="AA2178" s="11"/>
      <c r="AB2178" s="11"/>
      <c r="AC2178" s="11"/>
      <c r="AD2178" s="11"/>
      <c r="AE2178" s="11"/>
      <c r="AF2178" s="11"/>
      <c r="AG2178" s="11"/>
      <c r="AH2178" s="11"/>
      <c r="AI2178" s="11"/>
      <c r="AJ2178" s="11"/>
      <c r="AK2178" s="11"/>
      <c r="AL2178" s="11"/>
      <c r="AM2178" s="11"/>
      <c r="AN2178" s="11"/>
      <c r="AO2178" s="11"/>
      <c r="AP2178" s="11"/>
      <c r="AQ2178" s="11"/>
      <c r="AR2178" s="11"/>
      <c r="AS2178" s="11"/>
      <c r="AT2178" s="11"/>
      <c r="AU2178" s="11"/>
      <c r="AV2178" s="11"/>
      <c r="AW2178" s="11"/>
      <c r="AX2178" s="11"/>
      <c r="AY2178" s="11"/>
    </row>
    <row r="2179" spans="1:51" hidden="1" x14ac:dyDescent="0.2">
      <c r="A2179" s="6" t="s">
        <v>17</v>
      </c>
      <c r="B2179" t="s">
        <v>980</v>
      </c>
      <c r="C2179" t="s">
        <v>981</v>
      </c>
      <c r="D2179" t="s">
        <v>2757</v>
      </c>
      <c r="E2179" s="2">
        <v>424.22</v>
      </c>
      <c r="F2179" s="3">
        <f t="shared" si="186"/>
        <v>45901</v>
      </c>
      <c r="G2179" s="3">
        <f t="shared" si="186"/>
        <v>45901</v>
      </c>
      <c r="H2179">
        <v>2730276584</v>
      </c>
      <c r="I2179" t="s">
        <v>21</v>
      </c>
      <c r="K2179" t="s">
        <v>22</v>
      </c>
      <c r="L2179" t="s">
        <v>23</v>
      </c>
      <c r="M2179" t="s">
        <v>24</v>
      </c>
      <c r="N2179" t="s">
        <v>24</v>
      </c>
      <c r="O2179" t="s">
        <v>25</v>
      </c>
      <c r="P2179" s="8" t="s">
        <v>2758</v>
      </c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  <c r="AA2179" s="11"/>
      <c r="AB2179" s="11"/>
      <c r="AC2179" s="11"/>
      <c r="AD2179" s="11"/>
      <c r="AE2179" s="11"/>
      <c r="AF2179" s="11"/>
      <c r="AG2179" s="11"/>
      <c r="AH2179" s="11"/>
      <c r="AI2179" s="11"/>
      <c r="AJ2179" s="11"/>
      <c r="AK2179" s="11"/>
      <c r="AL2179" s="11"/>
      <c r="AM2179" s="11"/>
      <c r="AN2179" s="11"/>
      <c r="AO2179" s="11"/>
      <c r="AP2179" s="11"/>
      <c r="AQ2179" s="11"/>
      <c r="AR2179" s="11"/>
      <c r="AS2179" s="11"/>
      <c r="AT2179" s="11"/>
      <c r="AU2179" s="11"/>
      <c r="AV2179" s="11"/>
      <c r="AW2179" s="11"/>
      <c r="AX2179" s="11"/>
      <c r="AY2179" s="11"/>
    </row>
    <row r="2180" spans="1:51" hidden="1" x14ac:dyDescent="0.2">
      <c r="A2180" s="6" t="s">
        <v>17</v>
      </c>
      <c r="B2180" t="s">
        <v>565</v>
      </c>
      <c r="C2180" t="s">
        <v>566</v>
      </c>
      <c r="D2180" t="s">
        <v>2759</v>
      </c>
      <c r="E2180" s="2">
        <v>1355.22</v>
      </c>
      <c r="F2180" s="3">
        <f t="shared" si="186"/>
        <v>45901</v>
      </c>
      <c r="G2180" s="3">
        <f t="shared" si="186"/>
        <v>45901</v>
      </c>
      <c r="H2180">
        <v>2730276599</v>
      </c>
      <c r="I2180" t="s">
        <v>21</v>
      </c>
      <c r="K2180" t="s">
        <v>22</v>
      </c>
      <c r="L2180" t="s">
        <v>23</v>
      </c>
      <c r="M2180" t="s">
        <v>24</v>
      </c>
      <c r="N2180" t="s">
        <v>24</v>
      </c>
      <c r="O2180" t="s">
        <v>25</v>
      </c>
      <c r="P2180" s="8" t="s">
        <v>2760</v>
      </c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1"/>
      <c r="AF2180" s="11"/>
      <c r="AG2180" s="11"/>
      <c r="AH2180" s="11"/>
      <c r="AI2180" s="11"/>
      <c r="AJ2180" s="11"/>
      <c r="AK2180" s="11"/>
      <c r="AL2180" s="11"/>
      <c r="AM2180" s="11"/>
      <c r="AN2180" s="11"/>
      <c r="AO2180" s="11"/>
      <c r="AP2180" s="11"/>
      <c r="AQ2180" s="11"/>
      <c r="AR2180" s="11"/>
      <c r="AS2180" s="11"/>
      <c r="AT2180" s="11"/>
      <c r="AU2180" s="11"/>
      <c r="AV2180" s="11"/>
      <c r="AW2180" s="11"/>
      <c r="AX2180" s="11"/>
      <c r="AY2180" s="11"/>
    </row>
    <row r="2181" spans="1:51" hidden="1" x14ac:dyDescent="0.2">
      <c r="A2181" s="6" t="s">
        <v>17</v>
      </c>
      <c r="B2181" t="s">
        <v>244</v>
      </c>
      <c r="C2181" t="s">
        <v>245</v>
      </c>
      <c r="D2181" t="s">
        <v>2761</v>
      </c>
      <c r="E2181" s="2">
        <v>1440</v>
      </c>
      <c r="F2181" s="3">
        <f t="shared" si="186"/>
        <v>45901</v>
      </c>
      <c r="G2181" s="3">
        <f t="shared" si="186"/>
        <v>45901</v>
      </c>
      <c r="H2181">
        <v>2738067432</v>
      </c>
      <c r="I2181" t="s">
        <v>21</v>
      </c>
      <c r="K2181" t="s">
        <v>22</v>
      </c>
      <c r="L2181" t="s">
        <v>23</v>
      </c>
      <c r="M2181" t="s">
        <v>24</v>
      </c>
      <c r="N2181" t="s">
        <v>24</v>
      </c>
      <c r="O2181" t="s">
        <v>25</v>
      </c>
      <c r="P2181" s="8" t="s">
        <v>2762</v>
      </c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  <c r="AA2181" s="11"/>
      <c r="AB2181" s="11"/>
      <c r="AC2181" s="11"/>
      <c r="AD2181" s="11"/>
      <c r="AE2181" s="11"/>
      <c r="AF2181" s="11"/>
      <c r="AG2181" s="11"/>
      <c r="AH2181" s="11"/>
      <c r="AI2181" s="11"/>
      <c r="AJ2181" s="11"/>
      <c r="AK2181" s="11"/>
      <c r="AL2181" s="11"/>
      <c r="AM2181" s="11"/>
      <c r="AN2181" s="11"/>
      <c r="AO2181" s="11"/>
      <c r="AP2181" s="11"/>
      <c r="AQ2181" s="11"/>
      <c r="AR2181" s="11"/>
      <c r="AS2181" s="11"/>
      <c r="AT2181" s="11"/>
      <c r="AU2181" s="11"/>
      <c r="AV2181" s="11"/>
      <c r="AW2181" s="11"/>
      <c r="AX2181" s="11"/>
      <c r="AY2181" s="11"/>
    </row>
    <row r="2182" spans="1:51" hidden="1" x14ac:dyDescent="0.2">
      <c r="A2182" s="6" t="s">
        <v>17</v>
      </c>
      <c r="B2182" t="s">
        <v>589</v>
      </c>
      <c r="C2182" t="s">
        <v>590</v>
      </c>
      <c r="D2182" t="s">
        <v>2763</v>
      </c>
      <c r="E2182" s="2">
        <v>155.96</v>
      </c>
      <c r="F2182" s="3">
        <f>DATE(2025,8,29)</f>
        <v>45898</v>
      </c>
      <c r="G2182" s="3">
        <f>DATE(2025,8,29)</f>
        <v>45898</v>
      </c>
      <c r="H2182">
        <v>2738067433</v>
      </c>
      <c r="I2182" t="s">
        <v>158</v>
      </c>
      <c r="K2182" t="s">
        <v>22</v>
      </c>
      <c r="L2182" t="s">
        <v>23</v>
      </c>
      <c r="M2182" t="s">
        <v>24</v>
      </c>
      <c r="N2182" t="s">
        <v>24</v>
      </c>
      <c r="O2182" t="s">
        <v>25</v>
      </c>
      <c r="P2182" s="8" t="s">
        <v>2764</v>
      </c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  <c r="AA2182" s="11"/>
      <c r="AB2182" s="11"/>
      <c r="AC2182" s="11"/>
      <c r="AD2182" s="11"/>
      <c r="AE2182" s="11"/>
      <c r="AF2182" s="11"/>
      <c r="AG2182" s="11"/>
      <c r="AH2182" s="11"/>
      <c r="AI2182" s="11"/>
      <c r="AJ2182" s="11"/>
      <c r="AK2182" s="11"/>
      <c r="AL2182" s="11"/>
      <c r="AM2182" s="11"/>
      <c r="AN2182" s="11"/>
      <c r="AO2182" s="11"/>
      <c r="AP2182" s="11"/>
      <c r="AQ2182" s="11"/>
      <c r="AR2182" s="11"/>
      <c r="AS2182" s="11"/>
      <c r="AT2182" s="11"/>
      <c r="AU2182" s="11"/>
      <c r="AV2182" s="11"/>
      <c r="AW2182" s="11"/>
      <c r="AX2182" s="11"/>
      <c r="AY2182" s="11"/>
    </row>
    <row r="2183" spans="1:51" hidden="1" x14ac:dyDescent="0.2">
      <c r="A2183" s="6" t="s">
        <v>17</v>
      </c>
      <c r="B2183" t="s">
        <v>132</v>
      </c>
      <c r="C2183" t="s">
        <v>133</v>
      </c>
      <c r="D2183" t="s">
        <v>2765</v>
      </c>
      <c r="E2183" s="2">
        <v>53</v>
      </c>
      <c r="F2183" s="3">
        <f>DATE(2025,8,30)</f>
        <v>45899</v>
      </c>
      <c r="G2183" s="3">
        <f>DATE(2025,8,30)</f>
        <v>45899</v>
      </c>
      <c r="H2183">
        <v>2738067434</v>
      </c>
      <c r="I2183" t="s">
        <v>158</v>
      </c>
      <c r="K2183" t="s">
        <v>22</v>
      </c>
      <c r="L2183" t="s">
        <v>23</v>
      </c>
      <c r="M2183" t="s">
        <v>24</v>
      </c>
      <c r="N2183" t="s">
        <v>24</v>
      </c>
      <c r="O2183" t="s">
        <v>25</v>
      </c>
      <c r="P2183" s="8" t="s">
        <v>2766</v>
      </c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  <c r="AA2183" s="11"/>
      <c r="AB2183" s="11"/>
      <c r="AC2183" s="11"/>
      <c r="AD2183" s="11"/>
      <c r="AE2183" s="11"/>
      <c r="AF2183" s="11"/>
      <c r="AG2183" s="11"/>
      <c r="AH2183" s="11"/>
      <c r="AI2183" s="11"/>
      <c r="AJ2183" s="11"/>
      <c r="AK2183" s="11"/>
      <c r="AL2183" s="11"/>
      <c r="AM2183" s="11"/>
      <c r="AN2183" s="11"/>
      <c r="AO2183" s="11"/>
      <c r="AP2183" s="11"/>
      <c r="AQ2183" s="11"/>
      <c r="AR2183" s="11"/>
      <c r="AS2183" s="11"/>
      <c r="AT2183" s="11"/>
      <c r="AU2183" s="11"/>
      <c r="AV2183" s="11"/>
      <c r="AW2183" s="11"/>
      <c r="AX2183" s="11"/>
      <c r="AY2183" s="11"/>
    </row>
    <row r="2184" spans="1:51" hidden="1" x14ac:dyDescent="0.2">
      <c r="A2184" s="6" t="s">
        <v>17</v>
      </c>
      <c r="B2184" t="s">
        <v>42</v>
      </c>
      <c r="C2184" t="s">
        <v>43</v>
      </c>
      <c r="D2184" t="s">
        <v>2767</v>
      </c>
      <c r="E2184" s="2">
        <v>89</v>
      </c>
      <c r="F2184" s="3">
        <f>DATE(2025,9,2)</f>
        <v>45902</v>
      </c>
      <c r="G2184" s="3">
        <f>DATE(2025,9,2)</f>
        <v>45902</v>
      </c>
      <c r="H2184">
        <v>2738067435</v>
      </c>
      <c r="I2184" t="s">
        <v>21</v>
      </c>
      <c r="K2184" t="s">
        <v>22</v>
      </c>
      <c r="L2184" t="s">
        <v>23</v>
      </c>
      <c r="M2184" t="s">
        <v>24</v>
      </c>
      <c r="N2184" t="s">
        <v>24</v>
      </c>
      <c r="O2184" t="s">
        <v>25</v>
      </c>
      <c r="P2184" s="8" t="s">
        <v>2768</v>
      </c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1"/>
      <c r="AB2184" s="11"/>
      <c r="AC2184" s="11"/>
      <c r="AD2184" s="11"/>
      <c r="AE2184" s="11"/>
      <c r="AF2184" s="11"/>
      <c r="AG2184" s="11"/>
      <c r="AH2184" s="11"/>
      <c r="AI2184" s="11"/>
      <c r="AJ2184" s="11"/>
      <c r="AK2184" s="11"/>
      <c r="AL2184" s="11"/>
      <c r="AM2184" s="11"/>
      <c r="AN2184" s="11"/>
      <c r="AO2184" s="11"/>
      <c r="AP2184" s="11"/>
      <c r="AQ2184" s="11"/>
      <c r="AR2184" s="11"/>
      <c r="AS2184" s="11"/>
      <c r="AT2184" s="11"/>
      <c r="AU2184" s="11"/>
      <c r="AV2184" s="11"/>
      <c r="AW2184" s="11"/>
      <c r="AX2184" s="11"/>
      <c r="AY2184" s="11"/>
    </row>
    <row r="2185" spans="1:51" x14ac:dyDescent="0.2">
      <c r="A2185" s="6" t="s">
        <v>17</v>
      </c>
      <c r="B2185" t="s">
        <v>342</v>
      </c>
      <c r="C2185" t="s">
        <v>342</v>
      </c>
      <c r="D2185" t="s">
        <v>2769</v>
      </c>
      <c r="E2185" s="2">
        <v>800</v>
      </c>
      <c r="F2185" s="3">
        <f t="shared" ref="F2185:G2185" si="187">DATE(2025,9,1)</f>
        <v>45901</v>
      </c>
      <c r="G2185" s="3">
        <f t="shared" si="187"/>
        <v>45901</v>
      </c>
      <c r="H2185">
        <v>2738067436</v>
      </c>
      <c r="I2185" t="s">
        <v>21</v>
      </c>
      <c r="K2185" t="s">
        <v>22</v>
      </c>
      <c r="L2185" t="s">
        <v>23</v>
      </c>
      <c r="M2185" t="s">
        <v>24</v>
      </c>
      <c r="N2185" t="s">
        <v>24</v>
      </c>
      <c r="O2185" t="s">
        <v>25</v>
      </c>
      <c r="P2185" s="8" t="s">
        <v>2770</v>
      </c>
      <c r="Q2185" s="11"/>
      <c r="R2185" s="11"/>
      <c r="S2185" s="11"/>
      <c r="T2185" s="11"/>
      <c r="U2185" s="11"/>
      <c r="V2185" s="11"/>
      <c r="W2185" s="11"/>
      <c r="X2185" s="11"/>
      <c r="Y2185" s="11"/>
      <c r="Z2185" s="11"/>
      <c r="AA2185" s="11"/>
      <c r="AB2185" s="11"/>
      <c r="AC2185" s="11"/>
      <c r="AD2185" s="11"/>
      <c r="AE2185" s="11"/>
      <c r="AF2185" s="11"/>
      <c r="AG2185" s="11"/>
      <c r="AH2185" s="11"/>
      <c r="AI2185" s="11"/>
      <c r="AJ2185" s="11"/>
      <c r="AK2185" s="11"/>
      <c r="AL2185" s="11"/>
      <c r="AM2185" s="11"/>
      <c r="AN2185" s="11"/>
      <c r="AO2185" s="11"/>
      <c r="AP2185" s="11"/>
      <c r="AQ2185" s="11"/>
      <c r="AR2185" s="11"/>
      <c r="AS2185" s="11"/>
      <c r="AT2185" s="11"/>
      <c r="AU2185" s="11"/>
      <c r="AV2185" s="11"/>
      <c r="AW2185" s="11"/>
      <c r="AX2185" s="11"/>
      <c r="AY2185" s="11"/>
    </row>
    <row r="2186" spans="1:51" hidden="1" x14ac:dyDescent="0.2">
      <c r="A2186" s="6"/>
      <c r="E2186" s="2"/>
      <c r="F2186" s="3"/>
      <c r="G2186" s="3"/>
      <c r="P2186" s="8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  <c r="AA2186" s="11"/>
      <c r="AB2186" s="11"/>
      <c r="AC2186" s="11"/>
      <c r="AD2186" s="11"/>
      <c r="AE2186" s="11"/>
      <c r="AF2186" s="11"/>
      <c r="AG2186" s="11"/>
      <c r="AH2186" s="11"/>
      <c r="AI2186" s="11"/>
      <c r="AJ2186" s="11"/>
      <c r="AK2186" s="11"/>
      <c r="AL2186" s="11"/>
      <c r="AM2186" s="11"/>
      <c r="AN2186" s="11"/>
      <c r="AO2186" s="11"/>
      <c r="AP2186" s="11"/>
      <c r="AQ2186" s="11"/>
      <c r="AR2186" s="11"/>
      <c r="AS2186" s="11"/>
      <c r="AT2186" s="11"/>
      <c r="AU2186" s="11"/>
      <c r="AV2186" s="11"/>
      <c r="AW2186" s="11"/>
      <c r="AX2186" s="11"/>
      <c r="AY2186" s="11"/>
    </row>
    <row r="2187" spans="1:51" hidden="1" x14ac:dyDescent="0.2">
      <c r="A2187" s="6"/>
      <c r="E2187" s="2"/>
      <c r="F2187" s="3"/>
      <c r="G2187" s="3"/>
      <c r="P2187" s="8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  <c r="AA2187" s="11"/>
      <c r="AB2187" s="11"/>
      <c r="AC2187" s="11"/>
      <c r="AD2187" s="11"/>
      <c r="AE2187" s="11"/>
      <c r="AF2187" s="11"/>
      <c r="AG2187" s="11"/>
      <c r="AH2187" s="11"/>
      <c r="AI2187" s="11"/>
      <c r="AJ2187" s="11"/>
      <c r="AK2187" s="11"/>
      <c r="AL2187" s="11"/>
      <c r="AM2187" s="11"/>
      <c r="AN2187" s="11"/>
      <c r="AO2187" s="11"/>
      <c r="AP2187" s="11"/>
      <c r="AQ2187" s="11"/>
      <c r="AR2187" s="11"/>
      <c r="AS2187" s="11"/>
      <c r="AT2187" s="11"/>
      <c r="AU2187" s="11"/>
      <c r="AV2187" s="11"/>
      <c r="AW2187" s="11"/>
      <c r="AX2187" s="11"/>
      <c r="AY2187" s="11"/>
    </row>
    <row r="2188" spans="1:51" hidden="1" x14ac:dyDescent="0.2">
      <c r="A2188" s="6" t="s">
        <v>17</v>
      </c>
      <c r="B2188" t="s">
        <v>35</v>
      </c>
      <c r="C2188" t="s">
        <v>35</v>
      </c>
      <c r="D2188" t="s">
        <v>2771</v>
      </c>
      <c r="E2188" s="2">
        <v>12.92</v>
      </c>
      <c r="F2188" s="3">
        <f>DATE(2025,9,2)</f>
        <v>45902</v>
      </c>
      <c r="G2188" s="3">
        <f>DATE(2025,9,2)</f>
        <v>45902</v>
      </c>
      <c r="H2188">
        <v>2738067439</v>
      </c>
      <c r="I2188" t="s">
        <v>21</v>
      </c>
      <c r="K2188" t="s">
        <v>22</v>
      </c>
      <c r="L2188" t="s">
        <v>23</v>
      </c>
      <c r="M2188" t="s">
        <v>24</v>
      </c>
      <c r="N2188" t="s">
        <v>24</v>
      </c>
      <c r="O2188" t="s">
        <v>25</v>
      </c>
      <c r="P2188" s="8" t="s">
        <v>2772</v>
      </c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1"/>
      <c r="AB2188" s="11"/>
      <c r="AC2188" s="11"/>
      <c r="AD2188" s="11"/>
      <c r="AE2188" s="11"/>
      <c r="AF2188" s="11"/>
      <c r="AG2188" s="11"/>
      <c r="AH2188" s="11"/>
      <c r="AI2188" s="11"/>
      <c r="AJ2188" s="11"/>
      <c r="AK2188" s="11"/>
      <c r="AL2188" s="11"/>
      <c r="AM2188" s="11"/>
      <c r="AN2188" s="11"/>
      <c r="AO2188" s="11"/>
      <c r="AP2188" s="11"/>
      <c r="AQ2188" s="11"/>
      <c r="AR2188" s="11"/>
      <c r="AS2188" s="11"/>
      <c r="AT2188" s="11"/>
      <c r="AU2188" s="11"/>
      <c r="AV2188" s="11"/>
      <c r="AW2188" s="11"/>
      <c r="AX2188" s="11"/>
      <c r="AY2188" s="11"/>
    </row>
    <row r="2189" spans="1:51" hidden="1" x14ac:dyDescent="0.2">
      <c r="A2189" s="6" t="s">
        <v>17</v>
      </c>
      <c r="B2189" t="s">
        <v>589</v>
      </c>
      <c r="C2189" t="s">
        <v>590</v>
      </c>
      <c r="D2189" t="s">
        <v>2773</v>
      </c>
      <c r="E2189" s="2">
        <v>531.09</v>
      </c>
      <c r="F2189" s="3">
        <f t="shared" ref="F2189:G2195" si="188">DATE(2025,9,1)</f>
        <v>45901</v>
      </c>
      <c r="G2189" s="3">
        <f t="shared" si="188"/>
        <v>45901</v>
      </c>
      <c r="H2189">
        <v>2738067440</v>
      </c>
      <c r="I2189" t="s">
        <v>21</v>
      </c>
      <c r="K2189" t="s">
        <v>22</v>
      </c>
      <c r="L2189" t="s">
        <v>23</v>
      </c>
      <c r="M2189" t="s">
        <v>24</v>
      </c>
      <c r="N2189" t="s">
        <v>24</v>
      </c>
      <c r="O2189" t="s">
        <v>25</v>
      </c>
      <c r="P2189" s="8" t="s">
        <v>2774</v>
      </c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1"/>
      <c r="AB2189" s="11"/>
      <c r="AC2189" s="11"/>
      <c r="AD2189" s="11"/>
      <c r="AE2189" s="11"/>
      <c r="AF2189" s="11"/>
      <c r="AG2189" s="11"/>
      <c r="AH2189" s="11"/>
      <c r="AI2189" s="11"/>
      <c r="AJ2189" s="11"/>
      <c r="AK2189" s="11"/>
      <c r="AL2189" s="11"/>
      <c r="AM2189" s="11"/>
      <c r="AN2189" s="11"/>
      <c r="AO2189" s="11"/>
      <c r="AP2189" s="11"/>
      <c r="AQ2189" s="11"/>
      <c r="AR2189" s="11"/>
      <c r="AS2189" s="11"/>
      <c r="AT2189" s="11"/>
      <c r="AU2189" s="11"/>
      <c r="AV2189" s="11"/>
      <c r="AW2189" s="11"/>
      <c r="AX2189" s="11"/>
      <c r="AY2189" s="11"/>
    </row>
    <row r="2190" spans="1:51" x14ac:dyDescent="0.2">
      <c r="A2190" s="6" t="s">
        <v>17</v>
      </c>
      <c r="B2190" t="s">
        <v>342</v>
      </c>
      <c r="C2190" t="s">
        <v>342</v>
      </c>
      <c r="D2190" t="s">
        <v>2775</v>
      </c>
      <c r="E2190" s="2">
        <v>181.69</v>
      </c>
      <c r="F2190" s="3">
        <f t="shared" si="188"/>
        <v>45901</v>
      </c>
      <c r="G2190" s="3">
        <f t="shared" si="188"/>
        <v>45901</v>
      </c>
      <c r="H2190">
        <v>2738067441</v>
      </c>
      <c r="I2190" t="s">
        <v>21</v>
      </c>
      <c r="K2190" t="s">
        <v>22</v>
      </c>
      <c r="L2190" t="s">
        <v>23</v>
      </c>
      <c r="M2190" t="s">
        <v>24</v>
      </c>
      <c r="N2190" t="s">
        <v>24</v>
      </c>
      <c r="O2190" t="s">
        <v>25</v>
      </c>
      <c r="P2190" s="8" t="s">
        <v>2776</v>
      </c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1"/>
      <c r="AB2190" s="11"/>
      <c r="AC2190" s="11"/>
      <c r="AD2190" s="11"/>
      <c r="AE2190" s="11"/>
      <c r="AF2190" s="11"/>
      <c r="AG2190" s="11"/>
      <c r="AH2190" s="11"/>
      <c r="AI2190" s="11"/>
      <c r="AJ2190" s="11"/>
      <c r="AK2190" s="11"/>
      <c r="AL2190" s="11"/>
      <c r="AM2190" s="11"/>
      <c r="AN2190" s="11"/>
      <c r="AO2190" s="11"/>
      <c r="AP2190" s="11"/>
      <c r="AQ2190" s="11"/>
      <c r="AR2190" s="11"/>
      <c r="AS2190" s="11"/>
      <c r="AT2190" s="11"/>
      <c r="AU2190" s="11"/>
      <c r="AV2190" s="11"/>
      <c r="AW2190" s="11"/>
      <c r="AX2190" s="11"/>
      <c r="AY2190" s="11"/>
    </row>
    <row r="2191" spans="1:51" hidden="1" x14ac:dyDescent="0.2">
      <c r="A2191" s="6"/>
      <c r="E2191" s="2"/>
      <c r="F2191" s="3"/>
      <c r="G2191" s="3"/>
      <c r="P2191" s="8"/>
      <c r="Q2191" s="11"/>
      <c r="R2191" s="11"/>
      <c r="S2191" s="11"/>
      <c r="T2191" s="11"/>
      <c r="U2191" s="11"/>
      <c r="V2191" s="11"/>
      <c r="W2191" s="11"/>
      <c r="X2191" s="11"/>
      <c r="Y2191" s="11"/>
      <c r="Z2191" s="11"/>
      <c r="AA2191" s="11"/>
      <c r="AB2191" s="11"/>
      <c r="AC2191" s="11"/>
      <c r="AD2191" s="11"/>
      <c r="AE2191" s="11"/>
      <c r="AF2191" s="11"/>
      <c r="AG2191" s="11"/>
      <c r="AH2191" s="11"/>
      <c r="AI2191" s="11"/>
      <c r="AJ2191" s="11"/>
      <c r="AK2191" s="11"/>
      <c r="AL2191" s="11"/>
      <c r="AM2191" s="11"/>
      <c r="AN2191" s="11"/>
      <c r="AO2191" s="11"/>
      <c r="AP2191" s="11"/>
      <c r="AQ2191" s="11"/>
      <c r="AR2191" s="11"/>
      <c r="AS2191" s="11"/>
      <c r="AT2191" s="11"/>
      <c r="AU2191" s="11"/>
      <c r="AV2191" s="11"/>
      <c r="AW2191" s="11"/>
      <c r="AX2191" s="11"/>
      <c r="AY2191" s="11"/>
    </row>
    <row r="2192" spans="1:51" hidden="1" x14ac:dyDescent="0.2">
      <c r="A2192" s="6" t="s">
        <v>17</v>
      </c>
      <c r="B2192" t="s">
        <v>35</v>
      </c>
      <c r="C2192" t="s">
        <v>35</v>
      </c>
      <c r="D2192" t="s">
        <v>204</v>
      </c>
      <c r="E2192" s="2">
        <v>12</v>
      </c>
      <c r="F2192" s="3">
        <f t="shared" si="188"/>
        <v>45901</v>
      </c>
      <c r="G2192" s="3">
        <f t="shared" si="188"/>
        <v>45901</v>
      </c>
      <c r="H2192">
        <v>2738142140</v>
      </c>
      <c r="I2192" t="s">
        <v>192</v>
      </c>
      <c r="K2192" t="s">
        <v>22</v>
      </c>
      <c r="L2192" t="s">
        <v>23</v>
      </c>
      <c r="M2192" t="s">
        <v>24</v>
      </c>
      <c r="N2192" t="s">
        <v>24</v>
      </c>
      <c r="O2192" t="s">
        <v>25</v>
      </c>
      <c r="P2192" s="8" t="s">
        <v>2777</v>
      </c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1"/>
      <c r="AF2192" s="11"/>
      <c r="AG2192" s="11"/>
      <c r="AH2192" s="11"/>
      <c r="AI2192" s="11"/>
      <c r="AJ2192" s="11"/>
      <c r="AK2192" s="11"/>
      <c r="AL2192" s="11"/>
      <c r="AM2192" s="11"/>
      <c r="AN2192" s="11"/>
      <c r="AO2192" s="11"/>
      <c r="AP2192" s="11"/>
      <c r="AQ2192" s="11"/>
      <c r="AR2192" s="11"/>
      <c r="AS2192" s="11"/>
      <c r="AT2192" s="11"/>
      <c r="AU2192" s="11"/>
      <c r="AV2192" s="11"/>
      <c r="AW2192" s="11"/>
      <c r="AX2192" s="11"/>
      <c r="AY2192" s="11"/>
    </row>
    <row r="2193" spans="1:51" hidden="1" x14ac:dyDescent="0.2">
      <c r="A2193" s="6"/>
      <c r="E2193" s="2"/>
      <c r="F2193" s="3"/>
      <c r="G2193" s="3"/>
      <c r="P2193" s="8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1"/>
      <c r="AB2193" s="11"/>
      <c r="AC2193" s="11"/>
      <c r="AD2193" s="11"/>
      <c r="AE2193" s="11"/>
      <c r="AF2193" s="11"/>
      <c r="AG2193" s="11"/>
      <c r="AH2193" s="11"/>
      <c r="AI2193" s="11"/>
      <c r="AJ2193" s="11"/>
      <c r="AK2193" s="11"/>
      <c r="AL2193" s="11"/>
      <c r="AM2193" s="11"/>
      <c r="AN2193" s="11"/>
      <c r="AO2193" s="11"/>
      <c r="AP2193" s="11"/>
      <c r="AQ2193" s="11"/>
      <c r="AR2193" s="11"/>
      <c r="AS2193" s="11"/>
      <c r="AT2193" s="11"/>
      <c r="AU2193" s="11"/>
      <c r="AV2193" s="11"/>
      <c r="AW2193" s="11"/>
      <c r="AX2193" s="11"/>
      <c r="AY2193" s="11"/>
    </row>
    <row r="2194" spans="1:51" hidden="1" x14ac:dyDescent="0.2">
      <c r="A2194" s="6" t="s">
        <v>17</v>
      </c>
      <c r="B2194" t="s">
        <v>18</v>
      </c>
      <c r="C2194" t="s">
        <v>19</v>
      </c>
      <c r="D2194" t="s">
        <v>2778</v>
      </c>
      <c r="E2194" s="2">
        <v>1.23</v>
      </c>
      <c r="F2194" s="3">
        <f t="shared" si="188"/>
        <v>45901</v>
      </c>
      <c r="G2194" s="3">
        <f t="shared" si="188"/>
        <v>45901</v>
      </c>
      <c r="H2194">
        <v>2738142142</v>
      </c>
      <c r="I2194" t="s">
        <v>192</v>
      </c>
      <c r="K2194" t="s">
        <v>22</v>
      </c>
      <c r="L2194" t="s">
        <v>23</v>
      </c>
      <c r="M2194" t="s">
        <v>24</v>
      </c>
      <c r="N2194" t="s">
        <v>24</v>
      </c>
      <c r="O2194" t="s">
        <v>25</v>
      </c>
      <c r="P2194" s="8" t="s">
        <v>2779</v>
      </c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1"/>
      <c r="AB2194" s="11"/>
      <c r="AC2194" s="11"/>
      <c r="AD2194" s="11"/>
      <c r="AE2194" s="11"/>
      <c r="AF2194" s="11"/>
      <c r="AG2194" s="11"/>
      <c r="AH2194" s="11"/>
      <c r="AI2194" s="11"/>
      <c r="AJ2194" s="11"/>
      <c r="AK2194" s="11"/>
      <c r="AL2194" s="11"/>
      <c r="AM2194" s="11"/>
      <c r="AN2194" s="11"/>
      <c r="AO2194" s="11"/>
      <c r="AP2194" s="11"/>
      <c r="AQ2194" s="11"/>
      <c r="AR2194" s="11"/>
      <c r="AS2194" s="11"/>
      <c r="AT2194" s="11"/>
      <c r="AU2194" s="11"/>
      <c r="AV2194" s="11"/>
      <c r="AW2194" s="11"/>
      <c r="AX2194" s="11"/>
      <c r="AY2194" s="11"/>
    </row>
    <row r="2195" spans="1:51" hidden="1" x14ac:dyDescent="0.2">
      <c r="A2195" s="6" t="s">
        <v>17</v>
      </c>
      <c r="B2195" t="s">
        <v>46</v>
      </c>
      <c r="C2195" t="s">
        <v>47</v>
      </c>
      <c r="D2195" t="s">
        <v>2780</v>
      </c>
      <c r="E2195" s="2">
        <v>155.04</v>
      </c>
      <c r="F2195" s="3">
        <f t="shared" si="188"/>
        <v>45901</v>
      </c>
      <c r="G2195" s="3">
        <f t="shared" si="188"/>
        <v>45901</v>
      </c>
      <c r="H2195">
        <v>2747717374</v>
      </c>
      <c r="I2195" t="s">
        <v>158</v>
      </c>
      <c r="K2195" t="s">
        <v>22</v>
      </c>
      <c r="L2195" t="s">
        <v>23</v>
      </c>
      <c r="M2195" t="s">
        <v>24</v>
      </c>
      <c r="N2195" t="s">
        <v>24</v>
      </c>
      <c r="O2195" t="s">
        <v>25</v>
      </c>
      <c r="P2195" s="8" t="s">
        <v>2781</v>
      </c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  <c r="AA2195" s="11"/>
      <c r="AB2195" s="11"/>
      <c r="AC2195" s="11"/>
      <c r="AD2195" s="11"/>
      <c r="AE2195" s="11"/>
      <c r="AF2195" s="11"/>
      <c r="AG2195" s="11"/>
      <c r="AH2195" s="11"/>
      <c r="AI2195" s="11"/>
      <c r="AJ2195" s="11"/>
      <c r="AK2195" s="11"/>
      <c r="AL2195" s="11"/>
      <c r="AM2195" s="11"/>
      <c r="AN2195" s="11"/>
      <c r="AO2195" s="11"/>
      <c r="AP2195" s="11"/>
      <c r="AQ2195" s="11"/>
      <c r="AR2195" s="11"/>
      <c r="AS2195" s="11"/>
      <c r="AT2195" s="11"/>
      <c r="AU2195" s="11"/>
      <c r="AV2195" s="11"/>
      <c r="AW2195" s="11"/>
      <c r="AX2195" s="11"/>
      <c r="AY2195" s="11"/>
    </row>
    <row r="2196" spans="1:51" hidden="1" x14ac:dyDescent="0.2">
      <c r="A2196" s="6"/>
      <c r="E2196" s="2"/>
      <c r="F2196" s="3"/>
      <c r="G2196" s="3"/>
      <c r="P2196" s="8"/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  <c r="AA2196" s="11"/>
      <c r="AB2196" s="11"/>
      <c r="AC2196" s="11"/>
      <c r="AD2196" s="11"/>
      <c r="AE2196" s="11"/>
      <c r="AF2196" s="11"/>
      <c r="AG2196" s="11"/>
      <c r="AH2196" s="11"/>
      <c r="AI2196" s="11"/>
      <c r="AJ2196" s="11"/>
      <c r="AK2196" s="11"/>
      <c r="AL2196" s="11"/>
      <c r="AM2196" s="11"/>
      <c r="AN2196" s="11"/>
      <c r="AO2196" s="11"/>
      <c r="AP2196" s="11"/>
      <c r="AQ2196" s="11"/>
      <c r="AR2196" s="11"/>
      <c r="AS2196" s="11"/>
      <c r="AT2196" s="11"/>
      <c r="AU2196" s="11"/>
      <c r="AV2196" s="11"/>
      <c r="AW2196" s="11"/>
      <c r="AX2196" s="11"/>
      <c r="AY2196" s="11"/>
    </row>
    <row r="2197" spans="1:51" hidden="1" x14ac:dyDescent="0.2">
      <c r="A2197" s="6" t="s">
        <v>17</v>
      </c>
      <c r="B2197" t="s">
        <v>589</v>
      </c>
      <c r="C2197" t="s">
        <v>590</v>
      </c>
      <c r="D2197" t="s">
        <v>2782</v>
      </c>
      <c r="E2197" s="2">
        <v>921.23</v>
      </c>
      <c r="F2197" s="3">
        <f>DATE(2025,9,2)</f>
        <v>45902</v>
      </c>
      <c r="G2197" s="3">
        <f>DATE(2025,9,2)</f>
        <v>45902</v>
      </c>
      <c r="H2197">
        <v>2747717376</v>
      </c>
      <c r="I2197" t="s">
        <v>21</v>
      </c>
      <c r="K2197" t="s">
        <v>22</v>
      </c>
      <c r="L2197" t="s">
        <v>23</v>
      </c>
      <c r="M2197" t="s">
        <v>24</v>
      </c>
      <c r="N2197" t="s">
        <v>24</v>
      </c>
      <c r="O2197" t="s">
        <v>25</v>
      </c>
      <c r="P2197" s="8" t="s">
        <v>2783</v>
      </c>
      <c r="Q2197" s="11"/>
      <c r="R2197" s="11"/>
      <c r="S2197" s="11"/>
      <c r="T2197" s="11"/>
      <c r="U2197" s="11"/>
      <c r="V2197" s="11"/>
      <c r="W2197" s="11"/>
      <c r="X2197" s="11"/>
      <c r="Y2197" s="11"/>
      <c r="Z2197" s="11"/>
      <c r="AA2197" s="11"/>
      <c r="AB2197" s="11"/>
      <c r="AC2197" s="11"/>
      <c r="AD2197" s="11"/>
      <c r="AE2197" s="11"/>
      <c r="AF2197" s="11"/>
      <c r="AG2197" s="11"/>
      <c r="AH2197" s="11"/>
      <c r="AI2197" s="11"/>
      <c r="AJ2197" s="11"/>
      <c r="AK2197" s="11"/>
      <c r="AL2197" s="11"/>
      <c r="AM2197" s="11"/>
      <c r="AN2197" s="11"/>
      <c r="AO2197" s="11"/>
      <c r="AP2197" s="11"/>
      <c r="AQ2197" s="11"/>
      <c r="AR2197" s="11"/>
      <c r="AS2197" s="11"/>
      <c r="AT2197" s="11"/>
      <c r="AU2197" s="11"/>
      <c r="AV2197" s="11"/>
      <c r="AW2197" s="11"/>
      <c r="AX2197" s="11"/>
      <c r="AY2197" s="11"/>
    </row>
    <row r="2198" spans="1:51" x14ac:dyDescent="0.2">
      <c r="A2198" s="6" t="s">
        <v>17</v>
      </c>
      <c r="B2198" t="s">
        <v>342</v>
      </c>
      <c r="C2198" t="s">
        <v>342</v>
      </c>
      <c r="D2198" t="s">
        <v>2784</v>
      </c>
      <c r="E2198" s="2">
        <v>2395.9499999999998</v>
      </c>
      <c r="F2198" s="3">
        <f>DATE(2025,9,2)</f>
        <v>45902</v>
      </c>
      <c r="G2198" s="3">
        <f>DATE(2025,9,2)</f>
        <v>45902</v>
      </c>
      <c r="H2198">
        <v>2747717377</v>
      </c>
      <c r="I2198" t="s">
        <v>21</v>
      </c>
      <c r="K2198" t="s">
        <v>22</v>
      </c>
      <c r="L2198" t="s">
        <v>23</v>
      </c>
      <c r="M2198" t="s">
        <v>24</v>
      </c>
      <c r="N2198" t="s">
        <v>24</v>
      </c>
      <c r="O2198" t="s">
        <v>25</v>
      </c>
      <c r="P2198" s="8" t="s">
        <v>2785</v>
      </c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1"/>
      <c r="AF2198" s="11"/>
      <c r="AG2198" s="11"/>
      <c r="AH2198" s="11"/>
      <c r="AI2198" s="11"/>
      <c r="AJ2198" s="11"/>
      <c r="AK2198" s="11"/>
      <c r="AL2198" s="11"/>
      <c r="AM2198" s="11"/>
      <c r="AN2198" s="11"/>
      <c r="AO2198" s="11"/>
      <c r="AP2198" s="11"/>
      <c r="AQ2198" s="11"/>
      <c r="AR2198" s="11"/>
      <c r="AS2198" s="11"/>
      <c r="AT2198" s="11"/>
      <c r="AU2198" s="11"/>
      <c r="AV2198" s="11"/>
      <c r="AW2198" s="11"/>
      <c r="AX2198" s="11"/>
      <c r="AY2198" s="11"/>
    </row>
    <row r="2199" spans="1:51" hidden="1" x14ac:dyDescent="0.2">
      <c r="A2199" s="6"/>
      <c r="E2199" s="2"/>
      <c r="F2199" s="3"/>
      <c r="G2199" s="3"/>
      <c r="P2199" s="8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11"/>
      <c r="AB2199" s="11"/>
      <c r="AC2199" s="11"/>
      <c r="AD2199" s="11"/>
      <c r="AE2199" s="11"/>
      <c r="AF2199" s="11"/>
      <c r="AG2199" s="11"/>
      <c r="AH2199" s="11"/>
      <c r="AI2199" s="11"/>
      <c r="AJ2199" s="11"/>
      <c r="AK2199" s="11"/>
      <c r="AL2199" s="11"/>
      <c r="AM2199" s="11"/>
      <c r="AN2199" s="11"/>
      <c r="AO2199" s="11"/>
      <c r="AP2199" s="11"/>
      <c r="AQ2199" s="11"/>
      <c r="AR2199" s="11"/>
      <c r="AS2199" s="11"/>
      <c r="AT2199" s="11"/>
      <c r="AU2199" s="11"/>
      <c r="AV2199" s="11"/>
      <c r="AW2199" s="11"/>
      <c r="AX2199" s="11"/>
      <c r="AY2199" s="11"/>
    </row>
    <row r="2200" spans="1:51" x14ac:dyDescent="0.2">
      <c r="A2200" s="6" t="s">
        <v>17</v>
      </c>
      <c r="B2200" t="s">
        <v>342</v>
      </c>
      <c r="C2200" t="s">
        <v>342</v>
      </c>
      <c r="D2200" t="s">
        <v>2786</v>
      </c>
      <c r="E2200" s="2">
        <v>936</v>
      </c>
      <c r="F2200" s="3">
        <f t="shared" ref="F2200:G2202" si="189">DATE(2025,9,2)</f>
        <v>45902</v>
      </c>
      <c r="G2200" s="3">
        <f t="shared" si="189"/>
        <v>45902</v>
      </c>
      <c r="H2200">
        <v>2747717379</v>
      </c>
      <c r="I2200" t="s">
        <v>21</v>
      </c>
      <c r="K2200" t="s">
        <v>22</v>
      </c>
      <c r="L2200" t="s">
        <v>23</v>
      </c>
      <c r="M2200" t="s">
        <v>24</v>
      </c>
      <c r="N2200" t="s">
        <v>24</v>
      </c>
      <c r="O2200" t="s">
        <v>25</v>
      </c>
      <c r="P2200" s="8" t="s">
        <v>2787</v>
      </c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1"/>
      <c r="AB2200" s="11"/>
      <c r="AC2200" s="11"/>
      <c r="AD2200" s="11"/>
      <c r="AE2200" s="11"/>
      <c r="AF2200" s="11"/>
      <c r="AG2200" s="11"/>
      <c r="AH2200" s="11"/>
      <c r="AI2200" s="11"/>
      <c r="AJ2200" s="11"/>
      <c r="AK2200" s="11"/>
      <c r="AL2200" s="11"/>
      <c r="AM2200" s="11"/>
      <c r="AN2200" s="11"/>
      <c r="AO2200" s="11"/>
      <c r="AP2200" s="11"/>
      <c r="AQ2200" s="11"/>
      <c r="AR2200" s="11"/>
      <c r="AS2200" s="11"/>
      <c r="AT2200" s="11"/>
      <c r="AU2200" s="11"/>
      <c r="AV2200" s="11"/>
      <c r="AW2200" s="11"/>
      <c r="AX2200" s="11"/>
      <c r="AY2200" s="11"/>
    </row>
    <row r="2201" spans="1:51" hidden="1" x14ac:dyDescent="0.2">
      <c r="A2201" s="6"/>
      <c r="E2201" s="2"/>
      <c r="F2201" s="3"/>
      <c r="G2201" s="3"/>
      <c r="P2201" s="8"/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  <c r="AA2201" s="11"/>
      <c r="AB2201" s="11"/>
      <c r="AC2201" s="11"/>
      <c r="AD2201" s="11"/>
      <c r="AE2201" s="11"/>
      <c r="AF2201" s="11"/>
      <c r="AG2201" s="11"/>
      <c r="AH2201" s="11"/>
      <c r="AI2201" s="11"/>
      <c r="AJ2201" s="11"/>
      <c r="AK2201" s="11"/>
      <c r="AL2201" s="11"/>
      <c r="AM2201" s="11"/>
      <c r="AN2201" s="11"/>
      <c r="AO2201" s="11"/>
      <c r="AP2201" s="11"/>
      <c r="AQ2201" s="11"/>
      <c r="AR2201" s="11"/>
      <c r="AS2201" s="11"/>
      <c r="AT2201" s="11"/>
      <c r="AU2201" s="11"/>
      <c r="AV2201" s="11"/>
      <c r="AW2201" s="11"/>
      <c r="AX2201" s="11"/>
      <c r="AY2201" s="11"/>
    </row>
    <row r="2202" spans="1:51" hidden="1" x14ac:dyDescent="0.2">
      <c r="A2202" s="6" t="s">
        <v>17</v>
      </c>
      <c r="B2202" t="s">
        <v>60</v>
      </c>
      <c r="C2202" t="s">
        <v>61</v>
      </c>
      <c r="D2202" t="s">
        <v>2788</v>
      </c>
      <c r="E2202" s="2">
        <v>848</v>
      </c>
      <c r="F2202" s="3">
        <f t="shared" si="189"/>
        <v>45902</v>
      </c>
      <c r="G2202" s="3">
        <f t="shared" si="189"/>
        <v>45902</v>
      </c>
      <c r="H2202">
        <v>2747717381</v>
      </c>
      <c r="I2202" t="s">
        <v>21</v>
      </c>
      <c r="K2202" t="s">
        <v>22</v>
      </c>
      <c r="L2202" t="s">
        <v>23</v>
      </c>
      <c r="M2202" t="s">
        <v>24</v>
      </c>
      <c r="N2202" t="s">
        <v>24</v>
      </c>
      <c r="O2202" t="s">
        <v>25</v>
      </c>
      <c r="P2202" s="8" t="s">
        <v>2789</v>
      </c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1"/>
      <c r="AB2202" s="11"/>
      <c r="AC2202" s="11"/>
      <c r="AD2202" s="11"/>
      <c r="AE2202" s="11"/>
      <c r="AF2202" s="11"/>
      <c r="AG2202" s="11"/>
      <c r="AH2202" s="11"/>
      <c r="AI2202" s="11"/>
      <c r="AJ2202" s="11"/>
      <c r="AK2202" s="11"/>
      <c r="AL2202" s="11"/>
      <c r="AM2202" s="11"/>
      <c r="AN2202" s="11"/>
      <c r="AO2202" s="11"/>
      <c r="AP2202" s="11"/>
      <c r="AQ2202" s="11"/>
      <c r="AR2202" s="11"/>
      <c r="AS2202" s="11"/>
      <c r="AT2202" s="11"/>
      <c r="AU2202" s="11"/>
      <c r="AV2202" s="11"/>
      <c r="AW2202" s="11"/>
      <c r="AX2202" s="11"/>
      <c r="AY2202" s="11"/>
    </row>
    <row r="2203" spans="1:51" hidden="1" x14ac:dyDescent="0.2">
      <c r="A2203" s="6"/>
      <c r="E2203" s="2"/>
      <c r="F2203" s="3"/>
      <c r="G2203" s="3"/>
      <c r="P2203" s="8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1"/>
      <c r="AB2203" s="11"/>
      <c r="AC2203" s="11"/>
      <c r="AD2203" s="11"/>
      <c r="AE2203" s="11"/>
      <c r="AF2203" s="11"/>
      <c r="AG2203" s="11"/>
      <c r="AH2203" s="11"/>
      <c r="AI2203" s="11"/>
      <c r="AJ2203" s="11"/>
      <c r="AK2203" s="11"/>
      <c r="AL2203" s="11"/>
      <c r="AM2203" s="11"/>
      <c r="AN2203" s="11"/>
      <c r="AO2203" s="11"/>
      <c r="AP2203" s="11"/>
      <c r="AQ2203" s="11"/>
      <c r="AR2203" s="11"/>
      <c r="AS2203" s="11"/>
      <c r="AT2203" s="11"/>
      <c r="AU2203" s="11"/>
      <c r="AV2203" s="11"/>
      <c r="AW2203" s="11"/>
      <c r="AX2203" s="11"/>
      <c r="AY2203" s="11"/>
    </row>
    <row r="2204" spans="1:51" hidden="1" x14ac:dyDescent="0.2">
      <c r="A2204" s="6" t="s">
        <v>17</v>
      </c>
      <c r="B2204" t="s">
        <v>244</v>
      </c>
      <c r="C2204" t="s">
        <v>245</v>
      </c>
      <c r="D2204" t="s">
        <v>2790</v>
      </c>
      <c r="E2204" s="2">
        <v>1454</v>
      </c>
      <c r="F2204" s="3">
        <f t="shared" ref="F2204:G2205" si="190">DATE(2025,9,2)</f>
        <v>45902</v>
      </c>
      <c r="G2204" s="3">
        <f t="shared" si="190"/>
        <v>45902</v>
      </c>
      <c r="H2204">
        <v>2747717383</v>
      </c>
      <c r="I2204" t="s">
        <v>21</v>
      </c>
      <c r="K2204" t="s">
        <v>22</v>
      </c>
      <c r="L2204" t="s">
        <v>23</v>
      </c>
      <c r="M2204" t="s">
        <v>24</v>
      </c>
      <c r="N2204" t="s">
        <v>24</v>
      </c>
      <c r="O2204" t="s">
        <v>25</v>
      </c>
      <c r="P2204" s="8" t="s">
        <v>2791</v>
      </c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1"/>
      <c r="AF2204" s="11"/>
      <c r="AG2204" s="11"/>
      <c r="AH2204" s="11"/>
      <c r="AI2204" s="11"/>
      <c r="AJ2204" s="11"/>
      <c r="AK2204" s="11"/>
      <c r="AL2204" s="11"/>
      <c r="AM2204" s="11"/>
      <c r="AN2204" s="11"/>
      <c r="AO2204" s="11"/>
      <c r="AP2204" s="11"/>
      <c r="AQ2204" s="11"/>
      <c r="AR2204" s="11"/>
      <c r="AS2204" s="11"/>
      <c r="AT2204" s="11"/>
      <c r="AU2204" s="11"/>
      <c r="AV2204" s="11"/>
      <c r="AW2204" s="11"/>
      <c r="AX2204" s="11"/>
      <c r="AY2204" s="11"/>
    </row>
    <row r="2205" spans="1:51" x14ac:dyDescent="0.2">
      <c r="A2205" s="6" t="s">
        <v>17</v>
      </c>
      <c r="B2205" t="s">
        <v>342</v>
      </c>
      <c r="C2205" t="s">
        <v>342</v>
      </c>
      <c r="D2205" t="s">
        <v>2792</v>
      </c>
      <c r="E2205" s="2">
        <v>1000</v>
      </c>
      <c r="F2205" s="3">
        <f t="shared" si="190"/>
        <v>45902</v>
      </c>
      <c r="G2205" s="3">
        <f t="shared" si="190"/>
        <v>45902</v>
      </c>
      <c r="H2205">
        <v>2747717384</v>
      </c>
      <c r="I2205" t="s">
        <v>21</v>
      </c>
      <c r="K2205" t="s">
        <v>22</v>
      </c>
      <c r="L2205" t="s">
        <v>23</v>
      </c>
      <c r="M2205" t="s">
        <v>24</v>
      </c>
      <c r="N2205" t="s">
        <v>24</v>
      </c>
      <c r="O2205" t="s">
        <v>25</v>
      </c>
      <c r="P2205" s="8" t="s">
        <v>2793</v>
      </c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  <c r="AA2205" s="11"/>
      <c r="AB2205" s="11"/>
      <c r="AC2205" s="11"/>
      <c r="AD2205" s="11"/>
      <c r="AE2205" s="11"/>
      <c r="AF2205" s="11"/>
      <c r="AG2205" s="11"/>
      <c r="AH2205" s="11"/>
      <c r="AI2205" s="11"/>
      <c r="AJ2205" s="11"/>
      <c r="AK2205" s="11"/>
      <c r="AL2205" s="11"/>
      <c r="AM2205" s="11"/>
      <c r="AN2205" s="11"/>
      <c r="AO2205" s="11"/>
      <c r="AP2205" s="11"/>
      <c r="AQ2205" s="11"/>
      <c r="AR2205" s="11"/>
      <c r="AS2205" s="11"/>
      <c r="AT2205" s="11"/>
      <c r="AU2205" s="11"/>
      <c r="AV2205" s="11"/>
      <c r="AW2205" s="11"/>
      <c r="AX2205" s="11"/>
      <c r="AY2205" s="11"/>
    </row>
    <row r="2206" spans="1:51" hidden="1" x14ac:dyDescent="0.2">
      <c r="A2206" s="6"/>
      <c r="E2206" s="2"/>
      <c r="F2206" s="3"/>
      <c r="G2206" s="3"/>
      <c r="P2206" s="8"/>
      <c r="Q2206" s="11"/>
      <c r="R2206" s="11"/>
      <c r="S2206" s="11"/>
      <c r="T2206" s="11"/>
      <c r="U2206" s="11"/>
      <c r="V2206" s="11"/>
      <c r="W2206" s="11"/>
      <c r="X2206" s="11"/>
      <c r="Y2206" s="11"/>
      <c r="Z2206" s="11"/>
      <c r="AA2206" s="11"/>
      <c r="AB2206" s="11"/>
      <c r="AC2206" s="11"/>
      <c r="AD2206" s="11"/>
      <c r="AE2206" s="11"/>
      <c r="AF2206" s="11"/>
      <c r="AG2206" s="11"/>
      <c r="AH2206" s="11"/>
      <c r="AI2206" s="11"/>
      <c r="AJ2206" s="11"/>
      <c r="AK2206" s="11"/>
      <c r="AL2206" s="11"/>
      <c r="AM2206" s="11"/>
      <c r="AN2206" s="11"/>
      <c r="AO2206" s="11"/>
      <c r="AP2206" s="11"/>
      <c r="AQ2206" s="11"/>
      <c r="AR2206" s="11"/>
      <c r="AS2206" s="11"/>
      <c r="AT2206" s="11"/>
      <c r="AU2206" s="11"/>
      <c r="AV2206" s="11"/>
      <c r="AW2206" s="11"/>
      <c r="AX2206" s="11"/>
      <c r="AY2206" s="11"/>
    </row>
    <row r="2207" spans="1:51" hidden="1" x14ac:dyDescent="0.2">
      <c r="A2207" s="6" t="s">
        <v>17</v>
      </c>
      <c r="B2207" t="s">
        <v>90</v>
      </c>
      <c r="C2207" t="s">
        <v>91</v>
      </c>
      <c r="D2207" t="s">
        <v>2794</v>
      </c>
      <c r="E2207" s="2">
        <v>450</v>
      </c>
      <c r="F2207" s="3">
        <f>DATE(2025,9,3)</f>
        <v>45903</v>
      </c>
      <c r="G2207" s="3">
        <f>DATE(2025,9,3)</f>
        <v>45903</v>
      </c>
      <c r="H2207">
        <v>2747717386</v>
      </c>
      <c r="I2207" t="s">
        <v>21</v>
      </c>
      <c r="K2207" t="s">
        <v>22</v>
      </c>
      <c r="L2207" t="s">
        <v>23</v>
      </c>
      <c r="M2207" t="s">
        <v>24</v>
      </c>
      <c r="N2207" t="s">
        <v>24</v>
      </c>
      <c r="O2207" t="s">
        <v>25</v>
      </c>
      <c r="P2207" s="8" t="s">
        <v>2795</v>
      </c>
      <c r="Q2207" s="11"/>
      <c r="R2207" s="11"/>
      <c r="S2207" s="11"/>
      <c r="T2207" s="11"/>
      <c r="U2207" s="11"/>
      <c r="V2207" s="11"/>
      <c r="W2207" s="11"/>
      <c r="X2207" s="11"/>
      <c r="Y2207" s="11"/>
      <c r="Z2207" s="11"/>
      <c r="AA2207" s="11"/>
      <c r="AB2207" s="11"/>
      <c r="AC2207" s="11"/>
      <c r="AD2207" s="11"/>
      <c r="AE2207" s="11"/>
      <c r="AF2207" s="11"/>
      <c r="AG2207" s="11"/>
      <c r="AH2207" s="11"/>
      <c r="AI2207" s="11"/>
      <c r="AJ2207" s="11"/>
      <c r="AK2207" s="11"/>
      <c r="AL2207" s="11"/>
      <c r="AM2207" s="11"/>
      <c r="AN2207" s="11"/>
      <c r="AO2207" s="11"/>
      <c r="AP2207" s="11"/>
      <c r="AQ2207" s="11"/>
      <c r="AR2207" s="11"/>
      <c r="AS2207" s="11"/>
      <c r="AT2207" s="11"/>
      <c r="AU2207" s="11"/>
      <c r="AV2207" s="11"/>
      <c r="AW2207" s="11"/>
      <c r="AX2207" s="11"/>
      <c r="AY2207" s="11"/>
    </row>
    <row r="2208" spans="1:51" hidden="1" x14ac:dyDescent="0.2">
      <c r="A2208" s="6" t="s">
        <v>17</v>
      </c>
      <c r="B2208" t="s">
        <v>18</v>
      </c>
      <c r="C2208" t="s">
        <v>19</v>
      </c>
      <c r="D2208" t="s">
        <v>2796</v>
      </c>
      <c r="E2208" s="2">
        <v>145.44</v>
      </c>
      <c r="F2208" s="3">
        <f>DATE(2025,9,2)</f>
        <v>45902</v>
      </c>
      <c r="G2208" s="3">
        <f>DATE(2025,9,2)</f>
        <v>45902</v>
      </c>
      <c r="H2208">
        <v>2747717387</v>
      </c>
      <c r="I2208" t="s">
        <v>21</v>
      </c>
      <c r="K2208" t="s">
        <v>22</v>
      </c>
      <c r="L2208" t="s">
        <v>23</v>
      </c>
      <c r="M2208" t="s">
        <v>24</v>
      </c>
      <c r="N2208" t="s">
        <v>24</v>
      </c>
      <c r="O2208" t="s">
        <v>25</v>
      </c>
      <c r="P2208" s="8" t="s">
        <v>2797</v>
      </c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1"/>
      <c r="AB2208" s="11"/>
      <c r="AC2208" s="11"/>
      <c r="AD2208" s="11"/>
      <c r="AE2208" s="11"/>
      <c r="AF2208" s="11"/>
      <c r="AG2208" s="11"/>
      <c r="AH2208" s="11"/>
      <c r="AI2208" s="11"/>
      <c r="AJ2208" s="11"/>
      <c r="AK2208" s="11"/>
      <c r="AL2208" s="11"/>
      <c r="AM2208" s="11"/>
      <c r="AN2208" s="11"/>
      <c r="AO2208" s="11"/>
      <c r="AP2208" s="11"/>
      <c r="AQ2208" s="11"/>
      <c r="AR2208" s="11"/>
      <c r="AS2208" s="11"/>
      <c r="AT2208" s="11"/>
      <c r="AU2208" s="11"/>
      <c r="AV2208" s="11"/>
      <c r="AW2208" s="11"/>
      <c r="AX2208" s="11"/>
      <c r="AY2208" s="11"/>
    </row>
    <row r="2209" spans="1:51" hidden="1" x14ac:dyDescent="0.2">
      <c r="A2209" s="6" t="s">
        <v>17</v>
      </c>
      <c r="B2209" t="s">
        <v>18</v>
      </c>
      <c r="C2209" t="s">
        <v>19</v>
      </c>
      <c r="D2209" t="s">
        <v>2798</v>
      </c>
      <c r="E2209" s="2">
        <v>646.38</v>
      </c>
      <c r="F2209" s="3">
        <f>DATE(2025,9,3)</f>
        <v>45903</v>
      </c>
      <c r="G2209" s="3">
        <f>DATE(2025,9,3)</f>
        <v>45903</v>
      </c>
      <c r="H2209">
        <v>2747717388</v>
      </c>
      <c r="I2209" t="s">
        <v>21</v>
      </c>
      <c r="K2209" t="s">
        <v>22</v>
      </c>
      <c r="L2209" t="s">
        <v>23</v>
      </c>
      <c r="M2209" t="s">
        <v>24</v>
      </c>
      <c r="N2209" t="s">
        <v>24</v>
      </c>
      <c r="O2209" t="s">
        <v>25</v>
      </c>
      <c r="P2209" s="8" t="s">
        <v>2799</v>
      </c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  <c r="AA2209" s="11"/>
      <c r="AB2209" s="11"/>
      <c r="AC2209" s="11"/>
      <c r="AD2209" s="11"/>
      <c r="AE2209" s="11"/>
      <c r="AF2209" s="11"/>
      <c r="AG2209" s="11"/>
      <c r="AH2209" s="11"/>
      <c r="AI2209" s="11"/>
      <c r="AJ2209" s="11"/>
      <c r="AK2209" s="11"/>
      <c r="AL2209" s="11"/>
      <c r="AM2209" s="11"/>
      <c r="AN2209" s="11"/>
      <c r="AO2209" s="11"/>
      <c r="AP2209" s="11"/>
      <c r="AQ2209" s="11"/>
      <c r="AR2209" s="11"/>
      <c r="AS2209" s="11"/>
      <c r="AT2209" s="11"/>
      <c r="AU2209" s="11"/>
      <c r="AV2209" s="11"/>
      <c r="AW2209" s="11"/>
      <c r="AX2209" s="11"/>
      <c r="AY2209" s="11"/>
    </row>
    <row r="2210" spans="1:51" hidden="1" x14ac:dyDescent="0.2">
      <c r="A2210" s="6" t="s">
        <v>17</v>
      </c>
      <c r="B2210" t="s">
        <v>27</v>
      </c>
      <c r="C2210" t="s">
        <v>28</v>
      </c>
      <c r="D2210" t="s">
        <v>2800</v>
      </c>
      <c r="E2210" s="2">
        <v>3829.92</v>
      </c>
      <c r="F2210" s="3">
        <f>DATE(2025,9,3)</f>
        <v>45903</v>
      </c>
      <c r="G2210" s="3">
        <f>DATE(2025,9,3)</f>
        <v>45903</v>
      </c>
      <c r="H2210">
        <v>2747717389</v>
      </c>
      <c r="I2210" t="s">
        <v>21</v>
      </c>
      <c r="K2210" t="s">
        <v>22</v>
      </c>
      <c r="L2210" t="s">
        <v>23</v>
      </c>
      <c r="M2210" t="s">
        <v>24</v>
      </c>
      <c r="N2210" t="s">
        <v>24</v>
      </c>
      <c r="O2210" t="s">
        <v>25</v>
      </c>
      <c r="P2210" s="8" t="s">
        <v>2801</v>
      </c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1"/>
      <c r="AF2210" s="11"/>
      <c r="AG2210" s="11"/>
      <c r="AH2210" s="11"/>
      <c r="AI2210" s="11"/>
      <c r="AJ2210" s="11"/>
      <c r="AK2210" s="11"/>
      <c r="AL2210" s="11"/>
      <c r="AM2210" s="11"/>
      <c r="AN2210" s="11"/>
      <c r="AO2210" s="11"/>
      <c r="AP2210" s="11"/>
      <c r="AQ2210" s="11"/>
      <c r="AR2210" s="11"/>
      <c r="AS2210" s="11"/>
      <c r="AT2210" s="11"/>
      <c r="AU2210" s="11"/>
      <c r="AV2210" s="11"/>
      <c r="AW2210" s="11"/>
      <c r="AX2210" s="11"/>
      <c r="AY2210" s="11"/>
    </row>
    <row r="2211" spans="1:51" hidden="1" x14ac:dyDescent="0.2">
      <c r="A2211" s="6" t="s">
        <v>17</v>
      </c>
      <c r="B2211" t="s">
        <v>878</v>
      </c>
      <c r="C2211" t="s">
        <v>879</v>
      </c>
      <c r="D2211" t="s">
        <v>2802</v>
      </c>
      <c r="E2211" s="2">
        <v>1205.3499999999999</v>
      </c>
      <c r="F2211" s="3">
        <f>DATE(2025,9,2)</f>
        <v>45902</v>
      </c>
      <c r="G2211" s="3">
        <f>DATE(2025,9,2)</f>
        <v>45902</v>
      </c>
      <c r="H2211">
        <v>2747717390</v>
      </c>
      <c r="I2211" t="s">
        <v>21</v>
      </c>
      <c r="K2211" t="s">
        <v>22</v>
      </c>
      <c r="L2211" t="s">
        <v>23</v>
      </c>
      <c r="M2211" t="s">
        <v>24</v>
      </c>
      <c r="N2211" t="s">
        <v>24</v>
      </c>
      <c r="O2211" t="s">
        <v>25</v>
      </c>
      <c r="P2211" s="8" t="s">
        <v>2803</v>
      </c>
      <c r="Q2211" s="11"/>
      <c r="R2211" s="11"/>
      <c r="S2211" s="11"/>
      <c r="T2211" s="11"/>
      <c r="U2211" s="11"/>
      <c r="V2211" s="11"/>
      <c r="W2211" s="11"/>
      <c r="X2211" s="11"/>
      <c r="Y2211" s="11"/>
      <c r="Z2211" s="11"/>
      <c r="AA2211" s="11"/>
      <c r="AB2211" s="11"/>
      <c r="AC2211" s="11"/>
      <c r="AD2211" s="11"/>
      <c r="AE2211" s="11"/>
      <c r="AF2211" s="11"/>
      <c r="AG2211" s="11"/>
      <c r="AH2211" s="11"/>
      <c r="AI2211" s="11"/>
      <c r="AJ2211" s="11"/>
      <c r="AK2211" s="11"/>
      <c r="AL2211" s="11"/>
      <c r="AM2211" s="11"/>
      <c r="AN2211" s="11"/>
      <c r="AO2211" s="11"/>
      <c r="AP2211" s="11"/>
      <c r="AQ2211" s="11"/>
      <c r="AR2211" s="11"/>
      <c r="AS2211" s="11"/>
      <c r="AT2211" s="11"/>
      <c r="AU2211" s="11"/>
      <c r="AV2211" s="11"/>
      <c r="AW2211" s="11"/>
      <c r="AX2211" s="11"/>
      <c r="AY2211" s="11"/>
    </row>
    <row r="2212" spans="1:51" hidden="1" x14ac:dyDescent="0.2">
      <c r="A2212" s="6"/>
      <c r="E2212" s="2"/>
      <c r="F2212" s="3"/>
      <c r="G2212" s="3"/>
      <c r="P2212" s="8"/>
      <c r="Q2212" s="11"/>
      <c r="R2212" s="11"/>
      <c r="S2212" s="11"/>
      <c r="T2212" s="11"/>
      <c r="U2212" s="11"/>
      <c r="V2212" s="11"/>
      <c r="W2212" s="11"/>
      <c r="X2212" s="11"/>
      <c r="Y2212" s="11"/>
      <c r="Z2212" s="11"/>
      <c r="AA2212" s="11"/>
      <c r="AB2212" s="11"/>
      <c r="AC2212" s="11"/>
      <c r="AD2212" s="11"/>
      <c r="AE2212" s="11"/>
      <c r="AF2212" s="11"/>
      <c r="AG2212" s="11"/>
      <c r="AH2212" s="11"/>
      <c r="AI2212" s="11"/>
      <c r="AJ2212" s="11"/>
      <c r="AK2212" s="11"/>
      <c r="AL2212" s="11"/>
      <c r="AM2212" s="11"/>
      <c r="AN2212" s="11"/>
      <c r="AO2212" s="11"/>
      <c r="AP2212" s="11"/>
      <c r="AQ2212" s="11"/>
      <c r="AR2212" s="11"/>
      <c r="AS2212" s="11"/>
      <c r="AT2212" s="11"/>
      <c r="AU2212" s="11"/>
      <c r="AV2212" s="11"/>
      <c r="AW2212" s="11"/>
      <c r="AX2212" s="11"/>
      <c r="AY2212" s="11"/>
    </row>
    <row r="2213" spans="1:51" hidden="1" x14ac:dyDescent="0.2">
      <c r="A2213" s="6"/>
      <c r="E2213" s="2"/>
      <c r="F2213" s="3"/>
      <c r="G2213" s="3"/>
      <c r="P2213" s="8"/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  <c r="AA2213" s="11"/>
      <c r="AB2213" s="11"/>
      <c r="AC2213" s="11"/>
      <c r="AD2213" s="11"/>
      <c r="AE2213" s="11"/>
      <c r="AF2213" s="11"/>
      <c r="AG2213" s="11"/>
      <c r="AH2213" s="11"/>
      <c r="AI2213" s="11"/>
      <c r="AJ2213" s="11"/>
      <c r="AK2213" s="11"/>
      <c r="AL2213" s="11"/>
      <c r="AM2213" s="11"/>
      <c r="AN2213" s="11"/>
      <c r="AO2213" s="11"/>
      <c r="AP2213" s="11"/>
      <c r="AQ2213" s="11"/>
      <c r="AR2213" s="11"/>
      <c r="AS2213" s="11"/>
      <c r="AT2213" s="11"/>
      <c r="AU2213" s="11"/>
      <c r="AV2213" s="11"/>
      <c r="AW2213" s="11"/>
      <c r="AX2213" s="11"/>
      <c r="AY2213" s="11"/>
    </row>
    <row r="2214" spans="1:51" hidden="1" x14ac:dyDescent="0.2">
      <c r="A2214" s="6" t="s">
        <v>17</v>
      </c>
      <c r="B2214" t="s">
        <v>825</v>
      </c>
      <c r="C2214" t="s">
        <v>826</v>
      </c>
      <c r="D2214" t="s">
        <v>2804</v>
      </c>
      <c r="E2214" s="2">
        <v>1372.64</v>
      </c>
      <c r="F2214" s="3">
        <f>DATE(2025,9,2)</f>
        <v>45902</v>
      </c>
      <c r="G2214" s="3">
        <f>DATE(2025,9,2)</f>
        <v>45902</v>
      </c>
      <c r="H2214">
        <v>2747717393</v>
      </c>
      <c r="I2214" t="s">
        <v>21</v>
      </c>
      <c r="K2214" t="s">
        <v>22</v>
      </c>
      <c r="L2214" t="s">
        <v>23</v>
      </c>
      <c r="M2214" t="s">
        <v>24</v>
      </c>
      <c r="N2214" t="s">
        <v>24</v>
      </c>
      <c r="O2214" t="s">
        <v>25</v>
      </c>
      <c r="P2214" s="8" t="s">
        <v>2805</v>
      </c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  <c r="AA2214" s="11"/>
      <c r="AB2214" s="11"/>
      <c r="AC2214" s="11"/>
      <c r="AD2214" s="11"/>
      <c r="AE2214" s="11"/>
      <c r="AF2214" s="11"/>
      <c r="AG2214" s="11"/>
      <c r="AH2214" s="11"/>
      <c r="AI2214" s="11"/>
      <c r="AJ2214" s="11"/>
      <c r="AK2214" s="11"/>
      <c r="AL2214" s="11"/>
      <c r="AM2214" s="11"/>
      <c r="AN2214" s="11"/>
      <c r="AO2214" s="11"/>
      <c r="AP2214" s="11"/>
      <c r="AQ2214" s="11"/>
      <c r="AR2214" s="11"/>
      <c r="AS2214" s="11"/>
      <c r="AT2214" s="11"/>
      <c r="AU2214" s="11"/>
      <c r="AV2214" s="11"/>
      <c r="AW2214" s="11"/>
      <c r="AX2214" s="11"/>
      <c r="AY2214" s="11"/>
    </row>
    <row r="2215" spans="1:51" hidden="1" x14ac:dyDescent="0.2">
      <c r="A2215" s="6"/>
      <c r="E2215" s="2"/>
      <c r="F2215" s="3"/>
      <c r="G2215" s="3"/>
      <c r="P2215" s="8"/>
      <c r="Q2215" s="11"/>
      <c r="R2215" s="11"/>
      <c r="S2215" s="11"/>
      <c r="T2215" s="11"/>
      <c r="U2215" s="11"/>
      <c r="V2215" s="11"/>
      <c r="W2215" s="11"/>
      <c r="X2215" s="11"/>
      <c r="Y2215" s="11"/>
      <c r="Z2215" s="11"/>
      <c r="AA2215" s="11"/>
      <c r="AB2215" s="11"/>
      <c r="AC2215" s="11"/>
      <c r="AD2215" s="11"/>
      <c r="AE2215" s="11"/>
      <c r="AF2215" s="11"/>
      <c r="AG2215" s="11"/>
      <c r="AH2215" s="11"/>
      <c r="AI2215" s="11"/>
      <c r="AJ2215" s="11"/>
      <c r="AK2215" s="11"/>
      <c r="AL2215" s="11"/>
      <c r="AM2215" s="11"/>
      <c r="AN2215" s="11"/>
      <c r="AO2215" s="11"/>
      <c r="AP2215" s="11"/>
      <c r="AQ2215" s="11"/>
      <c r="AR2215" s="11"/>
      <c r="AS2215" s="11"/>
      <c r="AT2215" s="11"/>
      <c r="AU2215" s="11"/>
      <c r="AV2215" s="11"/>
      <c r="AW2215" s="11"/>
      <c r="AX2215" s="11"/>
      <c r="AY2215" s="11"/>
    </row>
    <row r="2216" spans="1:51" hidden="1" x14ac:dyDescent="0.2">
      <c r="A2216" s="6" t="s">
        <v>17</v>
      </c>
      <c r="B2216" t="s">
        <v>244</v>
      </c>
      <c r="C2216" t="s">
        <v>245</v>
      </c>
      <c r="D2216" t="s">
        <v>2806</v>
      </c>
      <c r="E2216" s="2">
        <v>58</v>
      </c>
      <c r="F2216" s="3">
        <f>DATE(2025,9,2)</f>
        <v>45902</v>
      </c>
      <c r="G2216" s="3">
        <f>DATE(2025,9,2)</f>
        <v>45902</v>
      </c>
      <c r="H2216">
        <v>2747717395</v>
      </c>
      <c r="I2216" t="s">
        <v>21</v>
      </c>
      <c r="K2216" t="s">
        <v>22</v>
      </c>
      <c r="L2216" t="s">
        <v>23</v>
      </c>
      <c r="M2216" t="s">
        <v>24</v>
      </c>
      <c r="N2216" t="s">
        <v>24</v>
      </c>
      <c r="O2216" t="s">
        <v>25</v>
      </c>
      <c r="P2216" s="8" t="s">
        <v>2807</v>
      </c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1"/>
      <c r="AB2216" s="11"/>
      <c r="AC2216" s="11"/>
      <c r="AD2216" s="11"/>
      <c r="AE2216" s="11"/>
      <c r="AF2216" s="11"/>
      <c r="AG2216" s="11"/>
      <c r="AH2216" s="11"/>
      <c r="AI2216" s="11"/>
      <c r="AJ2216" s="11"/>
      <c r="AK2216" s="11"/>
      <c r="AL2216" s="11"/>
      <c r="AM2216" s="11"/>
      <c r="AN2216" s="11"/>
      <c r="AO2216" s="11"/>
      <c r="AP2216" s="11"/>
      <c r="AQ2216" s="11"/>
      <c r="AR2216" s="11"/>
      <c r="AS2216" s="11"/>
      <c r="AT2216" s="11"/>
      <c r="AU2216" s="11"/>
      <c r="AV2216" s="11"/>
      <c r="AW2216" s="11"/>
      <c r="AX2216" s="11"/>
      <c r="AY2216" s="11"/>
    </row>
    <row r="2217" spans="1:51" x14ac:dyDescent="0.2">
      <c r="A2217" s="6" t="s">
        <v>17</v>
      </c>
      <c r="B2217" t="s">
        <v>342</v>
      </c>
      <c r="C2217" t="s">
        <v>342</v>
      </c>
      <c r="D2217" t="s">
        <v>2808</v>
      </c>
      <c r="E2217" s="2">
        <v>368.55</v>
      </c>
      <c r="F2217" s="3">
        <f>DATE(2025,9,3)</f>
        <v>45903</v>
      </c>
      <c r="G2217" s="3">
        <f>DATE(2025,9,3)</f>
        <v>45903</v>
      </c>
      <c r="H2217">
        <v>2747717396</v>
      </c>
      <c r="I2217" t="s">
        <v>21</v>
      </c>
      <c r="K2217" t="s">
        <v>22</v>
      </c>
      <c r="L2217" t="s">
        <v>23</v>
      </c>
      <c r="M2217" t="s">
        <v>24</v>
      </c>
      <c r="N2217" t="s">
        <v>24</v>
      </c>
      <c r="O2217" t="s">
        <v>25</v>
      </c>
      <c r="P2217" s="8" t="s">
        <v>2809</v>
      </c>
      <c r="Q2217" s="11"/>
      <c r="R2217" s="11"/>
      <c r="S2217" s="11"/>
      <c r="T2217" s="11"/>
      <c r="U2217" s="11"/>
      <c r="V2217" s="11"/>
      <c r="W2217" s="11"/>
      <c r="X2217" s="11"/>
      <c r="Y2217" s="11"/>
      <c r="Z2217" s="11"/>
      <c r="AA2217" s="11"/>
      <c r="AB2217" s="11"/>
      <c r="AC2217" s="11"/>
      <c r="AD2217" s="11"/>
      <c r="AE2217" s="11"/>
      <c r="AF2217" s="11"/>
      <c r="AG2217" s="11"/>
      <c r="AH2217" s="11"/>
      <c r="AI2217" s="11"/>
      <c r="AJ2217" s="11"/>
      <c r="AK2217" s="11"/>
      <c r="AL2217" s="11"/>
      <c r="AM2217" s="11"/>
      <c r="AN2217" s="11"/>
      <c r="AO2217" s="11"/>
      <c r="AP2217" s="11"/>
      <c r="AQ2217" s="11"/>
      <c r="AR2217" s="11"/>
      <c r="AS2217" s="11"/>
      <c r="AT2217" s="11"/>
      <c r="AU2217" s="11"/>
      <c r="AV2217" s="11"/>
      <c r="AW2217" s="11"/>
      <c r="AX2217" s="11"/>
      <c r="AY2217" s="11"/>
    </row>
    <row r="2218" spans="1:51" hidden="1" x14ac:dyDescent="0.2">
      <c r="A2218" s="6"/>
      <c r="E2218" s="2"/>
      <c r="F2218" s="3"/>
      <c r="G2218" s="3"/>
      <c r="P2218" s="8"/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  <c r="AA2218" s="11"/>
      <c r="AB2218" s="11"/>
      <c r="AC2218" s="11"/>
      <c r="AD2218" s="11"/>
      <c r="AE2218" s="11"/>
      <c r="AF2218" s="11"/>
      <c r="AG2218" s="11"/>
      <c r="AH2218" s="11"/>
      <c r="AI2218" s="11"/>
      <c r="AJ2218" s="11"/>
      <c r="AK2218" s="11"/>
      <c r="AL2218" s="11"/>
      <c r="AM2218" s="11"/>
      <c r="AN2218" s="11"/>
      <c r="AO2218" s="11"/>
      <c r="AP2218" s="11"/>
      <c r="AQ2218" s="11"/>
      <c r="AR2218" s="11"/>
      <c r="AS2218" s="11"/>
      <c r="AT2218" s="11"/>
      <c r="AU2218" s="11"/>
      <c r="AV2218" s="11"/>
      <c r="AW2218" s="11"/>
      <c r="AX2218" s="11"/>
      <c r="AY2218" s="11"/>
    </row>
    <row r="2219" spans="1:51" hidden="1" x14ac:dyDescent="0.2">
      <c r="A2219" s="6"/>
      <c r="E2219" s="2"/>
      <c r="F2219" s="3"/>
      <c r="G2219" s="3"/>
      <c r="P2219" s="8"/>
      <c r="Q2219" s="11"/>
      <c r="R2219" s="11"/>
      <c r="S2219" s="11"/>
      <c r="T2219" s="11"/>
      <c r="U2219" s="11"/>
      <c r="V2219" s="11"/>
      <c r="W2219" s="11"/>
      <c r="X2219" s="11"/>
      <c r="Y2219" s="11"/>
      <c r="Z2219" s="11"/>
      <c r="AA2219" s="11"/>
      <c r="AB2219" s="11"/>
      <c r="AC2219" s="11"/>
      <c r="AD2219" s="11"/>
      <c r="AE2219" s="11"/>
      <c r="AF2219" s="11"/>
      <c r="AG2219" s="11"/>
      <c r="AH2219" s="11"/>
      <c r="AI2219" s="11"/>
      <c r="AJ2219" s="11"/>
      <c r="AK2219" s="11"/>
      <c r="AL2219" s="11"/>
      <c r="AM2219" s="11"/>
      <c r="AN2219" s="11"/>
      <c r="AO2219" s="11"/>
      <c r="AP2219" s="11"/>
      <c r="AQ2219" s="11"/>
      <c r="AR2219" s="11"/>
      <c r="AS2219" s="11"/>
      <c r="AT2219" s="11"/>
      <c r="AU2219" s="11"/>
      <c r="AV2219" s="11"/>
      <c r="AW2219" s="11"/>
      <c r="AX2219" s="11"/>
      <c r="AY2219" s="11"/>
    </row>
    <row r="2220" spans="1:51" hidden="1" x14ac:dyDescent="0.2">
      <c r="A2220" s="6" t="s">
        <v>17</v>
      </c>
      <c r="B2220" t="s">
        <v>244</v>
      </c>
      <c r="C2220" t="s">
        <v>245</v>
      </c>
      <c r="D2220" t="s">
        <v>2810</v>
      </c>
      <c r="E2220" s="2">
        <v>18.600000000000001</v>
      </c>
      <c r="F2220" s="3">
        <f>DATE(2025,9,3)</f>
        <v>45903</v>
      </c>
      <c r="G2220" s="3">
        <f>DATE(2025,9,3)</f>
        <v>45903</v>
      </c>
      <c r="H2220">
        <v>2747778705</v>
      </c>
      <c r="I2220" t="s">
        <v>192</v>
      </c>
      <c r="K2220" t="s">
        <v>22</v>
      </c>
      <c r="L2220" t="s">
        <v>23</v>
      </c>
      <c r="M2220" t="s">
        <v>24</v>
      </c>
      <c r="N2220" t="s">
        <v>24</v>
      </c>
      <c r="O2220" t="s">
        <v>25</v>
      </c>
      <c r="P2220" s="8" t="s">
        <v>2811</v>
      </c>
      <c r="Q2220" s="11"/>
      <c r="R2220" s="11"/>
      <c r="S2220" s="11"/>
      <c r="T2220" s="11"/>
      <c r="U2220" s="11"/>
      <c r="V2220" s="11"/>
      <c r="W2220" s="11"/>
      <c r="X2220" s="11"/>
      <c r="Y2220" s="11"/>
      <c r="Z2220" s="11"/>
      <c r="AA2220" s="11"/>
      <c r="AB2220" s="11"/>
      <c r="AC2220" s="11"/>
      <c r="AD2220" s="11"/>
      <c r="AE2220" s="11"/>
      <c r="AF2220" s="11"/>
      <c r="AG2220" s="11"/>
      <c r="AH2220" s="11"/>
      <c r="AI2220" s="11"/>
      <c r="AJ2220" s="11"/>
      <c r="AK2220" s="11"/>
      <c r="AL2220" s="11"/>
      <c r="AM2220" s="11"/>
      <c r="AN2220" s="11"/>
      <c r="AO2220" s="11"/>
      <c r="AP2220" s="11"/>
      <c r="AQ2220" s="11"/>
      <c r="AR2220" s="11"/>
      <c r="AS2220" s="11"/>
      <c r="AT2220" s="11"/>
      <c r="AU2220" s="11"/>
      <c r="AV2220" s="11"/>
      <c r="AW2220" s="11"/>
      <c r="AX2220" s="11"/>
      <c r="AY2220" s="11"/>
    </row>
    <row r="2221" spans="1:51" hidden="1" x14ac:dyDescent="0.2">
      <c r="A2221" s="6" t="s">
        <v>17</v>
      </c>
      <c r="B2221" t="s">
        <v>173</v>
      </c>
      <c r="C2221" t="s">
        <v>154</v>
      </c>
      <c r="D2221" t="s">
        <v>2812</v>
      </c>
      <c r="E2221" s="2">
        <v>208.91</v>
      </c>
      <c r="F2221" s="3">
        <f>DATE(2025,9,3)</f>
        <v>45903</v>
      </c>
      <c r="G2221" s="3">
        <f>DATE(2025,9,3)</f>
        <v>45903</v>
      </c>
      <c r="H2221">
        <v>2755312215</v>
      </c>
      <c r="I2221" t="s">
        <v>158</v>
      </c>
      <c r="K2221" t="s">
        <v>22</v>
      </c>
      <c r="L2221" t="s">
        <v>23</v>
      </c>
      <c r="M2221" t="s">
        <v>24</v>
      </c>
      <c r="N2221" t="s">
        <v>24</v>
      </c>
      <c r="O2221" t="s">
        <v>25</v>
      </c>
      <c r="P2221" s="8" t="s">
        <v>2813</v>
      </c>
      <c r="Q2221" s="11"/>
      <c r="R2221" s="11"/>
      <c r="S2221" s="11"/>
      <c r="T2221" s="11"/>
      <c r="U2221" s="11"/>
      <c r="V2221" s="11"/>
      <c r="W2221" s="11"/>
      <c r="X2221" s="11"/>
      <c r="Y2221" s="11"/>
      <c r="Z2221" s="11"/>
      <c r="AA2221" s="11"/>
      <c r="AB2221" s="11"/>
      <c r="AC2221" s="11"/>
      <c r="AD2221" s="11"/>
      <c r="AE2221" s="11"/>
      <c r="AF2221" s="11"/>
      <c r="AG2221" s="11"/>
      <c r="AH2221" s="11"/>
      <c r="AI2221" s="11"/>
      <c r="AJ2221" s="11"/>
      <c r="AK2221" s="11"/>
      <c r="AL2221" s="11"/>
      <c r="AM2221" s="11"/>
      <c r="AN2221" s="11"/>
      <c r="AO2221" s="11"/>
      <c r="AP2221" s="11"/>
      <c r="AQ2221" s="11"/>
      <c r="AR2221" s="11"/>
      <c r="AS2221" s="11"/>
      <c r="AT2221" s="11"/>
      <c r="AU2221" s="11"/>
      <c r="AV2221" s="11"/>
      <c r="AW2221" s="11"/>
      <c r="AX2221" s="11"/>
      <c r="AY2221" s="11"/>
    </row>
    <row r="2222" spans="1:51" hidden="1" x14ac:dyDescent="0.2">
      <c r="A2222" s="6" t="s">
        <v>17</v>
      </c>
      <c r="B2222" t="s">
        <v>84</v>
      </c>
      <c r="C2222" t="s">
        <v>85</v>
      </c>
      <c r="D2222" t="s">
        <v>2814</v>
      </c>
      <c r="E2222" s="2">
        <v>2443.12</v>
      </c>
      <c r="F2222" s="3">
        <f>DATE(2025,9,5)</f>
        <v>45905</v>
      </c>
      <c r="G2222" s="3">
        <f>DATE(2025,9,5)</f>
        <v>45905</v>
      </c>
      <c r="H2222">
        <v>2755312216</v>
      </c>
      <c r="I2222" t="s">
        <v>21</v>
      </c>
      <c r="K2222" t="s">
        <v>22</v>
      </c>
      <c r="L2222" t="s">
        <v>23</v>
      </c>
      <c r="M2222" t="s">
        <v>24</v>
      </c>
      <c r="N2222" t="s">
        <v>24</v>
      </c>
      <c r="O2222" t="s">
        <v>25</v>
      </c>
      <c r="P2222" s="8" t="s">
        <v>2815</v>
      </c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  <c r="AA2222" s="11"/>
      <c r="AB2222" s="11"/>
      <c r="AC2222" s="11"/>
      <c r="AD2222" s="11"/>
      <c r="AE2222" s="11"/>
      <c r="AF2222" s="11"/>
      <c r="AG2222" s="11"/>
      <c r="AH2222" s="11"/>
      <c r="AI2222" s="11"/>
      <c r="AJ2222" s="11"/>
      <c r="AK2222" s="11"/>
      <c r="AL2222" s="11"/>
      <c r="AM2222" s="11"/>
      <c r="AN2222" s="11"/>
      <c r="AO2222" s="11"/>
      <c r="AP2222" s="11"/>
      <c r="AQ2222" s="11"/>
      <c r="AR2222" s="11"/>
      <c r="AS2222" s="11"/>
      <c r="AT2222" s="11"/>
      <c r="AU2222" s="11"/>
      <c r="AV2222" s="11"/>
      <c r="AW2222" s="11"/>
      <c r="AX2222" s="11"/>
      <c r="AY2222" s="11"/>
    </row>
    <row r="2223" spans="1:51" x14ac:dyDescent="0.2">
      <c r="A2223" s="6" t="s">
        <v>17</v>
      </c>
      <c r="B2223" t="s">
        <v>342</v>
      </c>
      <c r="C2223" t="s">
        <v>342</v>
      </c>
      <c r="D2223" t="s">
        <v>2816</v>
      </c>
      <c r="E2223" s="2">
        <v>493.92</v>
      </c>
      <c r="F2223" s="3">
        <f t="shared" ref="F2223:G2225" si="191">DATE(2025,9,4)</f>
        <v>45904</v>
      </c>
      <c r="G2223" s="3">
        <f t="shared" si="191"/>
        <v>45904</v>
      </c>
      <c r="H2223">
        <v>2755312217</v>
      </c>
      <c r="I2223" t="s">
        <v>21</v>
      </c>
      <c r="K2223" t="s">
        <v>22</v>
      </c>
      <c r="L2223" t="s">
        <v>23</v>
      </c>
      <c r="M2223" t="s">
        <v>24</v>
      </c>
      <c r="N2223" t="s">
        <v>24</v>
      </c>
      <c r="O2223" t="s">
        <v>25</v>
      </c>
      <c r="P2223" s="8" t="s">
        <v>2817</v>
      </c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  <c r="AA2223" s="11"/>
      <c r="AB2223" s="11"/>
      <c r="AC2223" s="11"/>
      <c r="AD2223" s="11"/>
      <c r="AE2223" s="11"/>
      <c r="AF2223" s="11"/>
      <c r="AG2223" s="11"/>
      <c r="AH2223" s="11"/>
      <c r="AI2223" s="11"/>
      <c r="AJ2223" s="11"/>
      <c r="AK2223" s="11"/>
      <c r="AL2223" s="11"/>
      <c r="AM2223" s="11"/>
      <c r="AN2223" s="11"/>
      <c r="AO2223" s="11"/>
      <c r="AP2223" s="11"/>
      <c r="AQ2223" s="11"/>
      <c r="AR2223" s="11"/>
      <c r="AS2223" s="11"/>
      <c r="AT2223" s="11"/>
      <c r="AU2223" s="11"/>
      <c r="AV2223" s="11"/>
      <c r="AW2223" s="11"/>
      <c r="AX2223" s="11"/>
      <c r="AY2223" s="11"/>
    </row>
    <row r="2224" spans="1:51" hidden="1" x14ac:dyDescent="0.2">
      <c r="A2224" s="6" t="s">
        <v>17</v>
      </c>
      <c r="B2224" t="s">
        <v>90</v>
      </c>
      <c r="C2224" t="s">
        <v>91</v>
      </c>
      <c r="D2224" t="s">
        <v>2818</v>
      </c>
      <c r="E2224" s="2">
        <v>9934.91</v>
      </c>
      <c r="F2224" s="3">
        <f t="shared" si="191"/>
        <v>45904</v>
      </c>
      <c r="G2224" s="3">
        <f t="shared" si="191"/>
        <v>45904</v>
      </c>
      <c r="H2224">
        <v>2755312218</v>
      </c>
      <c r="I2224" t="s">
        <v>21</v>
      </c>
      <c r="K2224" t="s">
        <v>22</v>
      </c>
      <c r="L2224" t="s">
        <v>23</v>
      </c>
      <c r="M2224" t="s">
        <v>24</v>
      </c>
      <c r="N2224" t="s">
        <v>24</v>
      </c>
      <c r="O2224" t="s">
        <v>25</v>
      </c>
      <c r="P2224" s="8" t="s">
        <v>2819</v>
      </c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  <c r="AA2224" s="11"/>
      <c r="AB2224" s="11"/>
      <c r="AC2224" s="11"/>
      <c r="AD2224" s="11"/>
      <c r="AE2224" s="11"/>
      <c r="AF2224" s="11"/>
      <c r="AG2224" s="11"/>
      <c r="AH2224" s="11"/>
      <c r="AI2224" s="11"/>
      <c r="AJ2224" s="11"/>
      <c r="AK2224" s="11"/>
      <c r="AL2224" s="11"/>
      <c r="AM2224" s="11"/>
      <c r="AN2224" s="11"/>
      <c r="AO2224" s="11"/>
      <c r="AP2224" s="11"/>
      <c r="AQ2224" s="11"/>
      <c r="AR2224" s="11"/>
      <c r="AS2224" s="11"/>
      <c r="AT2224" s="11"/>
      <c r="AU2224" s="11"/>
      <c r="AV2224" s="11"/>
      <c r="AW2224" s="11"/>
      <c r="AX2224" s="11"/>
      <c r="AY2224" s="11"/>
    </row>
    <row r="2225" spans="1:51" x14ac:dyDescent="0.2">
      <c r="A2225" s="6" t="s">
        <v>17</v>
      </c>
      <c r="B2225" t="s">
        <v>342</v>
      </c>
      <c r="C2225" t="s">
        <v>342</v>
      </c>
      <c r="D2225" t="s">
        <v>2820</v>
      </c>
      <c r="E2225" s="2">
        <v>1311.84</v>
      </c>
      <c r="F2225" s="3">
        <f t="shared" si="191"/>
        <v>45904</v>
      </c>
      <c r="G2225" s="3">
        <f t="shared" si="191"/>
        <v>45904</v>
      </c>
      <c r="H2225">
        <v>2755312219</v>
      </c>
      <c r="I2225" t="s">
        <v>21</v>
      </c>
      <c r="K2225" t="s">
        <v>22</v>
      </c>
      <c r="L2225" t="s">
        <v>23</v>
      </c>
      <c r="M2225" t="s">
        <v>24</v>
      </c>
      <c r="N2225" t="s">
        <v>24</v>
      </c>
      <c r="O2225" t="s">
        <v>25</v>
      </c>
      <c r="P2225" s="8" t="s">
        <v>2821</v>
      </c>
      <c r="Q2225" s="11"/>
      <c r="R2225" s="11"/>
      <c r="S2225" s="11"/>
      <c r="T2225" s="11"/>
      <c r="U2225" s="11"/>
      <c r="V2225" s="11"/>
      <c r="W2225" s="11"/>
      <c r="X2225" s="11"/>
      <c r="Y2225" s="11"/>
      <c r="Z2225" s="11"/>
      <c r="AA2225" s="11"/>
      <c r="AB2225" s="11"/>
      <c r="AC2225" s="11"/>
      <c r="AD2225" s="11"/>
      <c r="AE2225" s="11"/>
      <c r="AF2225" s="11"/>
      <c r="AG2225" s="11"/>
      <c r="AH2225" s="11"/>
      <c r="AI2225" s="11"/>
      <c r="AJ2225" s="11"/>
      <c r="AK2225" s="11"/>
      <c r="AL2225" s="11"/>
      <c r="AM2225" s="11"/>
      <c r="AN2225" s="11"/>
      <c r="AO2225" s="11"/>
      <c r="AP2225" s="11"/>
      <c r="AQ2225" s="11"/>
      <c r="AR2225" s="11"/>
      <c r="AS2225" s="11"/>
      <c r="AT2225" s="11"/>
      <c r="AU2225" s="11"/>
      <c r="AV2225" s="11"/>
      <c r="AW2225" s="11"/>
      <c r="AX2225" s="11"/>
      <c r="AY2225" s="11"/>
    </row>
    <row r="2226" spans="1:51" hidden="1" x14ac:dyDescent="0.2">
      <c r="A2226" s="6" t="s">
        <v>17</v>
      </c>
      <c r="B2226" t="s">
        <v>1002</v>
      </c>
      <c r="C2226" t="s">
        <v>1003</v>
      </c>
      <c r="D2226" t="s">
        <v>2822</v>
      </c>
      <c r="E2226" s="2">
        <v>589.29999999999995</v>
      </c>
      <c r="F2226" s="3">
        <f t="shared" ref="F2226:G2228" si="192">DATE(2025,9,5)</f>
        <v>45905</v>
      </c>
      <c r="G2226" s="3">
        <f t="shared" si="192"/>
        <v>45905</v>
      </c>
      <c r="H2226">
        <v>2755312220</v>
      </c>
      <c r="I2226" t="s">
        <v>21</v>
      </c>
      <c r="K2226" t="s">
        <v>22</v>
      </c>
      <c r="L2226" t="s">
        <v>23</v>
      </c>
      <c r="M2226" t="s">
        <v>24</v>
      </c>
      <c r="N2226" t="s">
        <v>24</v>
      </c>
      <c r="O2226" t="s">
        <v>25</v>
      </c>
      <c r="P2226" s="8" t="s">
        <v>2823</v>
      </c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  <c r="AA2226" s="11"/>
      <c r="AB2226" s="11"/>
      <c r="AC2226" s="11"/>
      <c r="AD2226" s="11"/>
      <c r="AE2226" s="11"/>
      <c r="AF2226" s="11"/>
      <c r="AG2226" s="11"/>
      <c r="AH2226" s="11"/>
      <c r="AI2226" s="11"/>
      <c r="AJ2226" s="11"/>
      <c r="AK2226" s="11"/>
      <c r="AL2226" s="11"/>
      <c r="AM2226" s="11"/>
      <c r="AN2226" s="11"/>
      <c r="AO2226" s="11"/>
      <c r="AP2226" s="11"/>
      <c r="AQ2226" s="11"/>
      <c r="AR2226" s="11"/>
      <c r="AS2226" s="11"/>
      <c r="AT2226" s="11"/>
      <c r="AU2226" s="11"/>
      <c r="AV2226" s="11"/>
      <c r="AW2226" s="11"/>
      <c r="AX2226" s="11"/>
      <c r="AY2226" s="11"/>
    </row>
    <row r="2227" spans="1:51" hidden="1" x14ac:dyDescent="0.2">
      <c r="A2227" s="6" t="s">
        <v>17</v>
      </c>
      <c r="B2227" t="s">
        <v>118</v>
      </c>
      <c r="C2227" t="s">
        <v>119</v>
      </c>
      <c r="D2227" t="s">
        <v>2824</v>
      </c>
      <c r="E2227" s="2">
        <v>46.75</v>
      </c>
      <c r="F2227" s="3">
        <f t="shared" si="192"/>
        <v>45905</v>
      </c>
      <c r="G2227" s="3">
        <f t="shared" si="192"/>
        <v>45905</v>
      </c>
      <c r="H2227">
        <v>2755312221</v>
      </c>
      <c r="I2227" t="s">
        <v>21</v>
      </c>
      <c r="K2227" t="s">
        <v>22</v>
      </c>
      <c r="L2227" t="s">
        <v>23</v>
      </c>
      <c r="M2227" t="s">
        <v>24</v>
      </c>
      <c r="N2227" t="s">
        <v>24</v>
      </c>
      <c r="O2227" t="s">
        <v>25</v>
      </c>
      <c r="P2227" s="8" t="s">
        <v>2825</v>
      </c>
      <c r="Q2227" s="11"/>
      <c r="R2227" s="11"/>
      <c r="S2227" s="11"/>
      <c r="T2227" s="11"/>
      <c r="U2227" s="11"/>
      <c r="V2227" s="11"/>
      <c r="W2227" s="11"/>
      <c r="X2227" s="11"/>
      <c r="Y2227" s="11"/>
      <c r="Z2227" s="11"/>
      <c r="AA2227" s="11"/>
      <c r="AB2227" s="11"/>
      <c r="AC2227" s="11"/>
      <c r="AD2227" s="11"/>
      <c r="AE2227" s="11"/>
      <c r="AF2227" s="11"/>
      <c r="AG2227" s="11"/>
      <c r="AH2227" s="11"/>
      <c r="AI2227" s="11"/>
      <c r="AJ2227" s="11"/>
      <c r="AK2227" s="11"/>
      <c r="AL2227" s="11"/>
      <c r="AM2227" s="11"/>
      <c r="AN2227" s="11"/>
      <c r="AO2227" s="11"/>
      <c r="AP2227" s="11"/>
      <c r="AQ2227" s="11"/>
      <c r="AR2227" s="11"/>
      <c r="AS2227" s="11"/>
      <c r="AT2227" s="11"/>
      <c r="AU2227" s="11"/>
      <c r="AV2227" s="11"/>
      <c r="AW2227" s="11"/>
      <c r="AX2227" s="11"/>
      <c r="AY2227" s="11"/>
    </row>
    <row r="2228" spans="1:51" hidden="1" x14ac:dyDescent="0.2">
      <c r="A2228" s="6" t="s">
        <v>17</v>
      </c>
      <c r="B2228" t="s">
        <v>50</v>
      </c>
      <c r="C2228" t="s">
        <v>51</v>
      </c>
      <c r="D2228" t="s">
        <v>2826</v>
      </c>
      <c r="E2228" s="2">
        <v>205.2</v>
      </c>
      <c r="F2228" s="3">
        <f t="shared" si="192"/>
        <v>45905</v>
      </c>
      <c r="G2228" s="3">
        <f t="shared" si="192"/>
        <v>45905</v>
      </c>
      <c r="H2228">
        <v>2755312222</v>
      </c>
      <c r="I2228" t="s">
        <v>21</v>
      </c>
      <c r="K2228" t="s">
        <v>22</v>
      </c>
      <c r="L2228" t="s">
        <v>23</v>
      </c>
      <c r="M2228" t="s">
        <v>24</v>
      </c>
      <c r="N2228" t="s">
        <v>24</v>
      </c>
      <c r="O2228" t="s">
        <v>25</v>
      </c>
      <c r="P2228" s="8" t="s">
        <v>2827</v>
      </c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  <c r="AA2228" s="11"/>
      <c r="AB2228" s="11"/>
      <c r="AC2228" s="11"/>
      <c r="AD2228" s="11"/>
      <c r="AE2228" s="11"/>
      <c r="AF2228" s="11"/>
      <c r="AG2228" s="11"/>
      <c r="AH2228" s="11"/>
      <c r="AI2228" s="11"/>
      <c r="AJ2228" s="11"/>
      <c r="AK2228" s="11"/>
      <c r="AL2228" s="11"/>
      <c r="AM2228" s="11"/>
      <c r="AN2228" s="11"/>
      <c r="AO2228" s="11"/>
      <c r="AP2228" s="11"/>
      <c r="AQ2228" s="11"/>
      <c r="AR2228" s="11"/>
      <c r="AS2228" s="11"/>
      <c r="AT2228" s="11"/>
      <c r="AU2228" s="11"/>
      <c r="AV2228" s="11"/>
      <c r="AW2228" s="11"/>
      <c r="AX2228" s="11"/>
      <c r="AY2228" s="11"/>
    </row>
    <row r="2229" spans="1:51" hidden="1" x14ac:dyDescent="0.2">
      <c r="A2229" s="6" t="s">
        <v>17</v>
      </c>
      <c r="B2229" t="s">
        <v>90</v>
      </c>
      <c r="C2229" t="s">
        <v>91</v>
      </c>
      <c r="D2229" t="s">
        <v>2828</v>
      </c>
      <c r="E2229" s="2">
        <v>36113.21</v>
      </c>
      <c r="F2229" s="3">
        <f>DATE(2025,9,4)</f>
        <v>45904</v>
      </c>
      <c r="G2229" s="3">
        <f>DATE(2025,9,4)</f>
        <v>45904</v>
      </c>
      <c r="H2229">
        <v>2755312223</v>
      </c>
      <c r="I2229" t="s">
        <v>21</v>
      </c>
      <c r="K2229" t="s">
        <v>22</v>
      </c>
      <c r="L2229" t="s">
        <v>23</v>
      </c>
      <c r="M2229" t="s">
        <v>24</v>
      </c>
      <c r="N2229" t="s">
        <v>24</v>
      </c>
      <c r="O2229" t="s">
        <v>25</v>
      </c>
      <c r="P2229" s="8" t="s">
        <v>2829</v>
      </c>
      <c r="Q2229" s="11"/>
      <c r="R2229" s="11"/>
      <c r="S2229" s="11"/>
      <c r="T2229" s="11"/>
      <c r="U2229" s="11"/>
      <c r="V2229" s="11"/>
      <c r="W2229" s="11"/>
      <c r="X2229" s="11"/>
      <c r="Y2229" s="11"/>
      <c r="Z2229" s="11"/>
      <c r="AA2229" s="11"/>
      <c r="AB2229" s="11"/>
      <c r="AC2229" s="11"/>
      <c r="AD2229" s="11"/>
      <c r="AE2229" s="11"/>
      <c r="AF2229" s="11"/>
      <c r="AG2229" s="11"/>
      <c r="AH2229" s="11"/>
      <c r="AI2229" s="11"/>
      <c r="AJ2229" s="11"/>
      <c r="AK2229" s="11"/>
      <c r="AL2229" s="11"/>
      <c r="AM2229" s="11"/>
      <c r="AN2229" s="11"/>
      <c r="AO2229" s="11"/>
      <c r="AP2229" s="11"/>
      <c r="AQ2229" s="11"/>
      <c r="AR2229" s="11"/>
      <c r="AS2229" s="11"/>
      <c r="AT2229" s="11"/>
      <c r="AU2229" s="11"/>
      <c r="AV2229" s="11"/>
      <c r="AW2229" s="11"/>
      <c r="AX2229" s="11"/>
      <c r="AY2229" s="11"/>
    </row>
    <row r="2230" spans="1:51" hidden="1" x14ac:dyDescent="0.2">
      <c r="A2230" s="6" t="s">
        <v>17</v>
      </c>
      <c r="B2230" t="s">
        <v>84</v>
      </c>
      <c r="C2230" t="s">
        <v>85</v>
      </c>
      <c r="D2230" t="s">
        <v>2830</v>
      </c>
      <c r="E2230" s="2">
        <v>1007.08</v>
      </c>
      <c r="F2230" s="3">
        <f t="shared" ref="F2230:G2232" si="193">DATE(2025,9,5)</f>
        <v>45905</v>
      </c>
      <c r="G2230" s="3">
        <f t="shared" si="193"/>
        <v>45905</v>
      </c>
      <c r="H2230">
        <v>2755312224</v>
      </c>
      <c r="I2230" t="s">
        <v>21</v>
      </c>
      <c r="K2230" t="s">
        <v>22</v>
      </c>
      <c r="L2230" t="s">
        <v>23</v>
      </c>
      <c r="M2230" t="s">
        <v>24</v>
      </c>
      <c r="N2230" t="s">
        <v>24</v>
      </c>
      <c r="O2230" t="s">
        <v>25</v>
      </c>
      <c r="P2230" s="8" t="s">
        <v>2831</v>
      </c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  <c r="AA2230" s="11"/>
      <c r="AB2230" s="11"/>
      <c r="AC2230" s="11"/>
      <c r="AD2230" s="11"/>
      <c r="AE2230" s="11"/>
      <c r="AF2230" s="11"/>
      <c r="AG2230" s="11"/>
      <c r="AH2230" s="11"/>
      <c r="AI2230" s="11"/>
      <c r="AJ2230" s="11"/>
      <c r="AK2230" s="11"/>
      <c r="AL2230" s="11"/>
      <c r="AM2230" s="11"/>
      <c r="AN2230" s="11"/>
      <c r="AO2230" s="11"/>
      <c r="AP2230" s="11"/>
      <c r="AQ2230" s="11"/>
      <c r="AR2230" s="11"/>
      <c r="AS2230" s="11"/>
      <c r="AT2230" s="11"/>
      <c r="AU2230" s="11"/>
      <c r="AV2230" s="11"/>
      <c r="AW2230" s="11"/>
      <c r="AX2230" s="11"/>
      <c r="AY2230" s="11"/>
    </row>
    <row r="2231" spans="1:51" hidden="1" x14ac:dyDescent="0.2">
      <c r="A2231" s="6" t="s">
        <v>17</v>
      </c>
      <c r="B2231" t="s">
        <v>64</v>
      </c>
      <c r="C2231" t="s">
        <v>65</v>
      </c>
      <c r="D2231" t="s">
        <v>2832</v>
      </c>
      <c r="E2231" s="2">
        <v>501.23</v>
      </c>
      <c r="F2231" s="3">
        <f t="shared" si="193"/>
        <v>45905</v>
      </c>
      <c r="G2231" s="3">
        <f t="shared" si="193"/>
        <v>45905</v>
      </c>
      <c r="H2231">
        <v>2755312225</v>
      </c>
      <c r="I2231" t="s">
        <v>21</v>
      </c>
      <c r="K2231" t="s">
        <v>22</v>
      </c>
      <c r="L2231" t="s">
        <v>23</v>
      </c>
      <c r="M2231" t="s">
        <v>24</v>
      </c>
      <c r="N2231" t="s">
        <v>24</v>
      </c>
      <c r="O2231" t="s">
        <v>25</v>
      </c>
      <c r="P2231" s="8" t="s">
        <v>2833</v>
      </c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1"/>
      <c r="AB2231" s="11"/>
      <c r="AC2231" s="11"/>
      <c r="AD2231" s="11"/>
      <c r="AE2231" s="11"/>
      <c r="AF2231" s="11"/>
      <c r="AG2231" s="11"/>
      <c r="AH2231" s="11"/>
      <c r="AI2231" s="11"/>
      <c r="AJ2231" s="11"/>
      <c r="AK2231" s="11"/>
      <c r="AL2231" s="11"/>
      <c r="AM2231" s="11"/>
      <c r="AN2231" s="11"/>
      <c r="AO2231" s="11"/>
      <c r="AP2231" s="11"/>
      <c r="AQ2231" s="11"/>
      <c r="AR2231" s="11"/>
      <c r="AS2231" s="11"/>
      <c r="AT2231" s="11"/>
      <c r="AU2231" s="11"/>
      <c r="AV2231" s="11"/>
      <c r="AW2231" s="11"/>
      <c r="AX2231" s="11"/>
      <c r="AY2231" s="11"/>
    </row>
    <row r="2232" spans="1:51" hidden="1" x14ac:dyDescent="0.2">
      <c r="A2232" s="6" t="s">
        <v>17</v>
      </c>
      <c r="B2232" t="s">
        <v>198</v>
      </c>
      <c r="C2232" t="s">
        <v>199</v>
      </c>
      <c r="D2232" t="s">
        <v>2834</v>
      </c>
      <c r="E2232" s="2">
        <v>3635.15</v>
      </c>
      <c r="F2232" s="3">
        <f t="shared" si="193"/>
        <v>45905</v>
      </c>
      <c r="G2232" s="3">
        <f t="shared" si="193"/>
        <v>45905</v>
      </c>
      <c r="H2232">
        <v>2755357892</v>
      </c>
      <c r="I2232" t="s">
        <v>192</v>
      </c>
      <c r="K2232" t="s">
        <v>22</v>
      </c>
      <c r="L2232" t="s">
        <v>23</v>
      </c>
      <c r="M2232" t="s">
        <v>24</v>
      </c>
      <c r="N2232" t="s">
        <v>24</v>
      </c>
      <c r="O2232" t="s">
        <v>25</v>
      </c>
      <c r="P2232" s="8" t="s">
        <v>2835</v>
      </c>
      <c r="Q2232" s="11"/>
      <c r="R2232" s="11"/>
      <c r="S2232" s="11"/>
      <c r="T2232" s="11"/>
      <c r="U2232" s="11"/>
      <c r="V2232" s="11"/>
      <c r="W2232" s="11"/>
      <c r="X2232" s="11"/>
      <c r="Y2232" s="11"/>
      <c r="Z2232" s="11"/>
      <c r="AA2232" s="11"/>
      <c r="AB2232" s="11"/>
      <c r="AC2232" s="11"/>
      <c r="AD2232" s="11"/>
      <c r="AE2232" s="11"/>
      <c r="AF2232" s="11"/>
      <c r="AG2232" s="11"/>
      <c r="AH2232" s="11"/>
      <c r="AI2232" s="11"/>
      <c r="AJ2232" s="11"/>
      <c r="AK2232" s="11"/>
      <c r="AL2232" s="11"/>
      <c r="AM2232" s="11"/>
      <c r="AN2232" s="11"/>
      <c r="AO2232" s="11"/>
      <c r="AP2232" s="11"/>
      <c r="AQ2232" s="11"/>
      <c r="AR2232" s="11"/>
      <c r="AS2232" s="11"/>
      <c r="AT2232" s="11"/>
      <c r="AU2232" s="11"/>
      <c r="AV2232" s="11"/>
      <c r="AW2232" s="11"/>
      <c r="AX2232" s="11"/>
      <c r="AY2232" s="11"/>
    </row>
    <row r="2233" spans="1:51" hidden="1" x14ac:dyDescent="0.2">
      <c r="A2233" s="6"/>
      <c r="E2233" s="2"/>
      <c r="F2233" s="3"/>
      <c r="G2233" s="3"/>
      <c r="P2233" s="8"/>
      <c r="Q2233" s="11"/>
      <c r="R2233" s="11"/>
      <c r="S2233" s="11"/>
      <c r="T2233" s="11"/>
      <c r="U2233" s="11"/>
      <c r="V2233" s="11"/>
      <c r="W2233" s="11"/>
      <c r="X2233" s="11"/>
      <c r="Y2233" s="11"/>
      <c r="Z2233" s="11"/>
      <c r="AA2233" s="11"/>
      <c r="AB2233" s="11"/>
      <c r="AC2233" s="11"/>
      <c r="AD2233" s="11"/>
      <c r="AE2233" s="11"/>
      <c r="AF2233" s="11"/>
      <c r="AG2233" s="11"/>
      <c r="AH2233" s="11"/>
      <c r="AI2233" s="11"/>
      <c r="AJ2233" s="11"/>
      <c r="AK2233" s="11"/>
      <c r="AL2233" s="11"/>
      <c r="AM2233" s="11"/>
      <c r="AN2233" s="11"/>
      <c r="AO2233" s="11"/>
      <c r="AP2233" s="11"/>
      <c r="AQ2233" s="11"/>
      <c r="AR2233" s="11"/>
      <c r="AS2233" s="11"/>
      <c r="AT2233" s="11"/>
      <c r="AU2233" s="11"/>
      <c r="AV2233" s="11"/>
      <c r="AW2233" s="11"/>
      <c r="AX2233" s="11"/>
      <c r="AY2233" s="11"/>
    </row>
    <row r="2234" spans="1:51" hidden="1" x14ac:dyDescent="0.2">
      <c r="A2234" s="6" t="s">
        <v>17</v>
      </c>
      <c r="B2234" t="s">
        <v>198</v>
      </c>
      <c r="C2234" t="s">
        <v>199</v>
      </c>
      <c r="D2234" t="s">
        <v>2836</v>
      </c>
      <c r="E2234" s="2">
        <v>217.71</v>
      </c>
      <c r="F2234" s="3">
        <f>DATE(2025,9,5)</f>
        <v>45905</v>
      </c>
      <c r="G2234" s="3">
        <f>DATE(2025,9,5)</f>
        <v>45905</v>
      </c>
      <c r="H2234">
        <v>2755357894</v>
      </c>
      <c r="I2234" t="s">
        <v>192</v>
      </c>
      <c r="K2234" t="s">
        <v>22</v>
      </c>
      <c r="L2234" t="s">
        <v>23</v>
      </c>
      <c r="M2234" t="s">
        <v>24</v>
      </c>
      <c r="N2234" t="s">
        <v>24</v>
      </c>
      <c r="O2234" t="s">
        <v>25</v>
      </c>
      <c r="P2234" s="8" t="s">
        <v>2837</v>
      </c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11"/>
      <c r="AB2234" s="11"/>
      <c r="AC2234" s="11"/>
      <c r="AD2234" s="11"/>
      <c r="AE2234" s="11"/>
      <c r="AF2234" s="11"/>
      <c r="AG2234" s="11"/>
      <c r="AH2234" s="11"/>
      <c r="AI2234" s="11"/>
      <c r="AJ2234" s="11"/>
      <c r="AK2234" s="11"/>
      <c r="AL2234" s="11"/>
      <c r="AM2234" s="11"/>
      <c r="AN2234" s="11"/>
      <c r="AO2234" s="11"/>
      <c r="AP2234" s="11"/>
      <c r="AQ2234" s="11"/>
      <c r="AR2234" s="11"/>
      <c r="AS2234" s="11"/>
      <c r="AT2234" s="11"/>
      <c r="AU2234" s="11"/>
      <c r="AV2234" s="11"/>
      <c r="AW2234" s="11"/>
      <c r="AX2234" s="11"/>
      <c r="AY2234" s="11"/>
    </row>
    <row r="2235" spans="1:51" x14ac:dyDescent="0.2">
      <c r="A2235" s="6" t="s">
        <v>17</v>
      </c>
      <c r="B2235" t="s">
        <v>342</v>
      </c>
      <c r="C2235" t="s">
        <v>342</v>
      </c>
      <c r="D2235" t="s">
        <v>2838</v>
      </c>
      <c r="E2235" s="2">
        <v>15.93</v>
      </c>
      <c r="F2235" s="3">
        <f>DATE(2025,9,3)</f>
        <v>45903</v>
      </c>
      <c r="G2235" s="3">
        <f>DATE(2025,9,3)</f>
        <v>45903</v>
      </c>
      <c r="H2235">
        <v>2760150786</v>
      </c>
      <c r="I2235" t="s">
        <v>158</v>
      </c>
      <c r="K2235" t="s">
        <v>22</v>
      </c>
      <c r="L2235" t="s">
        <v>23</v>
      </c>
      <c r="M2235" t="s">
        <v>24</v>
      </c>
      <c r="N2235" t="s">
        <v>24</v>
      </c>
      <c r="O2235" t="s">
        <v>25</v>
      </c>
      <c r="P2235" s="8" t="s">
        <v>2839</v>
      </c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  <c r="AA2235" s="11"/>
      <c r="AB2235" s="11"/>
      <c r="AC2235" s="11"/>
      <c r="AD2235" s="11"/>
      <c r="AE2235" s="11"/>
      <c r="AF2235" s="11"/>
      <c r="AG2235" s="11"/>
      <c r="AH2235" s="11"/>
      <c r="AI2235" s="11"/>
      <c r="AJ2235" s="11"/>
      <c r="AK2235" s="11"/>
      <c r="AL2235" s="11"/>
      <c r="AM2235" s="11"/>
      <c r="AN2235" s="11"/>
      <c r="AO2235" s="11"/>
      <c r="AP2235" s="11"/>
      <c r="AQ2235" s="11"/>
      <c r="AR2235" s="11"/>
      <c r="AS2235" s="11"/>
      <c r="AT2235" s="11"/>
      <c r="AU2235" s="11"/>
      <c r="AV2235" s="11"/>
      <c r="AW2235" s="11"/>
      <c r="AX2235" s="11"/>
      <c r="AY2235" s="11"/>
    </row>
    <row r="2236" spans="1:51" hidden="1" x14ac:dyDescent="0.2">
      <c r="A2236" s="6"/>
      <c r="E2236" s="2"/>
      <c r="F2236" s="3"/>
      <c r="G2236" s="3"/>
      <c r="P2236" s="8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1"/>
      <c r="AB2236" s="11"/>
      <c r="AC2236" s="11"/>
      <c r="AD2236" s="11"/>
      <c r="AE2236" s="11"/>
      <c r="AF2236" s="11"/>
      <c r="AG2236" s="11"/>
      <c r="AH2236" s="11"/>
      <c r="AI2236" s="11"/>
      <c r="AJ2236" s="11"/>
      <c r="AK2236" s="11"/>
      <c r="AL2236" s="11"/>
      <c r="AM2236" s="11"/>
      <c r="AN2236" s="11"/>
      <c r="AO2236" s="11"/>
      <c r="AP2236" s="11"/>
      <c r="AQ2236" s="11"/>
      <c r="AR2236" s="11"/>
      <c r="AS2236" s="11"/>
      <c r="AT2236" s="11"/>
      <c r="AU2236" s="11"/>
      <c r="AV2236" s="11"/>
      <c r="AW2236" s="11"/>
      <c r="AX2236" s="11"/>
      <c r="AY2236" s="11"/>
    </row>
    <row r="2237" spans="1:51" hidden="1" x14ac:dyDescent="0.2">
      <c r="A2237" s="6"/>
      <c r="E2237" s="2"/>
      <c r="F2237" s="3"/>
      <c r="G2237" s="3"/>
      <c r="P2237" s="8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1"/>
      <c r="AB2237" s="11"/>
      <c r="AC2237" s="11"/>
      <c r="AD2237" s="11"/>
      <c r="AE2237" s="11"/>
      <c r="AF2237" s="11"/>
      <c r="AG2237" s="11"/>
      <c r="AH2237" s="11"/>
      <c r="AI2237" s="11"/>
      <c r="AJ2237" s="11"/>
      <c r="AK2237" s="11"/>
      <c r="AL2237" s="11"/>
      <c r="AM2237" s="11"/>
      <c r="AN2237" s="11"/>
      <c r="AO2237" s="11"/>
      <c r="AP2237" s="11"/>
      <c r="AQ2237" s="11"/>
      <c r="AR2237" s="11"/>
      <c r="AS2237" s="11"/>
      <c r="AT2237" s="11"/>
      <c r="AU2237" s="11"/>
      <c r="AV2237" s="11"/>
      <c r="AW2237" s="11"/>
      <c r="AX2237" s="11"/>
      <c r="AY2237" s="11"/>
    </row>
    <row r="2238" spans="1:51" hidden="1" x14ac:dyDescent="0.2">
      <c r="A2238" s="6" t="s">
        <v>17</v>
      </c>
      <c r="B2238" t="s">
        <v>18</v>
      </c>
      <c r="C2238" t="s">
        <v>19</v>
      </c>
      <c r="D2238" t="s">
        <v>2840</v>
      </c>
      <c r="E2238" s="2">
        <v>2.58</v>
      </c>
      <c r="F2238" s="3">
        <f t="shared" ref="F2238:G2238" si="194">DATE(2025,9,5)</f>
        <v>45905</v>
      </c>
      <c r="G2238" s="3">
        <f t="shared" si="194"/>
        <v>45905</v>
      </c>
      <c r="H2238">
        <v>2760154794</v>
      </c>
      <c r="I2238" t="s">
        <v>192</v>
      </c>
      <c r="K2238" t="s">
        <v>22</v>
      </c>
      <c r="L2238" t="s">
        <v>23</v>
      </c>
      <c r="M2238" t="s">
        <v>24</v>
      </c>
      <c r="N2238" t="s">
        <v>24</v>
      </c>
      <c r="O2238" t="s">
        <v>25</v>
      </c>
      <c r="P2238" s="8" t="s">
        <v>2841</v>
      </c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  <c r="AA2238" s="11"/>
      <c r="AB2238" s="11"/>
      <c r="AC2238" s="11"/>
      <c r="AD2238" s="11"/>
      <c r="AE2238" s="11"/>
      <c r="AF2238" s="11"/>
      <c r="AG2238" s="11"/>
      <c r="AH2238" s="11"/>
      <c r="AI2238" s="11"/>
      <c r="AJ2238" s="11"/>
      <c r="AK2238" s="11"/>
      <c r="AL2238" s="11"/>
      <c r="AM2238" s="11"/>
      <c r="AN2238" s="11"/>
      <c r="AO2238" s="11"/>
      <c r="AP2238" s="11"/>
      <c r="AQ2238" s="11"/>
      <c r="AR2238" s="11"/>
      <c r="AS2238" s="11"/>
      <c r="AT2238" s="11"/>
      <c r="AU2238" s="11"/>
      <c r="AV2238" s="11"/>
      <c r="AW2238" s="11"/>
      <c r="AX2238" s="11"/>
      <c r="AY2238" s="11"/>
    </row>
    <row r="2239" spans="1:51" hidden="1" x14ac:dyDescent="0.2">
      <c r="A2239" s="6" t="s">
        <v>17</v>
      </c>
      <c r="B2239" t="s">
        <v>980</v>
      </c>
      <c r="C2239" t="s">
        <v>981</v>
      </c>
      <c r="D2239" t="s">
        <v>2842</v>
      </c>
      <c r="E2239" s="2">
        <v>130.19999999999999</v>
      </c>
      <c r="F2239" s="3">
        <f t="shared" ref="F2239:G2240" si="195">DATE(2025,9,8)</f>
        <v>45908</v>
      </c>
      <c r="G2239" s="3">
        <f t="shared" si="195"/>
        <v>45908</v>
      </c>
      <c r="H2239">
        <v>2769932628</v>
      </c>
      <c r="I2239" t="s">
        <v>21</v>
      </c>
      <c r="K2239" t="s">
        <v>22</v>
      </c>
      <c r="L2239" t="s">
        <v>23</v>
      </c>
      <c r="M2239" t="s">
        <v>24</v>
      </c>
      <c r="N2239" t="s">
        <v>24</v>
      </c>
      <c r="O2239" t="s">
        <v>25</v>
      </c>
      <c r="P2239" s="8" t="s">
        <v>2843</v>
      </c>
      <c r="Q2239" s="11"/>
      <c r="R2239" s="11"/>
      <c r="S2239" s="11"/>
      <c r="T2239" s="11"/>
      <c r="U2239" s="11"/>
      <c r="V2239" s="11"/>
      <c r="W2239" s="11"/>
      <c r="X2239" s="11"/>
      <c r="Y2239" s="11"/>
      <c r="Z2239" s="11"/>
      <c r="AA2239" s="11"/>
      <c r="AB2239" s="11"/>
      <c r="AC2239" s="11"/>
      <c r="AD2239" s="11"/>
      <c r="AE2239" s="11"/>
      <c r="AF2239" s="11"/>
      <c r="AG2239" s="11"/>
      <c r="AH2239" s="11"/>
      <c r="AI2239" s="11"/>
      <c r="AJ2239" s="11"/>
      <c r="AK2239" s="11"/>
      <c r="AL2239" s="11"/>
      <c r="AM2239" s="11"/>
      <c r="AN2239" s="11"/>
      <c r="AO2239" s="11"/>
      <c r="AP2239" s="11"/>
      <c r="AQ2239" s="11"/>
      <c r="AR2239" s="11"/>
      <c r="AS2239" s="11"/>
      <c r="AT2239" s="11"/>
      <c r="AU2239" s="11"/>
      <c r="AV2239" s="11"/>
      <c r="AW2239" s="11"/>
      <c r="AX2239" s="11"/>
      <c r="AY2239" s="11"/>
    </row>
    <row r="2240" spans="1:51" hidden="1" x14ac:dyDescent="0.2">
      <c r="A2240" s="6" t="s">
        <v>17</v>
      </c>
      <c r="B2240" t="s">
        <v>42</v>
      </c>
      <c r="C2240" t="s">
        <v>43</v>
      </c>
      <c r="D2240" t="s">
        <v>44</v>
      </c>
      <c r="E2240" s="2">
        <v>500</v>
      </c>
      <c r="F2240" s="3">
        <f t="shared" si="195"/>
        <v>45908</v>
      </c>
      <c r="G2240" s="3">
        <f t="shared" si="195"/>
        <v>45908</v>
      </c>
      <c r="H2240">
        <v>2769932692</v>
      </c>
      <c r="I2240" t="s">
        <v>21</v>
      </c>
      <c r="K2240" t="s">
        <v>22</v>
      </c>
      <c r="L2240" t="s">
        <v>23</v>
      </c>
      <c r="M2240" t="s">
        <v>24</v>
      </c>
      <c r="N2240" t="s">
        <v>24</v>
      </c>
      <c r="O2240" t="s">
        <v>25</v>
      </c>
      <c r="P2240" s="8" t="s">
        <v>2844</v>
      </c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  <c r="AA2240" s="11"/>
      <c r="AB2240" s="11"/>
      <c r="AC2240" s="11"/>
      <c r="AD2240" s="11"/>
      <c r="AE2240" s="11"/>
      <c r="AF2240" s="11"/>
      <c r="AG2240" s="11"/>
      <c r="AH2240" s="11"/>
      <c r="AI2240" s="11"/>
      <c r="AJ2240" s="11"/>
      <c r="AK2240" s="11"/>
      <c r="AL2240" s="11"/>
      <c r="AM2240" s="11"/>
      <c r="AN2240" s="11"/>
      <c r="AO2240" s="11"/>
      <c r="AP2240" s="11"/>
      <c r="AQ2240" s="11"/>
      <c r="AR2240" s="11"/>
      <c r="AS2240" s="11"/>
      <c r="AT2240" s="11"/>
      <c r="AU2240" s="11"/>
      <c r="AV2240" s="11"/>
      <c r="AW2240" s="11"/>
      <c r="AX2240" s="11"/>
      <c r="AY2240" s="11"/>
    </row>
    <row r="2241" spans="1:51" hidden="1" x14ac:dyDescent="0.2">
      <c r="A2241" s="6"/>
      <c r="E2241" s="2"/>
      <c r="F2241" s="3"/>
      <c r="G2241" s="3"/>
      <c r="P2241" s="8"/>
      <c r="Q2241" s="11"/>
      <c r="R2241" s="11"/>
      <c r="S2241" s="11"/>
      <c r="T2241" s="11"/>
      <c r="U2241" s="11"/>
      <c r="V2241" s="11"/>
      <c r="W2241" s="11"/>
      <c r="X2241" s="11"/>
      <c r="Y2241" s="11"/>
      <c r="Z2241" s="11"/>
      <c r="AA2241" s="11"/>
      <c r="AB2241" s="11"/>
      <c r="AC2241" s="11"/>
      <c r="AD2241" s="11"/>
      <c r="AE2241" s="11"/>
      <c r="AF2241" s="11"/>
      <c r="AG2241" s="11"/>
      <c r="AH2241" s="11"/>
      <c r="AI2241" s="11"/>
      <c r="AJ2241" s="11"/>
      <c r="AK2241" s="11"/>
      <c r="AL2241" s="11"/>
      <c r="AM2241" s="11"/>
      <c r="AN2241" s="11"/>
      <c r="AO2241" s="11"/>
      <c r="AP2241" s="11"/>
      <c r="AQ2241" s="11"/>
      <c r="AR2241" s="11"/>
      <c r="AS2241" s="11"/>
      <c r="AT2241" s="11"/>
      <c r="AU2241" s="11"/>
      <c r="AV2241" s="11"/>
      <c r="AW2241" s="11"/>
      <c r="AX2241" s="11"/>
      <c r="AY2241" s="11"/>
    </row>
    <row r="2242" spans="1:51" hidden="1" x14ac:dyDescent="0.2">
      <c r="A2242" s="6" t="s">
        <v>17</v>
      </c>
      <c r="B2242" t="s">
        <v>1048</v>
      </c>
      <c r="C2242" t="s">
        <v>1049</v>
      </c>
      <c r="D2242" t="s">
        <v>2845</v>
      </c>
      <c r="E2242" s="2">
        <v>1159.45</v>
      </c>
      <c r="F2242" s="3">
        <f>DATE(2025,9,9)</f>
        <v>45909</v>
      </c>
      <c r="G2242" s="3">
        <f>DATE(2025,9,9)</f>
        <v>45909</v>
      </c>
      <c r="H2242">
        <v>2777637232</v>
      </c>
      <c r="I2242" t="s">
        <v>21</v>
      </c>
      <c r="K2242" t="s">
        <v>22</v>
      </c>
      <c r="L2242" t="s">
        <v>23</v>
      </c>
      <c r="M2242" t="s">
        <v>24</v>
      </c>
      <c r="N2242" t="s">
        <v>24</v>
      </c>
      <c r="O2242" t="s">
        <v>25</v>
      </c>
      <c r="P2242" s="8" t="s">
        <v>2846</v>
      </c>
      <c r="Q2242" s="11"/>
      <c r="R2242" s="11"/>
      <c r="S2242" s="11"/>
      <c r="T2242" s="11"/>
      <c r="U2242" s="11"/>
      <c r="V2242" s="11"/>
      <c r="W2242" s="11"/>
      <c r="X2242" s="11"/>
      <c r="Y2242" s="11"/>
      <c r="Z2242" s="11"/>
      <c r="AA2242" s="11"/>
      <c r="AB2242" s="11"/>
      <c r="AC2242" s="11"/>
      <c r="AD2242" s="11"/>
      <c r="AE2242" s="11"/>
      <c r="AF2242" s="11"/>
      <c r="AG2242" s="11"/>
      <c r="AH2242" s="11"/>
      <c r="AI2242" s="11"/>
      <c r="AJ2242" s="11"/>
      <c r="AK2242" s="11"/>
      <c r="AL2242" s="11"/>
      <c r="AM2242" s="11"/>
      <c r="AN2242" s="11"/>
      <c r="AO2242" s="11"/>
      <c r="AP2242" s="11"/>
      <c r="AQ2242" s="11"/>
      <c r="AR2242" s="11"/>
      <c r="AS2242" s="11"/>
      <c r="AT2242" s="11"/>
      <c r="AU2242" s="11"/>
      <c r="AV2242" s="11"/>
      <c r="AW2242" s="11"/>
      <c r="AX2242" s="11"/>
      <c r="AY2242" s="11"/>
    </row>
    <row r="2243" spans="1:51" hidden="1" x14ac:dyDescent="0.2">
      <c r="A2243" s="6" t="s">
        <v>17</v>
      </c>
      <c r="B2243" t="s">
        <v>1002</v>
      </c>
      <c r="C2243" t="s">
        <v>1003</v>
      </c>
      <c r="D2243" t="s">
        <v>2847</v>
      </c>
      <c r="E2243" s="2">
        <v>2150.1799999999998</v>
      </c>
      <c r="F2243" s="3">
        <f>DATE(2025,9,9)</f>
        <v>45909</v>
      </c>
      <c r="G2243" s="3">
        <f>DATE(2025,9,9)</f>
        <v>45909</v>
      </c>
      <c r="H2243">
        <v>2777637233</v>
      </c>
      <c r="I2243" t="s">
        <v>21</v>
      </c>
      <c r="K2243" t="s">
        <v>22</v>
      </c>
      <c r="L2243" t="s">
        <v>23</v>
      </c>
      <c r="M2243" t="s">
        <v>24</v>
      </c>
      <c r="N2243" t="s">
        <v>24</v>
      </c>
      <c r="O2243" t="s">
        <v>25</v>
      </c>
      <c r="P2243" s="8" t="s">
        <v>2848</v>
      </c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  <c r="AA2243" s="11"/>
      <c r="AB2243" s="11"/>
      <c r="AC2243" s="11"/>
      <c r="AD2243" s="11"/>
      <c r="AE2243" s="11"/>
      <c r="AF2243" s="11"/>
      <c r="AG2243" s="11"/>
      <c r="AH2243" s="11"/>
      <c r="AI2243" s="11"/>
      <c r="AJ2243" s="11"/>
      <c r="AK2243" s="11"/>
      <c r="AL2243" s="11"/>
      <c r="AM2243" s="11"/>
      <c r="AN2243" s="11"/>
      <c r="AO2243" s="11"/>
      <c r="AP2243" s="11"/>
      <c r="AQ2243" s="11"/>
      <c r="AR2243" s="11"/>
      <c r="AS2243" s="11"/>
      <c r="AT2243" s="11"/>
      <c r="AU2243" s="11"/>
      <c r="AV2243" s="11"/>
      <c r="AW2243" s="11"/>
      <c r="AX2243" s="11"/>
      <c r="AY2243" s="11"/>
    </row>
    <row r="2244" spans="1:51" hidden="1" x14ac:dyDescent="0.2">
      <c r="A2244" s="6"/>
      <c r="E2244" s="2"/>
      <c r="F2244" s="3"/>
      <c r="G2244" s="3"/>
      <c r="P2244" s="8"/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  <c r="AA2244" s="11"/>
      <c r="AB2244" s="11"/>
      <c r="AC2244" s="11"/>
      <c r="AD2244" s="11"/>
      <c r="AE2244" s="11"/>
      <c r="AF2244" s="11"/>
      <c r="AG2244" s="11"/>
      <c r="AH2244" s="11"/>
      <c r="AI2244" s="11"/>
      <c r="AJ2244" s="11"/>
      <c r="AK2244" s="11"/>
      <c r="AL2244" s="11"/>
      <c r="AM2244" s="11"/>
      <c r="AN2244" s="11"/>
      <c r="AO2244" s="11"/>
      <c r="AP2244" s="11"/>
      <c r="AQ2244" s="11"/>
      <c r="AR2244" s="11"/>
      <c r="AS2244" s="11"/>
      <c r="AT2244" s="11"/>
      <c r="AU2244" s="11"/>
      <c r="AV2244" s="11"/>
      <c r="AW2244" s="11"/>
      <c r="AX2244" s="11"/>
      <c r="AY2244" s="11"/>
    </row>
    <row r="2245" spans="1:51" hidden="1" x14ac:dyDescent="0.2">
      <c r="A2245" s="6"/>
      <c r="E2245" s="2"/>
      <c r="F2245" s="3"/>
      <c r="G2245" s="3"/>
      <c r="P2245" s="8"/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  <c r="AA2245" s="11"/>
      <c r="AB2245" s="11"/>
      <c r="AC2245" s="11"/>
      <c r="AD2245" s="11"/>
      <c r="AE2245" s="11"/>
      <c r="AF2245" s="11"/>
      <c r="AG2245" s="11"/>
      <c r="AH2245" s="11"/>
      <c r="AI2245" s="11"/>
      <c r="AJ2245" s="11"/>
      <c r="AK2245" s="11"/>
      <c r="AL2245" s="11"/>
      <c r="AM2245" s="11"/>
      <c r="AN2245" s="11"/>
      <c r="AO2245" s="11"/>
      <c r="AP2245" s="11"/>
      <c r="AQ2245" s="11"/>
      <c r="AR2245" s="11"/>
      <c r="AS2245" s="11"/>
      <c r="AT2245" s="11"/>
      <c r="AU2245" s="11"/>
      <c r="AV2245" s="11"/>
      <c r="AW2245" s="11"/>
      <c r="AX2245" s="11"/>
      <c r="AY2245" s="11"/>
    </row>
    <row r="2246" spans="1:51" hidden="1" x14ac:dyDescent="0.2">
      <c r="A2246" s="6"/>
      <c r="E2246" s="2"/>
      <c r="F2246" s="3"/>
      <c r="G2246" s="3"/>
      <c r="P2246" s="8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1"/>
      <c r="AB2246" s="11"/>
      <c r="AC2246" s="11"/>
      <c r="AD2246" s="11"/>
      <c r="AE2246" s="11"/>
      <c r="AF2246" s="11"/>
      <c r="AG2246" s="11"/>
      <c r="AH2246" s="11"/>
      <c r="AI2246" s="11"/>
      <c r="AJ2246" s="11"/>
      <c r="AK2246" s="11"/>
      <c r="AL2246" s="11"/>
      <c r="AM2246" s="11"/>
      <c r="AN2246" s="11"/>
      <c r="AO2246" s="11"/>
      <c r="AP2246" s="11"/>
      <c r="AQ2246" s="11"/>
      <c r="AR2246" s="11"/>
      <c r="AS2246" s="11"/>
      <c r="AT2246" s="11"/>
      <c r="AU2246" s="11"/>
      <c r="AV2246" s="11"/>
      <c r="AW2246" s="11"/>
      <c r="AX2246" s="11"/>
      <c r="AY2246" s="11"/>
    </row>
    <row r="2247" spans="1:51" hidden="1" x14ac:dyDescent="0.2">
      <c r="A2247" s="6" t="s">
        <v>17</v>
      </c>
      <c r="B2247" t="s">
        <v>31</v>
      </c>
      <c r="C2247" t="s">
        <v>32</v>
      </c>
      <c r="D2247" t="s">
        <v>2849</v>
      </c>
      <c r="E2247" s="2">
        <v>288.06</v>
      </c>
      <c r="F2247" s="3">
        <f t="shared" ref="F2247:G2249" si="196">DATE(2025,9,9)</f>
        <v>45909</v>
      </c>
      <c r="G2247" s="3">
        <f t="shared" si="196"/>
        <v>45909</v>
      </c>
      <c r="H2247">
        <v>2777637237</v>
      </c>
      <c r="I2247" t="s">
        <v>21</v>
      </c>
      <c r="K2247" t="s">
        <v>22</v>
      </c>
      <c r="L2247" t="s">
        <v>23</v>
      </c>
      <c r="M2247" t="s">
        <v>24</v>
      </c>
      <c r="N2247" t="s">
        <v>24</v>
      </c>
      <c r="O2247" t="s">
        <v>25</v>
      </c>
      <c r="P2247" s="8" t="s">
        <v>2850</v>
      </c>
      <c r="Q2247" s="11"/>
      <c r="R2247" s="11"/>
      <c r="S2247" s="11"/>
      <c r="T2247" s="11"/>
      <c r="U2247" s="11"/>
      <c r="V2247" s="11"/>
      <c r="W2247" s="11"/>
      <c r="X2247" s="11"/>
      <c r="Y2247" s="11"/>
      <c r="Z2247" s="11"/>
      <c r="AA2247" s="11"/>
      <c r="AB2247" s="11"/>
      <c r="AC2247" s="11"/>
      <c r="AD2247" s="11"/>
      <c r="AE2247" s="11"/>
      <c r="AF2247" s="11"/>
      <c r="AG2247" s="11"/>
      <c r="AH2247" s="11"/>
      <c r="AI2247" s="11"/>
      <c r="AJ2247" s="11"/>
      <c r="AK2247" s="11"/>
      <c r="AL2247" s="11"/>
      <c r="AM2247" s="11"/>
      <c r="AN2247" s="11"/>
      <c r="AO2247" s="11"/>
      <c r="AP2247" s="11"/>
      <c r="AQ2247" s="11"/>
      <c r="AR2247" s="11"/>
      <c r="AS2247" s="11"/>
      <c r="AT2247" s="11"/>
      <c r="AU2247" s="11"/>
      <c r="AV2247" s="11"/>
      <c r="AW2247" s="11"/>
      <c r="AX2247" s="11"/>
      <c r="AY2247" s="11"/>
    </row>
    <row r="2248" spans="1:51" hidden="1" x14ac:dyDescent="0.2">
      <c r="A2248" s="6" t="s">
        <v>17</v>
      </c>
      <c r="B2248" t="s">
        <v>27</v>
      </c>
      <c r="C2248" t="s">
        <v>28</v>
      </c>
      <c r="D2248" t="s">
        <v>2851</v>
      </c>
      <c r="E2248" s="2">
        <v>1156.0999999999999</v>
      </c>
      <c r="F2248" s="3">
        <f t="shared" si="196"/>
        <v>45909</v>
      </c>
      <c r="G2248" s="3">
        <f t="shared" si="196"/>
        <v>45909</v>
      </c>
      <c r="H2248">
        <v>2777637238</v>
      </c>
      <c r="I2248" t="s">
        <v>21</v>
      </c>
      <c r="K2248" t="s">
        <v>22</v>
      </c>
      <c r="L2248" t="s">
        <v>23</v>
      </c>
      <c r="M2248" t="s">
        <v>24</v>
      </c>
      <c r="N2248" t="s">
        <v>24</v>
      </c>
      <c r="O2248" t="s">
        <v>25</v>
      </c>
      <c r="P2248" s="8" t="s">
        <v>2852</v>
      </c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  <c r="AA2248" s="11"/>
      <c r="AB2248" s="11"/>
      <c r="AC2248" s="11"/>
      <c r="AD2248" s="11"/>
      <c r="AE2248" s="11"/>
      <c r="AF2248" s="11"/>
      <c r="AG2248" s="11"/>
      <c r="AH2248" s="11"/>
      <c r="AI2248" s="11"/>
      <c r="AJ2248" s="11"/>
      <c r="AK2248" s="11"/>
      <c r="AL2248" s="11"/>
      <c r="AM2248" s="11"/>
      <c r="AN2248" s="11"/>
      <c r="AO2248" s="11"/>
      <c r="AP2248" s="11"/>
      <c r="AQ2248" s="11"/>
      <c r="AR2248" s="11"/>
      <c r="AS2248" s="11"/>
      <c r="AT2248" s="11"/>
      <c r="AU2248" s="11"/>
      <c r="AV2248" s="11"/>
      <c r="AW2248" s="11"/>
      <c r="AX2248" s="11"/>
      <c r="AY2248" s="11"/>
    </row>
    <row r="2249" spans="1:51" hidden="1" x14ac:dyDescent="0.2">
      <c r="A2249" s="6" t="s">
        <v>17</v>
      </c>
      <c r="B2249" t="s">
        <v>27</v>
      </c>
      <c r="C2249" t="s">
        <v>28</v>
      </c>
      <c r="D2249" t="s">
        <v>2853</v>
      </c>
      <c r="E2249" s="2">
        <v>871.08</v>
      </c>
      <c r="F2249" s="3">
        <f t="shared" si="196"/>
        <v>45909</v>
      </c>
      <c r="G2249" s="3">
        <f t="shared" si="196"/>
        <v>45909</v>
      </c>
      <c r="H2249">
        <v>2777637239</v>
      </c>
      <c r="I2249" t="s">
        <v>21</v>
      </c>
      <c r="K2249" t="s">
        <v>22</v>
      </c>
      <c r="L2249" t="s">
        <v>23</v>
      </c>
      <c r="M2249" t="s">
        <v>24</v>
      </c>
      <c r="N2249" t="s">
        <v>24</v>
      </c>
      <c r="O2249" t="s">
        <v>25</v>
      </c>
      <c r="P2249" s="8" t="s">
        <v>2854</v>
      </c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1"/>
      <c r="AB2249" s="11"/>
      <c r="AC2249" s="11"/>
      <c r="AD2249" s="11"/>
      <c r="AE2249" s="11"/>
      <c r="AF2249" s="11"/>
      <c r="AG2249" s="11"/>
      <c r="AH2249" s="11"/>
      <c r="AI2249" s="11"/>
      <c r="AJ2249" s="11"/>
      <c r="AK2249" s="11"/>
      <c r="AL2249" s="11"/>
      <c r="AM2249" s="11"/>
      <c r="AN2249" s="11"/>
      <c r="AO2249" s="11"/>
      <c r="AP2249" s="11"/>
      <c r="AQ2249" s="11"/>
      <c r="AR2249" s="11"/>
      <c r="AS2249" s="11"/>
      <c r="AT2249" s="11"/>
      <c r="AU2249" s="11"/>
      <c r="AV2249" s="11"/>
      <c r="AW2249" s="11"/>
      <c r="AX2249" s="11"/>
      <c r="AY2249" s="11"/>
    </row>
    <row r="2250" spans="1:51" hidden="1" x14ac:dyDescent="0.2">
      <c r="A2250" s="6"/>
      <c r="E2250" s="2"/>
      <c r="F2250" s="3"/>
      <c r="G2250" s="3"/>
      <c r="P2250" s="8"/>
      <c r="Q2250" s="11"/>
      <c r="R2250" s="11"/>
      <c r="S2250" s="11"/>
      <c r="T2250" s="11"/>
      <c r="U2250" s="11"/>
      <c r="V2250" s="11"/>
      <c r="W2250" s="11"/>
      <c r="X2250" s="11"/>
      <c r="Y2250" s="11"/>
      <c r="Z2250" s="11"/>
      <c r="AA2250" s="11"/>
      <c r="AB2250" s="11"/>
      <c r="AC2250" s="11"/>
      <c r="AD2250" s="11"/>
      <c r="AE2250" s="11"/>
      <c r="AF2250" s="11"/>
      <c r="AG2250" s="11"/>
      <c r="AH2250" s="11"/>
      <c r="AI2250" s="11"/>
      <c r="AJ2250" s="11"/>
      <c r="AK2250" s="11"/>
      <c r="AL2250" s="11"/>
      <c r="AM2250" s="11"/>
      <c r="AN2250" s="11"/>
      <c r="AO2250" s="11"/>
      <c r="AP2250" s="11"/>
      <c r="AQ2250" s="11"/>
      <c r="AR2250" s="11"/>
      <c r="AS2250" s="11"/>
      <c r="AT2250" s="11"/>
      <c r="AU2250" s="11"/>
      <c r="AV2250" s="11"/>
      <c r="AW2250" s="11"/>
      <c r="AX2250" s="11"/>
      <c r="AY2250" s="11"/>
    </row>
    <row r="2251" spans="1:51" hidden="1" x14ac:dyDescent="0.2">
      <c r="A2251" s="6"/>
      <c r="E2251" s="2"/>
      <c r="F2251" s="3"/>
      <c r="G2251" s="3"/>
      <c r="P2251" s="8"/>
      <c r="Q2251" s="11"/>
      <c r="R2251" s="11"/>
      <c r="S2251" s="11"/>
      <c r="T2251" s="11"/>
      <c r="U2251" s="11"/>
      <c r="V2251" s="11"/>
      <c r="W2251" s="11"/>
      <c r="X2251" s="11"/>
      <c r="Y2251" s="11"/>
      <c r="Z2251" s="11"/>
      <c r="AA2251" s="11"/>
      <c r="AB2251" s="11"/>
      <c r="AC2251" s="11"/>
      <c r="AD2251" s="11"/>
      <c r="AE2251" s="11"/>
      <c r="AF2251" s="11"/>
      <c r="AG2251" s="11"/>
      <c r="AH2251" s="11"/>
      <c r="AI2251" s="11"/>
      <c r="AJ2251" s="11"/>
      <c r="AK2251" s="11"/>
      <c r="AL2251" s="11"/>
      <c r="AM2251" s="11"/>
      <c r="AN2251" s="11"/>
      <c r="AO2251" s="11"/>
      <c r="AP2251" s="11"/>
      <c r="AQ2251" s="11"/>
      <c r="AR2251" s="11"/>
      <c r="AS2251" s="11"/>
      <c r="AT2251" s="11"/>
      <c r="AU2251" s="11"/>
      <c r="AV2251" s="11"/>
      <c r="AW2251" s="11"/>
      <c r="AX2251" s="11"/>
      <c r="AY2251" s="11"/>
    </row>
    <row r="2252" spans="1:51" hidden="1" x14ac:dyDescent="0.2">
      <c r="A2252" s="6"/>
      <c r="E2252" s="2"/>
      <c r="F2252" s="3"/>
      <c r="G2252" s="3"/>
      <c r="P2252" s="8"/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  <c r="AA2252" s="11"/>
      <c r="AB2252" s="11"/>
      <c r="AC2252" s="11"/>
      <c r="AD2252" s="11"/>
      <c r="AE2252" s="11"/>
      <c r="AF2252" s="11"/>
      <c r="AG2252" s="11"/>
      <c r="AH2252" s="11"/>
      <c r="AI2252" s="11"/>
      <c r="AJ2252" s="11"/>
      <c r="AK2252" s="11"/>
      <c r="AL2252" s="11"/>
      <c r="AM2252" s="11"/>
      <c r="AN2252" s="11"/>
      <c r="AO2252" s="11"/>
      <c r="AP2252" s="11"/>
      <c r="AQ2252" s="11"/>
      <c r="AR2252" s="11"/>
      <c r="AS2252" s="11"/>
      <c r="AT2252" s="11"/>
      <c r="AU2252" s="11"/>
      <c r="AV2252" s="11"/>
      <c r="AW2252" s="11"/>
      <c r="AX2252" s="11"/>
      <c r="AY2252" s="11"/>
    </row>
    <row r="2253" spans="1:51" hidden="1" x14ac:dyDescent="0.2">
      <c r="A2253" s="6" t="s">
        <v>17</v>
      </c>
      <c r="B2253" t="s">
        <v>18</v>
      </c>
      <c r="C2253" t="s">
        <v>19</v>
      </c>
      <c r="D2253" t="s">
        <v>2855</v>
      </c>
      <c r="E2253" s="2">
        <v>0.73</v>
      </c>
      <c r="F2253" s="3">
        <f t="shared" ref="F2253:G2254" si="197">DATE(2025,9,8)</f>
        <v>45908</v>
      </c>
      <c r="G2253" s="3">
        <f t="shared" si="197"/>
        <v>45908</v>
      </c>
      <c r="H2253">
        <v>2777730972</v>
      </c>
      <c r="I2253" t="s">
        <v>192</v>
      </c>
      <c r="K2253" t="s">
        <v>22</v>
      </c>
      <c r="L2253" t="s">
        <v>23</v>
      </c>
      <c r="M2253" t="s">
        <v>24</v>
      </c>
      <c r="N2253" t="s">
        <v>24</v>
      </c>
      <c r="O2253" t="s">
        <v>25</v>
      </c>
      <c r="P2253" s="8" t="s">
        <v>2856</v>
      </c>
      <c r="Q2253" s="11"/>
      <c r="R2253" s="11"/>
      <c r="S2253" s="11"/>
      <c r="T2253" s="11"/>
      <c r="U2253" s="11"/>
      <c r="V2253" s="11"/>
      <c r="W2253" s="11"/>
      <c r="X2253" s="11"/>
      <c r="Y2253" s="11"/>
      <c r="Z2253" s="11"/>
      <c r="AA2253" s="11"/>
      <c r="AB2253" s="11"/>
      <c r="AC2253" s="11"/>
      <c r="AD2253" s="11"/>
      <c r="AE2253" s="11"/>
      <c r="AF2253" s="11"/>
      <c r="AG2253" s="11"/>
      <c r="AH2253" s="11"/>
      <c r="AI2253" s="11"/>
      <c r="AJ2253" s="11"/>
      <c r="AK2253" s="11"/>
      <c r="AL2253" s="11"/>
      <c r="AM2253" s="11"/>
      <c r="AN2253" s="11"/>
      <c r="AO2253" s="11"/>
      <c r="AP2253" s="11"/>
      <c r="AQ2253" s="11"/>
      <c r="AR2253" s="11"/>
      <c r="AS2253" s="11"/>
      <c r="AT2253" s="11"/>
      <c r="AU2253" s="11"/>
      <c r="AV2253" s="11"/>
      <c r="AW2253" s="11"/>
      <c r="AX2253" s="11"/>
      <c r="AY2253" s="11"/>
    </row>
    <row r="2254" spans="1:51" hidden="1" x14ac:dyDescent="0.2">
      <c r="A2254" s="6" t="s">
        <v>17</v>
      </c>
      <c r="B2254" t="s">
        <v>118</v>
      </c>
      <c r="C2254" t="s">
        <v>119</v>
      </c>
      <c r="D2254" t="s">
        <v>2857</v>
      </c>
      <c r="E2254" s="2">
        <v>406.42</v>
      </c>
      <c r="F2254" s="3">
        <f t="shared" si="197"/>
        <v>45908</v>
      </c>
      <c r="G2254" s="3">
        <f t="shared" si="197"/>
        <v>45908</v>
      </c>
      <c r="H2254">
        <v>2777730973</v>
      </c>
      <c r="I2254" t="s">
        <v>192</v>
      </c>
      <c r="K2254" t="s">
        <v>22</v>
      </c>
      <c r="L2254" t="s">
        <v>23</v>
      </c>
      <c r="M2254" t="s">
        <v>24</v>
      </c>
      <c r="N2254" t="s">
        <v>24</v>
      </c>
      <c r="O2254" t="s">
        <v>25</v>
      </c>
      <c r="P2254" s="8" t="s">
        <v>2858</v>
      </c>
      <c r="Q2254" s="11"/>
      <c r="R2254" s="11"/>
      <c r="S2254" s="11"/>
      <c r="T2254" s="11"/>
      <c r="U2254" s="11"/>
      <c r="V2254" s="11"/>
      <c r="W2254" s="11"/>
      <c r="X2254" s="11"/>
      <c r="Y2254" s="11"/>
      <c r="Z2254" s="11"/>
      <c r="AA2254" s="11"/>
      <c r="AB2254" s="11"/>
      <c r="AC2254" s="11"/>
      <c r="AD2254" s="11"/>
      <c r="AE2254" s="11"/>
      <c r="AF2254" s="11"/>
      <c r="AG2254" s="11"/>
      <c r="AH2254" s="11"/>
      <c r="AI2254" s="11"/>
      <c r="AJ2254" s="11"/>
      <c r="AK2254" s="11"/>
      <c r="AL2254" s="11"/>
      <c r="AM2254" s="11"/>
      <c r="AN2254" s="11"/>
      <c r="AO2254" s="11"/>
      <c r="AP2254" s="11"/>
      <c r="AQ2254" s="11"/>
      <c r="AR2254" s="11"/>
      <c r="AS2254" s="11"/>
      <c r="AT2254" s="11"/>
      <c r="AU2254" s="11"/>
      <c r="AV2254" s="11"/>
      <c r="AW2254" s="11"/>
      <c r="AX2254" s="11"/>
      <c r="AY2254" s="11"/>
    </row>
    <row r="2255" spans="1:51" hidden="1" x14ac:dyDescent="0.2">
      <c r="A2255" s="6" t="s">
        <v>17</v>
      </c>
      <c r="B2255" t="s">
        <v>118</v>
      </c>
      <c r="C2255" t="s">
        <v>119</v>
      </c>
      <c r="D2255" t="s">
        <v>2859</v>
      </c>
      <c r="E2255" s="2">
        <v>95.1</v>
      </c>
      <c r="F2255" s="3">
        <f>DATE(2025,9,9)</f>
        <v>45909</v>
      </c>
      <c r="G2255" s="3">
        <f>DATE(2025,9,9)</f>
        <v>45909</v>
      </c>
      <c r="H2255">
        <v>2777730974</v>
      </c>
      <c r="I2255" t="s">
        <v>192</v>
      </c>
      <c r="K2255" t="s">
        <v>22</v>
      </c>
      <c r="L2255" t="s">
        <v>23</v>
      </c>
      <c r="M2255" t="s">
        <v>24</v>
      </c>
      <c r="N2255" t="s">
        <v>24</v>
      </c>
      <c r="O2255" t="s">
        <v>25</v>
      </c>
      <c r="P2255" s="8" t="s">
        <v>2860</v>
      </c>
      <c r="Q2255" s="11"/>
      <c r="R2255" s="11"/>
      <c r="S2255" s="11"/>
      <c r="T2255" s="11"/>
      <c r="U2255" s="11"/>
      <c r="V2255" s="11"/>
      <c r="W2255" s="11"/>
      <c r="X2255" s="11"/>
      <c r="Y2255" s="11"/>
      <c r="Z2255" s="11"/>
      <c r="AA2255" s="11"/>
      <c r="AB2255" s="11"/>
      <c r="AC2255" s="11"/>
      <c r="AD2255" s="11"/>
      <c r="AE2255" s="11"/>
      <c r="AF2255" s="11"/>
      <c r="AG2255" s="11"/>
      <c r="AH2255" s="11"/>
      <c r="AI2255" s="11"/>
      <c r="AJ2255" s="11"/>
      <c r="AK2255" s="11"/>
      <c r="AL2255" s="11"/>
      <c r="AM2255" s="11"/>
      <c r="AN2255" s="11"/>
      <c r="AO2255" s="11"/>
      <c r="AP2255" s="11"/>
      <c r="AQ2255" s="11"/>
      <c r="AR2255" s="11"/>
      <c r="AS2255" s="11"/>
      <c r="AT2255" s="11"/>
      <c r="AU2255" s="11"/>
      <c r="AV2255" s="11"/>
      <c r="AW2255" s="11"/>
      <c r="AX2255" s="11"/>
      <c r="AY2255" s="11"/>
    </row>
    <row r="2256" spans="1:51" hidden="1" x14ac:dyDescent="0.2">
      <c r="A2256" s="6"/>
      <c r="E2256" s="2"/>
      <c r="F2256" s="3"/>
      <c r="G2256" s="3"/>
      <c r="P2256" s="8"/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  <c r="AA2256" s="11"/>
      <c r="AB2256" s="11"/>
      <c r="AC2256" s="11"/>
      <c r="AD2256" s="11"/>
      <c r="AE2256" s="11"/>
      <c r="AF2256" s="11"/>
      <c r="AG2256" s="11"/>
      <c r="AH2256" s="11"/>
      <c r="AI2256" s="11"/>
      <c r="AJ2256" s="11"/>
      <c r="AK2256" s="11"/>
      <c r="AL2256" s="11"/>
      <c r="AM2256" s="11"/>
      <c r="AN2256" s="11"/>
      <c r="AO2256" s="11"/>
      <c r="AP2256" s="11"/>
      <c r="AQ2256" s="11"/>
      <c r="AR2256" s="11"/>
      <c r="AS2256" s="11"/>
      <c r="AT2256" s="11"/>
      <c r="AU2256" s="11"/>
      <c r="AV2256" s="11"/>
      <c r="AW2256" s="11"/>
      <c r="AX2256" s="11"/>
      <c r="AY2256" s="11"/>
    </row>
    <row r="2257" spans="1:51" hidden="1" x14ac:dyDescent="0.2">
      <c r="A2257" s="6"/>
      <c r="E2257" s="2"/>
      <c r="F2257" s="3"/>
      <c r="G2257" s="3"/>
      <c r="P2257" s="8"/>
      <c r="Q2257" s="11"/>
      <c r="R2257" s="11"/>
      <c r="S2257" s="11"/>
      <c r="T2257" s="11"/>
      <c r="U2257" s="11"/>
      <c r="V2257" s="11"/>
      <c r="W2257" s="11"/>
      <c r="X2257" s="11"/>
      <c r="Y2257" s="11"/>
      <c r="Z2257" s="11"/>
      <c r="AA2257" s="11"/>
      <c r="AB2257" s="11"/>
      <c r="AC2257" s="11"/>
      <c r="AD2257" s="11"/>
      <c r="AE2257" s="11"/>
      <c r="AF2257" s="11"/>
      <c r="AG2257" s="11"/>
      <c r="AH2257" s="11"/>
      <c r="AI2257" s="11"/>
      <c r="AJ2257" s="11"/>
      <c r="AK2257" s="11"/>
      <c r="AL2257" s="11"/>
      <c r="AM2257" s="11"/>
      <c r="AN2257" s="11"/>
      <c r="AO2257" s="11"/>
      <c r="AP2257" s="11"/>
      <c r="AQ2257" s="11"/>
      <c r="AR2257" s="11"/>
      <c r="AS2257" s="11"/>
      <c r="AT2257" s="11"/>
      <c r="AU2257" s="11"/>
      <c r="AV2257" s="11"/>
      <c r="AW2257" s="11"/>
      <c r="AX2257" s="11"/>
      <c r="AY2257" s="11"/>
    </row>
    <row r="2258" spans="1:51" hidden="1" x14ac:dyDescent="0.2">
      <c r="A2258" s="6" t="s">
        <v>17</v>
      </c>
      <c r="B2258" t="s">
        <v>399</v>
      </c>
      <c r="C2258" t="s">
        <v>400</v>
      </c>
      <c r="D2258" t="s">
        <v>2861</v>
      </c>
      <c r="E2258" s="2">
        <v>10.45</v>
      </c>
      <c r="F2258" s="3">
        <f t="shared" ref="F2258:G2258" si="198">DATE(2025,9,8)</f>
        <v>45908</v>
      </c>
      <c r="G2258" s="3">
        <f t="shared" si="198"/>
        <v>45908</v>
      </c>
      <c r="H2258">
        <v>2787617965</v>
      </c>
      <c r="I2258" t="s">
        <v>158</v>
      </c>
      <c r="K2258" t="s">
        <v>22</v>
      </c>
      <c r="L2258" t="s">
        <v>23</v>
      </c>
      <c r="M2258" t="s">
        <v>24</v>
      </c>
      <c r="N2258" t="s">
        <v>24</v>
      </c>
      <c r="O2258" t="s">
        <v>25</v>
      </c>
      <c r="P2258" s="8" t="s">
        <v>2862</v>
      </c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  <c r="AA2258" s="11"/>
      <c r="AB2258" s="11"/>
      <c r="AC2258" s="11"/>
      <c r="AD2258" s="11"/>
      <c r="AE2258" s="11"/>
      <c r="AF2258" s="11"/>
      <c r="AG2258" s="11"/>
      <c r="AH2258" s="11"/>
      <c r="AI2258" s="11"/>
      <c r="AJ2258" s="11"/>
      <c r="AK2258" s="11"/>
      <c r="AL2258" s="11"/>
      <c r="AM2258" s="11"/>
      <c r="AN2258" s="11"/>
      <c r="AO2258" s="11"/>
      <c r="AP2258" s="11"/>
      <c r="AQ2258" s="11"/>
      <c r="AR2258" s="11"/>
      <c r="AS2258" s="11"/>
      <c r="AT2258" s="11"/>
      <c r="AU2258" s="11"/>
      <c r="AV2258" s="11"/>
      <c r="AW2258" s="11"/>
      <c r="AX2258" s="11"/>
      <c r="AY2258" s="11"/>
    </row>
    <row r="2259" spans="1:51" hidden="1" x14ac:dyDescent="0.2">
      <c r="A2259" s="6" t="s">
        <v>17</v>
      </c>
      <c r="B2259" t="s">
        <v>118</v>
      </c>
      <c r="C2259" t="s">
        <v>119</v>
      </c>
      <c r="D2259" t="s">
        <v>2863</v>
      </c>
      <c r="E2259" s="2">
        <v>30</v>
      </c>
      <c r="F2259" s="3">
        <f>DATE(2025,9,11)</f>
        <v>45911</v>
      </c>
      <c r="G2259" s="3">
        <f>DATE(2025,9,11)</f>
        <v>45911</v>
      </c>
      <c r="H2259">
        <v>2787617972</v>
      </c>
      <c r="I2259" t="s">
        <v>21</v>
      </c>
      <c r="K2259" t="s">
        <v>22</v>
      </c>
      <c r="L2259" t="s">
        <v>23</v>
      </c>
      <c r="M2259" t="s">
        <v>24</v>
      </c>
      <c r="N2259" t="s">
        <v>24</v>
      </c>
      <c r="O2259" t="s">
        <v>25</v>
      </c>
      <c r="P2259" s="8" t="s">
        <v>2864</v>
      </c>
      <c r="Q2259" s="11"/>
      <c r="R2259" s="11"/>
      <c r="S2259" s="11"/>
      <c r="T2259" s="11"/>
      <c r="U2259" s="11"/>
      <c r="V2259" s="11"/>
      <c r="W2259" s="11"/>
      <c r="X2259" s="11"/>
      <c r="Y2259" s="11"/>
      <c r="Z2259" s="11"/>
      <c r="AA2259" s="11"/>
      <c r="AB2259" s="11"/>
      <c r="AC2259" s="11"/>
      <c r="AD2259" s="11"/>
      <c r="AE2259" s="11"/>
      <c r="AF2259" s="11"/>
      <c r="AG2259" s="11"/>
      <c r="AH2259" s="11"/>
      <c r="AI2259" s="11"/>
      <c r="AJ2259" s="11"/>
      <c r="AK2259" s="11"/>
      <c r="AL2259" s="11"/>
      <c r="AM2259" s="11"/>
      <c r="AN2259" s="11"/>
      <c r="AO2259" s="11"/>
      <c r="AP2259" s="11"/>
      <c r="AQ2259" s="11"/>
      <c r="AR2259" s="11"/>
      <c r="AS2259" s="11"/>
      <c r="AT2259" s="11"/>
      <c r="AU2259" s="11"/>
      <c r="AV2259" s="11"/>
      <c r="AW2259" s="11"/>
      <c r="AX2259" s="11"/>
      <c r="AY2259" s="11"/>
    </row>
    <row r="2260" spans="1:51" hidden="1" x14ac:dyDescent="0.2">
      <c r="A2260" s="6"/>
      <c r="E2260" s="2"/>
      <c r="F2260" s="3"/>
      <c r="G2260" s="3"/>
      <c r="P2260" s="8"/>
      <c r="Q2260" s="11"/>
      <c r="R2260" s="11"/>
      <c r="S2260" s="11"/>
      <c r="T2260" s="11"/>
      <c r="U2260" s="11"/>
      <c r="V2260" s="11"/>
      <c r="W2260" s="11"/>
      <c r="X2260" s="11"/>
      <c r="Y2260" s="11"/>
      <c r="Z2260" s="11"/>
      <c r="AA2260" s="11"/>
      <c r="AB2260" s="11"/>
      <c r="AC2260" s="11"/>
      <c r="AD2260" s="11"/>
      <c r="AE2260" s="11"/>
      <c r="AF2260" s="11"/>
      <c r="AG2260" s="11"/>
      <c r="AH2260" s="11"/>
      <c r="AI2260" s="11"/>
      <c r="AJ2260" s="11"/>
      <c r="AK2260" s="11"/>
      <c r="AL2260" s="11"/>
      <c r="AM2260" s="11"/>
      <c r="AN2260" s="11"/>
      <c r="AO2260" s="11"/>
      <c r="AP2260" s="11"/>
      <c r="AQ2260" s="11"/>
      <c r="AR2260" s="11"/>
      <c r="AS2260" s="11"/>
      <c r="AT2260" s="11"/>
      <c r="AU2260" s="11"/>
      <c r="AV2260" s="11"/>
      <c r="AW2260" s="11"/>
      <c r="AX2260" s="11"/>
      <c r="AY2260" s="11"/>
    </row>
    <row r="2261" spans="1:51" hidden="1" x14ac:dyDescent="0.2">
      <c r="A2261" s="6"/>
      <c r="E2261" s="2"/>
      <c r="F2261" s="3"/>
      <c r="G2261" s="3"/>
      <c r="P2261" s="8"/>
      <c r="Q2261" s="11"/>
      <c r="R2261" s="11"/>
      <c r="S2261" s="11"/>
      <c r="T2261" s="11"/>
      <c r="U2261" s="11"/>
      <c r="V2261" s="11"/>
      <c r="W2261" s="11"/>
      <c r="X2261" s="11"/>
      <c r="Y2261" s="11"/>
      <c r="Z2261" s="11"/>
      <c r="AA2261" s="11"/>
      <c r="AB2261" s="11"/>
      <c r="AC2261" s="11"/>
      <c r="AD2261" s="11"/>
      <c r="AE2261" s="11"/>
      <c r="AF2261" s="11"/>
      <c r="AG2261" s="11"/>
      <c r="AH2261" s="11"/>
      <c r="AI2261" s="11"/>
      <c r="AJ2261" s="11"/>
      <c r="AK2261" s="11"/>
      <c r="AL2261" s="11"/>
      <c r="AM2261" s="11"/>
      <c r="AN2261" s="11"/>
      <c r="AO2261" s="11"/>
      <c r="AP2261" s="11"/>
      <c r="AQ2261" s="11"/>
      <c r="AR2261" s="11"/>
      <c r="AS2261" s="11"/>
      <c r="AT2261" s="11"/>
      <c r="AU2261" s="11"/>
      <c r="AV2261" s="11"/>
      <c r="AW2261" s="11"/>
      <c r="AX2261" s="11"/>
      <c r="AY2261" s="11"/>
    </row>
    <row r="2262" spans="1:51" hidden="1" x14ac:dyDescent="0.2">
      <c r="A2262" s="6"/>
      <c r="E2262" s="2"/>
      <c r="F2262" s="3"/>
      <c r="G2262" s="3"/>
      <c r="P2262" s="8"/>
      <c r="Q2262" s="11"/>
      <c r="R2262" s="11"/>
      <c r="S2262" s="11"/>
      <c r="T2262" s="11"/>
      <c r="U2262" s="11"/>
      <c r="V2262" s="11"/>
      <c r="W2262" s="11"/>
      <c r="X2262" s="11"/>
      <c r="Y2262" s="11"/>
      <c r="Z2262" s="11"/>
      <c r="AA2262" s="11"/>
      <c r="AB2262" s="11"/>
      <c r="AC2262" s="11"/>
      <c r="AD2262" s="11"/>
      <c r="AE2262" s="11"/>
      <c r="AF2262" s="11"/>
      <c r="AG2262" s="11"/>
      <c r="AH2262" s="11"/>
      <c r="AI2262" s="11"/>
      <c r="AJ2262" s="11"/>
      <c r="AK2262" s="11"/>
      <c r="AL2262" s="11"/>
      <c r="AM2262" s="11"/>
      <c r="AN2262" s="11"/>
      <c r="AO2262" s="11"/>
      <c r="AP2262" s="11"/>
      <c r="AQ2262" s="11"/>
      <c r="AR2262" s="11"/>
      <c r="AS2262" s="11"/>
      <c r="AT2262" s="11"/>
      <c r="AU2262" s="11"/>
      <c r="AV2262" s="11"/>
      <c r="AW2262" s="11"/>
      <c r="AX2262" s="11"/>
      <c r="AY2262" s="11"/>
    </row>
    <row r="2263" spans="1:51" hidden="1" x14ac:dyDescent="0.2">
      <c r="A2263" s="6" t="s">
        <v>17</v>
      </c>
      <c r="B2263" t="s">
        <v>42</v>
      </c>
      <c r="C2263" t="s">
        <v>43</v>
      </c>
      <c r="D2263" t="s">
        <v>2865</v>
      </c>
      <c r="E2263" s="2">
        <v>143.30000000000001</v>
      </c>
      <c r="F2263" s="3">
        <f t="shared" ref="F2263:G2270" si="199">DATE(2025,9,10)</f>
        <v>45910</v>
      </c>
      <c r="G2263" s="3">
        <f t="shared" si="199"/>
        <v>45910</v>
      </c>
      <c r="H2263">
        <v>2787617976</v>
      </c>
      <c r="I2263" t="s">
        <v>21</v>
      </c>
      <c r="K2263" t="s">
        <v>22</v>
      </c>
      <c r="L2263" t="s">
        <v>23</v>
      </c>
      <c r="M2263" t="s">
        <v>24</v>
      </c>
      <c r="N2263" t="s">
        <v>24</v>
      </c>
      <c r="O2263" t="s">
        <v>25</v>
      </c>
      <c r="P2263" s="8" t="s">
        <v>2866</v>
      </c>
      <c r="Q2263" s="11"/>
      <c r="R2263" s="11"/>
      <c r="S2263" s="11"/>
      <c r="T2263" s="11"/>
      <c r="U2263" s="11"/>
      <c r="V2263" s="11"/>
      <c r="W2263" s="11"/>
      <c r="X2263" s="11"/>
      <c r="Y2263" s="11"/>
      <c r="Z2263" s="11"/>
      <c r="AA2263" s="11"/>
      <c r="AB2263" s="11"/>
      <c r="AC2263" s="11"/>
      <c r="AD2263" s="11"/>
      <c r="AE2263" s="11"/>
      <c r="AF2263" s="11"/>
      <c r="AG2263" s="11"/>
      <c r="AH2263" s="11"/>
      <c r="AI2263" s="11"/>
      <c r="AJ2263" s="11"/>
      <c r="AK2263" s="11"/>
      <c r="AL2263" s="11"/>
      <c r="AM2263" s="11"/>
      <c r="AN2263" s="11"/>
      <c r="AO2263" s="11"/>
      <c r="AP2263" s="11"/>
      <c r="AQ2263" s="11"/>
      <c r="AR2263" s="11"/>
      <c r="AS2263" s="11"/>
      <c r="AT2263" s="11"/>
      <c r="AU2263" s="11"/>
      <c r="AV2263" s="11"/>
      <c r="AW2263" s="11"/>
      <c r="AX2263" s="11"/>
      <c r="AY2263" s="11"/>
    </row>
    <row r="2264" spans="1:51" hidden="1" x14ac:dyDescent="0.2">
      <c r="A2264" s="6"/>
      <c r="E2264" s="2"/>
      <c r="F2264" s="3"/>
      <c r="G2264" s="3"/>
      <c r="P2264" s="8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11"/>
      <c r="AB2264" s="11"/>
      <c r="AC2264" s="11"/>
      <c r="AD2264" s="11"/>
      <c r="AE2264" s="11"/>
      <c r="AF2264" s="11"/>
      <c r="AG2264" s="11"/>
      <c r="AH2264" s="11"/>
      <c r="AI2264" s="11"/>
      <c r="AJ2264" s="11"/>
      <c r="AK2264" s="11"/>
      <c r="AL2264" s="11"/>
      <c r="AM2264" s="11"/>
      <c r="AN2264" s="11"/>
      <c r="AO2264" s="11"/>
      <c r="AP2264" s="11"/>
      <c r="AQ2264" s="11"/>
      <c r="AR2264" s="11"/>
      <c r="AS2264" s="11"/>
      <c r="AT2264" s="11"/>
      <c r="AU2264" s="11"/>
      <c r="AV2264" s="11"/>
      <c r="AW2264" s="11"/>
      <c r="AX2264" s="11"/>
      <c r="AY2264" s="11"/>
    </row>
    <row r="2265" spans="1:51" hidden="1" x14ac:dyDescent="0.2">
      <c r="A2265" s="6"/>
      <c r="E2265" s="2"/>
      <c r="F2265" s="3"/>
      <c r="G2265" s="3"/>
      <c r="P2265" s="8"/>
      <c r="Q2265" s="11"/>
      <c r="R2265" s="11"/>
      <c r="S2265" s="11"/>
      <c r="T2265" s="11"/>
      <c r="U2265" s="11"/>
      <c r="V2265" s="11"/>
      <c r="W2265" s="11"/>
      <c r="X2265" s="11"/>
      <c r="Y2265" s="11"/>
      <c r="Z2265" s="11"/>
      <c r="AA2265" s="11"/>
      <c r="AB2265" s="11"/>
      <c r="AC2265" s="11"/>
      <c r="AD2265" s="11"/>
      <c r="AE2265" s="11"/>
      <c r="AF2265" s="11"/>
      <c r="AG2265" s="11"/>
      <c r="AH2265" s="11"/>
      <c r="AI2265" s="11"/>
      <c r="AJ2265" s="11"/>
      <c r="AK2265" s="11"/>
      <c r="AL2265" s="11"/>
      <c r="AM2265" s="11"/>
      <c r="AN2265" s="11"/>
      <c r="AO2265" s="11"/>
      <c r="AP2265" s="11"/>
      <c r="AQ2265" s="11"/>
      <c r="AR2265" s="11"/>
      <c r="AS2265" s="11"/>
      <c r="AT2265" s="11"/>
      <c r="AU2265" s="11"/>
      <c r="AV2265" s="11"/>
      <c r="AW2265" s="11"/>
      <c r="AX2265" s="11"/>
      <c r="AY2265" s="11"/>
    </row>
    <row r="2266" spans="1:51" hidden="1" x14ac:dyDescent="0.2">
      <c r="A2266" s="6" t="s">
        <v>17</v>
      </c>
      <c r="B2266" t="s">
        <v>35</v>
      </c>
      <c r="C2266" t="s">
        <v>35</v>
      </c>
      <c r="D2266" t="s">
        <v>2867</v>
      </c>
      <c r="E2266" s="2">
        <v>2.04</v>
      </c>
      <c r="F2266" s="3">
        <f t="shared" si="199"/>
        <v>45910</v>
      </c>
      <c r="G2266" s="3">
        <f t="shared" si="199"/>
        <v>45910</v>
      </c>
      <c r="H2266">
        <v>2787617979</v>
      </c>
      <c r="I2266" t="s">
        <v>21</v>
      </c>
      <c r="K2266" t="s">
        <v>22</v>
      </c>
      <c r="L2266" t="s">
        <v>23</v>
      </c>
      <c r="M2266" t="s">
        <v>24</v>
      </c>
      <c r="N2266" t="s">
        <v>24</v>
      </c>
      <c r="O2266" t="s">
        <v>25</v>
      </c>
      <c r="P2266" s="8" t="s">
        <v>2868</v>
      </c>
      <c r="Q2266" s="11"/>
      <c r="R2266" s="11"/>
      <c r="S2266" s="11"/>
      <c r="T2266" s="11"/>
      <c r="U2266" s="11"/>
      <c r="V2266" s="11"/>
      <c r="W2266" s="11"/>
      <c r="X2266" s="11"/>
      <c r="Y2266" s="11"/>
      <c r="Z2266" s="11"/>
      <c r="AA2266" s="11"/>
      <c r="AB2266" s="11"/>
      <c r="AC2266" s="11"/>
      <c r="AD2266" s="11"/>
      <c r="AE2266" s="11"/>
      <c r="AF2266" s="11"/>
      <c r="AG2266" s="11"/>
      <c r="AH2266" s="11"/>
      <c r="AI2266" s="11"/>
      <c r="AJ2266" s="11"/>
      <c r="AK2266" s="11"/>
      <c r="AL2266" s="11"/>
      <c r="AM2266" s="11"/>
      <c r="AN2266" s="11"/>
      <c r="AO2266" s="11"/>
      <c r="AP2266" s="11"/>
      <c r="AQ2266" s="11"/>
      <c r="AR2266" s="11"/>
      <c r="AS2266" s="11"/>
      <c r="AT2266" s="11"/>
      <c r="AU2266" s="11"/>
      <c r="AV2266" s="11"/>
      <c r="AW2266" s="11"/>
      <c r="AX2266" s="11"/>
      <c r="AY2266" s="11"/>
    </row>
    <row r="2267" spans="1:51" hidden="1" x14ac:dyDescent="0.2">
      <c r="A2267" s="6"/>
      <c r="E2267" s="2"/>
      <c r="F2267" s="3"/>
      <c r="G2267" s="3"/>
      <c r="P2267" s="8"/>
      <c r="Q2267" s="11"/>
      <c r="R2267" s="11"/>
      <c r="S2267" s="11"/>
      <c r="T2267" s="11"/>
      <c r="U2267" s="11"/>
      <c r="V2267" s="11"/>
      <c r="W2267" s="11"/>
      <c r="X2267" s="11"/>
      <c r="Y2267" s="11"/>
      <c r="Z2267" s="11"/>
      <c r="AA2267" s="11"/>
      <c r="AB2267" s="11"/>
      <c r="AC2267" s="11"/>
      <c r="AD2267" s="11"/>
      <c r="AE2267" s="11"/>
      <c r="AF2267" s="11"/>
      <c r="AG2267" s="11"/>
      <c r="AH2267" s="11"/>
      <c r="AI2267" s="11"/>
      <c r="AJ2267" s="11"/>
      <c r="AK2267" s="11"/>
      <c r="AL2267" s="11"/>
      <c r="AM2267" s="11"/>
      <c r="AN2267" s="11"/>
      <c r="AO2267" s="11"/>
      <c r="AP2267" s="11"/>
      <c r="AQ2267" s="11"/>
      <c r="AR2267" s="11"/>
      <c r="AS2267" s="11"/>
      <c r="AT2267" s="11"/>
      <c r="AU2267" s="11"/>
      <c r="AV2267" s="11"/>
      <c r="AW2267" s="11"/>
      <c r="AX2267" s="11"/>
      <c r="AY2267" s="11"/>
    </row>
    <row r="2268" spans="1:51" hidden="1" x14ac:dyDescent="0.2">
      <c r="A2268" s="6"/>
      <c r="E2268" s="2"/>
      <c r="F2268" s="3"/>
      <c r="G2268" s="3"/>
      <c r="P2268" s="8"/>
      <c r="Q2268" s="11"/>
      <c r="R2268" s="11"/>
      <c r="S2268" s="11"/>
      <c r="T2268" s="11"/>
      <c r="U2268" s="11"/>
      <c r="V2268" s="11"/>
      <c r="W2268" s="11"/>
      <c r="X2268" s="11"/>
      <c r="Y2268" s="11"/>
      <c r="Z2268" s="11"/>
      <c r="AA2268" s="11"/>
      <c r="AB2268" s="11"/>
      <c r="AC2268" s="11"/>
      <c r="AD2268" s="11"/>
      <c r="AE2268" s="11"/>
      <c r="AF2268" s="11"/>
      <c r="AG2268" s="11"/>
      <c r="AH2268" s="11"/>
      <c r="AI2268" s="11"/>
      <c r="AJ2268" s="11"/>
      <c r="AK2268" s="11"/>
      <c r="AL2268" s="11"/>
      <c r="AM2268" s="11"/>
      <c r="AN2268" s="11"/>
      <c r="AO2268" s="11"/>
      <c r="AP2268" s="11"/>
      <c r="AQ2268" s="11"/>
      <c r="AR2268" s="11"/>
      <c r="AS2268" s="11"/>
      <c r="AT2268" s="11"/>
      <c r="AU2268" s="11"/>
      <c r="AV2268" s="11"/>
      <c r="AW2268" s="11"/>
      <c r="AX2268" s="11"/>
      <c r="AY2268" s="11"/>
    </row>
    <row r="2269" spans="1:51" hidden="1" x14ac:dyDescent="0.2">
      <c r="A2269" s="6" t="s">
        <v>17</v>
      </c>
      <c r="B2269" t="s">
        <v>118</v>
      </c>
      <c r="C2269" t="s">
        <v>119</v>
      </c>
      <c r="D2269" t="s">
        <v>2869</v>
      </c>
      <c r="E2269" s="2">
        <v>99.41</v>
      </c>
      <c r="F2269" s="3">
        <f t="shared" si="199"/>
        <v>45910</v>
      </c>
      <c r="G2269" s="3">
        <f t="shared" si="199"/>
        <v>45910</v>
      </c>
      <c r="H2269">
        <v>2787617982</v>
      </c>
      <c r="I2269" t="s">
        <v>21</v>
      </c>
      <c r="K2269" t="s">
        <v>22</v>
      </c>
      <c r="L2269" t="s">
        <v>23</v>
      </c>
      <c r="M2269" t="s">
        <v>24</v>
      </c>
      <c r="N2269" t="s">
        <v>24</v>
      </c>
      <c r="O2269" t="s">
        <v>25</v>
      </c>
      <c r="P2269" s="8" t="s">
        <v>2870</v>
      </c>
      <c r="Q2269" s="11"/>
      <c r="R2269" s="11"/>
      <c r="S2269" s="11"/>
      <c r="T2269" s="11"/>
      <c r="U2269" s="11"/>
      <c r="V2269" s="11"/>
      <c r="W2269" s="11"/>
      <c r="X2269" s="11"/>
      <c r="Y2269" s="11"/>
      <c r="Z2269" s="11"/>
      <c r="AA2269" s="11"/>
      <c r="AB2269" s="11"/>
      <c r="AC2269" s="11"/>
      <c r="AD2269" s="11"/>
      <c r="AE2269" s="11"/>
      <c r="AF2269" s="11"/>
      <c r="AG2269" s="11"/>
      <c r="AH2269" s="11"/>
      <c r="AI2269" s="11"/>
      <c r="AJ2269" s="11"/>
      <c r="AK2269" s="11"/>
      <c r="AL2269" s="11"/>
      <c r="AM2269" s="11"/>
      <c r="AN2269" s="11"/>
      <c r="AO2269" s="11"/>
      <c r="AP2269" s="11"/>
      <c r="AQ2269" s="11"/>
      <c r="AR2269" s="11"/>
      <c r="AS2269" s="11"/>
      <c r="AT2269" s="11"/>
      <c r="AU2269" s="11"/>
      <c r="AV2269" s="11"/>
      <c r="AW2269" s="11"/>
      <c r="AX2269" s="11"/>
      <c r="AY2269" s="11"/>
    </row>
    <row r="2270" spans="1:51" hidden="1" x14ac:dyDescent="0.2">
      <c r="A2270" s="6" t="s">
        <v>17</v>
      </c>
      <c r="B2270" t="s">
        <v>565</v>
      </c>
      <c r="C2270" t="s">
        <v>566</v>
      </c>
      <c r="D2270" t="s">
        <v>2871</v>
      </c>
      <c r="E2270" s="2">
        <v>960.39</v>
      </c>
      <c r="F2270" s="3">
        <f t="shared" si="199"/>
        <v>45910</v>
      </c>
      <c r="G2270" s="3">
        <f t="shared" si="199"/>
        <v>45910</v>
      </c>
      <c r="H2270">
        <v>2787617983</v>
      </c>
      <c r="I2270" t="s">
        <v>21</v>
      </c>
      <c r="K2270" t="s">
        <v>22</v>
      </c>
      <c r="L2270" t="s">
        <v>23</v>
      </c>
      <c r="M2270" t="s">
        <v>24</v>
      </c>
      <c r="N2270" t="s">
        <v>24</v>
      </c>
      <c r="O2270" t="s">
        <v>25</v>
      </c>
      <c r="P2270" s="8" t="s">
        <v>2872</v>
      </c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  <c r="AA2270" s="11"/>
      <c r="AB2270" s="11"/>
      <c r="AC2270" s="11"/>
      <c r="AD2270" s="11"/>
      <c r="AE2270" s="11"/>
      <c r="AF2270" s="11"/>
      <c r="AG2270" s="11"/>
      <c r="AH2270" s="11"/>
      <c r="AI2270" s="11"/>
      <c r="AJ2270" s="11"/>
      <c r="AK2270" s="11"/>
      <c r="AL2270" s="11"/>
      <c r="AM2270" s="11"/>
      <c r="AN2270" s="11"/>
      <c r="AO2270" s="11"/>
      <c r="AP2270" s="11"/>
      <c r="AQ2270" s="11"/>
      <c r="AR2270" s="11"/>
      <c r="AS2270" s="11"/>
      <c r="AT2270" s="11"/>
      <c r="AU2270" s="11"/>
      <c r="AV2270" s="11"/>
      <c r="AW2270" s="11"/>
      <c r="AX2270" s="11"/>
      <c r="AY2270" s="11"/>
    </row>
    <row r="2271" spans="1:51" hidden="1" x14ac:dyDescent="0.2">
      <c r="A2271" s="6"/>
      <c r="E2271" s="2"/>
      <c r="F2271" s="3"/>
      <c r="G2271" s="3"/>
      <c r="P2271" s="8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11"/>
      <c r="AB2271" s="11"/>
      <c r="AC2271" s="11"/>
      <c r="AD2271" s="11"/>
      <c r="AE2271" s="11"/>
      <c r="AF2271" s="11"/>
      <c r="AG2271" s="11"/>
      <c r="AH2271" s="11"/>
      <c r="AI2271" s="11"/>
      <c r="AJ2271" s="11"/>
      <c r="AK2271" s="11"/>
      <c r="AL2271" s="11"/>
      <c r="AM2271" s="11"/>
      <c r="AN2271" s="11"/>
      <c r="AO2271" s="11"/>
      <c r="AP2271" s="11"/>
      <c r="AQ2271" s="11"/>
      <c r="AR2271" s="11"/>
      <c r="AS2271" s="11"/>
      <c r="AT2271" s="11"/>
      <c r="AU2271" s="11"/>
      <c r="AV2271" s="11"/>
      <c r="AW2271" s="11"/>
      <c r="AX2271" s="11"/>
      <c r="AY2271" s="11"/>
    </row>
    <row r="2272" spans="1:51" hidden="1" x14ac:dyDescent="0.2">
      <c r="A2272" s="6"/>
      <c r="E2272" s="2"/>
      <c r="F2272" s="3"/>
      <c r="G2272" s="3"/>
      <c r="P2272" s="8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  <c r="AA2272" s="11"/>
      <c r="AB2272" s="11"/>
      <c r="AC2272" s="11"/>
      <c r="AD2272" s="11"/>
      <c r="AE2272" s="11"/>
      <c r="AF2272" s="11"/>
      <c r="AG2272" s="11"/>
      <c r="AH2272" s="11"/>
      <c r="AI2272" s="11"/>
      <c r="AJ2272" s="11"/>
      <c r="AK2272" s="11"/>
      <c r="AL2272" s="11"/>
      <c r="AM2272" s="11"/>
      <c r="AN2272" s="11"/>
      <c r="AO2272" s="11"/>
      <c r="AP2272" s="11"/>
      <c r="AQ2272" s="11"/>
      <c r="AR2272" s="11"/>
      <c r="AS2272" s="11"/>
      <c r="AT2272" s="11"/>
      <c r="AU2272" s="11"/>
      <c r="AV2272" s="11"/>
      <c r="AW2272" s="11"/>
      <c r="AX2272" s="11"/>
      <c r="AY2272" s="11"/>
    </row>
    <row r="2273" spans="1:51" hidden="1" x14ac:dyDescent="0.2">
      <c r="A2273" s="6"/>
      <c r="E2273" s="2"/>
      <c r="F2273" s="3"/>
      <c r="G2273" s="3"/>
      <c r="P2273" s="8"/>
      <c r="Q2273" s="11"/>
      <c r="R2273" s="11"/>
      <c r="S2273" s="11"/>
      <c r="T2273" s="11"/>
      <c r="U2273" s="11"/>
      <c r="V2273" s="11"/>
      <c r="W2273" s="11"/>
      <c r="X2273" s="11"/>
      <c r="Y2273" s="11"/>
      <c r="Z2273" s="11"/>
      <c r="AA2273" s="11"/>
      <c r="AB2273" s="11"/>
      <c r="AC2273" s="11"/>
      <c r="AD2273" s="11"/>
      <c r="AE2273" s="11"/>
      <c r="AF2273" s="11"/>
      <c r="AG2273" s="11"/>
      <c r="AH2273" s="11"/>
      <c r="AI2273" s="11"/>
      <c r="AJ2273" s="11"/>
      <c r="AK2273" s="11"/>
      <c r="AL2273" s="11"/>
      <c r="AM2273" s="11"/>
      <c r="AN2273" s="11"/>
      <c r="AO2273" s="11"/>
      <c r="AP2273" s="11"/>
      <c r="AQ2273" s="11"/>
      <c r="AR2273" s="11"/>
      <c r="AS2273" s="11"/>
      <c r="AT2273" s="11"/>
      <c r="AU2273" s="11"/>
      <c r="AV2273" s="11"/>
      <c r="AW2273" s="11"/>
      <c r="AX2273" s="11"/>
      <c r="AY2273" s="11"/>
    </row>
    <row r="2274" spans="1:51" hidden="1" x14ac:dyDescent="0.2">
      <c r="A2274" s="6"/>
      <c r="E2274" s="2"/>
      <c r="F2274" s="3"/>
      <c r="G2274" s="3"/>
      <c r="P2274" s="8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  <c r="AA2274" s="11"/>
      <c r="AB2274" s="11"/>
      <c r="AC2274" s="11"/>
      <c r="AD2274" s="11"/>
      <c r="AE2274" s="11"/>
      <c r="AF2274" s="11"/>
      <c r="AG2274" s="11"/>
      <c r="AH2274" s="11"/>
      <c r="AI2274" s="11"/>
      <c r="AJ2274" s="11"/>
      <c r="AK2274" s="11"/>
      <c r="AL2274" s="11"/>
      <c r="AM2274" s="11"/>
      <c r="AN2274" s="11"/>
      <c r="AO2274" s="11"/>
      <c r="AP2274" s="11"/>
      <c r="AQ2274" s="11"/>
      <c r="AR2274" s="11"/>
      <c r="AS2274" s="11"/>
      <c r="AT2274" s="11"/>
      <c r="AU2274" s="11"/>
      <c r="AV2274" s="11"/>
      <c r="AW2274" s="11"/>
      <c r="AX2274" s="11"/>
      <c r="AY2274" s="11"/>
    </row>
    <row r="2275" spans="1:51" hidden="1" x14ac:dyDescent="0.2">
      <c r="A2275" s="6"/>
      <c r="E2275" s="2"/>
      <c r="F2275" s="3"/>
      <c r="G2275" s="3"/>
      <c r="P2275" s="8"/>
      <c r="Q2275" s="11"/>
      <c r="R2275" s="11"/>
      <c r="S2275" s="11"/>
      <c r="T2275" s="11"/>
      <c r="U2275" s="11"/>
      <c r="V2275" s="11"/>
      <c r="W2275" s="11"/>
      <c r="X2275" s="11"/>
      <c r="Y2275" s="11"/>
      <c r="Z2275" s="11"/>
      <c r="AA2275" s="11"/>
      <c r="AB2275" s="11"/>
      <c r="AC2275" s="11"/>
      <c r="AD2275" s="11"/>
      <c r="AE2275" s="11"/>
      <c r="AF2275" s="11"/>
      <c r="AG2275" s="11"/>
      <c r="AH2275" s="11"/>
      <c r="AI2275" s="11"/>
      <c r="AJ2275" s="11"/>
      <c r="AK2275" s="11"/>
      <c r="AL2275" s="11"/>
      <c r="AM2275" s="11"/>
      <c r="AN2275" s="11"/>
      <c r="AO2275" s="11"/>
      <c r="AP2275" s="11"/>
      <c r="AQ2275" s="11"/>
      <c r="AR2275" s="11"/>
      <c r="AS2275" s="11"/>
      <c r="AT2275" s="11"/>
      <c r="AU2275" s="11"/>
      <c r="AV2275" s="11"/>
      <c r="AW2275" s="11"/>
      <c r="AX2275" s="11"/>
      <c r="AY2275" s="11"/>
    </row>
    <row r="2276" spans="1:51" hidden="1" x14ac:dyDescent="0.2">
      <c r="A2276" s="6"/>
      <c r="E2276" s="2"/>
      <c r="F2276" s="3"/>
      <c r="G2276" s="3"/>
      <c r="P2276" s="8"/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  <c r="AA2276" s="11"/>
      <c r="AB2276" s="11"/>
      <c r="AC2276" s="11"/>
      <c r="AD2276" s="11"/>
      <c r="AE2276" s="11"/>
      <c r="AF2276" s="11"/>
      <c r="AG2276" s="11"/>
      <c r="AH2276" s="11"/>
      <c r="AI2276" s="11"/>
      <c r="AJ2276" s="11"/>
      <c r="AK2276" s="11"/>
      <c r="AL2276" s="11"/>
      <c r="AM2276" s="11"/>
      <c r="AN2276" s="11"/>
      <c r="AO2276" s="11"/>
      <c r="AP2276" s="11"/>
      <c r="AQ2276" s="11"/>
      <c r="AR2276" s="11"/>
      <c r="AS2276" s="11"/>
      <c r="AT2276" s="11"/>
      <c r="AU2276" s="11"/>
      <c r="AV2276" s="11"/>
      <c r="AW2276" s="11"/>
      <c r="AX2276" s="11"/>
      <c r="AY2276" s="11"/>
    </row>
    <row r="2277" spans="1:51" hidden="1" x14ac:dyDescent="0.2">
      <c r="A2277" s="6" t="s">
        <v>17</v>
      </c>
      <c r="B2277" t="s">
        <v>1002</v>
      </c>
      <c r="C2277" t="s">
        <v>1003</v>
      </c>
      <c r="D2277" t="s">
        <v>2873</v>
      </c>
      <c r="E2277" s="2">
        <v>36.979999999999997</v>
      </c>
      <c r="F2277" s="3">
        <f>DATE(2025,9,10)</f>
        <v>45910</v>
      </c>
      <c r="G2277" s="3">
        <f>DATE(2025,9,10)</f>
        <v>45910</v>
      </c>
      <c r="H2277">
        <v>2787696284</v>
      </c>
      <c r="I2277" t="s">
        <v>192</v>
      </c>
      <c r="K2277" t="s">
        <v>22</v>
      </c>
      <c r="L2277" t="s">
        <v>23</v>
      </c>
      <c r="M2277" t="s">
        <v>24</v>
      </c>
      <c r="N2277" t="s">
        <v>24</v>
      </c>
      <c r="O2277" t="s">
        <v>25</v>
      </c>
      <c r="P2277" s="8" t="s">
        <v>2874</v>
      </c>
      <c r="Q2277" s="11"/>
      <c r="R2277" s="11"/>
      <c r="S2277" s="11"/>
      <c r="T2277" s="11"/>
      <c r="U2277" s="11"/>
      <c r="V2277" s="11"/>
      <c r="W2277" s="11"/>
      <c r="X2277" s="11"/>
      <c r="Y2277" s="11"/>
      <c r="Z2277" s="11"/>
      <c r="AA2277" s="11"/>
      <c r="AB2277" s="11"/>
      <c r="AC2277" s="11"/>
      <c r="AD2277" s="11"/>
      <c r="AE2277" s="11"/>
      <c r="AF2277" s="11"/>
      <c r="AG2277" s="11"/>
      <c r="AH2277" s="11"/>
      <c r="AI2277" s="11"/>
      <c r="AJ2277" s="11"/>
      <c r="AK2277" s="11"/>
      <c r="AL2277" s="11"/>
      <c r="AM2277" s="11"/>
      <c r="AN2277" s="11"/>
      <c r="AO2277" s="11"/>
      <c r="AP2277" s="11"/>
      <c r="AQ2277" s="11"/>
      <c r="AR2277" s="11"/>
      <c r="AS2277" s="11"/>
      <c r="AT2277" s="11"/>
      <c r="AU2277" s="11"/>
      <c r="AV2277" s="11"/>
      <c r="AW2277" s="11"/>
      <c r="AX2277" s="11"/>
      <c r="AY2277" s="11"/>
    </row>
    <row r="2278" spans="1:51" x14ac:dyDescent="0.2">
      <c r="A2278" s="6" t="s">
        <v>17</v>
      </c>
      <c r="B2278" t="s">
        <v>342</v>
      </c>
      <c r="C2278" t="s">
        <v>342</v>
      </c>
      <c r="D2278" t="s">
        <v>2875</v>
      </c>
      <c r="E2278" s="2">
        <v>392.4</v>
      </c>
      <c r="F2278" s="3">
        <f>DATE(2025,9,9)</f>
        <v>45909</v>
      </c>
      <c r="G2278" s="3">
        <f>DATE(2025,9,9)</f>
        <v>45909</v>
      </c>
      <c r="H2278">
        <v>2787696285</v>
      </c>
      <c r="I2278" t="s">
        <v>192</v>
      </c>
      <c r="K2278" t="s">
        <v>22</v>
      </c>
      <c r="L2278" t="s">
        <v>23</v>
      </c>
      <c r="M2278" t="s">
        <v>24</v>
      </c>
      <c r="N2278" t="s">
        <v>24</v>
      </c>
      <c r="O2278" t="s">
        <v>25</v>
      </c>
      <c r="P2278" s="8" t="s">
        <v>2876</v>
      </c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  <c r="AA2278" s="11"/>
      <c r="AB2278" s="11"/>
      <c r="AC2278" s="11"/>
      <c r="AD2278" s="11"/>
      <c r="AE2278" s="11"/>
      <c r="AF2278" s="11"/>
      <c r="AG2278" s="11"/>
      <c r="AH2278" s="11"/>
      <c r="AI2278" s="11"/>
      <c r="AJ2278" s="11"/>
      <c r="AK2278" s="11"/>
      <c r="AL2278" s="11"/>
      <c r="AM2278" s="11"/>
      <c r="AN2278" s="11"/>
      <c r="AO2278" s="11"/>
      <c r="AP2278" s="11"/>
      <c r="AQ2278" s="11"/>
      <c r="AR2278" s="11"/>
      <c r="AS2278" s="11"/>
      <c r="AT2278" s="11"/>
      <c r="AU2278" s="11"/>
      <c r="AV2278" s="11"/>
      <c r="AW2278" s="11"/>
      <c r="AX2278" s="11"/>
      <c r="AY2278" s="11"/>
    </row>
    <row r="2279" spans="1:51" hidden="1" x14ac:dyDescent="0.2">
      <c r="A2279" s="6"/>
      <c r="E2279" s="2"/>
      <c r="F2279" s="3"/>
      <c r="G2279" s="3"/>
      <c r="P2279" s="8"/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  <c r="AA2279" s="11"/>
      <c r="AB2279" s="11"/>
      <c r="AC2279" s="11"/>
      <c r="AD2279" s="11"/>
      <c r="AE2279" s="11"/>
      <c r="AF2279" s="11"/>
      <c r="AG2279" s="11"/>
      <c r="AH2279" s="11"/>
      <c r="AI2279" s="11"/>
      <c r="AJ2279" s="11"/>
      <c r="AK2279" s="11"/>
      <c r="AL2279" s="11"/>
      <c r="AM2279" s="11"/>
      <c r="AN2279" s="11"/>
      <c r="AO2279" s="11"/>
      <c r="AP2279" s="11"/>
      <c r="AQ2279" s="11"/>
      <c r="AR2279" s="11"/>
      <c r="AS2279" s="11"/>
      <c r="AT2279" s="11"/>
      <c r="AU2279" s="11"/>
      <c r="AV2279" s="11"/>
      <c r="AW2279" s="11"/>
      <c r="AX2279" s="11"/>
      <c r="AY2279" s="11"/>
    </row>
    <row r="2280" spans="1:51" hidden="1" x14ac:dyDescent="0.2">
      <c r="A2280" s="6" t="s">
        <v>17</v>
      </c>
      <c r="B2280" t="s">
        <v>118</v>
      </c>
      <c r="C2280" t="s">
        <v>119</v>
      </c>
      <c r="D2280" t="s">
        <v>2877</v>
      </c>
      <c r="E2280" s="2">
        <v>30.97</v>
      </c>
      <c r="F2280" s="3">
        <f>DATE(2025,9,11)</f>
        <v>45911</v>
      </c>
      <c r="G2280" s="3">
        <f>DATE(2025,9,11)</f>
        <v>45911</v>
      </c>
      <c r="H2280">
        <v>2787696287</v>
      </c>
      <c r="I2280" t="s">
        <v>192</v>
      </c>
      <c r="K2280" t="s">
        <v>22</v>
      </c>
      <c r="L2280" t="s">
        <v>23</v>
      </c>
      <c r="M2280" t="s">
        <v>24</v>
      </c>
      <c r="N2280" t="s">
        <v>24</v>
      </c>
      <c r="O2280" t="s">
        <v>25</v>
      </c>
      <c r="P2280" s="8" t="s">
        <v>2878</v>
      </c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  <c r="AA2280" s="11"/>
      <c r="AB2280" s="11"/>
      <c r="AC2280" s="11"/>
      <c r="AD2280" s="11"/>
      <c r="AE2280" s="11"/>
      <c r="AF2280" s="11"/>
      <c r="AG2280" s="11"/>
      <c r="AH2280" s="11"/>
      <c r="AI2280" s="11"/>
      <c r="AJ2280" s="11"/>
      <c r="AK2280" s="11"/>
      <c r="AL2280" s="11"/>
      <c r="AM2280" s="11"/>
      <c r="AN2280" s="11"/>
      <c r="AO2280" s="11"/>
      <c r="AP2280" s="11"/>
      <c r="AQ2280" s="11"/>
      <c r="AR2280" s="11"/>
      <c r="AS2280" s="11"/>
      <c r="AT2280" s="11"/>
      <c r="AU2280" s="11"/>
      <c r="AV2280" s="11"/>
      <c r="AW2280" s="11"/>
      <c r="AX2280" s="11"/>
      <c r="AY2280" s="11"/>
    </row>
    <row r="2281" spans="1:51" hidden="1" x14ac:dyDescent="0.2">
      <c r="A2281" s="6"/>
      <c r="E2281" s="2"/>
      <c r="F2281" s="3"/>
      <c r="G2281" s="3"/>
      <c r="P2281" s="8"/>
      <c r="Q2281" s="11"/>
      <c r="R2281" s="11"/>
      <c r="S2281" s="11"/>
      <c r="T2281" s="11"/>
      <c r="U2281" s="11"/>
      <c r="V2281" s="11"/>
      <c r="W2281" s="11"/>
      <c r="X2281" s="11"/>
      <c r="Y2281" s="11"/>
      <c r="Z2281" s="11"/>
      <c r="AA2281" s="11"/>
      <c r="AB2281" s="11"/>
      <c r="AC2281" s="11"/>
      <c r="AD2281" s="11"/>
      <c r="AE2281" s="11"/>
      <c r="AF2281" s="11"/>
      <c r="AG2281" s="11"/>
      <c r="AH2281" s="11"/>
      <c r="AI2281" s="11"/>
      <c r="AJ2281" s="11"/>
      <c r="AK2281" s="11"/>
      <c r="AL2281" s="11"/>
      <c r="AM2281" s="11"/>
      <c r="AN2281" s="11"/>
      <c r="AO2281" s="11"/>
      <c r="AP2281" s="11"/>
      <c r="AQ2281" s="11"/>
      <c r="AR2281" s="11"/>
      <c r="AS2281" s="11"/>
      <c r="AT2281" s="11"/>
      <c r="AU2281" s="11"/>
      <c r="AV2281" s="11"/>
      <c r="AW2281" s="11"/>
      <c r="AX2281" s="11"/>
      <c r="AY2281" s="11"/>
    </row>
    <row r="2282" spans="1:51" hidden="1" x14ac:dyDescent="0.2">
      <c r="A2282" s="6"/>
      <c r="E2282" s="2"/>
      <c r="F2282" s="3"/>
      <c r="G2282" s="3"/>
      <c r="P2282" s="8"/>
      <c r="Q2282" s="11"/>
      <c r="R2282" s="11"/>
      <c r="S2282" s="11"/>
      <c r="T2282" s="11"/>
      <c r="U2282" s="11"/>
      <c r="V2282" s="11"/>
      <c r="W2282" s="11"/>
      <c r="X2282" s="11"/>
      <c r="Y2282" s="11"/>
      <c r="Z2282" s="11"/>
      <c r="AA2282" s="11"/>
      <c r="AB2282" s="11"/>
      <c r="AC2282" s="11"/>
      <c r="AD2282" s="11"/>
      <c r="AE2282" s="11"/>
      <c r="AF2282" s="11"/>
      <c r="AG2282" s="11"/>
      <c r="AH2282" s="11"/>
      <c r="AI2282" s="11"/>
      <c r="AJ2282" s="11"/>
      <c r="AK2282" s="11"/>
      <c r="AL2282" s="11"/>
      <c r="AM2282" s="11"/>
      <c r="AN2282" s="11"/>
      <c r="AO2282" s="11"/>
      <c r="AP2282" s="11"/>
      <c r="AQ2282" s="11"/>
      <c r="AR2282" s="11"/>
      <c r="AS2282" s="11"/>
      <c r="AT2282" s="11"/>
      <c r="AU2282" s="11"/>
      <c r="AV2282" s="11"/>
      <c r="AW2282" s="11"/>
      <c r="AX2282" s="11"/>
      <c r="AY2282" s="11"/>
    </row>
    <row r="2283" spans="1:51" hidden="1" x14ac:dyDescent="0.2">
      <c r="A2283" s="6"/>
      <c r="E2283" s="2"/>
      <c r="F2283" s="3"/>
      <c r="G2283" s="3"/>
      <c r="P2283" s="8"/>
      <c r="Q2283" s="11"/>
      <c r="R2283" s="11"/>
      <c r="S2283" s="11"/>
      <c r="T2283" s="11"/>
      <c r="U2283" s="11"/>
      <c r="V2283" s="11"/>
      <c r="W2283" s="11"/>
      <c r="X2283" s="11"/>
      <c r="Y2283" s="11"/>
      <c r="Z2283" s="11"/>
      <c r="AA2283" s="11"/>
      <c r="AB2283" s="11"/>
      <c r="AC2283" s="11"/>
      <c r="AD2283" s="11"/>
      <c r="AE2283" s="11"/>
      <c r="AF2283" s="11"/>
      <c r="AG2283" s="11"/>
      <c r="AH2283" s="11"/>
      <c r="AI2283" s="11"/>
      <c r="AJ2283" s="11"/>
      <c r="AK2283" s="11"/>
      <c r="AL2283" s="11"/>
      <c r="AM2283" s="11"/>
      <c r="AN2283" s="11"/>
      <c r="AO2283" s="11"/>
      <c r="AP2283" s="11"/>
      <c r="AQ2283" s="11"/>
      <c r="AR2283" s="11"/>
      <c r="AS2283" s="11"/>
      <c r="AT2283" s="11"/>
      <c r="AU2283" s="11"/>
      <c r="AV2283" s="11"/>
      <c r="AW2283" s="11"/>
      <c r="AX2283" s="11"/>
      <c r="AY2283" s="11"/>
    </row>
    <row r="2284" spans="1:51" hidden="1" x14ac:dyDescent="0.2">
      <c r="A2284" s="6" t="s">
        <v>17</v>
      </c>
      <c r="B2284" t="s">
        <v>18</v>
      </c>
      <c r="C2284" t="s">
        <v>19</v>
      </c>
      <c r="D2284" t="s">
        <v>2879</v>
      </c>
      <c r="E2284" s="2">
        <v>2.0699999999999998</v>
      </c>
      <c r="F2284" s="3">
        <f t="shared" ref="F2284:G2284" si="200">DATE(2025,9,11)</f>
        <v>45911</v>
      </c>
      <c r="G2284" s="3">
        <f t="shared" si="200"/>
        <v>45911</v>
      </c>
      <c r="H2284">
        <v>2794697372</v>
      </c>
      <c r="I2284" t="s">
        <v>192</v>
      </c>
      <c r="K2284" t="s">
        <v>22</v>
      </c>
      <c r="L2284" t="s">
        <v>23</v>
      </c>
      <c r="M2284" t="s">
        <v>24</v>
      </c>
      <c r="N2284" t="s">
        <v>24</v>
      </c>
      <c r="O2284" t="s">
        <v>25</v>
      </c>
      <c r="P2284" s="8" t="s">
        <v>2880</v>
      </c>
      <c r="Q2284" s="11"/>
      <c r="R2284" s="11"/>
      <c r="S2284" s="11"/>
      <c r="T2284" s="11"/>
      <c r="U2284" s="11"/>
      <c r="V2284" s="11"/>
      <c r="W2284" s="11"/>
      <c r="X2284" s="11"/>
      <c r="Y2284" s="11"/>
      <c r="Z2284" s="11"/>
      <c r="AA2284" s="11"/>
      <c r="AB2284" s="11"/>
      <c r="AC2284" s="11"/>
      <c r="AD2284" s="11"/>
      <c r="AE2284" s="11"/>
      <c r="AF2284" s="11"/>
      <c r="AG2284" s="11"/>
      <c r="AH2284" s="11"/>
      <c r="AI2284" s="11"/>
      <c r="AJ2284" s="11"/>
      <c r="AK2284" s="11"/>
      <c r="AL2284" s="11"/>
      <c r="AM2284" s="11"/>
      <c r="AN2284" s="11"/>
      <c r="AO2284" s="11"/>
      <c r="AP2284" s="11"/>
      <c r="AQ2284" s="11"/>
      <c r="AR2284" s="11"/>
      <c r="AS2284" s="11"/>
      <c r="AT2284" s="11"/>
      <c r="AU2284" s="11"/>
      <c r="AV2284" s="11"/>
      <c r="AW2284" s="11"/>
      <c r="AX2284" s="11"/>
      <c r="AY2284" s="11"/>
    </row>
    <row r="2285" spans="1:51" hidden="1" x14ac:dyDescent="0.2">
      <c r="A2285" s="6"/>
      <c r="E2285" s="2"/>
      <c r="F2285" s="3"/>
      <c r="G2285" s="3"/>
      <c r="P2285" s="8"/>
      <c r="Q2285" s="11"/>
      <c r="R2285" s="11"/>
      <c r="S2285" s="11"/>
      <c r="T2285" s="11"/>
      <c r="U2285" s="11"/>
      <c r="V2285" s="11"/>
      <c r="W2285" s="11"/>
      <c r="X2285" s="11"/>
      <c r="Y2285" s="11"/>
      <c r="Z2285" s="11"/>
      <c r="AA2285" s="11"/>
      <c r="AB2285" s="11"/>
      <c r="AC2285" s="11"/>
      <c r="AD2285" s="11"/>
      <c r="AE2285" s="11"/>
      <c r="AF2285" s="11"/>
      <c r="AG2285" s="11"/>
      <c r="AH2285" s="11"/>
      <c r="AI2285" s="11"/>
      <c r="AJ2285" s="11"/>
      <c r="AK2285" s="11"/>
      <c r="AL2285" s="11"/>
      <c r="AM2285" s="11"/>
      <c r="AN2285" s="11"/>
      <c r="AO2285" s="11"/>
      <c r="AP2285" s="11"/>
      <c r="AQ2285" s="11"/>
      <c r="AR2285" s="11"/>
      <c r="AS2285" s="11"/>
      <c r="AT2285" s="11"/>
      <c r="AU2285" s="11"/>
      <c r="AV2285" s="11"/>
      <c r="AW2285" s="11"/>
      <c r="AX2285" s="11"/>
      <c r="AY2285" s="11"/>
    </row>
    <row r="2286" spans="1:51" x14ac:dyDescent="0.2">
      <c r="A2286" s="6" t="s">
        <v>17</v>
      </c>
      <c r="B2286" t="s">
        <v>342</v>
      </c>
      <c r="C2286" t="s">
        <v>342</v>
      </c>
      <c r="D2286" t="s">
        <v>2881</v>
      </c>
      <c r="E2286" s="2">
        <v>666.89</v>
      </c>
      <c r="F2286" s="3">
        <f>DATE(2025,9,10)</f>
        <v>45910</v>
      </c>
      <c r="G2286" s="3">
        <f>DATE(2025,9,10)</f>
        <v>45910</v>
      </c>
      <c r="H2286">
        <v>2799793334</v>
      </c>
      <c r="I2286" t="s">
        <v>158</v>
      </c>
      <c r="K2286" t="s">
        <v>22</v>
      </c>
      <c r="L2286" t="s">
        <v>23</v>
      </c>
      <c r="M2286" t="s">
        <v>24</v>
      </c>
      <c r="N2286" t="s">
        <v>24</v>
      </c>
      <c r="O2286" t="s">
        <v>25</v>
      </c>
      <c r="P2286" s="8" t="s">
        <v>2882</v>
      </c>
      <c r="Q2286" s="11"/>
      <c r="R2286" s="11"/>
      <c r="S2286" s="11"/>
      <c r="T2286" s="11"/>
      <c r="U2286" s="11"/>
      <c r="V2286" s="11"/>
      <c r="W2286" s="11"/>
      <c r="X2286" s="11"/>
      <c r="Y2286" s="11"/>
      <c r="Z2286" s="11"/>
      <c r="AA2286" s="11"/>
      <c r="AB2286" s="11"/>
      <c r="AC2286" s="11"/>
      <c r="AD2286" s="11"/>
      <c r="AE2286" s="11"/>
      <c r="AF2286" s="11"/>
      <c r="AG2286" s="11"/>
      <c r="AH2286" s="11"/>
      <c r="AI2286" s="11"/>
      <c r="AJ2286" s="11"/>
      <c r="AK2286" s="11"/>
      <c r="AL2286" s="11"/>
      <c r="AM2286" s="11"/>
      <c r="AN2286" s="11"/>
      <c r="AO2286" s="11"/>
      <c r="AP2286" s="11"/>
      <c r="AQ2286" s="11"/>
      <c r="AR2286" s="11"/>
      <c r="AS2286" s="11"/>
      <c r="AT2286" s="11"/>
      <c r="AU2286" s="11"/>
      <c r="AV2286" s="11"/>
      <c r="AW2286" s="11"/>
      <c r="AX2286" s="11"/>
      <c r="AY2286" s="11"/>
    </row>
    <row r="2287" spans="1:51" hidden="1" x14ac:dyDescent="0.2">
      <c r="A2287" s="6"/>
      <c r="E2287" s="2"/>
      <c r="F2287" s="3"/>
      <c r="G2287" s="3"/>
      <c r="P2287" s="8"/>
      <c r="Q2287" s="11"/>
      <c r="R2287" s="11"/>
      <c r="S2287" s="11"/>
      <c r="T2287" s="11"/>
      <c r="U2287" s="11"/>
      <c r="V2287" s="11"/>
      <c r="W2287" s="11"/>
      <c r="X2287" s="11"/>
      <c r="Y2287" s="11"/>
      <c r="Z2287" s="11"/>
      <c r="AA2287" s="11"/>
      <c r="AB2287" s="11"/>
      <c r="AC2287" s="11"/>
      <c r="AD2287" s="11"/>
      <c r="AE2287" s="11"/>
      <c r="AF2287" s="11"/>
      <c r="AG2287" s="11"/>
      <c r="AH2287" s="11"/>
      <c r="AI2287" s="11"/>
      <c r="AJ2287" s="11"/>
      <c r="AK2287" s="11"/>
      <c r="AL2287" s="11"/>
      <c r="AM2287" s="11"/>
      <c r="AN2287" s="11"/>
      <c r="AO2287" s="11"/>
      <c r="AP2287" s="11"/>
      <c r="AQ2287" s="11"/>
      <c r="AR2287" s="11"/>
      <c r="AS2287" s="11"/>
      <c r="AT2287" s="11"/>
      <c r="AU2287" s="11"/>
      <c r="AV2287" s="11"/>
      <c r="AW2287" s="11"/>
      <c r="AX2287" s="11"/>
      <c r="AY2287" s="11"/>
    </row>
    <row r="2288" spans="1:51" hidden="1" x14ac:dyDescent="0.2">
      <c r="A2288" s="6" t="s">
        <v>17</v>
      </c>
      <c r="B2288" t="s">
        <v>173</v>
      </c>
      <c r="C2288" t="s">
        <v>154</v>
      </c>
      <c r="D2288" t="s">
        <v>2883</v>
      </c>
      <c r="E2288" s="2">
        <v>74.290000000000006</v>
      </c>
      <c r="F2288" s="3">
        <f>DATE(2025,9,8)</f>
        <v>45908</v>
      </c>
      <c r="G2288" s="3">
        <f>DATE(2025,9,8)</f>
        <v>45908</v>
      </c>
      <c r="H2288">
        <v>2799793336</v>
      </c>
      <c r="I2288" t="s">
        <v>158</v>
      </c>
      <c r="K2288" t="s">
        <v>22</v>
      </c>
      <c r="L2288" t="s">
        <v>23</v>
      </c>
      <c r="M2288" t="s">
        <v>24</v>
      </c>
      <c r="N2288" t="s">
        <v>24</v>
      </c>
      <c r="O2288" t="s">
        <v>25</v>
      </c>
      <c r="P2288" s="8" t="s">
        <v>2884</v>
      </c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  <c r="AA2288" s="11"/>
      <c r="AB2288" s="11"/>
      <c r="AC2288" s="11"/>
      <c r="AD2288" s="11"/>
      <c r="AE2288" s="11"/>
      <c r="AF2288" s="11"/>
      <c r="AG2288" s="11"/>
      <c r="AH2288" s="11"/>
      <c r="AI2288" s="11"/>
      <c r="AJ2288" s="11"/>
      <c r="AK2288" s="11"/>
      <c r="AL2288" s="11"/>
      <c r="AM2288" s="11"/>
      <c r="AN2288" s="11"/>
      <c r="AO2288" s="11"/>
      <c r="AP2288" s="11"/>
      <c r="AQ2288" s="11"/>
      <c r="AR2288" s="11"/>
      <c r="AS2288" s="11"/>
      <c r="AT2288" s="11"/>
      <c r="AU2288" s="11"/>
      <c r="AV2288" s="11"/>
      <c r="AW2288" s="11"/>
      <c r="AX2288" s="11"/>
      <c r="AY2288" s="11"/>
    </row>
    <row r="2289" spans="1:51" hidden="1" x14ac:dyDescent="0.2">
      <c r="A2289" s="6" t="s">
        <v>17</v>
      </c>
      <c r="B2289" t="s">
        <v>84</v>
      </c>
      <c r="C2289" t="s">
        <v>85</v>
      </c>
      <c r="D2289" t="s">
        <v>2885</v>
      </c>
      <c r="E2289" s="2">
        <v>58</v>
      </c>
      <c r="F2289" s="3">
        <f t="shared" ref="F2289:G2291" si="201">DATE(2025,9,12)</f>
        <v>45912</v>
      </c>
      <c r="G2289" s="3">
        <f t="shared" si="201"/>
        <v>45912</v>
      </c>
      <c r="H2289">
        <v>2799793337</v>
      </c>
      <c r="I2289" t="s">
        <v>21</v>
      </c>
      <c r="K2289" t="s">
        <v>22</v>
      </c>
      <c r="L2289" t="s">
        <v>23</v>
      </c>
      <c r="M2289" t="s">
        <v>24</v>
      </c>
      <c r="N2289" t="s">
        <v>24</v>
      </c>
      <c r="O2289" t="s">
        <v>25</v>
      </c>
      <c r="P2289" s="8" t="s">
        <v>2886</v>
      </c>
      <c r="Q2289" s="11"/>
      <c r="R2289" s="11"/>
      <c r="S2289" s="11"/>
      <c r="T2289" s="11"/>
      <c r="U2289" s="11"/>
      <c r="V2289" s="11"/>
      <c r="W2289" s="11"/>
      <c r="X2289" s="11"/>
      <c r="Y2289" s="11"/>
      <c r="Z2289" s="11"/>
      <c r="AA2289" s="11"/>
      <c r="AB2289" s="11"/>
      <c r="AC2289" s="11"/>
      <c r="AD2289" s="11"/>
      <c r="AE2289" s="11"/>
      <c r="AF2289" s="11"/>
      <c r="AG2289" s="11"/>
      <c r="AH2289" s="11"/>
      <c r="AI2289" s="11"/>
      <c r="AJ2289" s="11"/>
      <c r="AK2289" s="11"/>
      <c r="AL2289" s="11"/>
      <c r="AM2289" s="11"/>
      <c r="AN2289" s="11"/>
      <c r="AO2289" s="11"/>
      <c r="AP2289" s="11"/>
      <c r="AQ2289" s="11"/>
      <c r="AR2289" s="11"/>
      <c r="AS2289" s="11"/>
      <c r="AT2289" s="11"/>
      <c r="AU2289" s="11"/>
      <c r="AV2289" s="11"/>
      <c r="AW2289" s="11"/>
      <c r="AX2289" s="11"/>
      <c r="AY2289" s="11"/>
    </row>
    <row r="2290" spans="1:51" hidden="1" x14ac:dyDescent="0.2">
      <c r="A2290" s="6" t="s">
        <v>17</v>
      </c>
      <c r="B2290" t="s">
        <v>31</v>
      </c>
      <c r="C2290" t="s">
        <v>32</v>
      </c>
      <c r="D2290" t="s">
        <v>2887</v>
      </c>
      <c r="E2290" s="2">
        <v>127.2</v>
      </c>
      <c r="F2290" s="3">
        <f t="shared" si="201"/>
        <v>45912</v>
      </c>
      <c r="G2290" s="3">
        <f t="shared" si="201"/>
        <v>45912</v>
      </c>
      <c r="H2290">
        <v>2799793338</v>
      </c>
      <c r="I2290" t="s">
        <v>21</v>
      </c>
      <c r="K2290" t="s">
        <v>22</v>
      </c>
      <c r="L2290" t="s">
        <v>23</v>
      </c>
      <c r="M2290" t="s">
        <v>24</v>
      </c>
      <c r="N2290" t="s">
        <v>24</v>
      </c>
      <c r="O2290" t="s">
        <v>25</v>
      </c>
      <c r="P2290" s="8" t="s">
        <v>2888</v>
      </c>
      <c r="Q2290" s="11"/>
      <c r="R2290" s="11"/>
      <c r="S2290" s="11"/>
      <c r="T2290" s="11"/>
      <c r="U2290" s="11"/>
      <c r="V2290" s="11"/>
      <c r="W2290" s="11"/>
      <c r="X2290" s="11"/>
      <c r="Y2290" s="11"/>
      <c r="Z2290" s="11"/>
      <c r="AA2290" s="11"/>
      <c r="AB2290" s="11"/>
      <c r="AC2290" s="11"/>
      <c r="AD2290" s="11"/>
      <c r="AE2290" s="11"/>
      <c r="AF2290" s="11"/>
      <c r="AG2290" s="11"/>
      <c r="AH2290" s="11"/>
      <c r="AI2290" s="11"/>
      <c r="AJ2290" s="11"/>
      <c r="AK2290" s="11"/>
      <c r="AL2290" s="11"/>
      <c r="AM2290" s="11"/>
      <c r="AN2290" s="11"/>
      <c r="AO2290" s="11"/>
      <c r="AP2290" s="11"/>
      <c r="AQ2290" s="11"/>
      <c r="AR2290" s="11"/>
      <c r="AS2290" s="11"/>
      <c r="AT2290" s="11"/>
      <c r="AU2290" s="11"/>
      <c r="AV2290" s="11"/>
      <c r="AW2290" s="11"/>
      <c r="AX2290" s="11"/>
      <c r="AY2290" s="11"/>
    </row>
    <row r="2291" spans="1:51" hidden="1" x14ac:dyDescent="0.2">
      <c r="A2291" s="6" t="s">
        <v>17</v>
      </c>
      <c r="B2291" t="s">
        <v>565</v>
      </c>
      <c r="C2291" t="s">
        <v>566</v>
      </c>
      <c r="D2291" t="s">
        <v>2889</v>
      </c>
      <c r="E2291" s="2">
        <v>454.57</v>
      </c>
      <c r="F2291" s="3">
        <f t="shared" si="201"/>
        <v>45912</v>
      </c>
      <c r="G2291" s="3">
        <f t="shared" si="201"/>
        <v>45912</v>
      </c>
      <c r="H2291">
        <v>2799793339</v>
      </c>
      <c r="I2291" t="s">
        <v>21</v>
      </c>
      <c r="K2291" t="s">
        <v>22</v>
      </c>
      <c r="L2291" t="s">
        <v>23</v>
      </c>
      <c r="M2291" t="s">
        <v>24</v>
      </c>
      <c r="N2291" t="s">
        <v>24</v>
      </c>
      <c r="O2291" t="s">
        <v>25</v>
      </c>
      <c r="P2291" s="8" t="s">
        <v>2890</v>
      </c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  <c r="AA2291" s="11"/>
      <c r="AB2291" s="11"/>
      <c r="AC2291" s="11"/>
      <c r="AD2291" s="11"/>
      <c r="AE2291" s="11"/>
      <c r="AF2291" s="11"/>
      <c r="AG2291" s="11"/>
      <c r="AH2291" s="11"/>
      <c r="AI2291" s="11"/>
      <c r="AJ2291" s="11"/>
      <c r="AK2291" s="11"/>
      <c r="AL2291" s="11"/>
      <c r="AM2291" s="11"/>
      <c r="AN2291" s="11"/>
      <c r="AO2291" s="11"/>
      <c r="AP2291" s="11"/>
      <c r="AQ2291" s="11"/>
      <c r="AR2291" s="11"/>
      <c r="AS2291" s="11"/>
      <c r="AT2291" s="11"/>
      <c r="AU2291" s="11"/>
      <c r="AV2291" s="11"/>
      <c r="AW2291" s="11"/>
      <c r="AX2291" s="11"/>
      <c r="AY2291" s="11"/>
    </row>
    <row r="2292" spans="1:51" hidden="1" x14ac:dyDescent="0.2">
      <c r="A2292" s="6"/>
      <c r="E2292" s="2"/>
      <c r="F2292" s="3"/>
      <c r="G2292" s="3"/>
      <c r="P2292" s="8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11"/>
      <c r="AB2292" s="11"/>
      <c r="AC2292" s="11"/>
      <c r="AD2292" s="11"/>
      <c r="AE2292" s="11"/>
      <c r="AF2292" s="11"/>
      <c r="AG2292" s="11"/>
      <c r="AH2292" s="11"/>
      <c r="AI2292" s="11"/>
      <c r="AJ2292" s="11"/>
      <c r="AK2292" s="11"/>
      <c r="AL2292" s="11"/>
      <c r="AM2292" s="11"/>
      <c r="AN2292" s="11"/>
      <c r="AO2292" s="11"/>
      <c r="AP2292" s="11"/>
      <c r="AQ2292" s="11"/>
      <c r="AR2292" s="11"/>
      <c r="AS2292" s="11"/>
      <c r="AT2292" s="11"/>
      <c r="AU2292" s="11"/>
      <c r="AV2292" s="11"/>
      <c r="AW2292" s="11"/>
      <c r="AX2292" s="11"/>
      <c r="AY2292" s="11"/>
    </row>
    <row r="2293" spans="1:51" hidden="1" x14ac:dyDescent="0.2">
      <c r="A2293" s="6"/>
      <c r="E2293" s="2"/>
      <c r="F2293" s="3"/>
      <c r="G2293" s="3"/>
      <c r="P2293" s="8"/>
      <c r="Q2293" s="11"/>
      <c r="R2293" s="11"/>
      <c r="S2293" s="11"/>
      <c r="T2293" s="11"/>
      <c r="U2293" s="11"/>
      <c r="V2293" s="11"/>
      <c r="W2293" s="11"/>
      <c r="X2293" s="11"/>
      <c r="Y2293" s="11"/>
      <c r="Z2293" s="11"/>
      <c r="AA2293" s="11"/>
      <c r="AB2293" s="11"/>
      <c r="AC2293" s="11"/>
      <c r="AD2293" s="11"/>
      <c r="AE2293" s="11"/>
      <c r="AF2293" s="11"/>
      <c r="AG2293" s="11"/>
      <c r="AH2293" s="11"/>
      <c r="AI2293" s="11"/>
      <c r="AJ2293" s="11"/>
      <c r="AK2293" s="11"/>
      <c r="AL2293" s="11"/>
      <c r="AM2293" s="11"/>
      <c r="AN2293" s="11"/>
      <c r="AO2293" s="11"/>
      <c r="AP2293" s="11"/>
      <c r="AQ2293" s="11"/>
      <c r="AR2293" s="11"/>
      <c r="AS2293" s="11"/>
      <c r="AT2293" s="11"/>
      <c r="AU2293" s="11"/>
      <c r="AV2293" s="11"/>
      <c r="AW2293" s="11"/>
      <c r="AX2293" s="11"/>
      <c r="AY2293" s="11"/>
    </row>
    <row r="2294" spans="1:51" hidden="1" x14ac:dyDescent="0.2">
      <c r="A2294" s="6" t="s">
        <v>17</v>
      </c>
      <c r="B2294" t="s">
        <v>244</v>
      </c>
      <c r="C2294" t="s">
        <v>245</v>
      </c>
      <c r="D2294" t="s">
        <v>2891</v>
      </c>
      <c r="E2294" s="2">
        <v>953</v>
      </c>
      <c r="F2294" s="3">
        <f t="shared" ref="F2294:G2314" si="202">DATE(2025,9,12)</f>
        <v>45912</v>
      </c>
      <c r="G2294" s="3">
        <f t="shared" si="202"/>
        <v>45912</v>
      </c>
      <c r="H2294">
        <v>2799793342</v>
      </c>
      <c r="I2294" t="s">
        <v>21</v>
      </c>
      <c r="K2294" t="s">
        <v>22</v>
      </c>
      <c r="L2294" t="s">
        <v>23</v>
      </c>
      <c r="M2294" t="s">
        <v>24</v>
      </c>
      <c r="N2294" t="s">
        <v>24</v>
      </c>
      <c r="O2294" t="s">
        <v>25</v>
      </c>
      <c r="P2294" s="8" t="s">
        <v>2892</v>
      </c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1"/>
      <c r="AB2294" s="11"/>
      <c r="AC2294" s="11"/>
      <c r="AD2294" s="11"/>
      <c r="AE2294" s="11"/>
      <c r="AF2294" s="11"/>
      <c r="AG2294" s="11"/>
      <c r="AH2294" s="11"/>
      <c r="AI2294" s="11"/>
      <c r="AJ2294" s="11"/>
      <c r="AK2294" s="11"/>
      <c r="AL2294" s="11"/>
      <c r="AM2294" s="11"/>
      <c r="AN2294" s="11"/>
      <c r="AO2294" s="11"/>
      <c r="AP2294" s="11"/>
      <c r="AQ2294" s="11"/>
      <c r="AR2294" s="11"/>
      <c r="AS2294" s="11"/>
      <c r="AT2294" s="11"/>
      <c r="AU2294" s="11"/>
      <c r="AV2294" s="11"/>
      <c r="AW2294" s="11"/>
      <c r="AX2294" s="11"/>
      <c r="AY2294" s="11"/>
    </row>
    <row r="2295" spans="1:51" hidden="1" x14ac:dyDescent="0.2">
      <c r="A2295" s="6" t="s">
        <v>17</v>
      </c>
      <c r="B2295" t="s">
        <v>18</v>
      </c>
      <c r="C2295" t="s">
        <v>19</v>
      </c>
      <c r="D2295" t="s">
        <v>2893</v>
      </c>
      <c r="E2295" s="2">
        <v>376.13</v>
      </c>
      <c r="F2295" s="3">
        <f t="shared" si="202"/>
        <v>45912</v>
      </c>
      <c r="G2295" s="3">
        <f t="shared" si="202"/>
        <v>45912</v>
      </c>
      <c r="H2295">
        <v>2799793343</v>
      </c>
      <c r="I2295" t="s">
        <v>21</v>
      </c>
      <c r="K2295" t="s">
        <v>22</v>
      </c>
      <c r="L2295" t="s">
        <v>23</v>
      </c>
      <c r="M2295" t="s">
        <v>24</v>
      </c>
      <c r="N2295" t="s">
        <v>24</v>
      </c>
      <c r="O2295" t="s">
        <v>25</v>
      </c>
      <c r="P2295" s="8" t="s">
        <v>2894</v>
      </c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  <c r="AA2295" s="11"/>
      <c r="AB2295" s="11"/>
      <c r="AC2295" s="11"/>
      <c r="AD2295" s="11"/>
      <c r="AE2295" s="11"/>
      <c r="AF2295" s="11"/>
      <c r="AG2295" s="11"/>
      <c r="AH2295" s="11"/>
      <c r="AI2295" s="11"/>
      <c r="AJ2295" s="11"/>
      <c r="AK2295" s="11"/>
      <c r="AL2295" s="11"/>
      <c r="AM2295" s="11"/>
      <c r="AN2295" s="11"/>
      <c r="AO2295" s="11"/>
      <c r="AP2295" s="11"/>
      <c r="AQ2295" s="11"/>
      <c r="AR2295" s="11"/>
      <c r="AS2295" s="11"/>
      <c r="AT2295" s="11"/>
      <c r="AU2295" s="11"/>
      <c r="AV2295" s="11"/>
      <c r="AW2295" s="11"/>
      <c r="AX2295" s="11"/>
      <c r="AY2295" s="11"/>
    </row>
    <row r="2296" spans="1:51" x14ac:dyDescent="0.2">
      <c r="A2296" s="6" t="s">
        <v>17</v>
      </c>
      <c r="B2296" t="s">
        <v>342</v>
      </c>
      <c r="C2296" t="s">
        <v>342</v>
      </c>
      <c r="D2296" t="s">
        <v>2895</v>
      </c>
      <c r="E2296" s="2">
        <v>40</v>
      </c>
      <c r="F2296" s="3">
        <f t="shared" si="202"/>
        <v>45912</v>
      </c>
      <c r="G2296" s="3">
        <f t="shared" si="202"/>
        <v>45912</v>
      </c>
      <c r="H2296">
        <v>2799793344</v>
      </c>
      <c r="I2296" t="s">
        <v>21</v>
      </c>
      <c r="K2296" t="s">
        <v>22</v>
      </c>
      <c r="L2296" t="s">
        <v>23</v>
      </c>
      <c r="M2296" t="s">
        <v>24</v>
      </c>
      <c r="N2296" t="s">
        <v>24</v>
      </c>
      <c r="O2296" t="s">
        <v>25</v>
      </c>
      <c r="P2296" s="8" t="s">
        <v>2896</v>
      </c>
      <c r="Q2296" s="11"/>
      <c r="R2296" s="11"/>
      <c r="S2296" s="11"/>
      <c r="T2296" s="11"/>
      <c r="U2296" s="11"/>
      <c r="V2296" s="11"/>
      <c r="W2296" s="11"/>
      <c r="X2296" s="11"/>
      <c r="Y2296" s="11"/>
      <c r="Z2296" s="11"/>
      <c r="AA2296" s="11"/>
      <c r="AB2296" s="11"/>
      <c r="AC2296" s="11"/>
      <c r="AD2296" s="11"/>
      <c r="AE2296" s="11"/>
      <c r="AF2296" s="11"/>
      <c r="AG2296" s="11"/>
      <c r="AH2296" s="11"/>
      <c r="AI2296" s="11"/>
      <c r="AJ2296" s="11"/>
      <c r="AK2296" s="11"/>
      <c r="AL2296" s="11"/>
      <c r="AM2296" s="11"/>
      <c r="AN2296" s="11"/>
      <c r="AO2296" s="11"/>
      <c r="AP2296" s="11"/>
      <c r="AQ2296" s="11"/>
      <c r="AR2296" s="11"/>
      <c r="AS2296" s="11"/>
      <c r="AT2296" s="11"/>
      <c r="AU2296" s="11"/>
      <c r="AV2296" s="11"/>
      <c r="AW2296" s="11"/>
      <c r="AX2296" s="11"/>
      <c r="AY2296" s="11"/>
    </row>
    <row r="2297" spans="1:51" hidden="1" x14ac:dyDescent="0.2">
      <c r="A2297" s="6" t="s">
        <v>17</v>
      </c>
      <c r="B2297" t="s">
        <v>18</v>
      </c>
      <c r="C2297" t="s">
        <v>19</v>
      </c>
      <c r="D2297" t="s">
        <v>2897</v>
      </c>
      <c r="E2297" s="2">
        <v>8659.23</v>
      </c>
      <c r="F2297" s="3">
        <f t="shared" si="202"/>
        <v>45912</v>
      </c>
      <c r="G2297" s="3">
        <f t="shared" si="202"/>
        <v>45912</v>
      </c>
      <c r="H2297">
        <v>2799793345</v>
      </c>
      <c r="I2297" t="s">
        <v>21</v>
      </c>
      <c r="K2297" t="s">
        <v>22</v>
      </c>
      <c r="L2297" t="s">
        <v>23</v>
      </c>
      <c r="M2297" t="s">
        <v>24</v>
      </c>
      <c r="N2297" t="s">
        <v>24</v>
      </c>
      <c r="O2297" t="s">
        <v>25</v>
      </c>
      <c r="P2297" s="8" t="s">
        <v>2898</v>
      </c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  <c r="AA2297" s="11"/>
      <c r="AB2297" s="11"/>
      <c r="AC2297" s="11"/>
      <c r="AD2297" s="11"/>
      <c r="AE2297" s="11"/>
      <c r="AF2297" s="11"/>
      <c r="AG2297" s="11"/>
      <c r="AH2297" s="11"/>
      <c r="AI2297" s="11"/>
      <c r="AJ2297" s="11"/>
      <c r="AK2297" s="11"/>
      <c r="AL2297" s="11"/>
      <c r="AM2297" s="11"/>
      <c r="AN2297" s="11"/>
      <c r="AO2297" s="11"/>
      <c r="AP2297" s="11"/>
      <c r="AQ2297" s="11"/>
      <c r="AR2297" s="11"/>
      <c r="AS2297" s="11"/>
      <c r="AT2297" s="11"/>
      <c r="AU2297" s="11"/>
      <c r="AV2297" s="11"/>
      <c r="AW2297" s="11"/>
      <c r="AX2297" s="11"/>
      <c r="AY2297" s="11"/>
    </row>
    <row r="2298" spans="1:51" hidden="1" x14ac:dyDescent="0.2">
      <c r="A2298" s="6" t="s">
        <v>17</v>
      </c>
      <c r="B2298" t="s">
        <v>589</v>
      </c>
      <c r="C2298" t="s">
        <v>590</v>
      </c>
      <c r="D2298" t="s">
        <v>2899</v>
      </c>
      <c r="E2298" s="2">
        <v>817.94</v>
      </c>
      <c r="F2298" s="3">
        <f t="shared" si="202"/>
        <v>45912</v>
      </c>
      <c r="G2298" s="3">
        <f t="shared" si="202"/>
        <v>45912</v>
      </c>
      <c r="H2298">
        <v>2799793346</v>
      </c>
      <c r="I2298" t="s">
        <v>21</v>
      </c>
      <c r="K2298" t="s">
        <v>22</v>
      </c>
      <c r="L2298" t="s">
        <v>23</v>
      </c>
      <c r="M2298" t="s">
        <v>24</v>
      </c>
      <c r="N2298" t="s">
        <v>24</v>
      </c>
      <c r="O2298" t="s">
        <v>25</v>
      </c>
      <c r="P2298" s="8" t="s">
        <v>2900</v>
      </c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  <c r="AA2298" s="11"/>
      <c r="AB2298" s="11"/>
      <c r="AC2298" s="11"/>
      <c r="AD2298" s="11"/>
      <c r="AE2298" s="11"/>
      <c r="AF2298" s="11"/>
      <c r="AG2298" s="11"/>
      <c r="AH2298" s="11"/>
      <c r="AI2298" s="11"/>
      <c r="AJ2298" s="11"/>
      <c r="AK2298" s="11"/>
      <c r="AL2298" s="11"/>
      <c r="AM2298" s="11"/>
      <c r="AN2298" s="11"/>
      <c r="AO2298" s="11"/>
      <c r="AP2298" s="11"/>
      <c r="AQ2298" s="11"/>
      <c r="AR2298" s="11"/>
      <c r="AS2298" s="11"/>
      <c r="AT2298" s="11"/>
      <c r="AU2298" s="11"/>
      <c r="AV2298" s="11"/>
      <c r="AW2298" s="11"/>
      <c r="AX2298" s="11"/>
      <c r="AY2298" s="11"/>
    </row>
    <row r="2299" spans="1:51" hidden="1" x14ac:dyDescent="0.2">
      <c r="A2299" s="6" t="s">
        <v>17</v>
      </c>
      <c r="B2299" t="s">
        <v>825</v>
      </c>
      <c r="C2299" t="s">
        <v>826</v>
      </c>
      <c r="D2299" t="s">
        <v>2901</v>
      </c>
      <c r="E2299" s="2">
        <v>978.45</v>
      </c>
      <c r="F2299" s="3">
        <f t="shared" si="202"/>
        <v>45912</v>
      </c>
      <c r="G2299" s="3">
        <f t="shared" si="202"/>
        <v>45912</v>
      </c>
      <c r="H2299">
        <v>2799793347</v>
      </c>
      <c r="I2299" t="s">
        <v>21</v>
      </c>
      <c r="K2299" t="s">
        <v>22</v>
      </c>
      <c r="L2299" t="s">
        <v>23</v>
      </c>
      <c r="M2299" t="s">
        <v>24</v>
      </c>
      <c r="N2299" t="s">
        <v>24</v>
      </c>
      <c r="O2299" t="s">
        <v>25</v>
      </c>
      <c r="P2299" s="8" t="s">
        <v>2902</v>
      </c>
      <c r="Q2299" s="11"/>
      <c r="R2299" s="11"/>
      <c r="S2299" s="11"/>
      <c r="T2299" s="11"/>
      <c r="U2299" s="11"/>
      <c r="V2299" s="11"/>
      <c r="W2299" s="11"/>
      <c r="X2299" s="11"/>
      <c r="Y2299" s="11"/>
      <c r="Z2299" s="11"/>
      <c r="AA2299" s="11"/>
      <c r="AB2299" s="11"/>
      <c r="AC2299" s="11"/>
      <c r="AD2299" s="11"/>
      <c r="AE2299" s="11"/>
      <c r="AF2299" s="11"/>
      <c r="AG2299" s="11"/>
      <c r="AH2299" s="11"/>
      <c r="AI2299" s="11"/>
      <c r="AJ2299" s="11"/>
      <c r="AK2299" s="11"/>
      <c r="AL2299" s="11"/>
      <c r="AM2299" s="11"/>
      <c r="AN2299" s="11"/>
      <c r="AO2299" s="11"/>
      <c r="AP2299" s="11"/>
      <c r="AQ2299" s="11"/>
      <c r="AR2299" s="11"/>
      <c r="AS2299" s="11"/>
      <c r="AT2299" s="11"/>
      <c r="AU2299" s="11"/>
      <c r="AV2299" s="11"/>
      <c r="AW2299" s="11"/>
      <c r="AX2299" s="11"/>
      <c r="AY2299" s="11"/>
    </row>
    <row r="2300" spans="1:51" hidden="1" x14ac:dyDescent="0.2">
      <c r="A2300" s="6" t="s">
        <v>17</v>
      </c>
      <c r="B2300" t="s">
        <v>244</v>
      </c>
      <c r="C2300" t="s">
        <v>245</v>
      </c>
      <c r="D2300" t="s">
        <v>2903</v>
      </c>
      <c r="E2300" s="2">
        <v>1200</v>
      </c>
      <c r="F2300" s="3">
        <f t="shared" si="202"/>
        <v>45912</v>
      </c>
      <c r="G2300" s="3">
        <f t="shared" si="202"/>
        <v>45912</v>
      </c>
      <c r="H2300">
        <v>2799793348</v>
      </c>
      <c r="I2300" t="s">
        <v>21</v>
      </c>
      <c r="K2300" t="s">
        <v>22</v>
      </c>
      <c r="L2300" t="s">
        <v>23</v>
      </c>
      <c r="M2300" t="s">
        <v>24</v>
      </c>
      <c r="N2300" t="s">
        <v>24</v>
      </c>
      <c r="O2300" t="s">
        <v>25</v>
      </c>
      <c r="P2300" s="8" t="s">
        <v>2904</v>
      </c>
      <c r="Q2300" s="11"/>
      <c r="R2300" s="11"/>
      <c r="S2300" s="11"/>
      <c r="T2300" s="11"/>
      <c r="U2300" s="11"/>
      <c r="V2300" s="11"/>
      <c r="W2300" s="11"/>
      <c r="X2300" s="11"/>
      <c r="Y2300" s="11"/>
      <c r="Z2300" s="11"/>
      <c r="AA2300" s="11"/>
      <c r="AB2300" s="11"/>
      <c r="AC2300" s="11"/>
      <c r="AD2300" s="11"/>
      <c r="AE2300" s="11"/>
      <c r="AF2300" s="11"/>
      <c r="AG2300" s="11"/>
      <c r="AH2300" s="11"/>
      <c r="AI2300" s="11"/>
      <c r="AJ2300" s="11"/>
      <c r="AK2300" s="11"/>
      <c r="AL2300" s="11"/>
      <c r="AM2300" s="11"/>
      <c r="AN2300" s="11"/>
      <c r="AO2300" s="11"/>
      <c r="AP2300" s="11"/>
      <c r="AQ2300" s="11"/>
      <c r="AR2300" s="11"/>
      <c r="AS2300" s="11"/>
      <c r="AT2300" s="11"/>
      <c r="AU2300" s="11"/>
      <c r="AV2300" s="11"/>
      <c r="AW2300" s="11"/>
      <c r="AX2300" s="11"/>
      <c r="AY2300" s="11"/>
    </row>
    <row r="2301" spans="1:51" hidden="1" x14ac:dyDescent="0.2">
      <c r="A2301" s="6"/>
      <c r="E2301" s="2"/>
      <c r="F2301" s="3"/>
      <c r="G2301" s="3"/>
      <c r="P2301" s="8"/>
      <c r="Q2301" s="11"/>
      <c r="R2301" s="11"/>
      <c r="S2301" s="11"/>
      <c r="T2301" s="11"/>
      <c r="U2301" s="11"/>
      <c r="V2301" s="11"/>
      <c r="W2301" s="11"/>
      <c r="X2301" s="11"/>
      <c r="Y2301" s="11"/>
      <c r="Z2301" s="11"/>
      <c r="AA2301" s="11"/>
      <c r="AB2301" s="11"/>
      <c r="AC2301" s="11"/>
      <c r="AD2301" s="11"/>
      <c r="AE2301" s="11"/>
      <c r="AF2301" s="11"/>
      <c r="AG2301" s="11"/>
      <c r="AH2301" s="11"/>
      <c r="AI2301" s="11"/>
      <c r="AJ2301" s="11"/>
      <c r="AK2301" s="11"/>
      <c r="AL2301" s="11"/>
      <c r="AM2301" s="11"/>
      <c r="AN2301" s="11"/>
      <c r="AO2301" s="11"/>
      <c r="AP2301" s="11"/>
      <c r="AQ2301" s="11"/>
      <c r="AR2301" s="11"/>
      <c r="AS2301" s="11"/>
      <c r="AT2301" s="11"/>
      <c r="AU2301" s="11"/>
      <c r="AV2301" s="11"/>
      <c r="AW2301" s="11"/>
      <c r="AX2301" s="11"/>
      <c r="AY2301" s="11"/>
    </row>
    <row r="2302" spans="1:51" hidden="1" x14ac:dyDescent="0.2">
      <c r="A2302" s="6" t="s">
        <v>17</v>
      </c>
      <c r="B2302" t="s">
        <v>18</v>
      </c>
      <c r="C2302" t="s">
        <v>19</v>
      </c>
      <c r="D2302" t="s">
        <v>2905</v>
      </c>
      <c r="E2302" s="2">
        <v>64.53</v>
      </c>
      <c r="F2302" s="3">
        <f t="shared" si="202"/>
        <v>45912</v>
      </c>
      <c r="G2302" s="3">
        <f t="shared" si="202"/>
        <v>45912</v>
      </c>
      <c r="H2302">
        <v>2799793350</v>
      </c>
      <c r="I2302" t="s">
        <v>21</v>
      </c>
      <c r="K2302" t="s">
        <v>22</v>
      </c>
      <c r="L2302" t="s">
        <v>23</v>
      </c>
      <c r="M2302" t="s">
        <v>24</v>
      </c>
      <c r="N2302" t="s">
        <v>24</v>
      </c>
      <c r="O2302" t="s">
        <v>25</v>
      </c>
      <c r="P2302" s="8" t="s">
        <v>2906</v>
      </c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11"/>
      <c r="AB2302" s="11"/>
      <c r="AC2302" s="11"/>
      <c r="AD2302" s="11"/>
      <c r="AE2302" s="11"/>
      <c r="AF2302" s="11"/>
      <c r="AG2302" s="11"/>
      <c r="AH2302" s="11"/>
      <c r="AI2302" s="11"/>
      <c r="AJ2302" s="11"/>
      <c r="AK2302" s="11"/>
      <c r="AL2302" s="11"/>
      <c r="AM2302" s="11"/>
      <c r="AN2302" s="11"/>
      <c r="AO2302" s="11"/>
      <c r="AP2302" s="11"/>
      <c r="AQ2302" s="11"/>
      <c r="AR2302" s="11"/>
      <c r="AS2302" s="11"/>
      <c r="AT2302" s="11"/>
      <c r="AU2302" s="11"/>
      <c r="AV2302" s="11"/>
      <c r="AW2302" s="11"/>
      <c r="AX2302" s="11"/>
      <c r="AY2302" s="11"/>
    </row>
    <row r="2303" spans="1:51" hidden="1" x14ac:dyDescent="0.2">
      <c r="A2303" s="6" t="s">
        <v>17</v>
      </c>
      <c r="B2303" t="s">
        <v>266</v>
      </c>
      <c r="C2303" t="s">
        <v>267</v>
      </c>
      <c r="D2303" t="s">
        <v>2907</v>
      </c>
      <c r="E2303" s="2">
        <v>424.6</v>
      </c>
      <c r="F2303" s="3">
        <f t="shared" si="202"/>
        <v>45912</v>
      </c>
      <c r="G2303" s="3">
        <f t="shared" si="202"/>
        <v>45912</v>
      </c>
      <c r="H2303">
        <v>2799793351</v>
      </c>
      <c r="I2303" t="s">
        <v>21</v>
      </c>
      <c r="K2303" t="s">
        <v>22</v>
      </c>
      <c r="L2303" t="s">
        <v>23</v>
      </c>
      <c r="M2303" t="s">
        <v>24</v>
      </c>
      <c r="N2303" t="s">
        <v>24</v>
      </c>
      <c r="O2303" t="s">
        <v>25</v>
      </c>
      <c r="P2303" s="8" t="s">
        <v>2908</v>
      </c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  <c r="AA2303" s="11"/>
      <c r="AB2303" s="11"/>
      <c r="AC2303" s="11"/>
      <c r="AD2303" s="11"/>
      <c r="AE2303" s="11"/>
      <c r="AF2303" s="11"/>
      <c r="AG2303" s="11"/>
      <c r="AH2303" s="11"/>
      <c r="AI2303" s="11"/>
      <c r="AJ2303" s="11"/>
      <c r="AK2303" s="11"/>
      <c r="AL2303" s="11"/>
      <c r="AM2303" s="11"/>
      <c r="AN2303" s="11"/>
      <c r="AO2303" s="11"/>
      <c r="AP2303" s="11"/>
      <c r="AQ2303" s="11"/>
      <c r="AR2303" s="11"/>
      <c r="AS2303" s="11"/>
      <c r="AT2303" s="11"/>
      <c r="AU2303" s="11"/>
      <c r="AV2303" s="11"/>
      <c r="AW2303" s="11"/>
      <c r="AX2303" s="11"/>
      <c r="AY2303" s="11"/>
    </row>
    <row r="2304" spans="1:51" hidden="1" x14ac:dyDescent="0.2">
      <c r="A2304" s="6" t="s">
        <v>17</v>
      </c>
      <c r="B2304" t="s">
        <v>878</v>
      </c>
      <c r="C2304" t="s">
        <v>879</v>
      </c>
      <c r="D2304" t="s">
        <v>2909</v>
      </c>
      <c r="E2304" s="2">
        <v>1148.22</v>
      </c>
      <c r="F2304" s="3">
        <f t="shared" si="202"/>
        <v>45912</v>
      </c>
      <c r="G2304" s="3">
        <f t="shared" si="202"/>
        <v>45912</v>
      </c>
      <c r="H2304">
        <v>2799793352</v>
      </c>
      <c r="I2304" t="s">
        <v>21</v>
      </c>
      <c r="K2304" t="s">
        <v>22</v>
      </c>
      <c r="L2304" t="s">
        <v>23</v>
      </c>
      <c r="M2304" t="s">
        <v>24</v>
      </c>
      <c r="N2304" t="s">
        <v>24</v>
      </c>
      <c r="O2304" t="s">
        <v>25</v>
      </c>
      <c r="P2304" s="8" t="s">
        <v>2910</v>
      </c>
      <c r="Q2304" s="11"/>
      <c r="R2304" s="11"/>
      <c r="S2304" s="11"/>
      <c r="T2304" s="11"/>
      <c r="U2304" s="11"/>
      <c r="V2304" s="11"/>
      <c r="W2304" s="11"/>
      <c r="X2304" s="11"/>
      <c r="Y2304" s="11"/>
      <c r="Z2304" s="11"/>
      <c r="AA2304" s="11"/>
      <c r="AB2304" s="11"/>
      <c r="AC2304" s="11"/>
      <c r="AD2304" s="11"/>
      <c r="AE2304" s="11"/>
      <c r="AF2304" s="11"/>
      <c r="AG2304" s="11"/>
      <c r="AH2304" s="11"/>
      <c r="AI2304" s="11"/>
      <c r="AJ2304" s="11"/>
      <c r="AK2304" s="11"/>
      <c r="AL2304" s="11"/>
      <c r="AM2304" s="11"/>
      <c r="AN2304" s="11"/>
      <c r="AO2304" s="11"/>
      <c r="AP2304" s="11"/>
      <c r="AQ2304" s="11"/>
      <c r="AR2304" s="11"/>
      <c r="AS2304" s="11"/>
      <c r="AT2304" s="11"/>
      <c r="AU2304" s="11"/>
      <c r="AV2304" s="11"/>
      <c r="AW2304" s="11"/>
      <c r="AX2304" s="11"/>
      <c r="AY2304" s="11"/>
    </row>
    <row r="2305" spans="1:51" hidden="1" x14ac:dyDescent="0.2">
      <c r="A2305" s="6" t="s">
        <v>17</v>
      </c>
      <c r="B2305" t="s">
        <v>46</v>
      </c>
      <c r="C2305" t="s">
        <v>47</v>
      </c>
      <c r="D2305" t="s">
        <v>2911</v>
      </c>
      <c r="E2305" s="2">
        <v>150</v>
      </c>
      <c r="F2305" s="3">
        <f t="shared" si="202"/>
        <v>45912</v>
      </c>
      <c r="G2305" s="3">
        <f t="shared" si="202"/>
        <v>45912</v>
      </c>
      <c r="H2305">
        <v>2799793353</v>
      </c>
      <c r="I2305" t="s">
        <v>21</v>
      </c>
      <c r="K2305" t="s">
        <v>22</v>
      </c>
      <c r="L2305" t="s">
        <v>23</v>
      </c>
      <c r="M2305" t="s">
        <v>24</v>
      </c>
      <c r="N2305" t="s">
        <v>24</v>
      </c>
      <c r="O2305" t="s">
        <v>25</v>
      </c>
      <c r="P2305" s="8" t="s">
        <v>2912</v>
      </c>
      <c r="Q2305" s="11"/>
      <c r="R2305" s="11"/>
      <c r="S2305" s="11"/>
      <c r="T2305" s="11"/>
      <c r="U2305" s="11"/>
      <c r="V2305" s="11"/>
      <c r="W2305" s="11"/>
      <c r="X2305" s="11"/>
      <c r="Y2305" s="11"/>
      <c r="Z2305" s="11"/>
      <c r="AA2305" s="11"/>
      <c r="AB2305" s="11"/>
      <c r="AC2305" s="11"/>
      <c r="AD2305" s="11"/>
      <c r="AE2305" s="11"/>
      <c r="AF2305" s="11"/>
      <c r="AG2305" s="11"/>
      <c r="AH2305" s="11"/>
      <c r="AI2305" s="11"/>
      <c r="AJ2305" s="11"/>
      <c r="AK2305" s="11"/>
      <c r="AL2305" s="11"/>
      <c r="AM2305" s="11"/>
      <c r="AN2305" s="11"/>
      <c r="AO2305" s="11"/>
      <c r="AP2305" s="11"/>
      <c r="AQ2305" s="11"/>
      <c r="AR2305" s="11"/>
      <c r="AS2305" s="11"/>
      <c r="AT2305" s="11"/>
      <c r="AU2305" s="11"/>
      <c r="AV2305" s="11"/>
      <c r="AW2305" s="11"/>
      <c r="AX2305" s="11"/>
      <c r="AY2305" s="11"/>
    </row>
    <row r="2306" spans="1:51" hidden="1" x14ac:dyDescent="0.2">
      <c r="A2306" s="6" t="s">
        <v>17</v>
      </c>
      <c r="B2306" t="s">
        <v>42</v>
      </c>
      <c r="C2306" t="s">
        <v>43</v>
      </c>
      <c r="D2306" t="s">
        <v>2913</v>
      </c>
      <c r="E2306" s="2">
        <v>40.799999999999997</v>
      </c>
      <c r="F2306" s="3">
        <f t="shared" si="202"/>
        <v>45912</v>
      </c>
      <c r="G2306" s="3">
        <f t="shared" si="202"/>
        <v>45912</v>
      </c>
      <c r="H2306">
        <v>2799793354</v>
      </c>
      <c r="I2306" t="s">
        <v>21</v>
      </c>
      <c r="K2306" t="s">
        <v>22</v>
      </c>
      <c r="L2306" t="s">
        <v>23</v>
      </c>
      <c r="M2306" t="s">
        <v>24</v>
      </c>
      <c r="N2306" t="s">
        <v>24</v>
      </c>
      <c r="O2306" t="s">
        <v>25</v>
      </c>
      <c r="P2306" s="8" t="s">
        <v>2914</v>
      </c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  <c r="AA2306" s="11"/>
      <c r="AB2306" s="11"/>
      <c r="AC2306" s="11"/>
      <c r="AD2306" s="11"/>
      <c r="AE2306" s="11"/>
      <c r="AF2306" s="11"/>
      <c r="AG2306" s="11"/>
      <c r="AH2306" s="11"/>
      <c r="AI2306" s="11"/>
      <c r="AJ2306" s="11"/>
      <c r="AK2306" s="11"/>
      <c r="AL2306" s="11"/>
      <c r="AM2306" s="11"/>
      <c r="AN2306" s="11"/>
      <c r="AO2306" s="11"/>
      <c r="AP2306" s="11"/>
      <c r="AQ2306" s="11"/>
      <c r="AR2306" s="11"/>
      <c r="AS2306" s="11"/>
      <c r="AT2306" s="11"/>
      <c r="AU2306" s="11"/>
      <c r="AV2306" s="11"/>
      <c r="AW2306" s="11"/>
      <c r="AX2306" s="11"/>
      <c r="AY2306" s="11"/>
    </row>
    <row r="2307" spans="1:51" hidden="1" x14ac:dyDescent="0.2">
      <c r="A2307" s="6" t="s">
        <v>17</v>
      </c>
      <c r="B2307" t="s">
        <v>18</v>
      </c>
      <c r="C2307" t="s">
        <v>19</v>
      </c>
      <c r="D2307" t="s">
        <v>2915</v>
      </c>
      <c r="E2307" s="2">
        <v>358.2</v>
      </c>
      <c r="F2307" s="3">
        <f t="shared" si="202"/>
        <v>45912</v>
      </c>
      <c r="G2307" s="3">
        <f t="shared" si="202"/>
        <v>45912</v>
      </c>
      <c r="H2307">
        <v>2799793355</v>
      </c>
      <c r="I2307" t="s">
        <v>21</v>
      </c>
      <c r="K2307" t="s">
        <v>22</v>
      </c>
      <c r="L2307" t="s">
        <v>23</v>
      </c>
      <c r="M2307" t="s">
        <v>24</v>
      </c>
      <c r="N2307" t="s">
        <v>24</v>
      </c>
      <c r="O2307" t="s">
        <v>25</v>
      </c>
      <c r="P2307" s="8" t="s">
        <v>2916</v>
      </c>
      <c r="Q2307" s="11"/>
      <c r="R2307" s="11"/>
      <c r="S2307" s="11"/>
      <c r="T2307" s="11"/>
      <c r="U2307" s="11"/>
      <c r="V2307" s="11"/>
      <c r="W2307" s="11"/>
      <c r="X2307" s="11"/>
      <c r="Y2307" s="11"/>
      <c r="Z2307" s="11"/>
      <c r="AA2307" s="11"/>
      <c r="AB2307" s="11"/>
      <c r="AC2307" s="11"/>
      <c r="AD2307" s="11"/>
      <c r="AE2307" s="11"/>
      <c r="AF2307" s="11"/>
      <c r="AG2307" s="11"/>
      <c r="AH2307" s="11"/>
      <c r="AI2307" s="11"/>
      <c r="AJ2307" s="11"/>
      <c r="AK2307" s="11"/>
      <c r="AL2307" s="11"/>
      <c r="AM2307" s="11"/>
      <c r="AN2307" s="11"/>
      <c r="AO2307" s="11"/>
      <c r="AP2307" s="11"/>
      <c r="AQ2307" s="11"/>
      <c r="AR2307" s="11"/>
      <c r="AS2307" s="11"/>
      <c r="AT2307" s="11"/>
      <c r="AU2307" s="11"/>
      <c r="AV2307" s="11"/>
      <c r="AW2307" s="11"/>
      <c r="AX2307" s="11"/>
      <c r="AY2307" s="11"/>
    </row>
    <row r="2308" spans="1:51" hidden="1" x14ac:dyDescent="0.2">
      <c r="A2308" s="6" t="s">
        <v>17</v>
      </c>
      <c r="B2308" t="s">
        <v>825</v>
      </c>
      <c r="C2308" t="s">
        <v>826</v>
      </c>
      <c r="D2308" t="s">
        <v>2917</v>
      </c>
      <c r="E2308" s="2">
        <v>1000.83</v>
      </c>
      <c r="F2308" s="3">
        <f t="shared" si="202"/>
        <v>45912</v>
      </c>
      <c r="G2308" s="3">
        <f t="shared" si="202"/>
        <v>45912</v>
      </c>
      <c r="H2308">
        <v>2799793356</v>
      </c>
      <c r="I2308" t="s">
        <v>21</v>
      </c>
      <c r="K2308" t="s">
        <v>22</v>
      </c>
      <c r="L2308" t="s">
        <v>23</v>
      </c>
      <c r="M2308" t="s">
        <v>24</v>
      </c>
      <c r="N2308" t="s">
        <v>24</v>
      </c>
      <c r="O2308" t="s">
        <v>25</v>
      </c>
      <c r="P2308" s="8" t="s">
        <v>2918</v>
      </c>
      <c r="Q2308" s="11"/>
      <c r="R2308" s="11"/>
      <c r="S2308" s="11"/>
      <c r="T2308" s="11"/>
      <c r="U2308" s="11"/>
      <c r="V2308" s="11"/>
      <c r="W2308" s="11"/>
      <c r="X2308" s="11"/>
      <c r="Y2308" s="11"/>
      <c r="Z2308" s="11"/>
      <c r="AA2308" s="11"/>
      <c r="AB2308" s="11"/>
      <c r="AC2308" s="11"/>
      <c r="AD2308" s="11"/>
      <c r="AE2308" s="11"/>
      <c r="AF2308" s="11"/>
      <c r="AG2308" s="11"/>
      <c r="AH2308" s="11"/>
      <c r="AI2308" s="11"/>
      <c r="AJ2308" s="11"/>
      <c r="AK2308" s="11"/>
      <c r="AL2308" s="11"/>
      <c r="AM2308" s="11"/>
      <c r="AN2308" s="11"/>
      <c r="AO2308" s="11"/>
      <c r="AP2308" s="11"/>
      <c r="AQ2308" s="11"/>
      <c r="AR2308" s="11"/>
      <c r="AS2308" s="11"/>
      <c r="AT2308" s="11"/>
      <c r="AU2308" s="11"/>
      <c r="AV2308" s="11"/>
      <c r="AW2308" s="11"/>
      <c r="AX2308" s="11"/>
      <c r="AY2308" s="11"/>
    </row>
    <row r="2309" spans="1:51" hidden="1" x14ac:dyDescent="0.2">
      <c r="A2309" s="6"/>
      <c r="E2309" s="2"/>
      <c r="F2309" s="3"/>
      <c r="G2309" s="3"/>
      <c r="P2309" s="8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  <c r="AA2309" s="11"/>
      <c r="AB2309" s="11"/>
      <c r="AC2309" s="11"/>
      <c r="AD2309" s="11"/>
      <c r="AE2309" s="11"/>
      <c r="AF2309" s="11"/>
      <c r="AG2309" s="11"/>
      <c r="AH2309" s="11"/>
      <c r="AI2309" s="11"/>
      <c r="AJ2309" s="11"/>
      <c r="AK2309" s="11"/>
      <c r="AL2309" s="11"/>
      <c r="AM2309" s="11"/>
      <c r="AN2309" s="11"/>
      <c r="AO2309" s="11"/>
      <c r="AP2309" s="11"/>
      <c r="AQ2309" s="11"/>
      <c r="AR2309" s="11"/>
      <c r="AS2309" s="11"/>
      <c r="AT2309" s="11"/>
      <c r="AU2309" s="11"/>
      <c r="AV2309" s="11"/>
      <c r="AW2309" s="11"/>
      <c r="AX2309" s="11"/>
      <c r="AY2309" s="11"/>
    </row>
    <row r="2310" spans="1:51" hidden="1" x14ac:dyDescent="0.2">
      <c r="A2310" s="6" t="s">
        <v>17</v>
      </c>
      <c r="B2310" t="s">
        <v>18</v>
      </c>
      <c r="C2310" t="s">
        <v>19</v>
      </c>
      <c r="D2310" t="s">
        <v>2919</v>
      </c>
      <c r="E2310" s="2">
        <v>0.94</v>
      </c>
      <c r="F2310" s="3">
        <f t="shared" si="202"/>
        <v>45912</v>
      </c>
      <c r="G2310" s="3">
        <f t="shared" si="202"/>
        <v>45912</v>
      </c>
      <c r="H2310">
        <v>2799794323</v>
      </c>
      <c r="I2310" t="s">
        <v>192</v>
      </c>
      <c r="K2310" t="s">
        <v>22</v>
      </c>
      <c r="L2310" t="s">
        <v>23</v>
      </c>
      <c r="M2310" t="s">
        <v>24</v>
      </c>
      <c r="N2310" t="s">
        <v>24</v>
      </c>
      <c r="O2310" t="s">
        <v>25</v>
      </c>
      <c r="P2310" s="8" t="s">
        <v>2920</v>
      </c>
      <c r="Q2310" s="11"/>
      <c r="R2310" s="11"/>
      <c r="S2310" s="11"/>
      <c r="T2310" s="11"/>
      <c r="U2310" s="11"/>
      <c r="V2310" s="11"/>
      <c r="W2310" s="11"/>
      <c r="X2310" s="11"/>
      <c r="Y2310" s="11"/>
      <c r="Z2310" s="11"/>
      <c r="AA2310" s="11"/>
      <c r="AB2310" s="11"/>
      <c r="AC2310" s="11"/>
      <c r="AD2310" s="11"/>
      <c r="AE2310" s="11"/>
      <c r="AF2310" s="11"/>
      <c r="AG2310" s="11"/>
      <c r="AH2310" s="11"/>
      <c r="AI2310" s="11"/>
      <c r="AJ2310" s="11"/>
      <c r="AK2310" s="11"/>
      <c r="AL2310" s="11"/>
      <c r="AM2310" s="11"/>
      <c r="AN2310" s="11"/>
      <c r="AO2310" s="11"/>
      <c r="AP2310" s="11"/>
      <c r="AQ2310" s="11"/>
      <c r="AR2310" s="11"/>
      <c r="AS2310" s="11"/>
      <c r="AT2310" s="11"/>
      <c r="AU2310" s="11"/>
      <c r="AV2310" s="11"/>
      <c r="AW2310" s="11"/>
      <c r="AX2310" s="11"/>
      <c r="AY2310" s="11"/>
    </row>
    <row r="2311" spans="1:51" hidden="1" x14ac:dyDescent="0.2">
      <c r="A2311" s="6"/>
      <c r="E2311" s="2"/>
      <c r="F2311" s="3"/>
      <c r="G2311" s="3"/>
      <c r="P2311" s="8"/>
      <c r="Q2311" s="11"/>
      <c r="R2311" s="11"/>
      <c r="S2311" s="11"/>
      <c r="T2311" s="11"/>
      <c r="U2311" s="11"/>
      <c r="V2311" s="11"/>
      <c r="W2311" s="11"/>
      <c r="X2311" s="11"/>
      <c r="Y2311" s="11"/>
      <c r="Z2311" s="11"/>
      <c r="AA2311" s="11"/>
      <c r="AB2311" s="11"/>
      <c r="AC2311" s="11"/>
      <c r="AD2311" s="11"/>
      <c r="AE2311" s="11"/>
      <c r="AF2311" s="11"/>
      <c r="AG2311" s="11"/>
      <c r="AH2311" s="11"/>
      <c r="AI2311" s="11"/>
      <c r="AJ2311" s="11"/>
      <c r="AK2311" s="11"/>
      <c r="AL2311" s="11"/>
      <c r="AM2311" s="11"/>
      <c r="AN2311" s="11"/>
      <c r="AO2311" s="11"/>
      <c r="AP2311" s="11"/>
      <c r="AQ2311" s="11"/>
      <c r="AR2311" s="11"/>
      <c r="AS2311" s="11"/>
      <c r="AT2311" s="11"/>
      <c r="AU2311" s="11"/>
      <c r="AV2311" s="11"/>
      <c r="AW2311" s="11"/>
      <c r="AX2311" s="11"/>
      <c r="AY2311" s="11"/>
    </row>
    <row r="2312" spans="1:51" hidden="1" x14ac:dyDescent="0.2">
      <c r="A2312" s="6"/>
      <c r="E2312" s="2"/>
      <c r="F2312" s="3"/>
      <c r="G2312" s="3"/>
      <c r="P2312" s="8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11"/>
      <c r="AB2312" s="11"/>
      <c r="AC2312" s="11"/>
      <c r="AD2312" s="11"/>
      <c r="AE2312" s="11"/>
      <c r="AF2312" s="11"/>
      <c r="AG2312" s="11"/>
      <c r="AH2312" s="11"/>
      <c r="AI2312" s="11"/>
      <c r="AJ2312" s="11"/>
      <c r="AK2312" s="11"/>
      <c r="AL2312" s="11"/>
      <c r="AM2312" s="11"/>
      <c r="AN2312" s="11"/>
      <c r="AO2312" s="11"/>
      <c r="AP2312" s="11"/>
      <c r="AQ2312" s="11"/>
      <c r="AR2312" s="11"/>
      <c r="AS2312" s="11"/>
      <c r="AT2312" s="11"/>
      <c r="AU2312" s="11"/>
      <c r="AV2312" s="11"/>
      <c r="AW2312" s="11"/>
      <c r="AX2312" s="11"/>
      <c r="AY2312" s="11"/>
    </row>
    <row r="2313" spans="1:51" hidden="1" x14ac:dyDescent="0.2">
      <c r="A2313" s="6"/>
      <c r="E2313" s="2"/>
      <c r="F2313" s="3"/>
      <c r="G2313" s="3"/>
      <c r="P2313" s="8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  <c r="AA2313" s="11"/>
      <c r="AB2313" s="11"/>
      <c r="AC2313" s="11"/>
      <c r="AD2313" s="11"/>
      <c r="AE2313" s="11"/>
      <c r="AF2313" s="11"/>
      <c r="AG2313" s="11"/>
      <c r="AH2313" s="11"/>
      <c r="AI2313" s="11"/>
      <c r="AJ2313" s="11"/>
      <c r="AK2313" s="11"/>
      <c r="AL2313" s="11"/>
      <c r="AM2313" s="11"/>
      <c r="AN2313" s="11"/>
      <c r="AO2313" s="11"/>
      <c r="AP2313" s="11"/>
      <c r="AQ2313" s="11"/>
      <c r="AR2313" s="11"/>
      <c r="AS2313" s="11"/>
      <c r="AT2313" s="11"/>
      <c r="AU2313" s="11"/>
      <c r="AV2313" s="11"/>
      <c r="AW2313" s="11"/>
      <c r="AX2313" s="11"/>
      <c r="AY2313" s="11"/>
    </row>
    <row r="2314" spans="1:51" hidden="1" x14ac:dyDescent="0.2">
      <c r="A2314" s="6" t="s">
        <v>17</v>
      </c>
      <c r="B2314" t="s">
        <v>35</v>
      </c>
      <c r="C2314" t="s">
        <v>35</v>
      </c>
      <c r="D2314" t="s">
        <v>2921</v>
      </c>
      <c r="E2314" s="2">
        <v>30.98</v>
      </c>
      <c r="F2314" s="3">
        <f t="shared" si="202"/>
        <v>45912</v>
      </c>
      <c r="G2314" s="3">
        <f t="shared" si="202"/>
        <v>45912</v>
      </c>
      <c r="H2314">
        <v>2799794327</v>
      </c>
      <c r="I2314" t="s">
        <v>192</v>
      </c>
      <c r="K2314" t="s">
        <v>22</v>
      </c>
      <c r="L2314" t="s">
        <v>23</v>
      </c>
      <c r="M2314" t="s">
        <v>24</v>
      </c>
      <c r="N2314" t="s">
        <v>24</v>
      </c>
      <c r="O2314" t="s">
        <v>25</v>
      </c>
      <c r="P2314" s="8" t="s">
        <v>2922</v>
      </c>
      <c r="Q2314" s="11"/>
      <c r="R2314" s="11"/>
      <c r="S2314" s="11"/>
      <c r="T2314" s="11"/>
      <c r="U2314" s="11"/>
      <c r="V2314" s="11"/>
      <c r="W2314" s="11"/>
      <c r="X2314" s="11"/>
      <c r="Y2314" s="11"/>
      <c r="Z2314" s="11"/>
      <c r="AA2314" s="11"/>
      <c r="AB2314" s="11"/>
      <c r="AC2314" s="11"/>
      <c r="AD2314" s="11"/>
      <c r="AE2314" s="11"/>
      <c r="AF2314" s="11"/>
      <c r="AG2314" s="11"/>
      <c r="AH2314" s="11"/>
      <c r="AI2314" s="11"/>
      <c r="AJ2314" s="11"/>
      <c r="AK2314" s="11"/>
      <c r="AL2314" s="11"/>
      <c r="AM2314" s="11"/>
      <c r="AN2314" s="11"/>
      <c r="AO2314" s="11"/>
      <c r="AP2314" s="11"/>
      <c r="AQ2314" s="11"/>
      <c r="AR2314" s="11"/>
      <c r="AS2314" s="11"/>
      <c r="AT2314" s="11"/>
      <c r="AU2314" s="11"/>
      <c r="AV2314" s="11"/>
      <c r="AW2314" s="11"/>
      <c r="AX2314" s="11"/>
      <c r="AY2314" s="11"/>
    </row>
    <row r="2315" spans="1:51" hidden="1" x14ac:dyDescent="0.2">
      <c r="A2315" s="6" t="s">
        <v>17</v>
      </c>
      <c r="B2315" t="s">
        <v>1002</v>
      </c>
      <c r="C2315" t="s">
        <v>1003</v>
      </c>
      <c r="D2315" t="s">
        <v>2923</v>
      </c>
      <c r="E2315" s="2">
        <v>978.87</v>
      </c>
      <c r="F2315" s="3">
        <f t="shared" ref="F2315:G2318" si="203">DATE(2025,9,15)</f>
        <v>45915</v>
      </c>
      <c r="G2315" s="3">
        <f t="shared" si="203"/>
        <v>45915</v>
      </c>
      <c r="H2315">
        <v>2809730552</v>
      </c>
      <c r="I2315" t="s">
        <v>21</v>
      </c>
      <c r="K2315" t="s">
        <v>22</v>
      </c>
      <c r="L2315" t="s">
        <v>23</v>
      </c>
      <c r="M2315" t="s">
        <v>24</v>
      </c>
      <c r="N2315" t="s">
        <v>24</v>
      </c>
      <c r="O2315" t="s">
        <v>25</v>
      </c>
      <c r="P2315" s="8" t="s">
        <v>2924</v>
      </c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1"/>
      <c r="AB2315" s="11"/>
      <c r="AC2315" s="11"/>
      <c r="AD2315" s="11"/>
      <c r="AE2315" s="11"/>
      <c r="AF2315" s="11"/>
      <c r="AG2315" s="11"/>
      <c r="AH2315" s="11"/>
      <c r="AI2315" s="11"/>
      <c r="AJ2315" s="11"/>
      <c r="AK2315" s="11"/>
      <c r="AL2315" s="11"/>
      <c r="AM2315" s="11"/>
      <c r="AN2315" s="11"/>
      <c r="AO2315" s="11"/>
      <c r="AP2315" s="11"/>
      <c r="AQ2315" s="11"/>
      <c r="AR2315" s="11"/>
      <c r="AS2315" s="11"/>
      <c r="AT2315" s="11"/>
      <c r="AU2315" s="11"/>
      <c r="AV2315" s="11"/>
      <c r="AW2315" s="11"/>
      <c r="AX2315" s="11"/>
      <c r="AY2315" s="11"/>
    </row>
    <row r="2316" spans="1:51" hidden="1" x14ac:dyDescent="0.2">
      <c r="A2316" s="6" t="s">
        <v>17</v>
      </c>
      <c r="B2316" t="s">
        <v>46</v>
      </c>
      <c r="C2316" t="s">
        <v>47</v>
      </c>
      <c r="D2316" t="s">
        <v>2925</v>
      </c>
      <c r="E2316" s="2">
        <v>398.4</v>
      </c>
      <c r="F2316" s="3">
        <f t="shared" si="203"/>
        <v>45915</v>
      </c>
      <c r="G2316" s="3">
        <f t="shared" si="203"/>
        <v>45915</v>
      </c>
      <c r="H2316">
        <v>2809730624</v>
      </c>
      <c r="I2316" t="s">
        <v>21</v>
      </c>
      <c r="K2316" t="s">
        <v>22</v>
      </c>
      <c r="L2316" t="s">
        <v>23</v>
      </c>
      <c r="M2316" t="s">
        <v>24</v>
      </c>
      <c r="N2316" t="s">
        <v>24</v>
      </c>
      <c r="O2316" t="s">
        <v>25</v>
      </c>
      <c r="P2316" s="8" t="s">
        <v>2926</v>
      </c>
      <c r="Q2316" s="11"/>
      <c r="R2316" s="11"/>
      <c r="S2316" s="11"/>
      <c r="T2316" s="11"/>
      <c r="U2316" s="11"/>
      <c r="V2316" s="11"/>
      <c r="W2316" s="11"/>
      <c r="X2316" s="11"/>
      <c r="Y2316" s="11"/>
      <c r="Z2316" s="11"/>
      <c r="AA2316" s="11"/>
      <c r="AB2316" s="11"/>
      <c r="AC2316" s="11"/>
      <c r="AD2316" s="11"/>
      <c r="AE2316" s="11"/>
      <c r="AF2316" s="11"/>
      <c r="AG2316" s="11"/>
      <c r="AH2316" s="11"/>
      <c r="AI2316" s="11"/>
      <c r="AJ2316" s="11"/>
      <c r="AK2316" s="11"/>
      <c r="AL2316" s="11"/>
      <c r="AM2316" s="11"/>
      <c r="AN2316" s="11"/>
      <c r="AO2316" s="11"/>
      <c r="AP2316" s="11"/>
      <c r="AQ2316" s="11"/>
      <c r="AR2316" s="11"/>
      <c r="AS2316" s="11"/>
      <c r="AT2316" s="11"/>
      <c r="AU2316" s="11"/>
      <c r="AV2316" s="11"/>
      <c r="AW2316" s="11"/>
      <c r="AX2316" s="11"/>
      <c r="AY2316" s="11"/>
    </row>
    <row r="2317" spans="1:51" hidden="1" x14ac:dyDescent="0.2">
      <c r="A2317" s="6" t="s">
        <v>17</v>
      </c>
      <c r="B2317" t="s">
        <v>31</v>
      </c>
      <c r="C2317" t="s">
        <v>32</v>
      </c>
      <c r="D2317" t="s">
        <v>2927</v>
      </c>
      <c r="E2317" s="2">
        <v>143.91999999999999</v>
      </c>
      <c r="F2317" s="3">
        <f t="shared" si="203"/>
        <v>45915</v>
      </c>
      <c r="G2317" s="3">
        <f t="shared" si="203"/>
        <v>45915</v>
      </c>
      <c r="H2317">
        <v>2809730662</v>
      </c>
      <c r="I2317" t="s">
        <v>21</v>
      </c>
      <c r="K2317" t="s">
        <v>22</v>
      </c>
      <c r="L2317" t="s">
        <v>23</v>
      </c>
      <c r="M2317" t="s">
        <v>24</v>
      </c>
      <c r="N2317" t="s">
        <v>24</v>
      </c>
      <c r="O2317" t="s">
        <v>25</v>
      </c>
      <c r="P2317" s="8" t="s">
        <v>2928</v>
      </c>
      <c r="Q2317" s="11"/>
      <c r="R2317" s="11"/>
      <c r="S2317" s="11"/>
      <c r="T2317" s="11"/>
      <c r="U2317" s="11"/>
      <c r="V2317" s="11"/>
      <c r="W2317" s="11"/>
      <c r="X2317" s="11"/>
      <c r="Y2317" s="11"/>
      <c r="Z2317" s="11"/>
      <c r="AA2317" s="11"/>
      <c r="AB2317" s="11"/>
      <c r="AC2317" s="11"/>
      <c r="AD2317" s="11"/>
      <c r="AE2317" s="11"/>
      <c r="AF2317" s="11"/>
      <c r="AG2317" s="11"/>
      <c r="AH2317" s="11"/>
      <c r="AI2317" s="11"/>
      <c r="AJ2317" s="11"/>
      <c r="AK2317" s="11"/>
      <c r="AL2317" s="11"/>
      <c r="AM2317" s="11"/>
      <c r="AN2317" s="11"/>
      <c r="AO2317" s="11"/>
      <c r="AP2317" s="11"/>
      <c r="AQ2317" s="11"/>
      <c r="AR2317" s="11"/>
      <c r="AS2317" s="11"/>
      <c r="AT2317" s="11"/>
      <c r="AU2317" s="11"/>
      <c r="AV2317" s="11"/>
      <c r="AW2317" s="11"/>
      <c r="AX2317" s="11"/>
      <c r="AY2317" s="11"/>
    </row>
    <row r="2318" spans="1:51" hidden="1" x14ac:dyDescent="0.2">
      <c r="A2318" s="6" t="s">
        <v>17</v>
      </c>
      <c r="B2318" t="s">
        <v>980</v>
      </c>
      <c r="C2318" t="s">
        <v>981</v>
      </c>
      <c r="D2318" t="s">
        <v>2929</v>
      </c>
      <c r="E2318" s="2">
        <v>415.62</v>
      </c>
      <c r="F2318" s="3">
        <f t="shared" si="203"/>
        <v>45915</v>
      </c>
      <c r="G2318" s="3">
        <f t="shared" si="203"/>
        <v>45915</v>
      </c>
      <c r="H2318">
        <v>2809730718</v>
      </c>
      <c r="I2318" t="s">
        <v>21</v>
      </c>
      <c r="K2318" t="s">
        <v>22</v>
      </c>
      <c r="L2318" t="s">
        <v>23</v>
      </c>
      <c r="M2318" t="s">
        <v>24</v>
      </c>
      <c r="N2318" t="s">
        <v>24</v>
      </c>
      <c r="O2318" t="s">
        <v>25</v>
      </c>
      <c r="P2318" s="8" t="s">
        <v>2930</v>
      </c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  <c r="AA2318" s="11"/>
      <c r="AB2318" s="11"/>
      <c r="AC2318" s="11"/>
      <c r="AD2318" s="11"/>
      <c r="AE2318" s="11"/>
      <c r="AF2318" s="11"/>
      <c r="AG2318" s="11"/>
      <c r="AH2318" s="11"/>
      <c r="AI2318" s="11"/>
      <c r="AJ2318" s="11"/>
      <c r="AK2318" s="11"/>
      <c r="AL2318" s="11"/>
      <c r="AM2318" s="11"/>
      <c r="AN2318" s="11"/>
      <c r="AO2318" s="11"/>
      <c r="AP2318" s="11"/>
      <c r="AQ2318" s="11"/>
      <c r="AR2318" s="11"/>
      <c r="AS2318" s="11"/>
      <c r="AT2318" s="11"/>
      <c r="AU2318" s="11"/>
      <c r="AV2318" s="11"/>
      <c r="AW2318" s="11"/>
      <c r="AX2318" s="11"/>
      <c r="AY2318" s="11"/>
    </row>
    <row r="2319" spans="1:51" hidden="1" x14ac:dyDescent="0.2">
      <c r="A2319" s="6" t="s">
        <v>17</v>
      </c>
      <c r="B2319" t="s">
        <v>31</v>
      </c>
      <c r="C2319" t="s">
        <v>32</v>
      </c>
      <c r="D2319" t="s">
        <v>2931</v>
      </c>
      <c r="E2319" s="2">
        <v>40</v>
      </c>
      <c r="F2319" s="3">
        <f>DATE(2025,9,13)</f>
        <v>45913</v>
      </c>
      <c r="G2319" s="3">
        <f>DATE(2025,9,13)</f>
        <v>45913</v>
      </c>
      <c r="H2319">
        <v>2817857388</v>
      </c>
      <c r="I2319" t="s">
        <v>158</v>
      </c>
      <c r="K2319" t="s">
        <v>22</v>
      </c>
      <c r="L2319" t="s">
        <v>23</v>
      </c>
      <c r="M2319" t="s">
        <v>24</v>
      </c>
      <c r="N2319" t="s">
        <v>24</v>
      </c>
      <c r="O2319" t="s">
        <v>25</v>
      </c>
      <c r="P2319" s="8" t="s">
        <v>2932</v>
      </c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  <c r="AA2319" s="11"/>
      <c r="AB2319" s="11"/>
      <c r="AC2319" s="11"/>
      <c r="AD2319" s="11"/>
      <c r="AE2319" s="11"/>
      <c r="AF2319" s="11"/>
      <c r="AG2319" s="11"/>
      <c r="AH2319" s="11"/>
      <c r="AI2319" s="11"/>
      <c r="AJ2319" s="11"/>
      <c r="AK2319" s="11"/>
      <c r="AL2319" s="11"/>
      <c r="AM2319" s="11"/>
      <c r="AN2319" s="11"/>
      <c r="AO2319" s="11"/>
      <c r="AP2319" s="11"/>
      <c r="AQ2319" s="11"/>
      <c r="AR2319" s="11"/>
      <c r="AS2319" s="11"/>
      <c r="AT2319" s="11"/>
      <c r="AU2319" s="11"/>
      <c r="AV2319" s="11"/>
      <c r="AW2319" s="11"/>
      <c r="AX2319" s="11"/>
      <c r="AY2319" s="11"/>
    </row>
    <row r="2320" spans="1:51" hidden="1" x14ac:dyDescent="0.2">
      <c r="A2320" s="6" t="s">
        <v>17</v>
      </c>
      <c r="B2320" t="s">
        <v>35</v>
      </c>
      <c r="C2320" t="s">
        <v>35</v>
      </c>
      <c r="D2320" t="s">
        <v>2933</v>
      </c>
      <c r="E2320" s="2">
        <v>220</v>
      </c>
      <c r="F2320" s="3">
        <f>DATE(2025,9,16)</f>
        <v>45916</v>
      </c>
      <c r="G2320" s="3">
        <f>DATE(2025,9,16)</f>
        <v>45916</v>
      </c>
      <c r="H2320">
        <v>2817857392</v>
      </c>
      <c r="I2320" t="s">
        <v>21</v>
      </c>
      <c r="K2320" t="s">
        <v>22</v>
      </c>
      <c r="L2320" t="s">
        <v>23</v>
      </c>
      <c r="M2320" t="s">
        <v>24</v>
      </c>
      <c r="N2320" t="s">
        <v>24</v>
      </c>
      <c r="O2320" t="s">
        <v>25</v>
      </c>
      <c r="P2320" s="8" t="s">
        <v>2934</v>
      </c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  <c r="AA2320" s="11"/>
      <c r="AB2320" s="11"/>
      <c r="AC2320" s="11"/>
      <c r="AD2320" s="11"/>
      <c r="AE2320" s="11"/>
      <c r="AF2320" s="11"/>
      <c r="AG2320" s="11"/>
      <c r="AH2320" s="11"/>
      <c r="AI2320" s="11"/>
      <c r="AJ2320" s="11"/>
      <c r="AK2320" s="11"/>
      <c r="AL2320" s="11"/>
      <c r="AM2320" s="11"/>
      <c r="AN2320" s="11"/>
      <c r="AO2320" s="11"/>
      <c r="AP2320" s="11"/>
      <c r="AQ2320" s="11"/>
      <c r="AR2320" s="11"/>
      <c r="AS2320" s="11"/>
      <c r="AT2320" s="11"/>
      <c r="AU2320" s="11"/>
      <c r="AV2320" s="11"/>
      <c r="AW2320" s="11"/>
      <c r="AX2320" s="11"/>
      <c r="AY2320" s="11"/>
    </row>
    <row r="2321" spans="1:51" hidden="1" x14ac:dyDescent="0.2">
      <c r="A2321" s="6" t="s">
        <v>17</v>
      </c>
      <c r="B2321" t="s">
        <v>255</v>
      </c>
      <c r="C2321" t="s">
        <v>255</v>
      </c>
      <c r="D2321" t="s">
        <v>2935</v>
      </c>
      <c r="E2321" s="2">
        <v>240</v>
      </c>
      <c r="F2321" s="3">
        <f>DATE(2025,9,16)</f>
        <v>45916</v>
      </c>
      <c r="G2321" s="3">
        <f>DATE(2025,9,16)</f>
        <v>45916</v>
      </c>
      <c r="H2321">
        <v>2817857393</v>
      </c>
      <c r="I2321" t="s">
        <v>21</v>
      </c>
      <c r="K2321" t="s">
        <v>22</v>
      </c>
      <c r="L2321" t="s">
        <v>23</v>
      </c>
      <c r="M2321" t="s">
        <v>24</v>
      </c>
      <c r="N2321" t="s">
        <v>24</v>
      </c>
      <c r="O2321" t="s">
        <v>25</v>
      </c>
      <c r="P2321" s="8" t="s">
        <v>2936</v>
      </c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  <c r="AA2321" s="11"/>
      <c r="AB2321" s="11"/>
      <c r="AC2321" s="11"/>
      <c r="AD2321" s="11"/>
      <c r="AE2321" s="11"/>
      <c r="AF2321" s="11"/>
      <c r="AG2321" s="11"/>
      <c r="AH2321" s="11"/>
      <c r="AI2321" s="11"/>
      <c r="AJ2321" s="11"/>
      <c r="AK2321" s="11"/>
      <c r="AL2321" s="11"/>
      <c r="AM2321" s="11"/>
      <c r="AN2321" s="11"/>
      <c r="AO2321" s="11"/>
      <c r="AP2321" s="11"/>
      <c r="AQ2321" s="11"/>
      <c r="AR2321" s="11"/>
      <c r="AS2321" s="11"/>
      <c r="AT2321" s="11"/>
      <c r="AU2321" s="11"/>
      <c r="AV2321" s="11"/>
      <c r="AW2321" s="11"/>
      <c r="AX2321" s="11"/>
      <c r="AY2321" s="11"/>
    </row>
    <row r="2322" spans="1:51" hidden="1" x14ac:dyDescent="0.2">
      <c r="A2322" s="6"/>
      <c r="E2322" s="2"/>
      <c r="F2322" s="3"/>
      <c r="G2322" s="3"/>
      <c r="P2322" s="8"/>
      <c r="Q2322" s="11"/>
      <c r="R2322" s="11"/>
      <c r="S2322" s="11"/>
      <c r="T2322" s="11"/>
      <c r="U2322" s="11"/>
      <c r="V2322" s="11"/>
      <c r="W2322" s="11"/>
      <c r="X2322" s="11"/>
      <c r="Y2322" s="11"/>
      <c r="Z2322" s="11"/>
      <c r="AA2322" s="11"/>
      <c r="AB2322" s="11"/>
      <c r="AC2322" s="11"/>
      <c r="AD2322" s="11"/>
      <c r="AE2322" s="11"/>
      <c r="AF2322" s="11"/>
      <c r="AG2322" s="11"/>
      <c r="AH2322" s="11"/>
      <c r="AI2322" s="11"/>
      <c r="AJ2322" s="11"/>
      <c r="AK2322" s="11"/>
      <c r="AL2322" s="11"/>
      <c r="AM2322" s="11"/>
      <c r="AN2322" s="11"/>
      <c r="AO2322" s="11"/>
      <c r="AP2322" s="11"/>
      <c r="AQ2322" s="11"/>
      <c r="AR2322" s="11"/>
      <c r="AS2322" s="11"/>
      <c r="AT2322" s="11"/>
      <c r="AU2322" s="11"/>
      <c r="AV2322" s="11"/>
      <c r="AW2322" s="11"/>
      <c r="AX2322" s="11"/>
      <c r="AY2322" s="11"/>
    </row>
    <row r="2323" spans="1:51" hidden="1" x14ac:dyDescent="0.2">
      <c r="A2323" s="6"/>
      <c r="E2323" s="2"/>
      <c r="F2323" s="3"/>
      <c r="G2323" s="3"/>
      <c r="P2323" s="8"/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  <c r="AA2323" s="11"/>
      <c r="AB2323" s="11"/>
      <c r="AC2323" s="11"/>
      <c r="AD2323" s="11"/>
      <c r="AE2323" s="11"/>
      <c r="AF2323" s="11"/>
      <c r="AG2323" s="11"/>
      <c r="AH2323" s="11"/>
      <c r="AI2323" s="11"/>
      <c r="AJ2323" s="11"/>
      <c r="AK2323" s="11"/>
      <c r="AL2323" s="11"/>
      <c r="AM2323" s="11"/>
      <c r="AN2323" s="11"/>
      <c r="AO2323" s="11"/>
      <c r="AP2323" s="11"/>
      <c r="AQ2323" s="11"/>
      <c r="AR2323" s="11"/>
      <c r="AS2323" s="11"/>
      <c r="AT2323" s="11"/>
      <c r="AU2323" s="11"/>
      <c r="AV2323" s="11"/>
      <c r="AW2323" s="11"/>
      <c r="AX2323" s="11"/>
      <c r="AY2323" s="11"/>
    </row>
    <row r="2324" spans="1:51" hidden="1" x14ac:dyDescent="0.2">
      <c r="A2324" s="6"/>
      <c r="E2324" s="2"/>
      <c r="F2324" s="3"/>
      <c r="G2324" s="3"/>
      <c r="P2324" s="8"/>
      <c r="Q2324" s="11"/>
      <c r="R2324" s="11"/>
      <c r="S2324" s="11"/>
      <c r="T2324" s="11"/>
      <c r="U2324" s="11"/>
      <c r="V2324" s="11"/>
      <c r="W2324" s="11"/>
      <c r="X2324" s="11"/>
      <c r="Y2324" s="11"/>
      <c r="Z2324" s="11"/>
      <c r="AA2324" s="11"/>
      <c r="AB2324" s="11"/>
      <c r="AC2324" s="11"/>
      <c r="AD2324" s="11"/>
      <c r="AE2324" s="11"/>
      <c r="AF2324" s="11"/>
      <c r="AG2324" s="11"/>
      <c r="AH2324" s="11"/>
      <c r="AI2324" s="11"/>
      <c r="AJ2324" s="11"/>
      <c r="AK2324" s="11"/>
      <c r="AL2324" s="11"/>
      <c r="AM2324" s="11"/>
      <c r="AN2324" s="11"/>
      <c r="AO2324" s="11"/>
      <c r="AP2324" s="11"/>
      <c r="AQ2324" s="11"/>
      <c r="AR2324" s="11"/>
      <c r="AS2324" s="11"/>
      <c r="AT2324" s="11"/>
      <c r="AU2324" s="11"/>
      <c r="AV2324" s="11"/>
      <c r="AW2324" s="11"/>
      <c r="AX2324" s="11"/>
      <c r="AY2324" s="11"/>
    </row>
    <row r="2325" spans="1:51" hidden="1" x14ac:dyDescent="0.2">
      <c r="A2325" s="6"/>
      <c r="E2325" s="2"/>
      <c r="F2325" s="3"/>
      <c r="G2325" s="3"/>
      <c r="P2325" s="8"/>
      <c r="Q2325" s="11"/>
      <c r="R2325" s="11"/>
      <c r="S2325" s="11"/>
      <c r="T2325" s="11"/>
      <c r="U2325" s="11"/>
      <c r="V2325" s="11"/>
      <c r="W2325" s="11"/>
      <c r="X2325" s="11"/>
      <c r="Y2325" s="11"/>
      <c r="Z2325" s="11"/>
      <c r="AA2325" s="11"/>
      <c r="AB2325" s="11"/>
      <c r="AC2325" s="11"/>
      <c r="AD2325" s="11"/>
      <c r="AE2325" s="11"/>
      <c r="AF2325" s="11"/>
      <c r="AG2325" s="11"/>
      <c r="AH2325" s="11"/>
      <c r="AI2325" s="11"/>
      <c r="AJ2325" s="11"/>
      <c r="AK2325" s="11"/>
      <c r="AL2325" s="11"/>
      <c r="AM2325" s="11"/>
      <c r="AN2325" s="11"/>
      <c r="AO2325" s="11"/>
      <c r="AP2325" s="11"/>
      <c r="AQ2325" s="11"/>
      <c r="AR2325" s="11"/>
      <c r="AS2325" s="11"/>
      <c r="AT2325" s="11"/>
      <c r="AU2325" s="11"/>
      <c r="AV2325" s="11"/>
      <c r="AW2325" s="11"/>
      <c r="AX2325" s="11"/>
      <c r="AY2325" s="11"/>
    </row>
    <row r="2326" spans="1:51" hidden="1" x14ac:dyDescent="0.2">
      <c r="A2326" s="6"/>
      <c r="E2326" s="2"/>
      <c r="F2326" s="3"/>
      <c r="G2326" s="3"/>
      <c r="P2326" s="8"/>
      <c r="Q2326" s="11"/>
      <c r="R2326" s="11"/>
      <c r="S2326" s="11"/>
      <c r="T2326" s="11"/>
      <c r="U2326" s="11"/>
      <c r="V2326" s="11"/>
      <c r="W2326" s="11"/>
      <c r="X2326" s="11"/>
      <c r="Y2326" s="11"/>
      <c r="Z2326" s="11"/>
      <c r="AA2326" s="11"/>
      <c r="AB2326" s="11"/>
      <c r="AC2326" s="11"/>
      <c r="AD2326" s="11"/>
      <c r="AE2326" s="11"/>
      <c r="AF2326" s="11"/>
      <c r="AG2326" s="11"/>
      <c r="AH2326" s="11"/>
      <c r="AI2326" s="11"/>
      <c r="AJ2326" s="11"/>
      <c r="AK2326" s="11"/>
      <c r="AL2326" s="11"/>
      <c r="AM2326" s="11"/>
      <c r="AN2326" s="11"/>
      <c r="AO2326" s="11"/>
      <c r="AP2326" s="11"/>
      <c r="AQ2326" s="11"/>
      <c r="AR2326" s="11"/>
      <c r="AS2326" s="11"/>
      <c r="AT2326" s="11"/>
      <c r="AU2326" s="11"/>
      <c r="AV2326" s="11"/>
      <c r="AW2326" s="11"/>
      <c r="AX2326" s="11"/>
      <c r="AY2326" s="11"/>
    </row>
    <row r="2327" spans="1:51" hidden="1" x14ac:dyDescent="0.2">
      <c r="A2327" s="6"/>
      <c r="E2327" s="2"/>
      <c r="F2327" s="3"/>
      <c r="G2327" s="3"/>
      <c r="P2327" s="8"/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  <c r="AA2327" s="11"/>
      <c r="AB2327" s="11"/>
      <c r="AC2327" s="11"/>
      <c r="AD2327" s="11"/>
      <c r="AE2327" s="11"/>
      <c r="AF2327" s="11"/>
      <c r="AG2327" s="11"/>
      <c r="AH2327" s="11"/>
      <c r="AI2327" s="11"/>
      <c r="AJ2327" s="11"/>
      <c r="AK2327" s="11"/>
      <c r="AL2327" s="11"/>
      <c r="AM2327" s="11"/>
      <c r="AN2327" s="11"/>
      <c r="AO2327" s="11"/>
      <c r="AP2327" s="11"/>
      <c r="AQ2327" s="11"/>
      <c r="AR2327" s="11"/>
      <c r="AS2327" s="11"/>
      <c r="AT2327" s="11"/>
      <c r="AU2327" s="11"/>
      <c r="AV2327" s="11"/>
      <c r="AW2327" s="11"/>
      <c r="AX2327" s="11"/>
      <c r="AY2327" s="11"/>
    </row>
    <row r="2328" spans="1:51" hidden="1" x14ac:dyDescent="0.2">
      <c r="A2328" s="6"/>
      <c r="E2328" s="2"/>
      <c r="F2328" s="3"/>
      <c r="G2328" s="3"/>
      <c r="P2328" s="8"/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  <c r="AA2328" s="11"/>
      <c r="AB2328" s="11"/>
      <c r="AC2328" s="11"/>
      <c r="AD2328" s="11"/>
      <c r="AE2328" s="11"/>
      <c r="AF2328" s="11"/>
      <c r="AG2328" s="11"/>
      <c r="AH2328" s="11"/>
      <c r="AI2328" s="11"/>
      <c r="AJ2328" s="11"/>
      <c r="AK2328" s="11"/>
      <c r="AL2328" s="11"/>
      <c r="AM2328" s="11"/>
      <c r="AN2328" s="11"/>
      <c r="AO2328" s="11"/>
      <c r="AP2328" s="11"/>
      <c r="AQ2328" s="11"/>
      <c r="AR2328" s="11"/>
      <c r="AS2328" s="11"/>
      <c r="AT2328" s="11"/>
      <c r="AU2328" s="11"/>
      <c r="AV2328" s="11"/>
      <c r="AW2328" s="11"/>
      <c r="AX2328" s="11"/>
      <c r="AY2328" s="11"/>
    </row>
    <row r="2329" spans="1:51" hidden="1" x14ac:dyDescent="0.2">
      <c r="A2329" s="6"/>
      <c r="E2329" s="2"/>
      <c r="F2329" s="3"/>
      <c r="G2329" s="3"/>
      <c r="P2329" s="8"/>
      <c r="Q2329" s="11"/>
      <c r="R2329" s="11"/>
      <c r="S2329" s="11"/>
      <c r="T2329" s="11"/>
      <c r="U2329" s="11"/>
      <c r="V2329" s="11"/>
      <c r="W2329" s="11"/>
      <c r="X2329" s="11"/>
      <c r="Y2329" s="11"/>
      <c r="Z2329" s="11"/>
      <c r="AA2329" s="11"/>
      <c r="AB2329" s="11"/>
      <c r="AC2329" s="11"/>
      <c r="AD2329" s="11"/>
      <c r="AE2329" s="11"/>
      <c r="AF2329" s="11"/>
      <c r="AG2329" s="11"/>
      <c r="AH2329" s="11"/>
      <c r="AI2329" s="11"/>
      <c r="AJ2329" s="11"/>
      <c r="AK2329" s="11"/>
      <c r="AL2329" s="11"/>
      <c r="AM2329" s="11"/>
      <c r="AN2329" s="11"/>
      <c r="AO2329" s="11"/>
      <c r="AP2329" s="11"/>
      <c r="AQ2329" s="11"/>
      <c r="AR2329" s="11"/>
      <c r="AS2329" s="11"/>
      <c r="AT2329" s="11"/>
      <c r="AU2329" s="11"/>
      <c r="AV2329" s="11"/>
      <c r="AW2329" s="11"/>
      <c r="AX2329" s="11"/>
      <c r="AY2329" s="11"/>
    </row>
    <row r="2330" spans="1:51" hidden="1" x14ac:dyDescent="0.2">
      <c r="A2330" s="6" t="s">
        <v>17</v>
      </c>
      <c r="B2330" t="s">
        <v>18</v>
      </c>
      <c r="C2330" t="s">
        <v>19</v>
      </c>
      <c r="D2330" t="s">
        <v>2937</v>
      </c>
      <c r="E2330" s="2">
        <v>1.26</v>
      </c>
      <c r="F2330" s="3">
        <f t="shared" ref="F2330:G2332" si="204">DATE(2025,9,15)</f>
        <v>45915</v>
      </c>
      <c r="G2330" s="3">
        <f t="shared" si="204"/>
        <v>45915</v>
      </c>
      <c r="H2330">
        <v>2817968723</v>
      </c>
      <c r="I2330" t="s">
        <v>192</v>
      </c>
      <c r="K2330" t="s">
        <v>22</v>
      </c>
      <c r="L2330" t="s">
        <v>23</v>
      </c>
      <c r="M2330" t="s">
        <v>24</v>
      </c>
      <c r="N2330" t="s">
        <v>24</v>
      </c>
      <c r="O2330" t="s">
        <v>25</v>
      </c>
      <c r="P2330" s="8" t="s">
        <v>2938</v>
      </c>
      <c r="Q2330" s="11"/>
      <c r="R2330" s="11"/>
      <c r="S2330" s="11"/>
      <c r="T2330" s="11"/>
      <c r="U2330" s="11"/>
      <c r="V2330" s="11"/>
      <c r="W2330" s="11"/>
      <c r="X2330" s="11"/>
      <c r="Y2330" s="11"/>
      <c r="Z2330" s="11"/>
      <c r="AA2330" s="11"/>
      <c r="AB2330" s="11"/>
      <c r="AC2330" s="11"/>
      <c r="AD2330" s="11"/>
      <c r="AE2330" s="11"/>
      <c r="AF2330" s="11"/>
      <c r="AG2330" s="11"/>
      <c r="AH2330" s="11"/>
      <c r="AI2330" s="11"/>
      <c r="AJ2330" s="11"/>
      <c r="AK2330" s="11"/>
      <c r="AL2330" s="11"/>
      <c r="AM2330" s="11"/>
      <c r="AN2330" s="11"/>
      <c r="AO2330" s="11"/>
      <c r="AP2330" s="11"/>
      <c r="AQ2330" s="11"/>
      <c r="AR2330" s="11"/>
      <c r="AS2330" s="11"/>
      <c r="AT2330" s="11"/>
      <c r="AU2330" s="11"/>
      <c r="AV2330" s="11"/>
      <c r="AW2330" s="11"/>
      <c r="AX2330" s="11"/>
      <c r="AY2330" s="11"/>
    </row>
    <row r="2331" spans="1:51" hidden="1" x14ac:dyDescent="0.2">
      <c r="A2331" s="6" t="s">
        <v>17</v>
      </c>
      <c r="B2331" t="s">
        <v>118</v>
      </c>
      <c r="C2331" t="s">
        <v>119</v>
      </c>
      <c r="D2331" t="s">
        <v>2939</v>
      </c>
      <c r="E2331" s="2">
        <v>6.99</v>
      </c>
      <c r="F2331" s="3">
        <f t="shared" si="204"/>
        <v>45915</v>
      </c>
      <c r="G2331" s="3">
        <f t="shared" si="204"/>
        <v>45915</v>
      </c>
      <c r="H2331">
        <v>2826928772</v>
      </c>
      <c r="I2331" t="s">
        <v>158</v>
      </c>
      <c r="K2331" t="s">
        <v>22</v>
      </c>
      <c r="L2331" t="s">
        <v>23</v>
      </c>
      <c r="M2331" t="s">
        <v>24</v>
      </c>
      <c r="N2331" t="s">
        <v>24</v>
      </c>
      <c r="O2331" t="s">
        <v>25</v>
      </c>
      <c r="P2331" s="8" t="s">
        <v>2940</v>
      </c>
      <c r="Q2331" s="11"/>
      <c r="R2331" s="11"/>
      <c r="S2331" s="11"/>
      <c r="T2331" s="11"/>
      <c r="U2331" s="11"/>
      <c r="V2331" s="11"/>
      <c r="W2331" s="11"/>
      <c r="X2331" s="11"/>
      <c r="Y2331" s="11"/>
      <c r="Z2331" s="11"/>
      <c r="AA2331" s="11"/>
      <c r="AB2331" s="11"/>
      <c r="AC2331" s="11"/>
      <c r="AD2331" s="11"/>
      <c r="AE2331" s="11"/>
      <c r="AF2331" s="11"/>
      <c r="AG2331" s="11"/>
      <c r="AH2331" s="11"/>
      <c r="AI2331" s="11"/>
      <c r="AJ2331" s="11"/>
      <c r="AK2331" s="11"/>
      <c r="AL2331" s="11"/>
      <c r="AM2331" s="11"/>
      <c r="AN2331" s="11"/>
      <c r="AO2331" s="11"/>
      <c r="AP2331" s="11"/>
      <c r="AQ2331" s="11"/>
      <c r="AR2331" s="11"/>
      <c r="AS2331" s="11"/>
      <c r="AT2331" s="11"/>
      <c r="AU2331" s="11"/>
      <c r="AV2331" s="11"/>
      <c r="AW2331" s="11"/>
      <c r="AX2331" s="11"/>
      <c r="AY2331" s="11"/>
    </row>
    <row r="2332" spans="1:51" hidden="1" x14ac:dyDescent="0.2">
      <c r="A2332" s="6" t="s">
        <v>17</v>
      </c>
      <c r="B2332" t="s">
        <v>118</v>
      </c>
      <c r="C2332" t="s">
        <v>119</v>
      </c>
      <c r="D2332" t="s">
        <v>2941</v>
      </c>
      <c r="E2332" s="2">
        <v>70.010000000000005</v>
      </c>
      <c r="F2332" s="3">
        <f t="shared" si="204"/>
        <v>45915</v>
      </c>
      <c r="G2332" s="3">
        <f t="shared" si="204"/>
        <v>45915</v>
      </c>
      <c r="H2332">
        <v>2826928773</v>
      </c>
      <c r="I2332" t="s">
        <v>158</v>
      </c>
      <c r="K2332" t="s">
        <v>22</v>
      </c>
      <c r="L2332" t="s">
        <v>23</v>
      </c>
      <c r="M2332" t="s">
        <v>24</v>
      </c>
      <c r="N2332" t="s">
        <v>24</v>
      </c>
      <c r="O2332" t="s">
        <v>25</v>
      </c>
      <c r="P2332" s="8" t="s">
        <v>2942</v>
      </c>
      <c r="Q2332" s="11"/>
      <c r="R2332" s="11"/>
      <c r="S2332" s="11"/>
      <c r="T2332" s="11"/>
      <c r="U2332" s="11"/>
      <c r="V2332" s="11"/>
      <c r="W2332" s="11"/>
      <c r="X2332" s="11"/>
      <c r="Y2332" s="11"/>
      <c r="Z2332" s="11"/>
      <c r="AA2332" s="11"/>
      <c r="AB2332" s="11"/>
      <c r="AC2332" s="11"/>
      <c r="AD2332" s="11"/>
      <c r="AE2332" s="11"/>
      <c r="AF2332" s="11"/>
      <c r="AG2332" s="11"/>
      <c r="AH2332" s="11"/>
      <c r="AI2332" s="11"/>
      <c r="AJ2332" s="11"/>
      <c r="AK2332" s="11"/>
      <c r="AL2332" s="11"/>
      <c r="AM2332" s="11"/>
      <c r="AN2332" s="11"/>
      <c r="AO2332" s="11"/>
      <c r="AP2332" s="11"/>
      <c r="AQ2332" s="11"/>
      <c r="AR2332" s="11"/>
      <c r="AS2332" s="11"/>
      <c r="AT2332" s="11"/>
      <c r="AU2332" s="11"/>
      <c r="AV2332" s="11"/>
      <c r="AW2332" s="11"/>
      <c r="AX2332" s="11"/>
      <c r="AY2332" s="11"/>
    </row>
    <row r="2333" spans="1:51" hidden="1" x14ac:dyDescent="0.2">
      <c r="A2333" s="6" t="s">
        <v>17</v>
      </c>
      <c r="B2333" t="s">
        <v>155</v>
      </c>
      <c r="C2333" t="s">
        <v>156</v>
      </c>
      <c r="D2333" t="s">
        <v>2943</v>
      </c>
      <c r="E2333" s="2">
        <v>13.99</v>
      </c>
      <c r="F2333" s="3">
        <f>DATE(2025,9,16)</f>
        <v>45916</v>
      </c>
      <c r="G2333" s="3">
        <f>DATE(2025,9,16)</f>
        <v>45916</v>
      </c>
      <c r="H2333">
        <v>2826928774</v>
      </c>
      <c r="I2333" t="s">
        <v>158</v>
      </c>
      <c r="K2333" t="s">
        <v>22</v>
      </c>
      <c r="L2333" t="s">
        <v>23</v>
      </c>
      <c r="M2333" t="s">
        <v>24</v>
      </c>
      <c r="N2333" t="s">
        <v>24</v>
      </c>
      <c r="O2333" t="s">
        <v>25</v>
      </c>
      <c r="P2333" s="8" t="s">
        <v>2944</v>
      </c>
      <c r="Q2333" s="11"/>
      <c r="R2333" s="11"/>
      <c r="S2333" s="11"/>
      <c r="T2333" s="11"/>
      <c r="U2333" s="11"/>
      <c r="V2333" s="11"/>
      <c r="W2333" s="11"/>
      <c r="X2333" s="11"/>
      <c r="Y2333" s="11"/>
      <c r="Z2333" s="11"/>
      <c r="AA2333" s="11"/>
      <c r="AB2333" s="11"/>
      <c r="AC2333" s="11"/>
      <c r="AD2333" s="11"/>
      <c r="AE2333" s="11"/>
      <c r="AF2333" s="11"/>
      <c r="AG2333" s="11"/>
      <c r="AH2333" s="11"/>
      <c r="AI2333" s="11"/>
      <c r="AJ2333" s="11"/>
      <c r="AK2333" s="11"/>
      <c r="AL2333" s="11"/>
      <c r="AM2333" s="11"/>
      <c r="AN2333" s="11"/>
      <c r="AO2333" s="11"/>
      <c r="AP2333" s="11"/>
      <c r="AQ2333" s="11"/>
      <c r="AR2333" s="11"/>
      <c r="AS2333" s="11"/>
      <c r="AT2333" s="11"/>
      <c r="AU2333" s="11"/>
      <c r="AV2333" s="11"/>
      <c r="AW2333" s="11"/>
      <c r="AX2333" s="11"/>
      <c r="AY2333" s="11"/>
    </row>
    <row r="2334" spans="1:51" hidden="1" x14ac:dyDescent="0.2">
      <c r="A2334" s="6" t="s">
        <v>17</v>
      </c>
      <c r="B2334" t="s">
        <v>18</v>
      </c>
      <c r="C2334" t="s">
        <v>19</v>
      </c>
      <c r="D2334" t="s">
        <v>2945</v>
      </c>
      <c r="E2334" s="2">
        <v>1577.32</v>
      </c>
      <c r="F2334" s="3">
        <f t="shared" ref="F2334:G2338" si="205">DATE(2025,9,17)</f>
        <v>45917</v>
      </c>
      <c r="G2334" s="3">
        <f t="shared" si="205"/>
        <v>45917</v>
      </c>
      <c r="H2334">
        <v>2826928775</v>
      </c>
      <c r="I2334" t="s">
        <v>21</v>
      </c>
      <c r="K2334" t="s">
        <v>22</v>
      </c>
      <c r="L2334" t="s">
        <v>23</v>
      </c>
      <c r="M2334" t="s">
        <v>24</v>
      </c>
      <c r="N2334" t="s">
        <v>24</v>
      </c>
      <c r="O2334" t="s">
        <v>25</v>
      </c>
      <c r="P2334" s="8" t="s">
        <v>2946</v>
      </c>
      <c r="Q2334" s="11"/>
      <c r="R2334" s="11"/>
      <c r="S2334" s="11"/>
      <c r="T2334" s="11"/>
      <c r="U2334" s="11"/>
      <c r="V2334" s="11"/>
      <c r="W2334" s="11"/>
      <c r="X2334" s="11"/>
      <c r="Y2334" s="11"/>
      <c r="Z2334" s="11"/>
      <c r="AA2334" s="11"/>
      <c r="AB2334" s="11"/>
      <c r="AC2334" s="11"/>
      <c r="AD2334" s="11"/>
      <c r="AE2334" s="11"/>
      <c r="AF2334" s="11"/>
      <c r="AG2334" s="11"/>
      <c r="AH2334" s="11"/>
      <c r="AI2334" s="11"/>
      <c r="AJ2334" s="11"/>
      <c r="AK2334" s="11"/>
      <c r="AL2334" s="11"/>
      <c r="AM2334" s="11"/>
      <c r="AN2334" s="11"/>
      <c r="AO2334" s="11"/>
      <c r="AP2334" s="11"/>
      <c r="AQ2334" s="11"/>
      <c r="AR2334" s="11"/>
      <c r="AS2334" s="11"/>
      <c r="AT2334" s="11"/>
      <c r="AU2334" s="11"/>
      <c r="AV2334" s="11"/>
      <c r="AW2334" s="11"/>
      <c r="AX2334" s="11"/>
      <c r="AY2334" s="11"/>
    </row>
    <row r="2335" spans="1:51" hidden="1" x14ac:dyDescent="0.2">
      <c r="A2335" s="6"/>
      <c r="E2335" s="2"/>
      <c r="F2335" s="3"/>
      <c r="G2335" s="3"/>
      <c r="P2335" s="8"/>
      <c r="Q2335" s="11"/>
      <c r="R2335" s="11"/>
      <c r="S2335" s="11"/>
      <c r="T2335" s="11"/>
      <c r="U2335" s="11"/>
      <c r="V2335" s="11"/>
      <c r="W2335" s="11"/>
      <c r="X2335" s="11"/>
      <c r="Y2335" s="11"/>
      <c r="Z2335" s="11"/>
      <c r="AA2335" s="11"/>
      <c r="AB2335" s="11"/>
      <c r="AC2335" s="11"/>
      <c r="AD2335" s="11"/>
      <c r="AE2335" s="11"/>
      <c r="AF2335" s="11"/>
      <c r="AG2335" s="11"/>
      <c r="AH2335" s="11"/>
      <c r="AI2335" s="11"/>
      <c r="AJ2335" s="11"/>
      <c r="AK2335" s="11"/>
      <c r="AL2335" s="11"/>
      <c r="AM2335" s="11"/>
      <c r="AN2335" s="11"/>
      <c r="AO2335" s="11"/>
      <c r="AP2335" s="11"/>
      <c r="AQ2335" s="11"/>
      <c r="AR2335" s="11"/>
      <c r="AS2335" s="11"/>
      <c r="AT2335" s="11"/>
      <c r="AU2335" s="11"/>
      <c r="AV2335" s="11"/>
      <c r="AW2335" s="11"/>
      <c r="AX2335" s="11"/>
      <c r="AY2335" s="11"/>
    </row>
    <row r="2336" spans="1:51" hidden="1" x14ac:dyDescent="0.2">
      <c r="A2336" s="6" t="s">
        <v>17</v>
      </c>
      <c r="B2336" t="s">
        <v>255</v>
      </c>
      <c r="C2336" t="s">
        <v>255</v>
      </c>
      <c r="D2336" t="s">
        <v>2947</v>
      </c>
      <c r="E2336" s="2">
        <v>1283.3399999999999</v>
      </c>
      <c r="F2336" s="3">
        <f t="shared" si="205"/>
        <v>45917</v>
      </c>
      <c r="G2336" s="3">
        <f t="shared" si="205"/>
        <v>45917</v>
      </c>
      <c r="H2336">
        <v>2826928777</v>
      </c>
      <c r="I2336" t="s">
        <v>21</v>
      </c>
      <c r="K2336" t="s">
        <v>22</v>
      </c>
      <c r="L2336" t="s">
        <v>23</v>
      </c>
      <c r="M2336" t="s">
        <v>24</v>
      </c>
      <c r="N2336" t="s">
        <v>24</v>
      </c>
      <c r="O2336" t="s">
        <v>25</v>
      </c>
      <c r="P2336" s="8" t="s">
        <v>2948</v>
      </c>
      <c r="Q2336" s="11"/>
      <c r="R2336" s="11"/>
      <c r="S2336" s="11"/>
      <c r="T2336" s="11"/>
      <c r="U2336" s="11"/>
      <c r="V2336" s="11"/>
      <c r="W2336" s="11"/>
      <c r="X2336" s="11"/>
      <c r="Y2336" s="11"/>
      <c r="Z2336" s="11"/>
      <c r="AA2336" s="11"/>
      <c r="AB2336" s="11"/>
      <c r="AC2336" s="11"/>
      <c r="AD2336" s="11"/>
      <c r="AE2336" s="11"/>
      <c r="AF2336" s="11"/>
      <c r="AG2336" s="11"/>
      <c r="AH2336" s="11"/>
      <c r="AI2336" s="11"/>
      <c r="AJ2336" s="11"/>
      <c r="AK2336" s="11"/>
      <c r="AL2336" s="11"/>
      <c r="AM2336" s="11"/>
      <c r="AN2336" s="11"/>
      <c r="AO2336" s="11"/>
      <c r="AP2336" s="11"/>
      <c r="AQ2336" s="11"/>
      <c r="AR2336" s="11"/>
      <c r="AS2336" s="11"/>
      <c r="AT2336" s="11"/>
      <c r="AU2336" s="11"/>
      <c r="AV2336" s="11"/>
      <c r="AW2336" s="11"/>
      <c r="AX2336" s="11"/>
      <c r="AY2336" s="11"/>
    </row>
    <row r="2337" spans="1:51" hidden="1" x14ac:dyDescent="0.2">
      <c r="A2337" s="6"/>
      <c r="E2337" s="2"/>
      <c r="F2337" s="3"/>
      <c r="G2337" s="3"/>
      <c r="P2337" s="8"/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  <c r="AA2337" s="11"/>
      <c r="AB2337" s="11"/>
      <c r="AC2337" s="11"/>
      <c r="AD2337" s="11"/>
      <c r="AE2337" s="11"/>
      <c r="AF2337" s="11"/>
      <c r="AG2337" s="11"/>
      <c r="AH2337" s="11"/>
      <c r="AI2337" s="11"/>
      <c r="AJ2337" s="11"/>
      <c r="AK2337" s="11"/>
      <c r="AL2337" s="11"/>
      <c r="AM2337" s="11"/>
      <c r="AN2337" s="11"/>
      <c r="AO2337" s="11"/>
      <c r="AP2337" s="11"/>
      <c r="AQ2337" s="11"/>
      <c r="AR2337" s="11"/>
      <c r="AS2337" s="11"/>
      <c r="AT2337" s="11"/>
      <c r="AU2337" s="11"/>
      <c r="AV2337" s="11"/>
      <c r="AW2337" s="11"/>
      <c r="AX2337" s="11"/>
      <c r="AY2337" s="11"/>
    </row>
    <row r="2338" spans="1:51" x14ac:dyDescent="0.2">
      <c r="A2338" s="6" t="s">
        <v>17</v>
      </c>
      <c r="B2338" t="s">
        <v>342</v>
      </c>
      <c r="C2338" t="s">
        <v>342</v>
      </c>
      <c r="D2338" t="s">
        <v>2949</v>
      </c>
      <c r="E2338" s="2">
        <v>240</v>
      </c>
      <c r="F2338" s="3">
        <f t="shared" si="205"/>
        <v>45917</v>
      </c>
      <c r="G2338" s="3">
        <f t="shared" si="205"/>
        <v>45917</v>
      </c>
      <c r="H2338">
        <v>2826928779</v>
      </c>
      <c r="I2338" t="s">
        <v>21</v>
      </c>
      <c r="K2338" t="s">
        <v>22</v>
      </c>
      <c r="L2338" t="s">
        <v>23</v>
      </c>
      <c r="M2338" t="s">
        <v>24</v>
      </c>
      <c r="N2338" t="s">
        <v>24</v>
      </c>
      <c r="O2338" t="s">
        <v>25</v>
      </c>
      <c r="P2338" s="8" t="s">
        <v>2950</v>
      </c>
      <c r="Q2338" s="11"/>
      <c r="R2338" s="11"/>
      <c r="S2338" s="11"/>
      <c r="T2338" s="11"/>
      <c r="U2338" s="11"/>
      <c r="V2338" s="11"/>
      <c r="W2338" s="11"/>
      <c r="X2338" s="11"/>
      <c r="Y2338" s="11"/>
      <c r="Z2338" s="11"/>
      <c r="AA2338" s="11"/>
      <c r="AB2338" s="11"/>
      <c r="AC2338" s="11"/>
      <c r="AD2338" s="11"/>
      <c r="AE2338" s="11"/>
      <c r="AF2338" s="11"/>
      <c r="AG2338" s="11"/>
      <c r="AH2338" s="11"/>
      <c r="AI2338" s="11"/>
      <c r="AJ2338" s="11"/>
      <c r="AK2338" s="11"/>
      <c r="AL2338" s="11"/>
      <c r="AM2338" s="11"/>
      <c r="AN2338" s="11"/>
      <c r="AO2338" s="11"/>
      <c r="AP2338" s="11"/>
      <c r="AQ2338" s="11"/>
      <c r="AR2338" s="11"/>
      <c r="AS2338" s="11"/>
      <c r="AT2338" s="11"/>
      <c r="AU2338" s="11"/>
      <c r="AV2338" s="11"/>
      <c r="AW2338" s="11"/>
      <c r="AX2338" s="11"/>
      <c r="AY2338" s="11"/>
    </row>
    <row r="2339" spans="1:51" hidden="1" x14ac:dyDescent="0.2">
      <c r="A2339" s="6"/>
      <c r="E2339" s="2"/>
      <c r="F2339" s="3"/>
      <c r="G2339" s="3"/>
      <c r="P2339" s="8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1"/>
      <c r="AF2339" s="11"/>
      <c r="AG2339" s="11"/>
      <c r="AH2339" s="11"/>
      <c r="AI2339" s="11"/>
      <c r="AJ2339" s="11"/>
      <c r="AK2339" s="11"/>
      <c r="AL2339" s="11"/>
      <c r="AM2339" s="11"/>
      <c r="AN2339" s="11"/>
      <c r="AO2339" s="11"/>
      <c r="AP2339" s="11"/>
      <c r="AQ2339" s="11"/>
      <c r="AR2339" s="11"/>
      <c r="AS2339" s="11"/>
      <c r="AT2339" s="11"/>
      <c r="AU2339" s="11"/>
      <c r="AV2339" s="11"/>
      <c r="AW2339" s="11"/>
      <c r="AX2339" s="11"/>
      <c r="AY2339" s="11"/>
    </row>
    <row r="2340" spans="1:51" hidden="1" x14ac:dyDescent="0.2">
      <c r="A2340" s="6" t="s">
        <v>17</v>
      </c>
      <c r="B2340" t="s">
        <v>18</v>
      </c>
      <c r="C2340" t="s">
        <v>19</v>
      </c>
      <c r="D2340" t="s">
        <v>2951</v>
      </c>
      <c r="E2340" s="2">
        <v>446.4</v>
      </c>
      <c r="F2340" s="3">
        <f t="shared" ref="F2340:G2343" si="206">DATE(2025,9,17)</f>
        <v>45917</v>
      </c>
      <c r="G2340" s="3">
        <f t="shared" si="206"/>
        <v>45917</v>
      </c>
      <c r="H2340">
        <v>2826928781</v>
      </c>
      <c r="I2340" t="s">
        <v>21</v>
      </c>
      <c r="K2340" t="s">
        <v>22</v>
      </c>
      <c r="L2340" t="s">
        <v>23</v>
      </c>
      <c r="M2340" t="s">
        <v>24</v>
      </c>
      <c r="N2340" t="s">
        <v>24</v>
      </c>
      <c r="O2340" t="s">
        <v>25</v>
      </c>
      <c r="P2340" s="8" t="s">
        <v>2952</v>
      </c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11"/>
      <c r="AB2340" s="11"/>
      <c r="AC2340" s="11"/>
      <c r="AD2340" s="11"/>
      <c r="AE2340" s="11"/>
      <c r="AF2340" s="11"/>
      <c r="AG2340" s="11"/>
      <c r="AH2340" s="11"/>
      <c r="AI2340" s="11"/>
      <c r="AJ2340" s="11"/>
      <c r="AK2340" s="11"/>
      <c r="AL2340" s="11"/>
      <c r="AM2340" s="11"/>
      <c r="AN2340" s="11"/>
      <c r="AO2340" s="11"/>
      <c r="AP2340" s="11"/>
      <c r="AQ2340" s="11"/>
      <c r="AR2340" s="11"/>
      <c r="AS2340" s="11"/>
      <c r="AT2340" s="11"/>
      <c r="AU2340" s="11"/>
      <c r="AV2340" s="11"/>
      <c r="AW2340" s="11"/>
      <c r="AX2340" s="11"/>
      <c r="AY2340" s="11"/>
    </row>
    <row r="2341" spans="1:51" hidden="1" x14ac:dyDescent="0.2">
      <c r="A2341" s="6" t="s">
        <v>17</v>
      </c>
      <c r="B2341" t="s">
        <v>70</v>
      </c>
      <c r="C2341" t="s">
        <v>71</v>
      </c>
      <c r="D2341" t="s">
        <v>2953</v>
      </c>
      <c r="E2341" s="2">
        <v>410.4</v>
      </c>
      <c r="F2341" s="3">
        <f t="shared" si="206"/>
        <v>45917</v>
      </c>
      <c r="G2341" s="3">
        <f t="shared" si="206"/>
        <v>45917</v>
      </c>
      <c r="H2341">
        <v>2826928782</v>
      </c>
      <c r="I2341" t="s">
        <v>21</v>
      </c>
      <c r="K2341" t="s">
        <v>22</v>
      </c>
      <c r="L2341" t="s">
        <v>23</v>
      </c>
      <c r="M2341" t="s">
        <v>24</v>
      </c>
      <c r="N2341" t="s">
        <v>24</v>
      </c>
      <c r="O2341" t="s">
        <v>25</v>
      </c>
      <c r="P2341" s="8" t="s">
        <v>2954</v>
      </c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1"/>
      <c r="AB2341" s="11"/>
      <c r="AC2341" s="11"/>
      <c r="AD2341" s="11"/>
      <c r="AE2341" s="11"/>
      <c r="AF2341" s="11"/>
      <c r="AG2341" s="11"/>
      <c r="AH2341" s="11"/>
      <c r="AI2341" s="11"/>
      <c r="AJ2341" s="11"/>
      <c r="AK2341" s="11"/>
      <c r="AL2341" s="11"/>
      <c r="AM2341" s="11"/>
      <c r="AN2341" s="11"/>
      <c r="AO2341" s="11"/>
      <c r="AP2341" s="11"/>
      <c r="AQ2341" s="11"/>
      <c r="AR2341" s="11"/>
      <c r="AS2341" s="11"/>
      <c r="AT2341" s="11"/>
      <c r="AU2341" s="11"/>
      <c r="AV2341" s="11"/>
      <c r="AW2341" s="11"/>
      <c r="AX2341" s="11"/>
      <c r="AY2341" s="11"/>
    </row>
    <row r="2342" spans="1:51" hidden="1" x14ac:dyDescent="0.2">
      <c r="A2342" s="6" t="s">
        <v>17</v>
      </c>
      <c r="B2342" t="s">
        <v>565</v>
      </c>
      <c r="C2342" t="s">
        <v>566</v>
      </c>
      <c r="D2342" t="s">
        <v>2955</v>
      </c>
      <c r="E2342" s="2">
        <v>204.05</v>
      </c>
      <c r="F2342" s="3">
        <f t="shared" si="206"/>
        <v>45917</v>
      </c>
      <c r="G2342" s="3">
        <f t="shared" si="206"/>
        <v>45917</v>
      </c>
      <c r="H2342">
        <v>2826928783</v>
      </c>
      <c r="I2342" t="s">
        <v>21</v>
      </c>
      <c r="K2342" t="s">
        <v>22</v>
      </c>
      <c r="L2342" t="s">
        <v>23</v>
      </c>
      <c r="M2342" t="s">
        <v>24</v>
      </c>
      <c r="N2342" t="s">
        <v>24</v>
      </c>
      <c r="O2342" t="s">
        <v>25</v>
      </c>
      <c r="P2342" s="8" t="s">
        <v>2956</v>
      </c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1"/>
      <c r="AF2342" s="11"/>
      <c r="AG2342" s="11"/>
      <c r="AH2342" s="11"/>
      <c r="AI2342" s="11"/>
      <c r="AJ2342" s="11"/>
      <c r="AK2342" s="11"/>
      <c r="AL2342" s="11"/>
      <c r="AM2342" s="11"/>
      <c r="AN2342" s="11"/>
      <c r="AO2342" s="11"/>
      <c r="AP2342" s="11"/>
      <c r="AQ2342" s="11"/>
      <c r="AR2342" s="11"/>
      <c r="AS2342" s="11"/>
      <c r="AT2342" s="11"/>
      <c r="AU2342" s="11"/>
      <c r="AV2342" s="11"/>
      <c r="AW2342" s="11"/>
      <c r="AX2342" s="11"/>
      <c r="AY2342" s="11"/>
    </row>
    <row r="2343" spans="1:51" hidden="1" x14ac:dyDescent="0.2">
      <c r="A2343" s="6" t="s">
        <v>17</v>
      </c>
      <c r="B2343" t="s">
        <v>140</v>
      </c>
      <c r="C2343" t="s">
        <v>141</v>
      </c>
      <c r="D2343" t="s">
        <v>2957</v>
      </c>
      <c r="E2343" s="2">
        <v>16054</v>
      </c>
      <c r="F2343" s="3">
        <f t="shared" si="206"/>
        <v>45917</v>
      </c>
      <c r="G2343" s="3">
        <f t="shared" si="206"/>
        <v>45917</v>
      </c>
      <c r="H2343">
        <v>2826928784</v>
      </c>
      <c r="I2343" t="s">
        <v>21</v>
      </c>
      <c r="K2343" t="s">
        <v>22</v>
      </c>
      <c r="L2343" t="s">
        <v>23</v>
      </c>
      <c r="M2343" t="s">
        <v>24</v>
      </c>
      <c r="N2343" t="s">
        <v>24</v>
      </c>
      <c r="O2343" t="s">
        <v>25</v>
      </c>
      <c r="P2343" s="8" t="s">
        <v>2958</v>
      </c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1"/>
      <c r="AB2343" s="11"/>
      <c r="AC2343" s="11"/>
      <c r="AD2343" s="11"/>
      <c r="AE2343" s="11"/>
      <c r="AF2343" s="11"/>
      <c r="AG2343" s="11"/>
      <c r="AH2343" s="11"/>
      <c r="AI2343" s="11"/>
      <c r="AJ2343" s="11"/>
      <c r="AK2343" s="11"/>
      <c r="AL2343" s="11"/>
      <c r="AM2343" s="11"/>
      <c r="AN2343" s="11"/>
      <c r="AO2343" s="11"/>
      <c r="AP2343" s="11"/>
      <c r="AQ2343" s="11"/>
      <c r="AR2343" s="11"/>
      <c r="AS2343" s="11"/>
      <c r="AT2343" s="11"/>
      <c r="AU2343" s="11"/>
      <c r="AV2343" s="11"/>
      <c r="AW2343" s="11"/>
      <c r="AX2343" s="11"/>
      <c r="AY2343" s="11"/>
    </row>
    <row r="2344" spans="1:51" hidden="1" x14ac:dyDescent="0.2">
      <c r="A2344" s="6"/>
      <c r="E2344" s="2"/>
      <c r="F2344" s="3"/>
      <c r="G2344" s="3"/>
      <c r="P2344" s="8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1"/>
      <c r="AB2344" s="11"/>
      <c r="AC2344" s="11"/>
      <c r="AD2344" s="11"/>
      <c r="AE2344" s="11"/>
      <c r="AF2344" s="11"/>
      <c r="AG2344" s="11"/>
      <c r="AH2344" s="11"/>
      <c r="AI2344" s="11"/>
      <c r="AJ2344" s="11"/>
      <c r="AK2344" s="11"/>
      <c r="AL2344" s="11"/>
      <c r="AM2344" s="11"/>
      <c r="AN2344" s="11"/>
      <c r="AO2344" s="11"/>
      <c r="AP2344" s="11"/>
      <c r="AQ2344" s="11"/>
      <c r="AR2344" s="11"/>
      <c r="AS2344" s="11"/>
      <c r="AT2344" s="11"/>
      <c r="AU2344" s="11"/>
      <c r="AV2344" s="11"/>
      <c r="AW2344" s="11"/>
      <c r="AX2344" s="11"/>
      <c r="AY2344" s="11"/>
    </row>
    <row r="2345" spans="1:51" hidden="1" x14ac:dyDescent="0.2">
      <c r="A2345" s="6"/>
      <c r="E2345" s="2"/>
      <c r="F2345" s="3"/>
      <c r="G2345" s="3"/>
      <c r="P2345" s="8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1"/>
      <c r="AB2345" s="11"/>
      <c r="AC2345" s="11"/>
      <c r="AD2345" s="11"/>
      <c r="AE2345" s="11"/>
      <c r="AF2345" s="11"/>
      <c r="AG2345" s="11"/>
      <c r="AH2345" s="11"/>
      <c r="AI2345" s="11"/>
      <c r="AJ2345" s="11"/>
      <c r="AK2345" s="11"/>
      <c r="AL2345" s="11"/>
      <c r="AM2345" s="11"/>
      <c r="AN2345" s="11"/>
      <c r="AO2345" s="11"/>
      <c r="AP2345" s="11"/>
      <c r="AQ2345" s="11"/>
      <c r="AR2345" s="11"/>
      <c r="AS2345" s="11"/>
      <c r="AT2345" s="11"/>
      <c r="AU2345" s="11"/>
      <c r="AV2345" s="11"/>
      <c r="AW2345" s="11"/>
      <c r="AX2345" s="11"/>
      <c r="AY2345" s="11"/>
    </row>
    <row r="2346" spans="1:51" hidden="1" x14ac:dyDescent="0.2">
      <c r="A2346" s="6"/>
      <c r="E2346" s="2"/>
      <c r="F2346" s="3"/>
      <c r="G2346" s="3"/>
      <c r="P2346" s="8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  <c r="AA2346" s="11"/>
      <c r="AB2346" s="11"/>
      <c r="AC2346" s="11"/>
      <c r="AD2346" s="11"/>
      <c r="AE2346" s="11"/>
      <c r="AF2346" s="11"/>
      <c r="AG2346" s="11"/>
      <c r="AH2346" s="11"/>
      <c r="AI2346" s="11"/>
      <c r="AJ2346" s="11"/>
      <c r="AK2346" s="11"/>
      <c r="AL2346" s="11"/>
      <c r="AM2346" s="11"/>
      <c r="AN2346" s="11"/>
      <c r="AO2346" s="11"/>
      <c r="AP2346" s="11"/>
      <c r="AQ2346" s="11"/>
      <c r="AR2346" s="11"/>
      <c r="AS2346" s="11"/>
      <c r="AT2346" s="11"/>
      <c r="AU2346" s="11"/>
      <c r="AV2346" s="11"/>
      <c r="AW2346" s="11"/>
      <c r="AX2346" s="11"/>
      <c r="AY2346" s="11"/>
    </row>
    <row r="2347" spans="1:51" hidden="1" x14ac:dyDescent="0.2">
      <c r="A2347" s="6"/>
      <c r="E2347" s="2"/>
      <c r="F2347" s="3"/>
      <c r="G2347" s="3"/>
      <c r="P2347" s="8"/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  <c r="AA2347" s="11"/>
      <c r="AB2347" s="11"/>
      <c r="AC2347" s="11"/>
      <c r="AD2347" s="11"/>
      <c r="AE2347" s="11"/>
      <c r="AF2347" s="11"/>
      <c r="AG2347" s="11"/>
      <c r="AH2347" s="11"/>
      <c r="AI2347" s="11"/>
      <c r="AJ2347" s="11"/>
      <c r="AK2347" s="11"/>
      <c r="AL2347" s="11"/>
      <c r="AM2347" s="11"/>
      <c r="AN2347" s="11"/>
      <c r="AO2347" s="11"/>
      <c r="AP2347" s="11"/>
      <c r="AQ2347" s="11"/>
      <c r="AR2347" s="11"/>
      <c r="AS2347" s="11"/>
      <c r="AT2347" s="11"/>
      <c r="AU2347" s="11"/>
      <c r="AV2347" s="11"/>
      <c r="AW2347" s="11"/>
      <c r="AX2347" s="11"/>
      <c r="AY2347" s="11"/>
    </row>
    <row r="2348" spans="1:51" hidden="1" x14ac:dyDescent="0.2">
      <c r="A2348" s="6"/>
      <c r="E2348" s="2"/>
      <c r="F2348" s="3"/>
      <c r="G2348" s="3"/>
      <c r="P2348" s="8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1"/>
      <c r="AB2348" s="11"/>
      <c r="AC2348" s="11"/>
      <c r="AD2348" s="11"/>
      <c r="AE2348" s="11"/>
      <c r="AF2348" s="11"/>
      <c r="AG2348" s="11"/>
      <c r="AH2348" s="11"/>
      <c r="AI2348" s="11"/>
      <c r="AJ2348" s="11"/>
      <c r="AK2348" s="11"/>
      <c r="AL2348" s="11"/>
      <c r="AM2348" s="11"/>
      <c r="AN2348" s="11"/>
      <c r="AO2348" s="11"/>
      <c r="AP2348" s="11"/>
      <c r="AQ2348" s="11"/>
      <c r="AR2348" s="11"/>
      <c r="AS2348" s="11"/>
      <c r="AT2348" s="11"/>
      <c r="AU2348" s="11"/>
      <c r="AV2348" s="11"/>
      <c r="AW2348" s="11"/>
      <c r="AX2348" s="11"/>
      <c r="AY2348" s="11"/>
    </row>
    <row r="2349" spans="1:51" hidden="1" x14ac:dyDescent="0.2">
      <c r="A2349" s="6" t="s">
        <v>17</v>
      </c>
      <c r="B2349" t="s">
        <v>35</v>
      </c>
      <c r="C2349" t="s">
        <v>35</v>
      </c>
      <c r="D2349" t="s">
        <v>242</v>
      </c>
      <c r="E2349" s="2">
        <v>57</v>
      </c>
      <c r="F2349" s="3">
        <f>DATE(2025,9,16)</f>
        <v>45916</v>
      </c>
      <c r="G2349" s="3">
        <f>DATE(2025,9,16)</f>
        <v>45916</v>
      </c>
      <c r="H2349">
        <v>2826967836</v>
      </c>
      <c r="I2349" t="s">
        <v>192</v>
      </c>
      <c r="K2349" t="s">
        <v>22</v>
      </c>
      <c r="L2349" t="s">
        <v>23</v>
      </c>
      <c r="M2349" t="s">
        <v>24</v>
      </c>
      <c r="N2349" t="s">
        <v>24</v>
      </c>
      <c r="O2349" t="s">
        <v>25</v>
      </c>
      <c r="P2349" s="8" t="s">
        <v>2959</v>
      </c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1"/>
      <c r="AB2349" s="11"/>
      <c r="AC2349" s="11"/>
      <c r="AD2349" s="11"/>
      <c r="AE2349" s="11"/>
      <c r="AF2349" s="11"/>
      <c r="AG2349" s="11"/>
      <c r="AH2349" s="11"/>
      <c r="AI2349" s="11"/>
      <c r="AJ2349" s="11"/>
      <c r="AK2349" s="11"/>
      <c r="AL2349" s="11"/>
      <c r="AM2349" s="11"/>
      <c r="AN2349" s="11"/>
      <c r="AO2349" s="11"/>
      <c r="AP2349" s="11"/>
      <c r="AQ2349" s="11"/>
      <c r="AR2349" s="11"/>
      <c r="AS2349" s="11"/>
      <c r="AT2349" s="11"/>
      <c r="AU2349" s="11"/>
      <c r="AV2349" s="11"/>
      <c r="AW2349" s="11"/>
      <c r="AX2349" s="11"/>
      <c r="AY2349" s="11"/>
    </row>
    <row r="2350" spans="1:51" hidden="1" x14ac:dyDescent="0.2">
      <c r="A2350" s="6" t="s">
        <v>17</v>
      </c>
      <c r="B2350" t="s">
        <v>90</v>
      </c>
      <c r="C2350" t="s">
        <v>91</v>
      </c>
      <c r="D2350" t="s">
        <v>2960</v>
      </c>
      <c r="E2350" s="2">
        <v>840</v>
      </c>
      <c r="F2350" s="3">
        <f t="shared" ref="F2350:G2352" si="207">DATE(2025,9,18)</f>
        <v>45918</v>
      </c>
      <c r="G2350" s="3">
        <f t="shared" si="207"/>
        <v>45918</v>
      </c>
      <c r="H2350">
        <v>2834367800</v>
      </c>
      <c r="I2350" t="s">
        <v>21</v>
      </c>
      <c r="K2350" t="s">
        <v>22</v>
      </c>
      <c r="L2350" t="s">
        <v>23</v>
      </c>
      <c r="M2350" t="s">
        <v>24</v>
      </c>
      <c r="N2350" t="s">
        <v>24</v>
      </c>
      <c r="O2350" t="s">
        <v>25</v>
      </c>
      <c r="P2350" s="8" t="s">
        <v>2961</v>
      </c>
      <c r="Q2350" s="11"/>
      <c r="R2350" s="11"/>
      <c r="S2350" s="11"/>
      <c r="T2350" s="11"/>
      <c r="U2350" s="11"/>
      <c r="V2350" s="11"/>
      <c r="W2350" s="11"/>
      <c r="X2350" s="11"/>
      <c r="Y2350" s="11"/>
      <c r="Z2350" s="11"/>
      <c r="AA2350" s="11"/>
      <c r="AB2350" s="11"/>
      <c r="AC2350" s="11"/>
      <c r="AD2350" s="11"/>
      <c r="AE2350" s="11"/>
      <c r="AF2350" s="11"/>
      <c r="AG2350" s="11"/>
      <c r="AH2350" s="11"/>
      <c r="AI2350" s="11"/>
      <c r="AJ2350" s="11"/>
      <c r="AK2350" s="11"/>
      <c r="AL2350" s="11"/>
      <c r="AM2350" s="11"/>
      <c r="AN2350" s="11"/>
      <c r="AO2350" s="11"/>
      <c r="AP2350" s="11"/>
      <c r="AQ2350" s="11"/>
      <c r="AR2350" s="11"/>
      <c r="AS2350" s="11"/>
      <c r="AT2350" s="11"/>
      <c r="AU2350" s="11"/>
      <c r="AV2350" s="11"/>
      <c r="AW2350" s="11"/>
      <c r="AX2350" s="11"/>
      <c r="AY2350" s="11"/>
    </row>
    <row r="2351" spans="1:51" hidden="1" x14ac:dyDescent="0.2">
      <c r="A2351" s="6"/>
      <c r="E2351" s="2"/>
      <c r="F2351" s="3"/>
      <c r="G2351" s="3"/>
      <c r="P2351" s="8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1"/>
      <c r="AB2351" s="11"/>
      <c r="AC2351" s="11"/>
      <c r="AD2351" s="11"/>
      <c r="AE2351" s="11"/>
      <c r="AF2351" s="11"/>
      <c r="AG2351" s="11"/>
      <c r="AH2351" s="11"/>
      <c r="AI2351" s="11"/>
      <c r="AJ2351" s="11"/>
      <c r="AK2351" s="11"/>
      <c r="AL2351" s="11"/>
      <c r="AM2351" s="11"/>
      <c r="AN2351" s="11"/>
      <c r="AO2351" s="11"/>
      <c r="AP2351" s="11"/>
      <c r="AQ2351" s="11"/>
      <c r="AR2351" s="11"/>
      <c r="AS2351" s="11"/>
      <c r="AT2351" s="11"/>
      <c r="AU2351" s="11"/>
      <c r="AV2351" s="11"/>
      <c r="AW2351" s="11"/>
      <c r="AX2351" s="11"/>
      <c r="AY2351" s="11"/>
    </row>
    <row r="2352" spans="1:51" hidden="1" x14ac:dyDescent="0.2">
      <c r="A2352" s="6" t="s">
        <v>17</v>
      </c>
      <c r="B2352" t="s">
        <v>90</v>
      </c>
      <c r="C2352" t="s">
        <v>91</v>
      </c>
      <c r="D2352" t="s">
        <v>2962</v>
      </c>
      <c r="E2352" s="2">
        <v>1000</v>
      </c>
      <c r="F2352" s="3">
        <f t="shared" si="207"/>
        <v>45918</v>
      </c>
      <c r="G2352" s="3">
        <f t="shared" si="207"/>
        <v>45918</v>
      </c>
      <c r="H2352">
        <v>2834367981</v>
      </c>
      <c r="I2352" t="s">
        <v>21</v>
      </c>
      <c r="K2352" t="s">
        <v>22</v>
      </c>
      <c r="L2352" t="s">
        <v>23</v>
      </c>
      <c r="M2352" t="s">
        <v>24</v>
      </c>
      <c r="N2352" t="s">
        <v>24</v>
      </c>
      <c r="O2352" t="s">
        <v>25</v>
      </c>
      <c r="P2352" s="8" t="s">
        <v>2963</v>
      </c>
      <c r="Q2352" s="11"/>
      <c r="R2352" s="11"/>
      <c r="S2352" s="11"/>
      <c r="T2352" s="11"/>
      <c r="U2352" s="11"/>
      <c r="V2352" s="11"/>
      <c r="W2352" s="11"/>
      <c r="X2352" s="11"/>
      <c r="Y2352" s="11"/>
      <c r="Z2352" s="11"/>
      <c r="AA2352" s="11"/>
      <c r="AB2352" s="11"/>
      <c r="AC2352" s="11"/>
      <c r="AD2352" s="11"/>
      <c r="AE2352" s="11"/>
      <c r="AF2352" s="11"/>
      <c r="AG2352" s="11"/>
      <c r="AH2352" s="11"/>
      <c r="AI2352" s="11"/>
      <c r="AJ2352" s="11"/>
      <c r="AK2352" s="11"/>
      <c r="AL2352" s="11"/>
      <c r="AM2352" s="11"/>
      <c r="AN2352" s="11"/>
      <c r="AO2352" s="11"/>
      <c r="AP2352" s="11"/>
      <c r="AQ2352" s="11"/>
      <c r="AR2352" s="11"/>
      <c r="AS2352" s="11"/>
      <c r="AT2352" s="11"/>
      <c r="AU2352" s="11"/>
      <c r="AV2352" s="11"/>
      <c r="AW2352" s="11"/>
      <c r="AX2352" s="11"/>
      <c r="AY2352" s="11"/>
    </row>
    <row r="2353" spans="1:51" hidden="1" x14ac:dyDescent="0.2">
      <c r="A2353" s="6"/>
      <c r="E2353" s="2"/>
      <c r="F2353" s="3"/>
      <c r="G2353" s="3"/>
      <c r="P2353" s="8"/>
      <c r="Q2353" s="11"/>
      <c r="R2353" s="11"/>
      <c r="S2353" s="11"/>
      <c r="T2353" s="11"/>
      <c r="U2353" s="11"/>
      <c r="V2353" s="11"/>
      <c r="W2353" s="11"/>
      <c r="X2353" s="11"/>
      <c r="Y2353" s="11"/>
      <c r="Z2353" s="11"/>
      <c r="AA2353" s="11"/>
      <c r="AB2353" s="11"/>
      <c r="AC2353" s="11"/>
      <c r="AD2353" s="11"/>
      <c r="AE2353" s="11"/>
      <c r="AF2353" s="11"/>
      <c r="AG2353" s="11"/>
      <c r="AH2353" s="11"/>
      <c r="AI2353" s="11"/>
      <c r="AJ2353" s="11"/>
      <c r="AK2353" s="11"/>
      <c r="AL2353" s="11"/>
      <c r="AM2353" s="11"/>
      <c r="AN2353" s="11"/>
      <c r="AO2353" s="11"/>
      <c r="AP2353" s="11"/>
      <c r="AQ2353" s="11"/>
      <c r="AR2353" s="11"/>
      <c r="AS2353" s="11"/>
      <c r="AT2353" s="11"/>
      <c r="AU2353" s="11"/>
      <c r="AV2353" s="11"/>
      <c r="AW2353" s="11"/>
      <c r="AX2353" s="11"/>
      <c r="AY2353" s="11"/>
    </row>
    <row r="2354" spans="1:51" hidden="1" x14ac:dyDescent="0.2">
      <c r="A2354" s="6" t="s">
        <v>17</v>
      </c>
      <c r="B2354" t="s">
        <v>31</v>
      </c>
      <c r="C2354" t="s">
        <v>32</v>
      </c>
      <c r="D2354" t="s">
        <v>2964</v>
      </c>
      <c r="E2354" s="2">
        <v>27.99</v>
      </c>
      <c r="F2354" s="3">
        <f>DATE(2025,9,19)</f>
        <v>45919</v>
      </c>
      <c r="G2354" s="3">
        <f>DATE(2025,9,19)</f>
        <v>45919</v>
      </c>
      <c r="H2354">
        <v>2834367983</v>
      </c>
      <c r="I2354" t="s">
        <v>21</v>
      </c>
      <c r="K2354" t="s">
        <v>22</v>
      </c>
      <c r="L2354" t="s">
        <v>23</v>
      </c>
      <c r="M2354" t="s">
        <v>24</v>
      </c>
      <c r="N2354" t="s">
        <v>24</v>
      </c>
      <c r="O2354" t="s">
        <v>25</v>
      </c>
      <c r="P2354" s="8" t="s">
        <v>2965</v>
      </c>
      <c r="Q2354" s="11"/>
      <c r="R2354" s="11"/>
      <c r="S2354" s="11"/>
      <c r="T2354" s="11"/>
      <c r="U2354" s="11"/>
      <c r="V2354" s="11"/>
      <c r="W2354" s="11"/>
      <c r="X2354" s="11"/>
      <c r="Y2354" s="11"/>
      <c r="Z2354" s="11"/>
      <c r="AA2354" s="11"/>
      <c r="AB2354" s="11"/>
      <c r="AC2354" s="11"/>
      <c r="AD2354" s="11"/>
      <c r="AE2354" s="11"/>
      <c r="AF2354" s="11"/>
      <c r="AG2354" s="11"/>
      <c r="AH2354" s="11"/>
      <c r="AI2354" s="11"/>
      <c r="AJ2354" s="11"/>
      <c r="AK2354" s="11"/>
      <c r="AL2354" s="11"/>
      <c r="AM2354" s="11"/>
      <c r="AN2354" s="11"/>
      <c r="AO2354" s="11"/>
      <c r="AP2354" s="11"/>
      <c r="AQ2354" s="11"/>
      <c r="AR2354" s="11"/>
      <c r="AS2354" s="11"/>
      <c r="AT2354" s="11"/>
      <c r="AU2354" s="11"/>
      <c r="AV2354" s="11"/>
      <c r="AW2354" s="11"/>
      <c r="AX2354" s="11"/>
      <c r="AY2354" s="11"/>
    </row>
    <row r="2355" spans="1:51" hidden="1" x14ac:dyDescent="0.2">
      <c r="A2355" s="6" t="s">
        <v>17</v>
      </c>
      <c r="B2355" t="s">
        <v>155</v>
      </c>
      <c r="C2355" t="s">
        <v>156</v>
      </c>
      <c r="D2355" t="s">
        <v>2966</v>
      </c>
      <c r="E2355" s="2">
        <v>23.74</v>
      </c>
      <c r="F2355" s="3">
        <f>DATE(2025,9,19)</f>
        <v>45919</v>
      </c>
      <c r="G2355" s="3">
        <f>DATE(2025,9,19)</f>
        <v>45919</v>
      </c>
      <c r="H2355">
        <v>2834367984</v>
      </c>
      <c r="I2355" t="s">
        <v>21</v>
      </c>
      <c r="K2355" t="s">
        <v>22</v>
      </c>
      <c r="L2355" t="s">
        <v>23</v>
      </c>
      <c r="M2355" t="s">
        <v>24</v>
      </c>
      <c r="N2355" t="s">
        <v>24</v>
      </c>
      <c r="O2355" t="s">
        <v>25</v>
      </c>
      <c r="P2355" s="8" t="s">
        <v>2967</v>
      </c>
      <c r="Q2355" s="11"/>
      <c r="R2355" s="11"/>
      <c r="S2355" s="11"/>
      <c r="T2355" s="11"/>
      <c r="U2355" s="11"/>
      <c r="V2355" s="11"/>
      <c r="W2355" s="11"/>
      <c r="X2355" s="11"/>
      <c r="Y2355" s="11"/>
      <c r="Z2355" s="11"/>
      <c r="AA2355" s="11"/>
      <c r="AB2355" s="11"/>
      <c r="AC2355" s="11"/>
      <c r="AD2355" s="11"/>
      <c r="AE2355" s="11"/>
      <c r="AF2355" s="11"/>
      <c r="AG2355" s="11"/>
      <c r="AH2355" s="11"/>
      <c r="AI2355" s="11"/>
      <c r="AJ2355" s="11"/>
      <c r="AK2355" s="11"/>
      <c r="AL2355" s="11"/>
      <c r="AM2355" s="11"/>
      <c r="AN2355" s="11"/>
      <c r="AO2355" s="11"/>
      <c r="AP2355" s="11"/>
      <c r="AQ2355" s="11"/>
      <c r="AR2355" s="11"/>
      <c r="AS2355" s="11"/>
      <c r="AT2355" s="11"/>
      <c r="AU2355" s="11"/>
      <c r="AV2355" s="11"/>
      <c r="AW2355" s="11"/>
      <c r="AX2355" s="11"/>
      <c r="AY2355" s="11"/>
    </row>
    <row r="2356" spans="1:51" hidden="1" x14ac:dyDescent="0.2">
      <c r="A2356" s="6"/>
      <c r="E2356" s="2"/>
      <c r="F2356" s="3"/>
      <c r="G2356" s="3"/>
      <c r="P2356" s="8"/>
      <c r="Q2356" s="11"/>
      <c r="R2356" s="11"/>
      <c r="S2356" s="11"/>
      <c r="T2356" s="11"/>
      <c r="U2356" s="11"/>
      <c r="V2356" s="11"/>
      <c r="W2356" s="11"/>
      <c r="X2356" s="11"/>
      <c r="Y2356" s="11"/>
      <c r="Z2356" s="11"/>
      <c r="AA2356" s="11"/>
      <c r="AB2356" s="11"/>
      <c r="AC2356" s="11"/>
      <c r="AD2356" s="11"/>
      <c r="AE2356" s="11"/>
      <c r="AF2356" s="11"/>
      <c r="AG2356" s="11"/>
      <c r="AH2356" s="11"/>
      <c r="AI2356" s="11"/>
      <c r="AJ2356" s="11"/>
      <c r="AK2356" s="11"/>
      <c r="AL2356" s="11"/>
      <c r="AM2356" s="11"/>
      <c r="AN2356" s="11"/>
      <c r="AO2356" s="11"/>
      <c r="AP2356" s="11"/>
      <c r="AQ2356" s="11"/>
      <c r="AR2356" s="11"/>
      <c r="AS2356" s="11"/>
      <c r="AT2356" s="11"/>
      <c r="AU2356" s="11"/>
      <c r="AV2356" s="11"/>
      <c r="AW2356" s="11"/>
      <c r="AX2356" s="11"/>
      <c r="AY2356" s="11"/>
    </row>
    <row r="2357" spans="1:51" hidden="1" x14ac:dyDescent="0.2">
      <c r="A2357" s="6" t="s">
        <v>17</v>
      </c>
      <c r="B2357" t="s">
        <v>118</v>
      </c>
      <c r="C2357" t="s">
        <v>119</v>
      </c>
      <c r="D2357" t="s">
        <v>2968</v>
      </c>
      <c r="E2357" s="2">
        <v>168.84</v>
      </c>
      <c r="F2357" s="3">
        <f>DATE(2025,9,19)</f>
        <v>45919</v>
      </c>
      <c r="G2357" s="3">
        <f>DATE(2025,9,19)</f>
        <v>45919</v>
      </c>
      <c r="H2357">
        <v>2834386079</v>
      </c>
      <c r="I2357" t="s">
        <v>192</v>
      </c>
      <c r="K2357" t="s">
        <v>22</v>
      </c>
      <c r="L2357" t="s">
        <v>23</v>
      </c>
      <c r="M2357" t="s">
        <v>24</v>
      </c>
      <c r="N2357" t="s">
        <v>24</v>
      </c>
      <c r="O2357" t="s">
        <v>25</v>
      </c>
      <c r="P2357" s="8" t="s">
        <v>2969</v>
      </c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  <c r="AA2357" s="11"/>
      <c r="AB2357" s="11"/>
      <c r="AC2357" s="11"/>
      <c r="AD2357" s="11"/>
      <c r="AE2357" s="11"/>
      <c r="AF2357" s="11"/>
      <c r="AG2357" s="11"/>
      <c r="AH2357" s="11"/>
      <c r="AI2357" s="11"/>
      <c r="AJ2357" s="11"/>
      <c r="AK2357" s="11"/>
      <c r="AL2357" s="11"/>
      <c r="AM2357" s="11"/>
      <c r="AN2357" s="11"/>
      <c r="AO2357" s="11"/>
      <c r="AP2357" s="11"/>
      <c r="AQ2357" s="11"/>
      <c r="AR2357" s="11"/>
      <c r="AS2357" s="11"/>
      <c r="AT2357" s="11"/>
      <c r="AU2357" s="11"/>
      <c r="AV2357" s="11"/>
      <c r="AW2357" s="11"/>
      <c r="AX2357" s="11"/>
      <c r="AY2357" s="11"/>
    </row>
    <row r="2358" spans="1:51" hidden="1" x14ac:dyDescent="0.2">
      <c r="A2358" s="6" t="s">
        <v>17</v>
      </c>
      <c r="B2358" t="s">
        <v>589</v>
      </c>
      <c r="C2358" t="s">
        <v>590</v>
      </c>
      <c r="D2358" t="s">
        <v>2970</v>
      </c>
      <c r="E2358" s="2">
        <v>47.6</v>
      </c>
      <c r="F2358" s="3">
        <f>DATE(2025,9,19)</f>
        <v>45919</v>
      </c>
      <c r="G2358" s="3">
        <f>DATE(2025,9,19)</f>
        <v>45919</v>
      </c>
      <c r="H2358">
        <v>2834386080</v>
      </c>
      <c r="I2358" t="s">
        <v>192</v>
      </c>
      <c r="K2358" t="s">
        <v>22</v>
      </c>
      <c r="L2358" t="s">
        <v>23</v>
      </c>
      <c r="M2358" t="s">
        <v>24</v>
      </c>
      <c r="N2358" t="s">
        <v>24</v>
      </c>
      <c r="O2358" t="s">
        <v>25</v>
      </c>
      <c r="P2358" s="8" t="s">
        <v>2971</v>
      </c>
      <c r="Q2358" s="11"/>
      <c r="R2358" s="11"/>
      <c r="S2358" s="11"/>
      <c r="T2358" s="11"/>
      <c r="U2358" s="11"/>
      <c r="V2358" s="11"/>
      <c r="W2358" s="11"/>
      <c r="X2358" s="11"/>
      <c r="Y2358" s="11"/>
      <c r="Z2358" s="11"/>
      <c r="AA2358" s="11"/>
      <c r="AB2358" s="11"/>
      <c r="AC2358" s="11"/>
      <c r="AD2358" s="11"/>
      <c r="AE2358" s="11"/>
      <c r="AF2358" s="11"/>
      <c r="AG2358" s="11"/>
      <c r="AH2358" s="11"/>
      <c r="AI2358" s="11"/>
      <c r="AJ2358" s="11"/>
      <c r="AK2358" s="11"/>
      <c r="AL2358" s="11"/>
      <c r="AM2358" s="11"/>
      <c r="AN2358" s="11"/>
      <c r="AO2358" s="11"/>
      <c r="AP2358" s="11"/>
      <c r="AQ2358" s="11"/>
      <c r="AR2358" s="11"/>
      <c r="AS2358" s="11"/>
      <c r="AT2358" s="11"/>
      <c r="AU2358" s="11"/>
      <c r="AV2358" s="11"/>
      <c r="AW2358" s="11"/>
      <c r="AX2358" s="11"/>
      <c r="AY2358" s="11"/>
    </row>
    <row r="2359" spans="1:51" hidden="1" x14ac:dyDescent="0.2">
      <c r="A2359" s="6" t="s">
        <v>17</v>
      </c>
      <c r="B2359" t="s">
        <v>42</v>
      </c>
      <c r="C2359" t="s">
        <v>43</v>
      </c>
      <c r="D2359" t="s">
        <v>2972</v>
      </c>
      <c r="E2359" s="2">
        <v>19.989999999999998</v>
      </c>
      <c r="F2359" s="3">
        <f>DATE(2025,9,18)</f>
        <v>45918</v>
      </c>
      <c r="G2359" s="3">
        <f>DATE(2025,9,18)</f>
        <v>45918</v>
      </c>
      <c r="H2359">
        <v>2839691770</v>
      </c>
      <c r="I2359" t="s">
        <v>158</v>
      </c>
      <c r="K2359" t="s">
        <v>22</v>
      </c>
      <c r="L2359" t="s">
        <v>23</v>
      </c>
      <c r="M2359" t="s">
        <v>24</v>
      </c>
      <c r="N2359" t="s">
        <v>24</v>
      </c>
      <c r="O2359" t="s">
        <v>25</v>
      </c>
      <c r="P2359" s="8" t="s">
        <v>2973</v>
      </c>
      <c r="Q2359" s="11"/>
      <c r="R2359" s="11"/>
      <c r="S2359" s="11"/>
      <c r="T2359" s="11"/>
      <c r="U2359" s="11"/>
      <c r="V2359" s="11"/>
      <c r="W2359" s="11"/>
      <c r="X2359" s="11"/>
      <c r="Y2359" s="11"/>
      <c r="Z2359" s="11"/>
      <c r="AA2359" s="11"/>
      <c r="AB2359" s="11"/>
      <c r="AC2359" s="11"/>
      <c r="AD2359" s="11"/>
      <c r="AE2359" s="11"/>
      <c r="AF2359" s="11"/>
      <c r="AG2359" s="11"/>
      <c r="AH2359" s="11"/>
      <c r="AI2359" s="11"/>
      <c r="AJ2359" s="11"/>
      <c r="AK2359" s="11"/>
      <c r="AL2359" s="11"/>
      <c r="AM2359" s="11"/>
      <c r="AN2359" s="11"/>
      <c r="AO2359" s="11"/>
      <c r="AP2359" s="11"/>
      <c r="AQ2359" s="11"/>
      <c r="AR2359" s="11"/>
      <c r="AS2359" s="11"/>
      <c r="AT2359" s="11"/>
      <c r="AU2359" s="11"/>
      <c r="AV2359" s="11"/>
      <c r="AW2359" s="11"/>
      <c r="AX2359" s="11"/>
      <c r="AY2359" s="11"/>
    </row>
    <row r="2360" spans="1:51" hidden="1" x14ac:dyDescent="0.2">
      <c r="A2360" s="6"/>
      <c r="E2360" s="2"/>
      <c r="F2360" s="3"/>
      <c r="G2360" s="3"/>
      <c r="P2360" s="8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  <c r="AA2360" s="11"/>
      <c r="AB2360" s="11"/>
      <c r="AC2360" s="11"/>
      <c r="AD2360" s="11"/>
      <c r="AE2360" s="11"/>
      <c r="AF2360" s="11"/>
      <c r="AG2360" s="11"/>
      <c r="AH2360" s="11"/>
      <c r="AI2360" s="11"/>
      <c r="AJ2360" s="11"/>
      <c r="AK2360" s="11"/>
      <c r="AL2360" s="11"/>
      <c r="AM2360" s="11"/>
      <c r="AN2360" s="11"/>
      <c r="AO2360" s="11"/>
      <c r="AP2360" s="11"/>
      <c r="AQ2360" s="11"/>
      <c r="AR2360" s="11"/>
      <c r="AS2360" s="11"/>
      <c r="AT2360" s="11"/>
      <c r="AU2360" s="11"/>
      <c r="AV2360" s="11"/>
      <c r="AW2360" s="11"/>
      <c r="AX2360" s="11"/>
      <c r="AY2360" s="11"/>
    </row>
    <row r="2361" spans="1:51" hidden="1" x14ac:dyDescent="0.2">
      <c r="A2361" s="6"/>
      <c r="E2361" s="2"/>
      <c r="F2361" s="3"/>
      <c r="G2361" s="3"/>
      <c r="P2361" s="8"/>
      <c r="Q2361" s="11"/>
      <c r="R2361" s="11"/>
      <c r="S2361" s="11"/>
      <c r="T2361" s="11"/>
      <c r="U2361" s="11"/>
      <c r="V2361" s="11"/>
      <c r="W2361" s="11"/>
      <c r="X2361" s="11"/>
      <c r="Y2361" s="11"/>
      <c r="Z2361" s="11"/>
      <c r="AA2361" s="11"/>
      <c r="AB2361" s="11"/>
      <c r="AC2361" s="11"/>
      <c r="AD2361" s="11"/>
      <c r="AE2361" s="11"/>
      <c r="AF2361" s="11"/>
      <c r="AG2361" s="11"/>
      <c r="AH2361" s="11"/>
      <c r="AI2361" s="11"/>
      <c r="AJ2361" s="11"/>
      <c r="AK2361" s="11"/>
      <c r="AL2361" s="11"/>
      <c r="AM2361" s="11"/>
      <c r="AN2361" s="11"/>
      <c r="AO2361" s="11"/>
      <c r="AP2361" s="11"/>
      <c r="AQ2361" s="11"/>
      <c r="AR2361" s="11"/>
      <c r="AS2361" s="11"/>
      <c r="AT2361" s="11"/>
      <c r="AU2361" s="11"/>
      <c r="AV2361" s="11"/>
      <c r="AW2361" s="11"/>
      <c r="AX2361" s="11"/>
      <c r="AY2361" s="11"/>
    </row>
    <row r="2362" spans="1:51" hidden="1" x14ac:dyDescent="0.2">
      <c r="A2362" s="6"/>
      <c r="E2362" s="2"/>
      <c r="F2362" s="3"/>
      <c r="G2362" s="3"/>
      <c r="P2362" s="8"/>
      <c r="Q2362" s="11"/>
      <c r="R2362" s="11"/>
      <c r="S2362" s="11"/>
      <c r="T2362" s="11"/>
      <c r="U2362" s="11"/>
      <c r="V2362" s="11"/>
      <c r="W2362" s="11"/>
      <c r="X2362" s="11"/>
      <c r="Y2362" s="11"/>
      <c r="Z2362" s="11"/>
      <c r="AA2362" s="11"/>
      <c r="AB2362" s="11"/>
      <c r="AC2362" s="11"/>
      <c r="AD2362" s="11"/>
      <c r="AE2362" s="11"/>
      <c r="AF2362" s="11"/>
      <c r="AG2362" s="11"/>
      <c r="AH2362" s="11"/>
      <c r="AI2362" s="11"/>
      <c r="AJ2362" s="11"/>
      <c r="AK2362" s="11"/>
      <c r="AL2362" s="11"/>
      <c r="AM2362" s="11"/>
      <c r="AN2362" s="11"/>
      <c r="AO2362" s="11"/>
      <c r="AP2362" s="11"/>
      <c r="AQ2362" s="11"/>
      <c r="AR2362" s="11"/>
      <c r="AS2362" s="11"/>
      <c r="AT2362" s="11"/>
      <c r="AU2362" s="11"/>
      <c r="AV2362" s="11"/>
      <c r="AW2362" s="11"/>
      <c r="AX2362" s="11"/>
      <c r="AY2362" s="11"/>
    </row>
    <row r="2363" spans="1:51" hidden="1" x14ac:dyDescent="0.2">
      <c r="A2363" s="6"/>
      <c r="E2363" s="2"/>
      <c r="F2363" s="3"/>
      <c r="G2363" s="3"/>
      <c r="P2363" s="8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1"/>
      <c r="AF2363" s="11"/>
      <c r="AG2363" s="11"/>
      <c r="AH2363" s="11"/>
      <c r="AI2363" s="11"/>
      <c r="AJ2363" s="11"/>
      <c r="AK2363" s="11"/>
      <c r="AL2363" s="11"/>
      <c r="AM2363" s="11"/>
      <c r="AN2363" s="11"/>
      <c r="AO2363" s="11"/>
      <c r="AP2363" s="11"/>
      <c r="AQ2363" s="11"/>
      <c r="AR2363" s="11"/>
      <c r="AS2363" s="11"/>
      <c r="AT2363" s="11"/>
      <c r="AU2363" s="11"/>
      <c r="AV2363" s="11"/>
      <c r="AW2363" s="11"/>
      <c r="AX2363" s="11"/>
      <c r="AY2363" s="11"/>
    </row>
    <row r="2364" spans="1:51" hidden="1" x14ac:dyDescent="0.2">
      <c r="A2364" s="6"/>
      <c r="E2364" s="2"/>
      <c r="F2364" s="3"/>
      <c r="G2364" s="3"/>
      <c r="P2364" s="8"/>
      <c r="Q2364" s="11"/>
      <c r="R2364" s="11"/>
      <c r="S2364" s="11"/>
      <c r="T2364" s="11"/>
      <c r="U2364" s="11"/>
      <c r="V2364" s="11"/>
      <c r="W2364" s="11"/>
      <c r="X2364" s="11"/>
      <c r="Y2364" s="11"/>
      <c r="Z2364" s="11"/>
      <c r="AA2364" s="11"/>
      <c r="AB2364" s="11"/>
      <c r="AC2364" s="11"/>
      <c r="AD2364" s="11"/>
      <c r="AE2364" s="11"/>
      <c r="AF2364" s="11"/>
      <c r="AG2364" s="11"/>
      <c r="AH2364" s="11"/>
      <c r="AI2364" s="11"/>
      <c r="AJ2364" s="11"/>
      <c r="AK2364" s="11"/>
      <c r="AL2364" s="11"/>
      <c r="AM2364" s="11"/>
      <c r="AN2364" s="11"/>
      <c r="AO2364" s="11"/>
      <c r="AP2364" s="11"/>
      <c r="AQ2364" s="11"/>
      <c r="AR2364" s="11"/>
      <c r="AS2364" s="11"/>
      <c r="AT2364" s="11"/>
      <c r="AU2364" s="11"/>
      <c r="AV2364" s="11"/>
      <c r="AW2364" s="11"/>
      <c r="AX2364" s="11"/>
      <c r="AY2364" s="11"/>
    </row>
    <row r="2365" spans="1:51" hidden="1" x14ac:dyDescent="0.2">
      <c r="A2365" s="6"/>
      <c r="E2365" s="2"/>
      <c r="F2365" s="3"/>
      <c r="G2365" s="3"/>
      <c r="P2365" s="8"/>
      <c r="Q2365" s="11"/>
      <c r="R2365" s="11"/>
      <c r="S2365" s="11"/>
      <c r="T2365" s="11"/>
      <c r="U2365" s="11"/>
      <c r="V2365" s="11"/>
      <c r="W2365" s="11"/>
      <c r="X2365" s="11"/>
      <c r="Y2365" s="11"/>
      <c r="Z2365" s="11"/>
      <c r="AA2365" s="11"/>
      <c r="AB2365" s="11"/>
      <c r="AC2365" s="11"/>
      <c r="AD2365" s="11"/>
      <c r="AE2365" s="11"/>
      <c r="AF2365" s="11"/>
      <c r="AG2365" s="11"/>
      <c r="AH2365" s="11"/>
      <c r="AI2365" s="11"/>
      <c r="AJ2365" s="11"/>
      <c r="AK2365" s="11"/>
      <c r="AL2365" s="11"/>
      <c r="AM2365" s="11"/>
      <c r="AN2365" s="11"/>
      <c r="AO2365" s="11"/>
      <c r="AP2365" s="11"/>
      <c r="AQ2365" s="11"/>
      <c r="AR2365" s="11"/>
      <c r="AS2365" s="11"/>
      <c r="AT2365" s="11"/>
      <c r="AU2365" s="11"/>
      <c r="AV2365" s="11"/>
      <c r="AW2365" s="11"/>
      <c r="AX2365" s="11"/>
      <c r="AY2365" s="11"/>
    </row>
    <row r="2366" spans="1:51" hidden="1" x14ac:dyDescent="0.2">
      <c r="A2366" s="6"/>
      <c r="E2366" s="2"/>
      <c r="F2366" s="3"/>
      <c r="G2366" s="3"/>
      <c r="P2366" s="8"/>
      <c r="Q2366" s="11"/>
      <c r="R2366" s="11"/>
      <c r="S2366" s="11"/>
      <c r="T2366" s="11"/>
      <c r="U2366" s="11"/>
      <c r="V2366" s="11"/>
      <c r="W2366" s="11"/>
      <c r="X2366" s="11"/>
      <c r="Y2366" s="11"/>
      <c r="Z2366" s="11"/>
      <c r="AA2366" s="11"/>
      <c r="AB2366" s="11"/>
      <c r="AC2366" s="11"/>
      <c r="AD2366" s="11"/>
      <c r="AE2366" s="11"/>
      <c r="AF2366" s="11"/>
      <c r="AG2366" s="11"/>
      <c r="AH2366" s="11"/>
      <c r="AI2366" s="11"/>
      <c r="AJ2366" s="11"/>
      <c r="AK2366" s="11"/>
      <c r="AL2366" s="11"/>
      <c r="AM2366" s="11"/>
      <c r="AN2366" s="11"/>
      <c r="AO2366" s="11"/>
      <c r="AP2366" s="11"/>
      <c r="AQ2366" s="11"/>
      <c r="AR2366" s="11"/>
      <c r="AS2366" s="11"/>
      <c r="AT2366" s="11"/>
      <c r="AU2366" s="11"/>
      <c r="AV2366" s="11"/>
      <c r="AW2366" s="11"/>
      <c r="AX2366" s="11"/>
      <c r="AY2366" s="11"/>
    </row>
    <row r="2367" spans="1:51" hidden="1" x14ac:dyDescent="0.2">
      <c r="A2367" s="6"/>
      <c r="E2367" s="2"/>
      <c r="F2367" s="3"/>
      <c r="G2367" s="3"/>
      <c r="P2367" s="8"/>
      <c r="Q2367" s="11"/>
      <c r="R2367" s="11"/>
      <c r="S2367" s="11"/>
      <c r="T2367" s="11"/>
      <c r="U2367" s="11"/>
      <c r="V2367" s="11"/>
      <c r="W2367" s="11"/>
      <c r="X2367" s="11"/>
      <c r="Y2367" s="11"/>
      <c r="Z2367" s="11"/>
      <c r="AA2367" s="11"/>
      <c r="AB2367" s="11"/>
      <c r="AC2367" s="11"/>
      <c r="AD2367" s="11"/>
      <c r="AE2367" s="11"/>
      <c r="AF2367" s="11"/>
      <c r="AG2367" s="11"/>
      <c r="AH2367" s="11"/>
      <c r="AI2367" s="11"/>
      <c r="AJ2367" s="11"/>
      <c r="AK2367" s="11"/>
      <c r="AL2367" s="11"/>
      <c r="AM2367" s="11"/>
      <c r="AN2367" s="11"/>
      <c r="AO2367" s="11"/>
      <c r="AP2367" s="11"/>
      <c r="AQ2367" s="11"/>
      <c r="AR2367" s="11"/>
      <c r="AS2367" s="11"/>
      <c r="AT2367" s="11"/>
      <c r="AU2367" s="11"/>
      <c r="AV2367" s="11"/>
      <c r="AW2367" s="11"/>
      <c r="AX2367" s="11"/>
      <c r="AY2367" s="11"/>
    </row>
    <row r="2368" spans="1:51" hidden="1" x14ac:dyDescent="0.2">
      <c r="A2368" s="6" t="s">
        <v>17</v>
      </c>
      <c r="B2368" t="s">
        <v>31</v>
      </c>
      <c r="C2368" t="s">
        <v>32</v>
      </c>
      <c r="D2368" t="s">
        <v>2974</v>
      </c>
      <c r="E2368" s="2">
        <v>51.99</v>
      </c>
      <c r="F2368" s="3">
        <f t="shared" ref="F2368:G2375" si="208">DATE(2025,9,22)</f>
        <v>45922</v>
      </c>
      <c r="G2368" s="3">
        <f t="shared" si="208"/>
        <v>45922</v>
      </c>
      <c r="H2368">
        <v>2850749490</v>
      </c>
      <c r="I2368" t="s">
        <v>21</v>
      </c>
      <c r="K2368" t="s">
        <v>22</v>
      </c>
      <c r="L2368" t="s">
        <v>23</v>
      </c>
      <c r="M2368" t="s">
        <v>24</v>
      </c>
      <c r="N2368" t="s">
        <v>24</v>
      </c>
      <c r="O2368" t="s">
        <v>25</v>
      </c>
      <c r="P2368" s="8" t="s">
        <v>2975</v>
      </c>
      <c r="Q2368" s="11"/>
      <c r="R2368" s="11"/>
      <c r="S2368" s="11"/>
      <c r="T2368" s="11"/>
      <c r="U2368" s="11"/>
      <c r="V2368" s="11"/>
      <c r="W2368" s="11"/>
      <c r="X2368" s="11"/>
      <c r="Y2368" s="11"/>
      <c r="Z2368" s="11"/>
      <c r="AA2368" s="11"/>
      <c r="AB2368" s="11"/>
      <c r="AC2368" s="11"/>
      <c r="AD2368" s="11"/>
      <c r="AE2368" s="11"/>
      <c r="AF2368" s="11"/>
      <c r="AG2368" s="11"/>
      <c r="AH2368" s="11"/>
      <c r="AI2368" s="11"/>
      <c r="AJ2368" s="11"/>
      <c r="AK2368" s="11"/>
      <c r="AL2368" s="11"/>
      <c r="AM2368" s="11"/>
      <c r="AN2368" s="11"/>
      <c r="AO2368" s="11"/>
      <c r="AP2368" s="11"/>
      <c r="AQ2368" s="11"/>
      <c r="AR2368" s="11"/>
      <c r="AS2368" s="11"/>
      <c r="AT2368" s="11"/>
      <c r="AU2368" s="11"/>
      <c r="AV2368" s="11"/>
      <c r="AW2368" s="11"/>
      <c r="AX2368" s="11"/>
      <c r="AY2368" s="11"/>
    </row>
    <row r="2369" spans="1:51" hidden="1" x14ac:dyDescent="0.2">
      <c r="A2369" s="6" t="s">
        <v>17</v>
      </c>
      <c r="B2369" t="s">
        <v>565</v>
      </c>
      <c r="C2369" t="s">
        <v>566</v>
      </c>
      <c r="D2369" t="s">
        <v>2976</v>
      </c>
      <c r="E2369" s="2">
        <v>2055.19</v>
      </c>
      <c r="F2369" s="3">
        <f t="shared" si="208"/>
        <v>45922</v>
      </c>
      <c r="G2369" s="3">
        <f t="shared" si="208"/>
        <v>45922</v>
      </c>
      <c r="H2369">
        <v>2850749568</v>
      </c>
      <c r="I2369" t="s">
        <v>21</v>
      </c>
      <c r="K2369" t="s">
        <v>22</v>
      </c>
      <c r="L2369" t="s">
        <v>23</v>
      </c>
      <c r="M2369" t="s">
        <v>24</v>
      </c>
      <c r="N2369" t="s">
        <v>24</v>
      </c>
      <c r="O2369" t="s">
        <v>25</v>
      </c>
      <c r="P2369" s="8" t="s">
        <v>2977</v>
      </c>
      <c r="Q2369" s="11"/>
      <c r="R2369" s="11"/>
      <c r="S2369" s="11"/>
      <c r="T2369" s="11"/>
      <c r="U2369" s="11"/>
      <c r="V2369" s="11"/>
      <c r="W2369" s="11"/>
      <c r="X2369" s="11"/>
      <c r="Y2369" s="11"/>
      <c r="Z2369" s="11"/>
      <c r="AA2369" s="11"/>
      <c r="AB2369" s="11"/>
      <c r="AC2369" s="11"/>
      <c r="AD2369" s="11"/>
      <c r="AE2369" s="11"/>
      <c r="AF2369" s="11"/>
      <c r="AG2369" s="11"/>
      <c r="AH2369" s="11"/>
      <c r="AI2369" s="11"/>
      <c r="AJ2369" s="11"/>
      <c r="AK2369" s="11"/>
      <c r="AL2369" s="11"/>
      <c r="AM2369" s="11"/>
      <c r="AN2369" s="11"/>
      <c r="AO2369" s="11"/>
      <c r="AP2369" s="11"/>
      <c r="AQ2369" s="11"/>
      <c r="AR2369" s="11"/>
      <c r="AS2369" s="11"/>
      <c r="AT2369" s="11"/>
      <c r="AU2369" s="11"/>
      <c r="AV2369" s="11"/>
      <c r="AW2369" s="11"/>
      <c r="AX2369" s="11"/>
      <c r="AY2369" s="11"/>
    </row>
    <row r="2370" spans="1:51" hidden="1" x14ac:dyDescent="0.2">
      <c r="A2370" s="6" t="s">
        <v>17</v>
      </c>
      <c r="B2370" t="s">
        <v>1048</v>
      </c>
      <c r="C2370" t="s">
        <v>1049</v>
      </c>
      <c r="D2370" t="s">
        <v>2978</v>
      </c>
      <c r="E2370" s="2">
        <v>2186.7800000000002</v>
      </c>
      <c r="F2370" s="3">
        <f t="shared" si="208"/>
        <v>45922</v>
      </c>
      <c r="G2370" s="3">
        <f t="shared" si="208"/>
        <v>45922</v>
      </c>
      <c r="H2370">
        <v>2850749609</v>
      </c>
      <c r="I2370" t="s">
        <v>21</v>
      </c>
      <c r="K2370" t="s">
        <v>22</v>
      </c>
      <c r="L2370" t="s">
        <v>23</v>
      </c>
      <c r="M2370" t="s">
        <v>24</v>
      </c>
      <c r="N2370" t="s">
        <v>24</v>
      </c>
      <c r="O2370" t="s">
        <v>25</v>
      </c>
      <c r="P2370" s="8" t="s">
        <v>2979</v>
      </c>
      <c r="Q2370" s="11"/>
      <c r="R2370" s="11"/>
      <c r="S2370" s="11"/>
      <c r="T2370" s="11"/>
      <c r="U2370" s="11"/>
      <c r="V2370" s="11"/>
      <c r="W2370" s="11"/>
      <c r="X2370" s="11"/>
      <c r="Y2370" s="11"/>
      <c r="Z2370" s="11"/>
      <c r="AA2370" s="11"/>
      <c r="AB2370" s="11"/>
      <c r="AC2370" s="11"/>
      <c r="AD2370" s="11"/>
      <c r="AE2370" s="11"/>
      <c r="AF2370" s="11"/>
      <c r="AG2370" s="11"/>
      <c r="AH2370" s="11"/>
      <c r="AI2370" s="11"/>
      <c r="AJ2370" s="11"/>
      <c r="AK2370" s="11"/>
      <c r="AL2370" s="11"/>
      <c r="AM2370" s="11"/>
      <c r="AN2370" s="11"/>
      <c r="AO2370" s="11"/>
      <c r="AP2370" s="11"/>
      <c r="AQ2370" s="11"/>
      <c r="AR2370" s="11"/>
      <c r="AS2370" s="11"/>
      <c r="AT2370" s="11"/>
      <c r="AU2370" s="11"/>
      <c r="AV2370" s="11"/>
      <c r="AW2370" s="11"/>
      <c r="AX2370" s="11"/>
      <c r="AY2370" s="11"/>
    </row>
    <row r="2371" spans="1:51" hidden="1" x14ac:dyDescent="0.2">
      <c r="A2371" s="6" t="s">
        <v>17</v>
      </c>
      <c r="B2371" t="s">
        <v>980</v>
      </c>
      <c r="C2371" t="s">
        <v>981</v>
      </c>
      <c r="D2371" t="s">
        <v>2980</v>
      </c>
      <c r="E2371" s="2">
        <v>150.06</v>
      </c>
      <c r="F2371" s="3">
        <f t="shared" si="208"/>
        <v>45922</v>
      </c>
      <c r="G2371" s="3">
        <f t="shared" si="208"/>
        <v>45922</v>
      </c>
      <c r="H2371">
        <v>2850749660</v>
      </c>
      <c r="I2371" t="s">
        <v>21</v>
      </c>
      <c r="K2371" t="s">
        <v>22</v>
      </c>
      <c r="L2371" t="s">
        <v>23</v>
      </c>
      <c r="M2371" t="s">
        <v>24</v>
      </c>
      <c r="N2371" t="s">
        <v>24</v>
      </c>
      <c r="O2371" t="s">
        <v>25</v>
      </c>
      <c r="P2371" s="8" t="s">
        <v>2981</v>
      </c>
      <c r="Q2371" s="11"/>
      <c r="R2371" s="11"/>
      <c r="S2371" s="11"/>
      <c r="T2371" s="11"/>
      <c r="U2371" s="11"/>
      <c r="V2371" s="11"/>
      <c r="W2371" s="11"/>
      <c r="X2371" s="11"/>
      <c r="Y2371" s="11"/>
      <c r="Z2371" s="11"/>
      <c r="AA2371" s="11"/>
      <c r="AB2371" s="11"/>
      <c r="AC2371" s="11"/>
      <c r="AD2371" s="11"/>
      <c r="AE2371" s="11"/>
      <c r="AF2371" s="11"/>
      <c r="AG2371" s="11"/>
      <c r="AH2371" s="11"/>
      <c r="AI2371" s="11"/>
      <c r="AJ2371" s="11"/>
      <c r="AK2371" s="11"/>
      <c r="AL2371" s="11"/>
      <c r="AM2371" s="11"/>
      <c r="AN2371" s="11"/>
      <c r="AO2371" s="11"/>
      <c r="AP2371" s="11"/>
      <c r="AQ2371" s="11"/>
      <c r="AR2371" s="11"/>
      <c r="AS2371" s="11"/>
      <c r="AT2371" s="11"/>
      <c r="AU2371" s="11"/>
      <c r="AV2371" s="11"/>
      <c r="AW2371" s="11"/>
      <c r="AX2371" s="11"/>
      <c r="AY2371" s="11"/>
    </row>
    <row r="2372" spans="1:51" hidden="1" x14ac:dyDescent="0.2">
      <c r="A2372" s="6" t="s">
        <v>17</v>
      </c>
      <c r="B2372" t="s">
        <v>1002</v>
      </c>
      <c r="C2372" t="s">
        <v>1003</v>
      </c>
      <c r="D2372" t="s">
        <v>2982</v>
      </c>
      <c r="E2372" s="2">
        <v>5070.95</v>
      </c>
      <c r="F2372" s="3">
        <f t="shared" si="208"/>
        <v>45922</v>
      </c>
      <c r="G2372" s="3">
        <f t="shared" si="208"/>
        <v>45922</v>
      </c>
      <c r="H2372">
        <v>2850749712</v>
      </c>
      <c r="I2372" t="s">
        <v>21</v>
      </c>
      <c r="K2372" t="s">
        <v>22</v>
      </c>
      <c r="L2372" t="s">
        <v>23</v>
      </c>
      <c r="M2372" t="s">
        <v>24</v>
      </c>
      <c r="N2372" t="s">
        <v>24</v>
      </c>
      <c r="O2372" t="s">
        <v>25</v>
      </c>
      <c r="P2372" s="8" t="s">
        <v>2983</v>
      </c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  <c r="AA2372" s="11"/>
      <c r="AB2372" s="11"/>
      <c r="AC2372" s="11"/>
      <c r="AD2372" s="11"/>
      <c r="AE2372" s="11"/>
      <c r="AF2372" s="11"/>
      <c r="AG2372" s="11"/>
      <c r="AH2372" s="11"/>
      <c r="AI2372" s="11"/>
      <c r="AJ2372" s="11"/>
      <c r="AK2372" s="11"/>
      <c r="AL2372" s="11"/>
      <c r="AM2372" s="11"/>
      <c r="AN2372" s="11"/>
      <c r="AO2372" s="11"/>
      <c r="AP2372" s="11"/>
      <c r="AQ2372" s="11"/>
      <c r="AR2372" s="11"/>
      <c r="AS2372" s="11"/>
      <c r="AT2372" s="11"/>
      <c r="AU2372" s="11"/>
      <c r="AV2372" s="11"/>
      <c r="AW2372" s="11"/>
      <c r="AX2372" s="11"/>
      <c r="AY2372" s="11"/>
    </row>
    <row r="2373" spans="1:51" x14ac:dyDescent="0.2">
      <c r="A2373" s="6" t="s">
        <v>17</v>
      </c>
      <c r="B2373" t="s">
        <v>342</v>
      </c>
      <c r="C2373" t="s">
        <v>342</v>
      </c>
      <c r="D2373" t="s">
        <v>2984</v>
      </c>
      <c r="E2373" s="2">
        <v>65</v>
      </c>
      <c r="F2373" s="3">
        <f t="shared" si="208"/>
        <v>45922</v>
      </c>
      <c r="G2373" s="3">
        <f t="shared" si="208"/>
        <v>45922</v>
      </c>
      <c r="H2373">
        <v>2850750397</v>
      </c>
      <c r="I2373" t="s">
        <v>192</v>
      </c>
      <c r="K2373" t="s">
        <v>22</v>
      </c>
      <c r="L2373" t="s">
        <v>23</v>
      </c>
      <c r="M2373" t="s">
        <v>24</v>
      </c>
      <c r="N2373" t="s">
        <v>24</v>
      </c>
      <c r="O2373" t="s">
        <v>25</v>
      </c>
      <c r="P2373" s="8" t="s">
        <v>2985</v>
      </c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1"/>
      <c r="AB2373" s="11"/>
      <c r="AC2373" s="11"/>
      <c r="AD2373" s="11"/>
      <c r="AE2373" s="11"/>
      <c r="AF2373" s="11"/>
      <c r="AG2373" s="11"/>
      <c r="AH2373" s="11"/>
      <c r="AI2373" s="11"/>
      <c r="AJ2373" s="11"/>
      <c r="AK2373" s="11"/>
      <c r="AL2373" s="11"/>
      <c r="AM2373" s="11"/>
      <c r="AN2373" s="11"/>
      <c r="AO2373" s="11"/>
      <c r="AP2373" s="11"/>
      <c r="AQ2373" s="11"/>
      <c r="AR2373" s="11"/>
      <c r="AS2373" s="11"/>
      <c r="AT2373" s="11"/>
      <c r="AU2373" s="11"/>
      <c r="AV2373" s="11"/>
      <c r="AW2373" s="11"/>
      <c r="AX2373" s="11"/>
      <c r="AY2373" s="11"/>
    </row>
    <row r="2374" spans="1:51" x14ac:dyDescent="0.2">
      <c r="A2374" s="6" t="s">
        <v>17</v>
      </c>
      <c r="B2374" t="s">
        <v>342</v>
      </c>
      <c r="C2374" t="s">
        <v>342</v>
      </c>
      <c r="D2374" t="s">
        <v>2986</v>
      </c>
      <c r="E2374" s="2">
        <v>285.64999999999998</v>
      </c>
      <c r="F2374" s="3">
        <f t="shared" si="208"/>
        <v>45922</v>
      </c>
      <c r="G2374" s="3">
        <f t="shared" si="208"/>
        <v>45922</v>
      </c>
      <c r="H2374">
        <v>2850750398</v>
      </c>
      <c r="I2374" t="s">
        <v>192</v>
      </c>
      <c r="K2374" t="s">
        <v>22</v>
      </c>
      <c r="L2374" t="s">
        <v>23</v>
      </c>
      <c r="M2374" t="s">
        <v>24</v>
      </c>
      <c r="N2374" t="s">
        <v>24</v>
      </c>
      <c r="O2374" t="s">
        <v>25</v>
      </c>
      <c r="P2374" s="8" t="s">
        <v>2987</v>
      </c>
      <c r="Q2374" s="11"/>
      <c r="R2374" s="11"/>
      <c r="S2374" s="11"/>
      <c r="T2374" s="11"/>
      <c r="U2374" s="11"/>
      <c r="V2374" s="11"/>
      <c r="W2374" s="11"/>
      <c r="X2374" s="11"/>
      <c r="Y2374" s="11"/>
      <c r="Z2374" s="11"/>
      <c r="AA2374" s="11"/>
      <c r="AB2374" s="11"/>
      <c r="AC2374" s="11"/>
      <c r="AD2374" s="11"/>
      <c r="AE2374" s="11"/>
      <c r="AF2374" s="11"/>
      <c r="AG2374" s="11"/>
      <c r="AH2374" s="11"/>
      <c r="AI2374" s="11"/>
      <c r="AJ2374" s="11"/>
      <c r="AK2374" s="11"/>
      <c r="AL2374" s="11"/>
      <c r="AM2374" s="11"/>
      <c r="AN2374" s="11"/>
      <c r="AO2374" s="11"/>
      <c r="AP2374" s="11"/>
      <c r="AQ2374" s="11"/>
      <c r="AR2374" s="11"/>
      <c r="AS2374" s="11"/>
      <c r="AT2374" s="11"/>
      <c r="AU2374" s="11"/>
      <c r="AV2374" s="11"/>
      <c r="AW2374" s="11"/>
      <c r="AX2374" s="11"/>
      <c r="AY2374" s="11"/>
    </row>
    <row r="2375" spans="1:51" hidden="1" x14ac:dyDescent="0.2">
      <c r="A2375" s="6" t="s">
        <v>17</v>
      </c>
      <c r="B2375" t="s">
        <v>173</v>
      </c>
      <c r="C2375" t="s">
        <v>154</v>
      </c>
      <c r="D2375" t="s">
        <v>2988</v>
      </c>
      <c r="E2375" s="2">
        <v>88.75</v>
      </c>
      <c r="F2375" s="3">
        <f t="shared" si="208"/>
        <v>45922</v>
      </c>
      <c r="G2375" s="3">
        <f t="shared" si="208"/>
        <v>45922</v>
      </c>
      <c r="H2375">
        <v>2850750399</v>
      </c>
      <c r="I2375" t="s">
        <v>192</v>
      </c>
      <c r="K2375" t="s">
        <v>22</v>
      </c>
      <c r="L2375" t="s">
        <v>23</v>
      </c>
      <c r="M2375" t="s">
        <v>24</v>
      </c>
      <c r="N2375" t="s">
        <v>24</v>
      </c>
      <c r="O2375" t="s">
        <v>25</v>
      </c>
      <c r="P2375" s="8" t="s">
        <v>2989</v>
      </c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1"/>
      <c r="AB2375" s="11"/>
      <c r="AC2375" s="11"/>
      <c r="AD2375" s="11"/>
      <c r="AE2375" s="11"/>
      <c r="AF2375" s="11"/>
      <c r="AG2375" s="11"/>
      <c r="AH2375" s="11"/>
      <c r="AI2375" s="11"/>
      <c r="AJ2375" s="11"/>
      <c r="AK2375" s="11"/>
      <c r="AL2375" s="11"/>
      <c r="AM2375" s="11"/>
      <c r="AN2375" s="11"/>
      <c r="AO2375" s="11"/>
      <c r="AP2375" s="11"/>
      <c r="AQ2375" s="11"/>
      <c r="AR2375" s="11"/>
      <c r="AS2375" s="11"/>
      <c r="AT2375" s="11"/>
      <c r="AU2375" s="11"/>
      <c r="AV2375" s="11"/>
      <c r="AW2375" s="11"/>
      <c r="AX2375" s="11"/>
      <c r="AY2375" s="11"/>
    </row>
    <row r="2376" spans="1:51" hidden="1" x14ac:dyDescent="0.2">
      <c r="A2376" s="6"/>
      <c r="E2376" s="2"/>
      <c r="F2376" s="3"/>
      <c r="G2376" s="3"/>
      <c r="P2376" s="8"/>
      <c r="Q2376" s="11"/>
      <c r="R2376" s="11"/>
      <c r="S2376" s="11"/>
      <c r="T2376" s="11"/>
      <c r="U2376" s="11"/>
      <c r="V2376" s="11"/>
      <c r="W2376" s="11"/>
      <c r="X2376" s="11"/>
      <c r="Y2376" s="11"/>
      <c r="Z2376" s="11"/>
      <c r="AA2376" s="11"/>
      <c r="AB2376" s="11"/>
      <c r="AC2376" s="11"/>
      <c r="AD2376" s="11"/>
      <c r="AE2376" s="11"/>
      <c r="AF2376" s="11"/>
      <c r="AG2376" s="11"/>
      <c r="AH2376" s="11"/>
      <c r="AI2376" s="11"/>
      <c r="AJ2376" s="11"/>
      <c r="AK2376" s="11"/>
      <c r="AL2376" s="11"/>
      <c r="AM2376" s="11"/>
      <c r="AN2376" s="11"/>
      <c r="AO2376" s="11"/>
      <c r="AP2376" s="11"/>
      <c r="AQ2376" s="11"/>
      <c r="AR2376" s="11"/>
      <c r="AS2376" s="11"/>
      <c r="AT2376" s="11"/>
      <c r="AU2376" s="11"/>
      <c r="AV2376" s="11"/>
      <c r="AW2376" s="11"/>
      <c r="AX2376" s="11"/>
      <c r="AY2376" s="11"/>
    </row>
    <row r="2377" spans="1:51" hidden="1" x14ac:dyDescent="0.2">
      <c r="A2377" s="6" t="s">
        <v>17</v>
      </c>
      <c r="B2377" t="s">
        <v>255</v>
      </c>
      <c r="C2377" t="s">
        <v>255</v>
      </c>
      <c r="D2377" t="s">
        <v>2990</v>
      </c>
      <c r="E2377" s="2">
        <v>70.97</v>
      </c>
      <c r="F2377" s="3">
        <f>DATE(2025,9,23)</f>
        <v>45923</v>
      </c>
      <c r="G2377" s="3">
        <f>DATE(2025,9,23)</f>
        <v>45923</v>
      </c>
      <c r="H2377">
        <v>2858549237</v>
      </c>
      <c r="I2377" t="s">
        <v>21</v>
      </c>
      <c r="K2377" t="s">
        <v>22</v>
      </c>
      <c r="L2377" t="s">
        <v>23</v>
      </c>
      <c r="M2377" t="s">
        <v>24</v>
      </c>
      <c r="N2377" t="s">
        <v>24</v>
      </c>
      <c r="O2377" t="s">
        <v>25</v>
      </c>
      <c r="P2377" s="8" t="s">
        <v>2991</v>
      </c>
      <c r="Q2377" s="11"/>
      <c r="R2377" s="11"/>
      <c r="S2377" s="11"/>
      <c r="T2377" s="11"/>
      <c r="U2377" s="11"/>
      <c r="V2377" s="11"/>
      <c r="W2377" s="11"/>
      <c r="X2377" s="11"/>
      <c r="Y2377" s="11"/>
      <c r="Z2377" s="11"/>
      <c r="AA2377" s="11"/>
      <c r="AB2377" s="11"/>
      <c r="AC2377" s="11"/>
      <c r="AD2377" s="11"/>
      <c r="AE2377" s="11"/>
      <c r="AF2377" s="11"/>
      <c r="AG2377" s="11"/>
      <c r="AH2377" s="11"/>
      <c r="AI2377" s="11"/>
      <c r="AJ2377" s="11"/>
      <c r="AK2377" s="11"/>
      <c r="AL2377" s="11"/>
      <c r="AM2377" s="11"/>
      <c r="AN2377" s="11"/>
      <c r="AO2377" s="11"/>
      <c r="AP2377" s="11"/>
      <c r="AQ2377" s="11"/>
      <c r="AR2377" s="11"/>
      <c r="AS2377" s="11"/>
      <c r="AT2377" s="11"/>
      <c r="AU2377" s="11"/>
      <c r="AV2377" s="11"/>
      <c r="AW2377" s="11"/>
      <c r="AX2377" s="11"/>
      <c r="AY2377" s="11"/>
    </row>
    <row r="2378" spans="1:51" hidden="1" x14ac:dyDescent="0.2">
      <c r="A2378" s="6" t="s">
        <v>17</v>
      </c>
      <c r="B2378" t="s">
        <v>18</v>
      </c>
      <c r="C2378" t="s">
        <v>19</v>
      </c>
      <c r="D2378" t="s">
        <v>2992</v>
      </c>
      <c r="E2378" s="2">
        <v>0.14000000000000001</v>
      </c>
      <c r="F2378" s="3">
        <f>DATE(2025,9,23)</f>
        <v>45923</v>
      </c>
      <c r="G2378" s="3">
        <f>DATE(2025,9,23)</f>
        <v>45923</v>
      </c>
      <c r="H2378">
        <v>2858658819</v>
      </c>
      <c r="I2378" t="s">
        <v>192</v>
      </c>
      <c r="K2378" t="s">
        <v>22</v>
      </c>
      <c r="L2378" t="s">
        <v>23</v>
      </c>
      <c r="M2378" t="s">
        <v>24</v>
      </c>
      <c r="N2378" t="s">
        <v>24</v>
      </c>
      <c r="O2378" t="s">
        <v>25</v>
      </c>
      <c r="P2378" s="8" t="s">
        <v>2993</v>
      </c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  <c r="AA2378" s="11"/>
      <c r="AB2378" s="11"/>
      <c r="AC2378" s="11"/>
      <c r="AD2378" s="11"/>
      <c r="AE2378" s="11"/>
      <c r="AF2378" s="11"/>
      <c r="AG2378" s="11"/>
      <c r="AH2378" s="11"/>
      <c r="AI2378" s="11"/>
      <c r="AJ2378" s="11"/>
      <c r="AK2378" s="11"/>
      <c r="AL2378" s="11"/>
      <c r="AM2378" s="11"/>
      <c r="AN2378" s="11"/>
      <c r="AO2378" s="11"/>
      <c r="AP2378" s="11"/>
      <c r="AQ2378" s="11"/>
      <c r="AR2378" s="11"/>
      <c r="AS2378" s="11"/>
      <c r="AT2378" s="11"/>
      <c r="AU2378" s="11"/>
      <c r="AV2378" s="11"/>
      <c r="AW2378" s="11"/>
      <c r="AX2378" s="11"/>
      <c r="AY2378" s="11"/>
    </row>
    <row r="2379" spans="1:51" hidden="1" x14ac:dyDescent="0.2">
      <c r="A2379" s="6"/>
      <c r="E2379" s="2"/>
      <c r="F2379" s="3"/>
      <c r="G2379" s="3"/>
      <c r="P2379" s="8"/>
      <c r="Q2379" s="11"/>
      <c r="R2379" s="11"/>
      <c r="S2379" s="11"/>
      <c r="T2379" s="11"/>
      <c r="U2379" s="11"/>
      <c r="V2379" s="11"/>
      <c r="W2379" s="11"/>
      <c r="X2379" s="11"/>
      <c r="Y2379" s="11"/>
      <c r="Z2379" s="11"/>
      <c r="AA2379" s="11"/>
      <c r="AB2379" s="11"/>
      <c r="AC2379" s="11"/>
      <c r="AD2379" s="11"/>
      <c r="AE2379" s="11"/>
      <c r="AF2379" s="11"/>
      <c r="AG2379" s="11"/>
      <c r="AH2379" s="11"/>
      <c r="AI2379" s="11"/>
      <c r="AJ2379" s="11"/>
      <c r="AK2379" s="11"/>
      <c r="AL2379" s="11"/>
      <c r="AM2379" s="11"/>
      <c r="AN2379" s="11"/>
      <c r="AO2379" s="11"/>
      <c r="AP2379" s="11"/>
      <c r="AQ2379" s="11"/>
      <c r="AR2379" s="11"/>
      <c r="AS2379" s="11"/>
      <c r="AT2379" s="11"/>
      <c r="AU2379" s="11"/>
      <c r="AV2379" s="11"/>
      <c r="AW2379" s="11"/>
      <c r="AX2379" s="11"/>
      <c r="AY2379" s="11"/>
    </row>
    <row r="2380" spans="1:51" x14ac:dyDescent="0.2">
      <c r="A2380" s="6" t="s">
        <v>17</v>
      </c>
      <c r="B2380" t="s">
        <v>342</v>
      </c>
      <c r="C2380" t="s">
        <v>342</v>
      </c>
      <c r="D2380" t="s">
        <v>2994</v>
      </c>
      <c r="E2380" s="2">
        <v>34</v>
      </c>
      <c r="F2380" s="3">
        <f>DATE(2025,9,23)</f>
        <v>45923</v>
      </c>
      <c r="G2380" s="3">
        <f>DATE(2025,9,23)</f>
        <v>45923</v>
      </c>
      <c r="H2380">
        <v>2858658821</v>
      </c>
      <c r="I2380" t="s">
        <v>192</v>
      </c>
      <c r="K2380" t="s">
        <v>22</v>
      </c>
      <c r="L2380" t="s">
        <v>23</v>
      </c>
      <c r="M2380" t="s">
        <v>24</v>
      </c>
      <c r="N2380" t="s">
        <v>24</v>
      </c>
      <c r="O2380" t="s">
        <v>25</v>
      </c>
      <c r="P2380" s="8" t="s">
        <v>2995</v>
      </c>
      <c r="Q2380" s="11"/>
      <c r="R2380" s="11"/>
      <c r="S2380" s="11"/>
      <c r="T2380" s="11"/>
      <c r="U2380" s="11"/>
      <c r="V2380" s="11"/>
      <c r="W2380" s="11"/>
      <c r="X2380" s="11"/>
      <c r="Y2380" s="11"/>
      <c r="Z2380" s="11"/>
      <c r="AA2380" s="11"/>
      <c r="AB2380" s="11"/>
      <c r="AC2380" s="11"/>
      <c r="AD2380" s="11"/>
      <c r="AE2380" s="11"/>
      <c r="AF2380" s="11"/>
      <c r="AG2380" s="11"/>
      <c r="AH2380" s="11"/>
      <c r="AI2380" s="11"/>
      <c r="AJ2380" s="11"/>
      <c r="AK2380" s="11"/>
      <c r="AL2380" s="11"/>
      <c r="AM2380" s="11"/>
      <c r="AN2380" s="11"/>
      <c r="AO2380" s="11"/>
      <c r="AP2380" s="11"/>
      <c r="AQ2380" s="11"/>
      <c r="AR2380" s="11"/>
      <c r="AS2380" s="11"/>
      <c r="AT2380" s="11"/>
      <c r="AU2380" s="11"/>
      <c r="AV2380" s="11"/>
      <c r="AW2380" s="11"/>
      <c r="AX2380" s="11"/>
      <c r="AY2380" s="11"/>
    </row>
    <row r="2381" spans="1:51" hidden="1" x14ac:dyDescent="0.2">
      <c r="A2381" s="6"/>
      <c r="E2381" s="2"/>
      <c r="F2381" s="3"/>
      <c r="G2381" s="3"/>
      <c r="P2381" s="8"/>
      <c r="Q2381" s="11"/>
      <c r="R2381" s="11"/>
      <c r="S2381" s="11"/>
      <c r="T2381" s="11"/>
      <c r="U2381" s="11"/>
      <c r="V2381" s="11"/>
      <c r="W2381" s="11"/>
      <c r="X2381" s="11"/>
      <c r="Y2381" s="11"/>
      <c r="Z2381" s="11"/>
      <c r="AA2381" s="11"/>
      <c r="AB2381" s="11"/>
      <c r="AC2381" s="11"/>
      <c r="AD2381" s="11"/>
      <c r="AE2381" s="11"/>
      <c r="AF2381" s="11"/>
      <c r="AG2381" s="11"/>
      <c r="AH2381" s="11"/>
      <c r="AI2381" s="11"/>
      <c r="AJ2381" s="11"/>
      <c r="AK2381" s="11"/>
      <c r="AL2381" s="11"/>
      <c r="AM2381" s="11"/>
      <c r="AN2381" s="11"/>
      <c r="AO2381" s="11"/>
      <c r="AP2381" s="11"/>
      <c r="AQ2381" s="11"/>
      <c r="AR2381" s="11"/>
      <c r="AS2381" s="11"/>
      <c r="AT2381" s="11"/>
      <c r="AU2381" s="11"/>
      <c r="AV2381" s="11"/>
      <c r="AW2381" s="11"/>
      <c r="AX2381" s="11"/>
      <c r="AY2381" s="11"/>
    </row>
    <row r="2382" spans="1:51" hidden="1" x14ac:dyDescent="0.2">
      <c r="A2382" s="6" t="s">
        <v>17</v>
      </c>
      <c r="B2382" t="s">
        <v>309</v>
      </c>
      <c r="C2382" t="s">
        <v>310</v>
      </c>
      <c r="D2382" t="s">
        <v>2996</v>
      </c>
      <c r="E2382" s="2">
        <v>3333.62</v>
      </c>
      <c r="F2382" s="3">
        <f>DATE(2025,9,25)</f>
        <v>45925</v>
      </c>
      <c r="G2382" s="3">
        <f>DATE(2025,9,25)</f>
        <v>45925</v>
      </c>
      <c r="H2382">
        <v>2869135216</v>
      </c>
      <c r="I2382" t="s">
        <v>21</v>
      </c>
      <c r="K2382" t="s">
        <v>22</v>
      </c>
      <c r="L2382" t="s">
        <v>23</v>
      </c>
      <c r="M2382" t="s">
        <v>24</v>
      </c>
      <c r="N2382" t="s">
        <v>24</v>
      </c>
      <c r="O2382" t="s">
        <v>25</v>
      </c>
      <c r="P2382" s="8" t="s">
        <v>2997</v>
      </c>
      <c r="Q2382" s="11"/>
      <c r="R2382" s="11"/>
      <c r="S2382" s="11"/>
      <c r="T2382" s="11"/>
      <c r="U2382" s="11"/>
      <c r="V2382" s="11"/>
      <c r="W2382" s="11"/>
      <c r="X2382" s="11"/>
      <c r="Y2382" s="11"/>
      <c r="Z2382" s="11"/>
      <c r="AA2382" s="11"/>
      <c r="AB2382" s="11"/>
      <c r="AC2382" s="11"/>
      <c r="AD2382" s="11"/>
      <c r="AE2382" s="11"/>
      <c r="AF2382" s="11"/>
      <c r="AG2382" s="11"/>
      <c r="AH2382" s="11"/>
      <c r="AI2382" s="11"/>
      <c r="AJ2382" s="11"/>
      <c r="AK2382" s="11"/>
      <c r="AL2382" s="11"/>
      <c r="AM2382" s="11"/>
      <c r="AN2382" s="11"/>
      <c r="AO2382" s="11"/>
      <c r="AP2382" s="11"/>
      <c r="AQ2382" s="11"/>
      <c r="AR2382" s="11"/>
      <c r="AS2382" s="11"/>
      <c r="AT2382" s="11"/>
      <c r="AU2382" s="11"/>
      <c r="AV2382" s="11"/>
      <c r="AW2382" s="11"/>
      <c r="AX2382" s="11"/>
      <c r="AY2382" s="11"/>
    </row>
    <row r="2383" spans="1:51" hidden="1" x14ac:dyDescent="0.2">
      <c r="A2383" s="6" t="s">
        <v>17</v>
      </c>
      <c r="B2383" t="s">
        <v>878</v>
      </c>
      <c r="C2383" t="s">
        <v>879</v>
      </c>
      <c r="D2383" t="s">
        <v>2998</v>
      </c>
      <c r="E2383" s="2">
        <v>858.72</v>
      </c>
      <c r="F2383" s="3">
        <f>DATE(2025,9,24)</f>
        <v>45924</v>
      </c>
      <c r="G2383" s="3">
        <f>DATE(2025,9,24)</f>
        <v>45924</v>
      </c>
      <c r="H2383">
        <v>2869135217</v>
      </c>
      <c r="I2383" t="s">
        <v>21</v>
      </c>
      <c r="K2383" t="s">
        <v>22</v>
      </c>
      <c r="L2383" t="s">
        <v>23</v>
      </c>
      <c r="M2383" t="s">
        <v>24</v>
      </c>
      <c r="N2383" t="s">
        <v>24</v>
      </c>
      <c r="O2383" t="s">
        <v>25</v>
      </c>
      <c r="P2383" s="8" t="s">
        <v>2999</v>
      </c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  <c r="AA2383" s="11"/>
      <c r="AB2383" s="11"/>
      <c r="AC2383" s="11"/>
      <c r="AD2383" s="11"/>
      <c r="AE2383" s="11"/>
      <c r="AF2383" s="11"/>
      <c r="AG2383" s="11"/>
      <c r="AH2383" s="11"/>
      <c r="AI2383" s="11"/>
      <c r="AJ2383" s="11"/>
      <c r="AK2383" s="11"/>
      <c r="AL2383" s="11"/>
      <c r="AM2383" s="11"/>
      <c r="AN2383" s="11"/>
      <c r="AO2383" s="11"/>
      <c r="AP2383" s="11"/>
      <c r="AQ2383" s="11"/>
      <c r="AR2383" s="11"/>
      <c r="AS2383" s="11"/>
      <c r="AT2383" s="11"/>
      <c r="AU2383" s="11"/>
      <c r="AV2383" s="11"/>
      <c r="AW2383" s="11"/>
      <c r="AX2383" s="11"/>
      <c r="AY2383" s="11"/>
    </row>
    <row r="2384" spans="1:51" hidden="1" x14ac:dyDescent="0.2">
      <c r="A2384" s="6" t="s">
        <v>17</v>
      </c>
      <c r="B2384" t="s">
        <v>60</v>
      </c>
      <c r="C2384" t="s">
        <v>61</v>
      </c>
      <c r="D2384" t="s">
        <v>3000</v>
      </c>
      <c r="E2384" s="2">
        <v>238.83</v>
      </c>
      <c r="F2384" s="3">
        <f>DATE(2025,9,24)</f>
        <v>45924</v>
      </c>
      <c r="G2384" s="3">
        <f>DATE(2025,9,24)</f>
        <v>45924</v>
      </c>
      <c r="H2384">
        <v>2869135218</v>
      </c>
      <c r="I2384" t="s">
        <v>21</v>
      </c>
      <c r="K2384" t="s">
        <v>22</v>
      </c>
      <c r="L2384" t="s">
        <v>23</v>
      </c>
      <c r="M2384" t="s">
        <v>24</v>
      </c>
      <c r="N2384" t="s">
        <v>24</v>
      </c>
      <c r="O2384" t="s">
        <v>25</v>
      </c>
      <c r="P2384" s="8" t="s">
        <v>3001</v>
      </c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  <c r="AA2384" s="11"/>
      <c r="AB2384" s="11"/>
      <c r="AC2384" s="11"/>
      <c r="AD2384" s="11"/>
      <c r="AE2384" s="11"/>
      <c r="AF2384" s="11"/>
      <c r="AG2384" s="11"/>
      <c r="AH2384" s="11"/>
      <c r="AI2384" s="11"/>
      <c r="AJ2384" s="11"/>
      <c r="AK2384" s="11"/>
      <c r="AL2384" s="11"/>
      <c r="AM2384" s="11"/>
      <c r="AN2384" s="11"/>
      <c r="AO2384" s="11"/>
      <c r="AP2384" s="11"/>
      <c r="AQ2384" s="11"/>
      <c r="AR2384" s="11"/>
      <c r="AS2384" s="11"/>
      <c r="AT2384" s="11"/>
      <c r="AU2384" s="11"/>
      <c r="AV2384" s="11"/>
      <c r="AW2384" s="11"/>
      <c r="AX2384" s="11"/>
      <c r="AY2384" s="11"/>
    </row>
    <row r="2385" spans="1:51" hidden="1" x14ac:dyDescent="0.2">
      <c r="A2385" s="6"/>
      <c r="E2385" s="2"/>
      <c r="F2385" s="3"/>
      <c r="G2385" s="3"/>
      <c r="P2385" s="8"/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  <c r="AA2385" s="11"/>
      <c r="AB2385" s="11"/>
      <c r="AC2385" s="11"/>
      <c r="AD2385" s="11"/>
      <c r="AE2385" s="11"/>
      <c r="AF2385" s="11"/>
      <c r="AG2385" s="11"/>
      <c r="AH2385" s="11"/>
      <c r="AI2385" s="11"/>
      <c r="AJ2385" s="11"/>
      <c r="AK2385" s="11"/>
      <c r="AL2385" s="11"/>
      <c r="AM2385" s="11"/>
      <c r="AN2385" s="11"/>
      <c r="AO2385" s="11"/>
      <c r="AP2385" s="11"/>
      <c r="AQ2385" s="11"/>
      <c r="AR2385" s="11"/>
      <c r="AS2385" s="11"/>
      <c r="AT2385" s="11"/>
      <c r="AU2385" s="11"/>
      <c r="AV2385" s="11"/>
      <c r="AW2385" s="11"/>
      <c r="AX2385" s="11"/>
      <c r="AY2385" s="11"/>
    </row>
    <row r="2386" spans="1:51" hidden="1" x14ac:dyDescent="0.2">
      <c r="A2386" s="6"/>
      <c r="E2386" s="2"/>
      <c r="F2386" s="3"/>
      <c r="G2386" s="3"/>
      <c r="P2386" s="8"/>
      <c r="Q2386" s="11"/>
      <c r="R2386" s="11"/>
      <c r="S2386" s="11"/>
      <c r="T2386" s="11"/>
      <c r="U2386" s="11"/>
      <c r="V2386" s="11"/>
      <c r="W2386" s="11"/>
      <c r="X2386" s="11"/>
      <c r="Y2386" s="11"/>
      <c r="Z2386" s="11"/>
      <c r="AA2386" s="11"/>
      <c r="AB2386" s="11"/>
      <c r="AC2386" s="11"/>
      <c r="AD2386" s="11"/>
      <c r="AE2386" s="11"/>
      <c r="AF2386" s="11"/>
      <c r="AG2386" s="11"/>
      <c r="AH2386" s="11"/>
      <c r="AI2386" s="11"/>
      <c r="AJ2386" s="11"/>
      <c r="AK2386" s="11"/>
      <c r="AL2386" s="11"/>
      <c r="AM2386" s="11"/>
      <c r="AN2386" s="11"/>
      <c r="AO2386" s="11"/>
      <c r="AP2386" s="11"/>
      <c r="AQ2386" s="11"/>
      <c r="AR2386" s="11"/>
      <c r="AS2386" s="11"/>
      <c r="AT2386" s="11"/>
      <c r="AU2386" s="11"/>
      <c r="AV2386" s="11"/>
      <c r="AW2386" s="11"/>
      <c r="AX2386" s="11"/>
      <c r="AY2386" s="11"/>
    </row>
    <row r="2387" spans="1:51" hidden="1" x14ac:dyDescent="0.2">
      <c r="A2387" s="6" t="s">
        <v>17</v>
      </c>
      <c r="B2387" t="s">
        <v>18</v>
      </c>
      <c r="C2387" t="s">
        <v>19</v>
      </c>
      <c r="D2387" t="s">
        <v>3002</v>
      </c>
      <c r="E2387" s="2">
        <v>209.88</v>
      </c>
      <c r="F2387" s="3">
        <f t="shared" ref="F2387:G2390" si="209">DATE(2025,9,24)</f>
        <v>45924</v>
      </c>
      <c r="G2387" s="3">
        <f t="shared" si="209"/>
        <v>45924</v>
      </c>
      <c r="H2387">
        <v>2869135221</v>
      </c>
      <c r="I2387" t="s">
        <v>21</v>
      </c>
      <c r="K2387" t="s">
        <v>22</v>
      </c>
      <c r="L2387" t="s">
        <v>23</v>
      </c>
      <c r="M2387" t="s">
        <v>24</v>
      </c>
      <c r="N2387" t="s">
        <v>24</v>
      </c>
      <c r="O2387" t="s">
        <v>25</v>
      </c>
      <c r="P2387" s="8" t="s">
        <v>3003</v>
      </c>
      <c r="Q2387" s="11"/>
      <c r="R2387" s="11"/>
      <c r="S2387" s="11"/>
      <c r="T2387" s="11"/>
      <c r="U2387" s="11"/>
      <c r="V2387" s="11"/>
      <c r="W2387" s="11"/>
      <c r="X2387" s="11"/>
      <c r="Y2387" s="11"/>
      <c r="Z2387" s="11"/>
      <c r="AA2387" s="11"/>
      <c r="AB2387" s="11"/>
      <c r="AC2387" s="11"/>
      <c r="AD2387" s="11"/>
      <c r="AE2387" s="11"/>
      <c r="AF2387" s="11"/>
      <c r="AG2387" s="11"/>
      <c r="AH2387" s="11"/>
      <c r="AI2387" s="11"/>
      <c r="AJ2387" s="11"/>
      <c r="AK2387" s="11"/>
      <c r="AL2387" s="11"/>
      <c r="AM2387" s="11"/>
      <c r="AN2387" s="11"/>
      <c r="AO2387" s="11"/>
      <c r="AP2387" s="11"/>
      <c r="AQ2387" s="11"/>
      <c r="AR2387" s="11"/>
      <c r="AS2387" s="11"/>
      <c r="AT2387" s="11"/>
      <c r="AU2387" s="11"/>
      <c r="AV2387" s="11"/>
      <c r="AW2387" s="11"/>
      <c r="AX2387" s="11"/>
      <c r="AY2387" s="11"/>
    </row>
    <row r="2388" spans="1:51" hidden="1" x14ac:dyDescent="0.2">
      <c r="A2388" s="6" t="s">
        <v>17</v>
      </c>
      <c r="B2388" t="s">
        <v>266</v>
      </c>
      <c r="C2388" t="s">
        <v>267</v>
      </c>
      <c r="D2388" t="s">
        <v>3004</v>
      </c>
      <c r="E2388" s="2">
        <v>1313.64</v>
      </c>
      <c r="F2388" s="3">
        <f t="shared" si="209"/>
        <v>45924</v>
      </c>
      <c r="G2388" s="3">
        <f t="shared" si="209"/>
        <v>45924</v>
      </c>
      <c r="H2388">
        <v>2869135222</v>
      </c>
      <c r="I2388" t="s">
        <v>21</v>
      </c>
      <c r="K2388" t="s">
        <v>22</v>
      </c>
      <c r="L2388" t="s">
        <v>23</v>
      </c>
      <c r="M2388" t="s">
        <v>24</v>
      </c>
      <c r="N2388" t="s">
        <v>24</v>
      </c>
      <c r="O2388" t="s">
        <v>25</v>
      </c>
      <c r="P2388" s="8" t="s">
        <v>3005</v>
      </c>
      <c r="Q2388" s="11"/>
      <c r="R2388" s="11"/>
      <c r="S2388" s="11"/>
      <c r="T2388" s="11"/>
      <c r="U2388" s="11"/>
      <c r="V2388" s="11"/>
      <c r="W2388" s="11"/>
      <c r="X2388" s="11"/>
      <c r="Y2388" s="11"/>
      <c r="Z2388" s="11"/>
      <c r="AA2388" s="11"/>
      <c r="AB2388" s="11"/>
      <c r="AC2388" s="11"/>
      <c r="AD2388" s="11"/>
      <c r="AE2388" s="11"/>
      <c r="AF2388" s="11"/>
      <c r="AG2388" s="11"/>
      <c r="AH2388" s="11"/>
      <c r="AI2388" s="11"/>
      <c r="AJ2388" s="11"/>
      <c r="AK2388" s="11"/>
      <c r="AL2388" s="11"/>
      <c r="AM2388" s="11"/>
      <c r="AN2388" s="11"/>
      <c r="AO2388" s="11"/>
      <c r="AP2388" s="11"/>
      <c r="AQ2388" s="11"/>
      <c r="AR2388" s="11"/>
      <c r="AS2388" s="11"/>
      <c r="AT2388" s="11"/>
      <c r="AU2388" s="11"/>
      <c r="AV2388" s="11"/>
      <c r="AW2388" s="11"/>
      <c r="AX2388" s="11"/>
      <c r="AY2388" s="11"/>
    </row>
    <row r="2389" spans="1:51" hidden="1" x14ac:dyDescent="0.2">
      <c r="A2389" s="6" t="s">
        <v>17</v>
      </c>
      <c r="B2389" t="s">
        <v>70</v>
      </c>
      <c r="C2389" t="s">
        <v>71</v>
      </c>
      <c r="D2389" t="s">
        <v>3006</v>
      </c>
      <c r="E2389" s="2">
        <v>239.06</v>
      </c>
      <c r="F2389" s="3">
        <f t="shared" si="209"/>
        <v>45924</v>
      </c>
      <c r="G2389" s="3">
        <f t="shared" si="209"/>
        <v>45924</v>
      </c>
      <c r="H2389">
        <v>2869135223</v>
      </c>
      <c r="I2389" t="s">
        <v>21</v>
      </c>
      <c r="K2389" t="s">
        <v>22</v>
      </c>
      <c r="L2389" t="s">
        <v>23</v>
      </c>
      <c r="M2389" t="s">
        <v>24</v>
      </c>
      <c r="N2389" t="s">
        <v>24</v>
      </c>
      <c r="O2389" t="s">
        <v>25</v>
      </c>
      <c r="P2389" s="8" t="s">
        <v>3007</v>
      </c>
      <c r="Q2389" s="11"/>
      <c r="R2389" s="11"/>
      <c r="S2389" s="11"/>
      <c r="T2389" s="11"/>
      <c r="U2389" s="11"/>
      <c r="V2389" s="11"/>
      <c r="W2389" s="11"/>
      <c r="X2389" s="11"/>
      <c r="Y2389" s="11"/>
      <c r="Z2389" s="11"/>
      <c r="AA2389" s="11"/>
      <c r="AB2389" s="11"/>
      <c r="AC2389" s="11"/>
      <c r="AD2389" s="11"/>
      <c r="AE2389" s="11"/>
      <c r="AF2389" s="11"/>
      <c r="AG2389" s="11"/>
      <c r="AH2389" s="11"/>
      <c r="AI2389" s="11"/>
      <c r="AJ2389" s="11"/>
      <c r="AK2389" s="11"/>
      <c r="AL2389" s="11"/>
      <c r="AM2389" s="11"/>
      <c r="AN2389" s="11"/>
      <c r="AO2389" s="11"/>
      <c r="AP2389" s="11"/>
      <c r="AQ2389" s="11"/>
      <c r="AR2389" s="11"/>
      <c r="AS2389" s="11"/>
      <c r="AT2389" s="11"/>
      <c r="AU2389" s="11"/>
      <c r="AV2389" s="11"/>
      <c r="AW2389" s="11"/>
      <c r="AX2389" s="11"/>
      <c r="AY2389" s="11"/>
    </row>
    <row r="2390" spans="1:51" hidden="1" x14ac:dyDescent="0.2">
      <c r="A2390" s="6" t="s">
        <v>17</v>
      </c>
      <c r="B2390" t="s">
        <v>155</v>
      </c>
      <c r="C2390" t="s">
        <v>156</v>
      </c>
      <c r="D2390" t="s">
        <v>3008</v>
      </c>
      <c r="E2390" s="2">
        <v>5004.28</v>
      </c>
      <c r="F2390" s="3">
        <f t="shared" si="209"/>
        <v>45924</v>
      </c>
      <c r="G2390" s="3">
        <f t="shared" si="209"/>
        <v>45924</v>
      </c>
      <c r="H2390">
        <v>2869135224</v>
      </c>
      <c r="I2390" t="s">
        <v>21</v>
      </c>
      <c r="K2390" t="s">
        <v>22</v>
      </c>
      <c r="L2390" t="s">
        <v>23</v>
      </c>
      <c r="M2390" t="s">
        <v>24</v>
      </c>
      <c r="N2390" t="s">
        <v>24</v>
      </c>
      <c r="O2390" t="s">
        <v>25</v>
      </c>
      <c r="P2390" s="8" t="s">
        <v>3009</v>
      </c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  <c r="AA2390" s="11"/>
      <c r="AB2390" s="11"/>
      <c r="AC2390" s="11"/>
      <c r="AD2390" s="11"/>
      <c r="AE2390" s="11"/>
      <c r="AF2390" s="11"/>
      <c r="AG2390" s="11"/>
      <c r="AH2390" s="11"/>
      <c r="AI2390" s="11"/>
      <c r="AJ2390" s="11"/>
      <c r="AK2390" s="11"/>
      <c r="AL2390" s="11"/>
      <c r="AM2390" s="11"/>
      <c r="AN2390" s="11"/>
      <c r="AO2390" s="11"/>
      <c r="AP2390" s="11"/>
      <c r="AQ2390" s="11"/>
      <c r="AR2390" s="11"/>
      <c r="AS2390" s="11"/>
      <c r="AT2390" s="11"/>
      <c r="AU2390" s="11"/>
      <c r="AV2390" s="11"/>
      <c r="AW2390" s="11"/>
      <c r="AX2390" s="11"/>
      <c r="AY2390" s="11"/>
    </row>
    <row r="2391" spans="1:51" hidden="1" x14ac:dyDescent="0.2">
      <c r="A2391" s="6" t="s">
        <v>17</v>
      </c>
      <c r="B2391" t="s">
        <v>31</v>
      </c>
      <c r="C2391" t="s">
        <v>32</v>
      </c>
      <c r="D2391" t="s">
        <v>3010</v>
      </c>
      <c r="E2391" s="2">
        <v>70.260000000000005</v>
      </c>
      <c r="F2391" s="3">
        <f>DATE(2025,9,25)</f>
        <v>45925</v>
      </c>
      <c r="G2391" s="3">
        <f>DATE(2025,9,25)</f>
        <v>45925</v>
      </c>
      <c r="H2391">
        <v>2869135225</v>
      </c>
      <c r="I2391" t="s">
        <v>21</v>
      </c>
      <c r="K2391" t="s">
        <v>22</v>
      </c>
      <c r="L2391" t="s">
        <v>23</v>
      </c>
      <c r="M2391" t="s">
        <v>24</v>
      </c>
      <c r="N2391" t="s">
        <v>24</v>
      </c>
      <c r="O2391" t="s">
        <v>25</v>
      </c>
      <c r="P2391" s="8" t="s">
        <v>3011</v>
      </c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  <c r="AA2391" s="11"/>
      <c r="AB2391" s="11"/>
      <c r="AC2391" s="11"/>
      <c r="AD2391" s="11"/>
      <c r="AE2391" s="11"/>
      <c r="AF2391" s="11"/>
      <c r="AG2391" s="11"/>
      <c r="AH2391" s="11"/>
      <c r="AI2391" s="11"/>
      <c r="AJ2391" s="11"/>
      <c r="AK2391" s="11"/>
      <c r="AL2391" s="11"/>
      <c r="AM2391" s="11"/>
      <c r="AN2391" s="11"/>
      <c r="AO2391" s="11"/>
      <c r="AP2391" s="11"/>
      <c r="AQ2391" s="11"/>
      <c r="AR2391" s="11"/>
      <c r="AS2391" s="11"/>
      <c r="AT2391" s="11"/>
      <c r="AU2391" s="11"/>
      <c r="AV2391" s="11"/>
      <c r="AW2391" s="11"/>
      <c r="AX2391" s="11"/>
      <c r="AY2391" s="11"/>
    </row>
    <row r="2392" spans="1:51" hidden="1" x14ac:dyDescent="0.2">
      <c r="A2392" s="6" t="s">
        <v>17</v>
      </c>
      <c r="B2392" t="s">
        <v>244</v>
      </c>
      <c r="C2392" t="s">
        <v>245</v>
      </c>
      <c r="D2392" t="s">
        <v>3012</v>
      </c>
      <c r="E2392" s="2">
        <v>1531</v>
      </c>
      <c r="F2392" s="3">
        <f>DATE(2025,9,24)</f>
        <v>45924</v>
      </c>
      <c r="G2392" s="3">
        <f>DATE(2025,9,24)</f>
        <v>45924</v>
      </c>
      <c r="H2392">
        <v>2869135226</v>
      </c>
      <c r="I2392" t="s">
        <v>21</v>
      </c>
      <c r="K2392" t="s">
        <v>22</v>
      </c>
      <c r="L2392" t="s">
        <v>23</v>
      </c>
      <c r="M2392" t="s">
        <v>24</v>
      </c>
      <c r="N2392" t="s">
        <v>24</v>
      </c>
      <c r="O2392" t="s">
        <v>25</v>
      </c>
      <c r="P2392" s="8" t="s">
        <v>3013</v>
      </c>
      <c r="Q2392" s="11"/>
      <c r="R2392" s="11"/>
      <c r="S2392" s="11"/>
      <c r="T2392" s="11"/>
      <c r="U2392" s="11"/>
      <c r="V2392" s="11"/>
      <c r="W2392" s="11"/>
      <c r="X2392" s="11"/>
      <c r="Y2392" s="11"/>
      <c r="Z2392" s="11"/>
      <c r="AA2392" s="11"/>
      <c r="AB2392" s="11"/>
      <c r="AC2392" s="11"/>
      <c r="AD2392" s="11"/>
      <c r="AE2392" s="11"/>
      <c r="AF2392" s="11"/>
      <c r="AG2392" s="11"/>
      <c r="AH2392" s="11"/>
      <c r="AI2392" s="11"/>
      <c r="AJ2392" s="11"/>
      <c r="AK2392" s="11"/>
      <c r="AL2392" s="11"/>
      <c r="AM2392" s="11"/>
      <c r="AN2392" s="11"/>
      <c r="AO2392" s="11"/>
      <c r="AP2392" s="11"/>
      <c r="AQ2392" s="11"/>
      <c r="AR2392" s="11"/>
      <c r="AS2392" s="11"/>
      <c r="AT2392" s="11"/>
      <c r="AU2392" s="11"/>
      <c r="AV2392" s="11"/>
      <c r="AW2392" s="11"/>
      <c r="AX2392" s="11"/>
      <c r="AY2392" s="11"/>
    </row>
    <row r="2393" spans="1:51" hidden="1" x14ac:dyDescent="0.2">
      <c r="A2393" s="6" t="s">
        <v>17</v>
      </c>
      <c r="B2393" t="s">
        <v>287</v>
      </c>
      <c r="C2393" t="s">
        <v>288</v>
      </c>
      <c r="D2393" t="s">
        <v>3014</v>
      </c>
      <c r="E2393" s="2">
        <v>630</v>
      </c>
      <c r="F2393" s="3">
        <f>DATE(2025,9,23)</f>
        <v>45923</v>
      </c>
      <c r="G2393" s="3">
        <f>DATE(2025,9,23)</f>
        <v>45923</v>
      </c>
      <c r="H2393">
        <v>2869135227</v>
      </c>
      <c r="I2393" t="s">
        <v>21</v>
      </c>
      <c r="K2393" t="s">
        <v>22</v>
      </c>
      <c r="L2393" t="s">
        <v>23</v>
      </c>
      <c r="M2393" t="s">
        <v>24</v>
      </c>
      <c r="N2393" t="s">
        <v>24</v>
      </c>
      <c r="O2393" t="s">
        <v>25</v>
      </c>
      <c r="P2393" s="8" t="s">
        <v>3015</v>
      </c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  <c r="AA2393" s="11"/>
      <c r="AB2393" s="11"/>
      <c r="AC2393" s="11"/>
      <c r="AD2393" s="11"/>
      <c r="AE2393" s="11"/>
      <c r="AF2393" s="11"/>
      <c r="AG2393" s="11"/>
      <c r="AH2393" s="11"/>
      <c r="AI2393" s="11"/>
      <c r="AJ2393" s="11"/>
      <c r="AK2393" s="11"/>
      <c r="AL2393" s="11"/>
      <c r="AM2393" s="11"/>
      <c r="AN2393" s="11"/>
      <c r="AO2393" s="11"/>
      <c r="AP2393" s="11"/>
      <c r="AQ2393" s="11"/>
      <c r="AR2393" s="11"/>
      <c r="AS2393" s="11"/>
      <c r="AT2393" s="11"/>
      <c r="AU2393" s="11"/>
      <c r="AV2393" s="11"/>
      <c r="AW2393" s="11"/>
      <c r="AX2393" s="11"/>
      <c r="AY2393" s="11"/>
    </row>
    <row r="2394" spans="1:51" hidden="1" x14ac:dyDescent="0.2">
      <c r="A2394" s="6"/>
      <c r="E2394" s="2"/>
      <c r="F2394" s="3"/>
      <c r="G2394" s="3"/>
      <c r="P2394" s="8"/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  <c r="AA2394" s="11"/>
      <c r="AB2394" s="11"/>
      <c r="AC2394" s="11"/>
      <c r="AD2394" s="11"/>
      <c r="AE2394" s="11"/>
      <c r="AF2394" s="11"/>
      <c r="AG2394" s="11"/>
      <c r="AH2394" s="11"/>
      <c r="AI2394" s="11"/>
      <c r="AJ2394" s="11"/>
      <c r="AK2394" s="11"/>
      <c r="AL2394" s="11"/>
      <c r="AM2394" s="11"/>
      <c r="AN2394" s="11"/>
      <c r="AO2394" s="11"/>
      <c r="AP2394" s="11"/>
      <c r="AQ2394" s="11"/>
      <c r="AR2394" s="11"/>
      <c r="AS2394" s="11"/>
      <c r="AT2394" s="11"/>
      <c r="AU2394" s="11"/>
      <c r="AV2394" s="11"/>
      <c r="AW2394" s="11"/>
      <c r="AX2394" s="11"/>
      <c r="AY2394" s="11"/>
    </row>
    <row r="2395" spans="1:51" hidden="1" x14ac:dyDescent="0.2">
      <c r="A2395" s="6" t="s">
        <v>17</v>
      </c>
      <c r="B2395" t="s">
        <v>50</v>
      </c>
      <c r="C2395" t="s">
        <v>51</v>
      </c>
      <c r="D2395" t="s">
        <v>3016</v>
      </c>
      <c r="E2395" s="2">
        <v>574.55999999999995</v>
      </c>
      <c r="F2395" s="3">
        <f t="shared" ref="F2395:G2397" si="210">DATE(2025,9,24)</f>
        <v>45924</v>
      </c>
      <c r="G2395" s="3">
        <f t="shared" si="210"/>
        <v>45924</v>
      </c>
      <c r="H2395">
        <v>2869135229</v>
      </c>
      <c r="I2395" t="s">
        <v>21</v>
      </c>
      <c r="K2395" t="s">
        <v>22</v>
      </c>
      <c r="L2395" t="s">
        <v>23</v>
      </c>
      <c r="M2395" t="s">
        <v>24</v>
      </c>
      <c r="N2395" t="s">
        <v>24</v>
      </c>
      <c r="O2395" t="s">
        <v>25</v>
      </c>
      <c r="P2395" s="8" t="s">
        <v>3017</v>
      </c>
      <c r="Q2395" s="11"/>
      <c r="R2395" s="11"/>
      <c r="S2395" s="11"/>
      <c r="T2395" s="11"/>
      <c r="U2395" s="11"/>
      <c r="V2395" s="11"/>
      <c r="W2395" s="11"/>
      <c r="X2395" s="11"/>
      <c r="Y2395" s="11"/>
      <c r="Z2395" s="11"/>
      <c r="AA2395" s="11"/>
      <c r="AB2395" s="11"/>
      <c r="AC2395" s="11"/>
      <c r="AD2395" s="11"/>
      <c r="AE2395" s="11"/>
      <c r="AF2395" s="11"/>
      <c r="AG2395" s="11"/>
      <c r="AH2395" s="11"/>
      <c r="AI2395" s="11"/>
      <c r="AJ2395" s="11"/>
      <c r="AK2395" s="11"/>
      <c r="AL2395" s="11"/>
      <c r="AM2395" s="11"/>
      <c r="AN2395" s="11"/>
      <c r="AO2395" s="11"/>
      <c r="AP2395" s="11"/>
      <c r="AQ2395" s="11"/>
      <c r="AR2395" s="11"/>
      <c r="AS2395" s="11"/>
      <c r="AT2395" s="11"/>
      <c r="AU2395" s="11"/>
      <c r="AV2395" s="11"/>
      <c r="AW2395" s="11"/>
      <c r="AX2395" s="11"/>
      <c r="AY2395" s="11"/>
    </row>
    <row r="2396" spans="1:51" hidden="1" x14ac:dyDescent="0.2">
      <c r="A2396" s="6" t="s">
        <v>17</v>
      </c>
      <c r="B2396" t="s">
        <v>70</v>
      </c>
      <c r="C2396" t="s">
        <v>71</v>
      </c>
      <c r="D2396" t="s">
        <v>3018</v>
      </c>
      <c r="E2396" s="2">
        <v>2164.8000000000002</v>
      </c>
      <c r="F2396" s="3">
        <f t="shared" si="210"/>
        <v>45924</v>
      </c>
      <c r="G2396" s="3">
        <f t="shared" si="210"/>
        <v>45924</v>
      </c>
      <c r="H2396">
        <v>2869135230</v>
      </c>
      <c r="I2396" t="s">
        <v>21</v>
      </c>
      <c r="K2396" t="s">
        <v>22</v>
      </c>
      <c r="L2396" t="s">
        <v>23</v>
      </c>
      <c r="M2396" t="s">
        <v>24</v>
      </c>
      <c r="N2396" t="s">
        <v>24</v>
      </c>
      <c r="O2396" t="s">
        <v>25</v>
      </c>
      <c r="P2396" s="8" t="s">
        <v>3019</v>
      </c>
      <c r="Q2396" s="11"/>
      <c r="R2396" s="11"/>
      <c r="S2396" s="11"/>
      <c r="T2396" s="11"/>
      <c r="U2396" s="11"/>
      <c r="V2396" s="11"/>
      <c r="W2396" s="11"/>
      <c r="X2396" s="11"/>
      <c r="Y2396" s="11"/>
      <c r="Z2396" s="11"/>
      <c r="AA2396" s="11"/>
      <c r="AB2396" s="11"/>
      <c r="AC2396" s="11"/>
      <c r="AD2396" s="11"/>
      <c r="AE2396" s="11"/>
      <c r="AF2396" s="11"/>
      <c r="AG2396" s="11"/>
      <c r="AH2396" s="11"/>
      <c r="AI2396" s="11"/>
      <c r="AJ2396" s="11"/>
      <c r="AK2396" s="11"/>
      <c r="AL2396" s="11"/>
      <c r="AM2396" s="11"/>
      <c r="AN2396" s="11"/>
      <c r="AO2396" s="11"/>
      <c r="AP2396" s="11"/>
      <c r="AQ2396" s="11"/>
      <c r="AR2396" s="11"/>
      <c r="AS2396" s="11"/>
      <c r="AT2396" s="11"/>
      <c r="AU2396" s="11"/>
      <c r="AV2396" s="11"/>
      <c r="AW2396" s="11"/>
      <c r="AX2396" s="11"/>
      <c r="AY2396" s="11"/>
    </row>
    <row r="2397" spans="1:51" hidden="1" x14ac:dyDescent="0.2">
      <c r="A2397" s="6" t="s">
        <v>17</v>
      </c>
      <c r="B2397" t="s">
        <v>54</v>
      </c>
      <c r="C2397" t="s">
        <v>55</v>
      </c>
      <c r="D2397" t="s">
        <v>3020</v>
      </c>
      <c r="E2397" s="2">
        <v>158.4</v>
      </c>
      <c r="F2397" s="3">
        <f t="shared" si="210"/>
        <v>45924</v>
      </c>
      <c r="G2397" s="3">
        <f t="shared" si="210"/>
        <v>45924</v>
      </c>
      <c r="H2397">
        <v>2869135231</v>
      </c>
      <c r="I2397" t="s">
        <v>21</v>
      </c>
      <c r="K2397" t="s">
        <v>22</v>
      </c>
      <c r="L2397" t="s">
        <v>23</v>
      </c>
      <c r="M2397" t="s">
        <v>24</v>
      </c>
      <c r="N2397" t="s">
        <v>24</v>
      </c>
      <c r="O2397" t="s">
        <v>25</v>
      </c>
      <c r="P2397" s="8" t="s">
        <v>3021</v>
      </c>
      <c r="Q2397" s="11"/>
      <c r="R2397" s="11"/>
      <c r="S2397" s="11"/>
      <c r="T2397" s="11"/>
      <c r="U2397" s="11"/>
      <c r="V2397" s="11"/>
      <c r="W2397" s="11"/>
      <c r="X2397" s="11"/>
      <c r="Y2397" s="11"/>
      <c r="Z2397" s="11"/>
      <c r="AA2397" s="11"/>
      <c r="AB2397" s="11"/>
      <c r="AC2397" s="11"/>
      <c r="AD2397" s="11"/>
      <c r="AE2397" s="11"/>
      <c r="AF2397" s="11"/>
      <c r="AG2397" s="11"/>
      <c r="AH2397" s="11"/>
      <c r="AI2397" s="11"/>
      <c r="AJ2397" s="11"/>
      <c r="AK2397" s="11"/>
      <c r="AL2397" s="11"/>
      <c r="AM2397" s="11"/>
      <c r="AN2397" s="11"/>
      <c r="AO2397" s="11"/>
      <c r="AP2397" s="11"/>
      <c r="AQ2397" s="11"/>
      <c r="AR2397" s="11"/>
      <c r="AS2397" s="11"/>
      <c r="AT2397" s="11"/>
      <c r="AU2397" s="11"/>
      <c r="AV2397" s="11"/>
      <c r="AW2397" s="11"/>
      <c r="AX2397" s="11"/>
      <c r="AY2397" s="11"/>
    </row>
    <row r="2398" spans="1:51" hidden="1" x14ac:dyDescent="0.2">
      <c r="A2398" s="6" t="s">
        <v>17</v>
      </c>
      <c r="B2398" t="s">
        <v>1002</v>
      </c>
      <c r="C2398" t="s">
        <v>1003</v>
      </c>
      <c r="D2398" t="s">
        <v>3022</v>
      </c>
      <c r="E2398" s="2">
        <v>603.73</v>
      </c>
      <c r="F2398" s="3">
        <f>DATE(2025,9,25)</f>
        <v>45925</v>
      </c>
      <c r="G2398" s="3">
        <f>DATE(2025,9,25)</f>
        <v>45925</v>
      </c>
      <c r="H2398">
        <v>2869135232</v>
      </c>
      <c r="I2398" t="s">
        <v>21</v>
      </c>
      <c r="K2398" t="s">
        <v>22</v>
      </c>
      <c r="L2398" t="s">
        <v>23</v>
      </c>
      <c r="M2398" t="s">
        <v>24</v>
      </c>
      <c r="N2398" t="s">
        <v>24</v>
      </c>
      <c r="O2398" t="s">
        <v>25</v>
      </c>
      <c r="P2398" s="8" t="s">
        <v>3023</v>
      </c>
      <c r="Q2398" s="11"/>
      <c r="R2398" s="11"/>
      <c r="S2398" s="11"/>
      <c r="T2398" s="11"/>
      <c r="U2398" s="11"/>
      <c r="V2398" s="11"/>
      <c r="W2398" s="11"/>
      <c r="X2398" s="11"/>
      <c r="Y2398" s="11"/>
      <c r="Z2398" s="11"/>
      <c r="AA2398" s="11"/>
      <c r="AB2398" s="11"/>
      <c r="AC2398" s="11"/>
      <c r="AD2398" s="11"/>
      <c r="AE2398" s="11"/>
      <c r="AF2398" s="11"/>
      <c r="AG2398" s="11"/>
      <c r="AH2398" s="11"/>
      <c r="AI2398" s="11"/>
      <c r="AJ2398" s="11"/>
      <c r="AK2398" s="11"/>
      <c r="AL2398" s="11"/>
      <c r="AM2398" s="11"/>
      <c r="AN2398" s="11"/>
      <c r="AO2398" s="11"/>
      <c r="AP2398" s="11"/>
      <c r="AQ2398" s="11"/>
      <c r="AR2398" s="11"/>
      <c r="AS2398" s="11"/>
      <c r="AT2398" s="11"/>
      <c r="AU2398" s="11"/>
      <c r="AV2398" s="11"/>
      <c r="AW2398" s="11"/>
      <c r="AX2398" s="11"/>
      <c r="AY2398" s="11"/>
    </row>
    <row r="2399" spans="1:51" hidden="1" x14ac:dyDescent="0.2">
      <c r="A2399" s="6"/>
      <c r="E2399" s="2"/>
      <c r="F2399" s="3"/>
      <c r="G2399" s="3"/>
      <c r="P2399" s="8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  <c r="AA2399" s="11"/>
      <c r="AB2399" s="11"/>
      <c r="AC2399" s="11"/>
      <c r="AD2399" s="11"/>
      <c r="AE2399" s="11"/>
      <c r="AF2399" s="11"/>
      <c r="AG2399" s="11"/>
      <c r="AH2399" s="11"/>
      <c r="AI2399" s="11"/>
      <c r="AJ2399" s="11"/>
      <c r="AK2399" s="11"/>
      <c r="AL2399" s="11"/>
      <c r="AM2399" s="11"/>
      <c r="AN2399" s="11"/>
      <c r="AO2399" s="11"/>
      <c r="AP2399" s="11"/>
      <c r="AQ2399" s="11"/>
      <c r="AR2399" s="11"/>
      <c r="AS2399" s="11"/>
      <c r="AT2399" s="11"/>
      <c r="AU2399" s="11"/>
      <c r="AV2399" s="11"/>
      <c r="AW2399" s="11"/>
      <c r="AX2399" s="11"/>
      <c r="AY2399" s="11"/>
    </row>
    <row r="2400" spans="1:51" hidden="1" x14ac:dyDescent="0.2">
      <c r="A2400" s="6" t="s">
        <v>17</v>
      </c>
      <c r="B2400" t="s">
        <v>825</v>
      </c>
      <c r="C2400" t="s">
        <v>826</v>
      </c>
      <c r="D2400" t="s">
        <v>3024</v>
      </c>
      <c r="E2400" s="2">
        <v>970.09</v>
      </c>
      <c r="F2400" s="3">
        <f>DATE(2025,9,24)</f>
        <v>45924</v>
      </c>
      <c r="G2400" s="3">
        <f>DATE(2025,9,24)</f>
        <v>45924</v>
      </c>
      <c r="H2400">
        <v>2869135234</v>
      </c>
      <c r="I2400" t="s">
        <v>21</v>
      </c>
      <c r="K2400" t="s">
        <v>22</v>
      </c>
      <c r="L2400" t="s">
        <v>23</v>
      </c>
      <c r="M2400" t="s">
        <v>24</v>
      </c>
      <c r="N2400" t="s">
        <v>24</v>
      </c>
      <c r="O2400" t="s">
        <v>25</v>
      </c>
      <c r="P2400" s="8" t="s">
        <v>3025</v>
      </c>
      <c r="Q2400" s="11"/>
      <c r="R2400" s="11"/>
      <c r="S2400" s="11"/>
      <c r="T2400" s="11"/>
      <c r="U2400" s="11"/>
      <c r="V2400" s="11"/>
      <c r="W2400" s="11"/>
      <c r="X2400" s="11"/>
      <c r="Y2400" s="11"/>
      <c r="Z2400" s="11"/>
      <c r="AA2400" s="11"/>
      <c r="AB2400" s="11"/>
      <c r="AC2400" s="11"/>
      <c r="AD2400" s="11"/>
      <c r="AE2400" s="11"/>
      <c r="AF2400" s="11"/>
      <c r="AG2400" s="11"/>
      <c r="AH2400" s="11"/>
      <c r="AI2400" s="11"/>
      <c r="AJ2400" s="11"/>
      <c r="AK2400" s="11"/>
      <c r="AL2400" s="11"/>
      <c r="AM2400" s="11"/>
      <c r="AN2400" s="11"/>
      <c r="AO2400" s="11"/>
      <c r="AP2400" s="11"/>
      <c r="AQ2400" s="11"/>
      <c r="AR2400" s="11"/>
      <c r="AS2400" s="11"/>
      <c r="AT2400" s="11"/>
      <c r="AU2400" s="11"/>
      <c r="AV2400" s="11"/>
      <c r="AW2400" s="11"/>
      <c r="AX2400" s="11"/>
      <c r="AY2400" s="11"/>
    </row>
    <row r="2401" spans="1:51" hidden="1" x14ac:dyDescent="0.2">
      <c r="A2401" s="6"/>
      <c r="E2401" s="2"/>
      <c r="F2401" s="3"/>
      <c r="G2401" s="3"/>
      <c r="P2401" s="8"/>
      <c r="Q2401" s="11"/>
      <c r="R2401" s="11"/>
      <c r="S2401" s="11"/>
      <c r="T2401" s="11"/>
      <c r="U2401" s="11"/>
      <c r="V2401" s="11"/>
      <c r="W2401" s="11"/>
      <c r="X2401" s="11"/>
      <c r="Y2401" s="11"/>
      <c r="Z2401" s="11"/>
      <c r="AA2401" s="11"/>
      <c r="AB2401" s="11"/>
      <c r="AC2401" s="11"/>
      <c r="AD2401" s="11"/>
      <c r="AE2401" s="11"/>
      <c r="AF2401" s="11"/>
      <c r="AG2401" s="11"/>
      <c r="AH2401" s="11"/>
      <c r="AI2401" s="11"/>
      <c r="AJ2401" s="11"/>
      <c r="AK2401" s="11"/>
      <c r="AL2401" s="11"/>
      <c r="AM2401" s="11"/>
      <c r="AN2401" s="11"/>
      <c r="AO2401" s="11"/>
      <c r="AP2401" s="11"/>
      <c r="AQ2401" s="11"/>
      <c r="AR2401" s="11"/>
      <c r="AS2401" s="11"/>
      <c r="AT2401" s="11"/>
      <c r="AU2401" s="11"/>
      <c r="AV2401" s="11"/>
      <c r="AW2401" s="11"/>
      <c r="AX2401" s="11"/>
      <c r="AY2401" s="11"/>
    </row>
    <row r="2402" spans="1:51" hidden="1" x14ac:dyDescent="0.2">
      <c r="A2402" s="6"/>
      <c r="E2402" s="2"/>
      <c r="F2402" s="3"/>
      <c r="G2402" s="3"/>
      <c r="P2402" s="8"/>
      <c r="Q2402" s="11"/>
      <c r="R2402" s="11"/>
      <c r="S2402" s="11"/>
      <c r="T2402" s="11"/>
      <c r="U2402" s="11"/>
      <c r="V2402" s="11"/>
      <c r="W2402" s="11"/>
      <c r="X2402" s="11"/>
      <c r="Y2402" s="11"/>
      <c r="Z2402" s="11"/>
      <c r="AA2402" s="11"/>
      <c r="AB2402" s="11"/>
      <c r="AC2402" s="11"/>
      <c r="AD2402" s="11"/>
      <c r="AE2402" s="11"/>
      <c r="AF2402" s="11"/>
      <c r="AG2402" s="11"/>
      <c r="AH2402" s="11"/>
      <c r="AI2402" s="11"/>
      <c r="AJ2402" s="11"/>
      <c r="AK2402" s="11"/>
      <c r="AL2402" s="11"/>
      <c r="AM2402" s="11"/>
      <c r="AN2402" s="11"/>
      <c r="AO2402" s="11"/>
      <c r="AP2402" s="11"/>
      <c r="AQ2402" s="11"/>
      <c r="AR2402" s="11"/>
      <c r="AS2402" s="11"/>
      <c r="AT2402" s="11"/>
      <c r="AU2402" s="11"/>
      <c r="AV2402" s="11"/>
      <c r="AW2402" s="11"/>
      <c r="AX2402" s="11"/>
      <c r="AY2402" s="11"/>
    </row>
    <row r="2403" spans="1:51" hidden="1" x14ac:dyDescent="0.2">
      <c r="A2403" s="6" t="s">
        <v>17</v>
      </c>
      <c r="B2403" t="s">
        <v>132</v>
      </c>
      <c r="C2403" t="s">
        <v>133</v>
      </c>
      <c r="D2403" t="s">
        <v>3026</v>
      </c>
      <c r="E2403" s="2">
        <v>14</v>
      </c>
      <c r="F2403" s="3">
        <f t="shared" ref="F2403:G2403" si="211">DATE(2025,9,23)</f>
        <v>45923</v>
      </c>
      <c r="G2403" s="3">
        <f t="shared" si="211"/>
        <v>45923</v>
      </c>
      <c r="H2403">
        <v>2869149117</v>
      </c>
      <c r="I2403" t="s">
        <v>192</v>
      </c>
      <c r="K2403" t="s">
        <v>22</v>
      </c>
      <c r="L2403" t="s">
        <v>23</v>
      </c>
      <c r="M2403" t="s">
        <v>24</v>
      </c>
      <c r="N2403" t="s">
        <v>24</v>
      </c>
      <c r="O2403" t="s">
        <v>25</v>
      </c>
      <c r="P2403" s="8" t="s">
        <v>3027</v>
      </c>
      <c r="Q2403" s="11"/>
      <c r="R2403" s="11"/>
      <c r="S2403" s="11"/>
      <c r="T2403" s="11"/>
      <c r="U2403" s="11"/>
      <c r="V2403" s="11"/>
      <c r="W2403" s="11"/>
      <c r="X2403" s="11"/>
      <c r="Y2403" s="11"/>
      <c r="Z2403" s="11"/>
      <c r="AA2403" s="11"/>
      <c r="AB2403" s="11"/>
      <c r="AC2403" s="11"/>
      <c r="AD2403" s="11"/>
      <c r="AE2403" s="11"/>
      <c r="AF2403" s="11"/>
      <c r="AG2403" s="11"/>
      <c r="AH2403" s="11"/>
      <c r="AI2403" s="11"/>
      <c r="AJ2403" s="11"/>
      <c r="AK2403" s="11"/>
      <c r="AL2403" s="11"/>
      <c r="AM2403" s="11"/>
      <c r="AN2403" s="11"/>
      <c r="AO2403" s="11"/>
      <c r="AP2403" s="11"/>
      <c r="AQ2403" s="11"/>
      <c r="AR2403" s="11"/>
      <c r="AS2403" s="11"/>
      <c r="AT2403" s="11"/>
      <c r="AU2403" s="11"/>
      <c r="AV2403" s="11"/>
      <c r="AW2403" s="11"/>
      <c r="AX2403" s="11"/>
      <c r="AY2403" s="11"/>
    </row>
    <row r="2404" spans="1:51" hidden="1" x14ac:dyDescent="0.2">
      <c r="A2404" s="6" t="s">
        <v>17</v>
      </c>
      <c r="B2404" t="s">
        <v>173</v>
      </c>
      <c r="C2404" t="s">
        <v>154</v>
      </c>
      <c r="D2404" t="s">
        <v>3028</v>
      </c>
      <c r="E2404" s="2">
        <v>29.07</v>
      </c>
      <c r="F2404" s="3">
        <f>DATE(2025,9,24)</f>
        <v>45924</v>
      </c>
      <c r="G2404" s="3">
        <f>DATE(2025,9,24)</f>
        <v>45924</v>
      </c>
      <c r="H2404">
        <v>2869149118</v>
      </c>
      <c r="I2404" t="s">
        <v>192</v>
      </c>
      <c r="K2404" t="s">
        <v>22</v>
      </c>
      <c r="L2404" t="s">
        <v>23</v>
      </c>
      <c r="M2404" t="s">
        <v>24</v>
      </c>
      <c r="N2404" t="s">
        <v>24</v>
      </c>
      <c r="O2404" t="s">
        <v>25</v>
      </c>
      <c r="P2404" s="8" t="s">
        <v>3029</v>
      </c>
      <c r="Q2404" s="11"/>
      <c r="R2404" s="11"/>
      <c r="S2404" s="11"/>
      <c r="T2404" s="11"/>
      <c r="U2404" s="11"/>
      <c r="V2404" s="11"/>
      <c r="W2404" s="11"/>
      <c r="X2404" s="11"/>
      <c r="Y2404" s="11"/>
      <c r="Z2404" s="11"/>
      <c r="AA2404" s="11"/>
      <c r="AB2404" s="11"/>
      <c r="AC2404" s="11"/>
      <c r="AD2404" s="11"/>
      <c r="AE2404" s="11"/>
      <c r="AF2404" s="11"/>
      <c r="AG2404" s="11"/>
      <c r="AH2404" s="11"/>
      <c r="AI2404" s="11"/>
      <c r="AJ2404" s="11"/>
      <c r="AK2404" s="11"/>
      <c r="AL2404" s="11"/>
      <c r="AM2404" s="11"/>
      <c r="AN2404" s="11"/>
      <c r="AO2404" s="11"/>
      <c r="AP2404" s="11"/>
      <c r="AQ2404" s="11"/>
      <c r="AR2404" s="11"/>
      <c r="AS2404" s="11"/>
      <c r="AT2404" s="11"/>
      <c r="AU2404" s="11"/>
      <c r="AV2404" s="11"/>
      <c r="AW2404" s="11"/>
      <c r="AX2404" s="11"/>
      <c r="AY2404" s="11"/>
    </row>
    <row r="2405" spans="1:51" x14ac:dyDescent="0.2">
      <c r="A2405" s="6" t="s">
        <v>17</v>
      </c>
      <c r="B2405" t="s">
        <v>342</v>
      </c>
      <c r="C2405" t="s">
        <v>342</v>
      </c>
      <c r="D2405" t="s">
        <v>3030</v>
      </c>
      <c r="E2405" s="2">
        <v>7.6</v>
      </c>
      <c r="F2405" s="3">
        <f>DATE(2025,9,25)</f>
        <v>45925</v>
      </c>
      <c r="G2405" s="3">
        <f>DATE(2025,9,25)</f>
        <v>45925</v>
      </c>
      <c r="H2405">
        <v>2869149119</v>
      </c>
      <c r="I2405" t="s">
        <v>192</v>
      </c>
      <c r="K2405" t="s">
        <v>22</v>
      </c>
      <c r="L2405" t="s">
        <v>23</v>
      </c>
      <c r="M2405" t="s">
        <v>24</v>
      </c>
      <c r="N2405" t="s">
        <v>24</v>
      </c>
      <c r="O2405" t="s">
        <v>25</v>
      </c>
      <c r="P2405" s="8" t="s">
        <v>3031</v>
      </c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  <c r="AA2405" s="11"/>
      <c r="AB2405" s="11"/>
      <c r="AC2405" s="11"/>
      <c r="AD2405" s="11"/>
      <c r="AE2405" s="11"/>
      <c r="AF2405" s="11"/>
      <c r="AG2405" s="11"/>
      <c r="AH2405" s="11"/>
      <c r="AI2405" s="11"/>
      <c r="AJ2405" s="11"/>
      <c r="AK2405" s="11"/>
      <c r="AL2405" s="11"/>
      <c r="AM2405" s="11"/>
      <c r="AN2405" s="11"/>
      <c r="AO2405" s="11"/>
      <c r="AP2405" s="11"/>
      <c r="AQ2405" s="11"/>
      <c r="AR2405" s="11"/>
      <c r="AS2405" s="11"/>
      <c r="AT2405" s="11"/>
      <c r="AU2405" s="11"/>
      <c r="AV2405" s="11"/>
      <c r="AW2405" s="11"/>
      <c r="AX2405" s="11"/>
      <c r="AY2405" s="11"/>
    </row>
    <row r="2406" spans="1:51" hidden="1" x14ac:dyDescent="0.2">
      <c r="A2406" s="6"/>
      <c r="E2406" s="2"/>
      <c r="F2406" s="3"/>
      <c r="G2406" s="3"/>
      <c r="P2406" s="8"/>
      <c r="Q2406" s="11"/>
      <c r="R2406" s="11"/>
      <c r="S2406" s="11"/>
      <c r="T2406" s="11"/>
      <c r="U2406" s="11"/>
      <c r="V2406" s="11"/>
      <c r="W2406" s="11"/>
      <c r="X2406" s="11"/>
      <c r="Y2406" s="11"/>
      <c r="Z2406" s="11"/>
      <c r="AA2406" s="11"/>
      <c r="AB2406" s="11"/>
      <c r="AC2406" s="11"/>
      <c r="AD2406" s="11"/>
      <c r="AE2406" s="11"/>
      <c r="AF2406" s="11"/>
      <c r="AG2406" s="11"/>
      <c r="AH2406" s="11"/>
      <c r="AI2406" s="11"/>
      <c r="AJ2406" s="11"/>
      <c r="AK2406" s="11"/>
      <c r="AL2406" s="11"/>
      <c r="AM2406" s="11"/>
      <c r="AN2406" s="11"/>
      <c r="AO2406" s="11"/>
      <c r="AP2406" s="11"/>
      <c r="AQ2406" s="11"/>
      <c r="AR2406" s="11"/>
      <c r="AS2406" s="11"/>
      <c r="AT2406" s="11"/>
      <c r="AU2406" s="11"/>
      <c r="AV2406" s="11"/>
      <c r="AW2406" s="11"/>
      <c r="AX2406" s="11"/>
      <c r="AY2406" s="11"/>
    </row>
    <row r="2407" spans="1:51" hidden="1" x14ac:dyDescent="0.2">
      <c r="A2407" s="6" t="s">
        <v>17</v>
      </c>
      <c r="B2407" t="s">
        <v>132</v>
      </c>
      <c r="C2407" t="s">
        <v>133</v>
      </c>
      <c r="D2407" t="s">
        <v>3032</v>
      </c>
      <c r="E2407" s="2">
        <v>8</v>
      </c>
      <c r="F2407" s="3">
        <f>DATE(2025,9,24)</f>
        <v>45924</v>
      </c>
      <c r="G2407" s="3">
        <f>DATE(2025,9,24)</f>
        <v>45924</v>
      </c>
      <c r="H2407">
        <v>2869149121</v>
      </c>
      <c r="I2407" t="s">
        <v>192</v>
      </c>
      <c r="K2407" t="s">
        <v>22</v>
      </c>
      <c r="L2407" t="s">
        <v>23</v>
      </c>
      <c r="M2407" t="s">
        <v>24</v>
      </c>
      <c r="N2407" t="s">
        <v>24</v>
      </c>
      <c r="O2407" t="s">
        <v>25</v>
      </c>
      <c r="P2407" s="8" t="s">
        <v>3033</v>
      </c>
      <c r="Q2407" s="11"/>
      <c r="R2407" s="11"/>
      <c r="S2407" s="11"/>
      <c r="T2407" s="11"/>
      <c r="U2407" s="11"/>
      <c r="V2407" s="11"/>
      <c r="W2407" s="11"/>
      <c r="X2407" s="11"/>
      <c r="Y2407" s="11"/>
      <c r="Z2407" s="11"/>
      <c r="AA2407" s="11"/>
      <c r="AB2407" s="11"/>
      <c r="AC2407" s="11"/>
      <c r="AD2407" s="11"/>
      <c r="AE2407" s="11"/>
      <c r="AF2407" s="11"/>
      <c r="AG2407" s="11"/>
      <c r="AH2407" s="11"/>
      <c r="AI2407" s="11"/>
      <c r="AJ2407" s="11"/>
      <c r="AK2407" s="11"/>
      <c r="AL2407" s="11"/>
      <c r="AM2407" s="11"/>
      <c r="AN2407" s="11"/>
      <c r="AO2407" s="11"/>
      <c r="AP2407" s="11"/>
      <c r="AQ2407" s="11"/>
      <c r="AR2407" s="11"/>
      <c r="AS2407" s="11"/>
      <c r="AT2407" s="11"/>
      <c r="AU2407" s="11"/>
      <c r="AV2407" s="11"/>
      <c r="AW2407" s="11"/>
      <c r="AX2407" s="11"/>
      <c r="AY2407" s="11"/>
    </row>
    <row r="2408" spans="1:51" x14ac:dyDescent="0.2">
      <c r="A2408" s="6" t="s">
        <v>17</v>
      </c>
      <c r="B2408" t="s">
        <v>342</v>
      </c>
      <c r="C2408" t="s">
        <v>342</v>
      </c>
      <c r="D2408" t="s">
        <v>3034</v>
      </c>
      <c r="E2408" s="2">
        <v>154</v>
      </c>
      <c r="F2408" s="3">
        <f>DATE(2025,9,23)</f>
        <v>45923</v>
      </c>
      <c r="G2408" s="3">
        <f>DATE(2025,9,23)</f>
        <v>45923</v>
      </c>
      <c r="H2408">
        <v>2869149122</v>
      </c>
      <c r="I2408" t="s">
        <v>192</v>
      </c>
      <c r="K2408" t="s">
        <v>22</v>
      </c>
      <c r="L2408" t="s">
        <v>23</v>
      </c>
      <c r="M2408" t="s">
        <v>24</v>
      </c>
      <c r="N2408" t="s">
        <v>24</v>
      </c>
      <c r="O2408" t="s">
        <v>25</v>
      </c>
      <c r="P2408" s="8" t="s">
        <v>3035</v>
      </c>
      <c r="Q2408" s="11"/>
      <c r="R2408" s="11"/>
      <c r="S2408" s="11"/>
      <c r="T2408" s="11"/>
      <c r="U2408" s="11"/>
      <c r="V2408" s="11"/>
      <c r="W2408" s="11"/>
      <c r="X2408" s="11"/>
      <c r="Y2408" s="11"/>
      <c r="Z2408" s="11"/>
      <c r="AA2408" s="11"/>
      <c r="AB2408" s="11"/>
      <c r="AC2408" s="11"/>
      <c r="AD2408" s="11"/>
      <c r="AE2408" s="11"/>
      <c r="AF2408" s="11"/>
      <c r="AG2408" s="11"/>
      <c r="AH2408" s="11"/>
      <c r="AI2408" s="11"/>
      <c r="AJ2408" s="11"/>
      <c r="AK2408" s="11"/>
      <c r="AL2408" s="11"/>
      <c r="AM2408" s="11"/>
      <c r="AN2408" s="11"/>
      <c r="AO2408" s="11"/>
      <c r="AP2408" s="11"/>
      <c r="AQ2408" s="11"/>
      <c r="AR2408" s="11"/>
      <c r="AS2408" s="11"/>
      <c r="AT2408" s="11"/>
      <c r="AU2408" s="11"/>
      <c r="AV2408" s="11"/>
      <c r="AW2408" s="11"/>
      <c r="AX2408" s="11"/>
      <c r="AY2408" s="11"/>
    </row>
    <row r="2409" spans="1:51" x14ac:dyDescent="0.2">
      <c r="A2409" s="6" t="s">
        <v>17</v>
      </c>
      <c r="B2409" t="s">
        <v>342</v>
      </c>
      <c r="C2409" t="s">
        <v>342</v>
      </c>
      <c r="D2409" t="s">
        <v>3036</v>
      </c>
      <c r="E2409" s="2">
        <v>768.88</v>
      </c>
      <c r="F2409" s="3">
        <f>DATE(2025,9,24)</f>
        <v>45924</v>
      </c>
      <c r="G2409" s="3">
        <f>DATE(2025,9,24)</f>
        <v>45924</v>
      </c>
      <c r="H2409">
        <v>2869149123</v>
      </c>
      <c r="I2409" t="s">
        <v>192</v>
      </c>
      <c r="K2409" t="s">
        <v>22</v>
      </c>
      <c r="L2409" t="s">
        <v>23</v>
      </c>
      <c r="M2409" t="s">
        <v>24</v>
      </c>
      <c r="N2409" t="s">
        <v>24</v>
      </c>
      <c r="O2409" t="s">
        <v>25</v>
      </c>
      <c r="P2409" s="8" t="s">
        <v>3037</v>
      </c>
      <c r="Q2409" s="11"/>
      <c r="R2409" s="11"/>
      <c r="S2409" s="11"/>
      <c r="T2409" s="11"/>
      <c r="U2409" s="11"/>
      <c r="V2409" s="11"/>
      <c r="W2409" s="11"/>
      <c r="X2409" s="11"/>
      <c r="Y2409" s="11"/>
      <c r="Z2409" s="11"/>
      <c r="AA2409" s="11"/>
      <c r="AB2409" s="11"/>
      <c r="AC2409" s="11"/>
      <c r="AD2409" s="11"/>
      <c r="AE2409" s="11"/>
      <c r="AF2409" s="11"/>
      <c r="AG2409" s="11"/>
      <c r="AH2409" s="11"/>
      <c r="AI2409" s="11"/>
      <c r="AJ2409" s="11"/>
      <c r="AK2409" s="11"/>
      <c r="AL2409" s="11"/>
      <c r="AM2409" s="11"/>
      <c r="AN2409" s="11"/>
      <c r="AO2409" s="11"/>
      <c r="AP2409" s="11"/>
      <c r="AQ2409" s="11"/>
      <c r="AR2409" s="11"/>
      <c r="AS2409" s="11"/>
      <c r="AT2409" s="11"/>
      <c r="AU2409" s="11"/>
      <c r="AV2409" s="11"/>
      <c r="AW2409" s="11"/>
      <c r="AX2409" s="11"/>
      <c r="AY2409" s="11"/>
    </row>
    <row r="2410" spans="1:51" x14ac:dyDescent="0.2">
      <c r="A2410" s="6" t="s">
        <v>17</v>
      </c>
      <c r="B2410" t="s">
        <v>342</v>
      </c>
      <c r="C2410" t="s">
        <v>342</v>
      </c>
      <c r="D2410" t="s">
        <v>3038</v>
      </c>
      <c r="E2410" s="2">
        <v>66.8</v>
      </c>
      <c r="F2410" s="3">
        <f>DATE(2025,9,25)</f>
        <v>45925</v>
      </c>
      <c r="G2410" s="3">
        <f>DATE(2025,9,25)</f>
        <v>45925</v>
      </c>
      <c r="H2410">
        <v>2869149124</v>
      </c>
      <c r="I2410" t="s">
        <v>192</v>
      </c>
      <c r="K2410" t="s">
        <v>22</v>
      </c>
      <c r="L2410" t="s">
        <v>23</v>
      </c>
      <c r="M2410" t="s">
        <v>24</v>
      </c>
      <c r="N2410" t="s">
        <v>24</v>
      </c>
      <c r="O2410" t="s">
        <v>25</v>
      </c>
      <c r="P2410" s="8" t="s">
        <v>3039</v>
      </c>
      <c r="Q2410" s="11"/>
      <c r="R2410" s="11"/>
      <c r="S2410" s="11"/>
      <c r="T2410" s="11"/>
      <c r="U2410" s="11"/>
      <c r="V2410" s="11"/>
      <c r="W2410" s="11"/>
      <c r="X2410" s="11"/>
      <c r="Y2410" s="11"/>
      <c r="Z2410" s="11"/>
      <c r="AA2410" s="11"/>
      <c r="AB2410" s="11"/>
      <c r="AC2410" s="11"/>
      <c r="AD2410" s="11"/>
      <c r="AE2410" s="11"/>
      <c r="AF2410" s="11"/>
      <c r="AG2410" s="11"/>
      <c r="AH2410" s="11"/>
      <c r="AI2410" s="11"/>
      <c r="AJ2410" s="11"/>
      <c r="AK2410" s="11"/>
      <c r="AL2410" s="11"/>
      <c r="AM2410" s="11"/>
      <c r="AN2410" s="11"/>
      <c r="AO2410" s="11"/>
      <c r="AP2410" s="11"/>
      <c r="AQ2410" s="11"/>
      <c r="AR2410" s="11"/>
      <c r="AS2410" s="11"/>
      <c r="AT2410" s="11"/>
      <c r="AU2410" s="11"/>
      <c r="AV2410" s="11"/>
      <c r="AW2410" s="11"/>
      <c r="AX2410" s="11"/>
      <c r="AY2410" s="11"/>
    </row>
    <row r="2411" spans="1:51" hidden="1" x14ac:dyDescent="0.2">
      <c r="A2411" s="6" t="s">
        <v>17</v>
      </c>
      <c r="B2411" t="s">
        <v>132</v>
      </c>
      <c r="C2411" t="s">
        <v>133</v>
      </c>
      <c r="D2411" t="s">
        <v>3032</v>
      </c>
      <c r="E2411" s="2">
        <v>8</v>
      </c>
      <c r="F2411" s="3">
        <f>DATE(2025,9,24)</f>
        <v>45924</v>
      </c>
      <c r="G2411" s="3">
        <f>DATE(2025,9,24)</f>
        <v>45924</v>
      </c>
      <c r="H2411">
        <v>2869149125</v>
      </c>
      <c r="I2411" t="s">
        <v>192</v>
      </c>
      <c r="K2411" t="s">
        <v>22</v>
      </c>
      <c r="L2411" t="s">
        <v>23</v>
      </c>
      <c r="M2411" t="s">
        <v>24</v>
      </c>
      <c r="N2411" t="s">
        <v>24</v>
      </c>
      <c r="O2411" t="s">
        <v>25</v>
      </c>
      <c r="P2411" s="8" t="s">
        <v>3040</v>
      </c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  <c r="AA2411" s="11"/>
      <c r="AB2411" s="11"/>
      <c r="AC2411" s="11"/>
      <c r="AD2411" s="11"/>
      <c r="AE2411" s="11"/>
      <c r="AF2411" s="11"/>
      <c r="AG2411" s="11"/>
      <c r="AH2411" s="11"/>
      <c r="AI2411" s="11"/>
      <c r="AJ2411" s="11"/>
      <c r="AK2411" s="11"/>
      <c r="AL2411" s="11"/>
      <c r="AM2411" s="11"/>
      <c r="AN2411" s="11"/>
      <c r="AO2411" s="11"/>
      <c r="AP2411" s="11"/>
      <c r="AQ2411" s="11"/>
      <c r="AR2411" s="11"/>
      <c r="AS2411" s="11"/>
      <c r="AT2411" s="11"/>
      <c r="AU2411" s="11"/>
      <c r="AV2411" s="11"/>
      <c r="AW2411" s="11"/>
      <c r="AX2411" s="11"/>
      <c r="AY2411" s="11"/>
    </row>
    <row r="2412" spans="1:51" hidden="1" x14ac:dyDescent="0.2">
      <c r="A2412" s="6"/>
      <c r="E2412" s="2"/>
      <c r="F2412" s="3"/>
      <c r="G2412" s="3"/>
      <c r="P2412" s="8"/>
      <c r="Q2412" s="11"/>
      <c r="R2412" s="11"/>
      <c r="S2412" s="11"/>
      <c r="T2412" s="11"/>
      <c r="U2412" s="11"/>
      <c r="V2412" s="11"/>
      <c r="W2412" s="11"/>
      <c r="X2412" s="11"/>
      <c r="Y2412" s="11"/>
      <c r="Z2412" s="11"/>
      <c r="AA2412" s="11"/>
      <c r="AB2412" s="11"/>
      <c r="AC2412" s="11"/>
      <c r="AD2412" s="11"/>
      <c r="AE2412" s="11"/>
      <c r="AF2412" s="11"/>
      <c r="AG2412" s="11"/>
      <c r="AH2412" s="11"/>
      <c r="AI2412" s="11"/>
      <c r="AJ2412" s="11"/>
      <c r="AK2412" s="11"/>
      <c r="AL2412" s="11"/>
      <c r="AM2412" s="11"/>
      <c r="AN2412" s="11"/>
      <c r="AO2412" s="11"/>
      <c r="AP2412" s="11"/>
      <c r="AQ2412" s="11"/>
      <c r="AR2412" s="11"/>
      <c r="AS2412" s="11"/>
      <c r="AT2412" s="11"/>
      <c r="AU2412" s="11"/>
      <c r="AV2412" s="11"/>
      <c r="AW2412" s="11"/>
      <c r="AX2412" s="11"/>
      <c r="AY2412" s="11"/>
    </row>
    <row r="2413" spans="1:51" hidden="1" x14ac:dyDescent="0.2">
      <c r="A2413" s="6" t="s">
        <v>17</v>
      </c>
      <c r="B2413" t="s">
        <v>46</v>
      </c>
      <c r="C2413" t="s">
        <v>47</v>
      </c>
      <c r="D2413" t="s">
        <v>3041</v>
      </c>
      <c r="E2413" s="2">
        <v>720</v>
      </c>
      <c r="F2413" s="3">
        <f>DATE(2025,9,26)</f>
        <v>45926</v>
      </c>
      <c r="G2413" s="3">
        <f>DATE(2025,9,26)</f>
        <v>45926</v>
      </c>
      <c r="H2413">
        <v>2877372542</v>
      </c>
      <c r="I2413" t="s">
        <v>21</v>
      </c>
      <c r="K2413" t="s">
        <v>22</v>
      </c>
      <c r="L2413" t="s">
        <v>23</v>
      </c>
      <c r="M2413" t="s">
        <v>24</v>
      </c>
      <c r="N2413" t="s">
        <v>24</v>
      </c>
      <c r="O2413" t="s">
        <v>25</v>
      </c>
      <c r="P2413" s="8" t="s">
        <v>3042</v>
      </c>
      <c r="Q2413" s="11"/>
      <c r="R2413" s="11"/>
      <c r="S2413" s="11"/>
      <c r="T2413" s="11"/>
      <c r="U2413" s="11"/>
      <c r="V2413" s="11"/>
      <c r="W2413" s="11"/>
      <c r="X2413" s="11"/>
      <c r="Y2413" s="11"/>
      <c r="Z2413" s="11"/>
      <c r="AA2413" s="11"/>
      <c r="AB2413" s="11"/>
      <c r="AC2413" s="11"/>
      <c r="AD2413" s="11"/>
      <c r="AE2413" s="11"/>
      <c r="AF2413" s="11"/>
      <c r="AG2413" s="11"/>
      <c r="AH2413" s="11"/>
      <c r="AI2413" s="11"/>
      <c r="AJ2413" s="11"/>
      <c r="AK2413" s="11"/>
      <c r="AL2413" s="11"/>
      <c r="AM2413" s="11"/>
      <c r="AN2413" s="11"/>
      <c r="AO2413" s="11"/>
      <c r="AP2413" s="11"/>
      <c r="AQ2413" s="11"/>
      <c r="AR2413" s="11"/>
      <c r="AS2413" s="11"/>
      <c r="AT2413" s="11"/>
      <c r="AU2413" s="11"/>
      <c r="AV2413" s="11"/>
      <c r="AW2413" s="11"/>
      <c r="AX2413" s="11"/>
      <c r="AY2413" s="11"/>
    </row>
    <row r="2414" spans="1:51" hidden="1" x14ac:dyDescent="0.2">
      <c r="A2414" s="6" t="s">
        <v>17</v>
      </c>
      <c r="B2414" t="s">
        <v>565</v>
      </c>
      <c r="C2414" t="s">
        <v>566</v>
      </c>
      <c r="D2414" t="s">
        <v>3043</v>
      </c>
      <c r="E2414" s="2">
        <v>68.400000000000006</v>
      </c>
      <c r="F2414" s="3">
        <f>DATE(2025,9,26)</f>
        <v>45926</v>
      </c>
      <c r="G2414" s="3">
        <f>DATE(2025,9,26)</f>
        <v>45926</v>
      </c>
      <c r="H2414">
        <v>2877372543</v>
      </c>
      <c r="I2414" t="s">
        <v>21</v>
      </c>
      <c r="K2414" t="s">
        <v>22</v>
      </c>
      <c r="L2414" t="s">
        <v>23</v>
      </c>
      <c r="M2414" t="s">
        <v>24</v>
      </c>
      <c r="N2414" t="s">
        <v>24</v>
      </c>
      <c r="O2414" t="s">
        <v>25</v>
      </c>
      <c r="P2414" s="8" t="s">
        <v>3044</v>
      </c>
      <c r="Q2414" s="11"/>
      <c r="R2414" s="11"/>
      <c r="S2414" s="11"/>
      <c r="T2414" s="11"/>
      <c r="U2414" s="11"/>
      <c r="V2414" s="11"/>
      <c r="W2414" s="11"/>
      <c r="X2414" s="11"/>
      <c r="Y2414" s="11"/>
      <c r="Z2414" s="11"/>
      <c r="AA2414" s="11"/>
      <c r="AB2414" s="11"/>
      <c r="AC2414" s="11"/>
      <c r="AD2414" s="11"/>
      <c r="AE2414" s="11"/>
      <c r="AF2414" s="11"/>
      <c r="AG2414" s="11"/>
      <c r="AH2414" s="11"/>
      <c r="AI2414" s="11"/>
      <c r="AJ2414" s="11"/>
      <c r="AK2414" s="11"/>
      <c r="AL2414" s="11"/>
      <c r="AM2414" s="11"/>
      <c r="AN2414" s="11"/>
      <c r="AO2414" s="11"/>
      <c r="AP2414" s="11"/>
      <c r="AQ2414" s="11"/>
      <c r="AR2414" s="11"/>
      <c r="AS2414" s="11"/>
      <c r="AT2414" s="11"/>
      <c r="AU2414" s="11"/>
      <c r="AV2414" s="11"/>
      <c r="AW2414" s="11"/>
      <c r="AX2414" s="11"/>
      <c r="AY2414" s="11"/>
    </row>
    <row r="2415" spans="1:51" hidden="1" x14ac:dyDescent="0.2">
      <c r="A2415" s="6"/>
      <c r="E2415" s="2"/>
      <c r="F2415" s="3"/>
      <c r="G2415" s="3"/>
      <c r="P2415" s="8"/>
      <c r="Q2415" s="11"/>
      <c r="R2415" s="11"/>
      <c r="S2415" s="11"/>
      <c r="T2415" s="11"/>
      <c r="U2415" s="11"/>
      <c r="V2415" s="11"/>
      <c r="W2415" s="11"/>
      <c r="X2415" s="11"/>
      <c r="Y2415" s="11"/>
      <c r="Z2415" s="11"/>
      <c r="AA2415" s="11"/>
      <c r="AB2415" s="11"/>
      <c r="AC2415" s="11"/>
      <c r="AD2415" s="11"/>
      <c r="AE2415" s="11"/>
      <c r="AF2415" s="11"/>
      <c r="AG2415" s="11"/>
      <c r="AH2415" s="11"/>
      <c r="AI2415" s="11"/>
      <c r="AJ2415" s="11"/>
      <c r="AK2415" s="11"/>
      <c r="AL2415" s="11"/>
      <c r="AM2415" s="11"/>
      <c r="AN2415" s="11"/>
      <c r="AO2415" s="11"/>
      <c r="AP2415" s="11"/>
      <c r="AQ2415" s="11"/>
      <c r="AR2415" s="11"/>
      <c r="AS2415" s="11"/>
      <c r="AT2415" s="11"/>
      <c r="AU2415" s="11"/>
      <c r="AV2415" s="11"/>
      <c r="AW2415" s="11"/>
      <c r="AX2415" s="11"/>
      <c r="AY2415" s="11"/>
    </row>
    <row r="2416" spans="1:51" hidden="1" x14ac:dyDescent="0.2">
      <c r="A2416" s="6"/>
      <c r="E2416" s="2"/>
      <c r="F2416" s="3"/>
      <c r="G2416" s="3"/>
      <c r="P2416" s="8"/>
      <c r="Q2416" s="11"/>
      <c r="R2416" s="11"/>
      <c r="S2416" s="11"/>
      <c r="T2416" s="11"/>
      <c r="U2416" s="11"/>
      <c r="V2416" s="11"/>
      <c r="W2416" s="11"/>
      <c r="X2416" s="11"/>
      <c r="Y2416" s="11"/>
      <c r="Z2416" s="11"/>
      <c r="AA2416" s="11"/>
      <c r="AB2416" s="11"/>
      <c r="AC2416" s="11"/>
      <c r="AD2416" s="11"/>
      <c r="AE2416" s="11"/>
      <c r="AF2416" s="11"/>
      <c r="AG2416" s="11"/>
      <c r="AH2416" s="11"/>
      <c r="AI2416" s="11"/>
      <c r="AJ2416" s="11"/>
      <c r="AK2416" s="11"/>
      <c r="AL2416" s="11"/>
      <c r="AM2416" s="11"/>
      <c r="AN2416" s="11"/>
      <c r="AO2416" s="11"/>
      <c r="AP2416" s="11"/>
      <c r="AQ2416" s="11"/>
      <c r="AR2416" s="11"/>
      <c r="AS2416" s="11"/>
      <c r="AT2416" s="11"/>
      <c r="AU2416" s="11"/>
      <c r="AV2416" s="11"/>
      <c r="AW2416" s="11"/>
      <c r="AX2416" s="11"/>
      <c r="AY2416" s="11"/>
    </row>
    <row r="2417" spans="1:51" x14ac:dyDescent="0.2">
      <c r="A2417" s="6" t="s">
        <v>17</v>
      </c>
      <c r="B2417" t="s">
        <v>342</v>
      </c>
      <c r="C2417" t="s">
        <v>342</v>
      </c>
      <c r="D2417" t="s">
        <v>3045</v>
      </c>
      <c r="E2417" s="2">
        <v>7.6</v>
      </c>
      <c r="F2417" s="3">
        <f>DATE(2025,9,26)</f>
        <v>45926</v>
      </c>
      <c r="G2417" s="3">
        <f>DATE(2025,9,26)</f>
        <v>45926</v>
      </c>
      <c r="H2417">
        <v>2877412734</v>
      </c>
      <c r="I2417" t="s">
        <v>192</v>
      </c>
      <c r="K2417" t="s">
        <v>22</v>
      </c>
      <c r="L2417" t="s">
        <v>23</v>
      </c>
      <c r="M2417" t="s">
        <v>24</v>
      </c>
      <c r="N2417" t="s">
        <v>24</v>
      </c>
      <c r="O2417" t="s">
        <v>25</v>
      </c>
      <c r="P2417" s="8" t="s">
        <v>3046</v>
      </c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  <c r="AA2417" s="11"/>
      <c r="AB2417" s="11"/>
      <c r="AC2417" s="11"/>
      <c r="AD2417" s="11"/>
      <c r="AE2417" s="11"/>
      <c r="AF2417" s="11"/>
      <c r="AG2417" s="11"/>
      <c r="AH2417" s="11"/>
      <c r="AI2417" s="11"/>
      <c r="AJ2417" s="11"/>
      <c r="AK2417" s="11"/>
      <c r="AL2417" s="11"/>
      <c r="AM2417" s="11"/>
      <c r="AN2417" s="11"/>
      <c r="AO2417" s="11"/>
      <c r="AP2417" s="11"/>
      <c r="AQ2417" s="11"/>
      <c r="AR2417" s="11"/>
      <c r="AS2417" s="11"/>
      <c r="AT2417" s="11"/>
      <c r="AU2417" s="11"/>
      <c r="AV2417" s="11"/>
      <c r="AW2417" s="11"/>
      <c r="AX2417" s="11"/>
      <c r="AY2417" s="11"/>
    </row>
    <row r="2418" spans="1:51" x14ac:dyDescent="0.2">
      <c r="A2418" s="6" t="s">
        <v>17</v>
      </c>
      <c r="B2418" t="s">
        <v>342</v>
      </c>
      <c r="C2418" t="s">
        <v>342</v>
      </c>
      <c r="D2418" t="s">
        <v>3047</v>
      </c>
      <c r="E2418" s="2">
        <v>59.4</v>
      </c>
      <c r="F2418" s="3">
        <f>DATE(2025,9,25)</f>
        <v>45925</v>
      </c>
      <c r="G2418" s="3">
        <f>DATE(2025,9,25)</f>
        <v>45925</v>
      </c>
      <c r="H2418">
        <v>2877412735</v>
      </c>
      <c r="I2418" t="s">
        <v>192</v>
      </c>
      <c r="K2418" t="s">
        <v>22</v>
      </c>
      <c r="L2418" t="s">
        <v>23</v>
      </c>
      <c r="M2418" t="s">
        <v>24</v>
      </c>
      <c r="N2418" t="s">
        <v>24</v>
      </c>
      <c r="O2418" t="s">
        <v>25</v>
      </c>
      <c r="P2418" s="8" t="s">
        <v>3048</v>
      </c>
      <c r="Q2418" s="11"/>
      <c r="R2418" s="11"/>
      <c r="S2418" s="11"/>
      <c r="T2418" s="11"/>
      <c r="U2418" s="11"/>
      <c r="V2418" s="11"/>
      <c r="W2418" s="11"/>
      <c r="X2418" s="11"/>
      <c r="Y2418" s="11"/>
      <c r="Z2418" s="11"/>
      <c r="AA2418" s="11"/>
      <c r="AB2418" s="11"/>
      <c r="AC2418" s="11"/>
      <c r="AD2418" s="11"/>
      <c r="AE2418" s="11"/>
      <c r="AF2418" s="11"/>
      <c r="AG2418" s="11"/>
      <c r="AH2418" s="11"/>
      <c r="AI2418" s="11"/>
      <c r="AJ2418" s="11"/>
      <c r="AK2418" s="11"/>
      <c r="AL2418" s="11"/>
      <c r="AM2418" s="11"/>
      <c r="AN2418" s="11"/>
      <c r="AO2418" s="11"/>
      <c r="AP2418" s="11"/>
      <c r="AQ2418" s="11"/>
      <c r="AR2418" s="11"/>
      <c r="AS2418" s="11"/>
      <c r="AT2418" s="11"/>
      <c r="AU2418" s="11"/>
      <c r="AV2418" s="11"/>
      <c r="AW2418" s="11"/>
      <c r="AX2418" s="11"/>
      <c r="AY2418" s="11"/>
    </row>
    <row r="2419" spans="1:51" hidden="1" x14ac:dyDescent="0.2">
      <c r="A2419" s="6"/>
      <c r="E2419" s="2"/>
      <c r="F2419" s="3"/>
      <c r="G2419" s="3"/>
      <c r="P2419" s="8"/>
      <c r="Q2419" s="11"/>
      <c r="R2419" s="11"/>
      <c r="S2419" s="11"/>
      <c r="T2419" s="11"/>
      <c r="U2419" s="11"/>
      <c r="V2419" s="11"/>
      <c r="W2419" s="11"/>
      <c r="X2419" s="11"/>
      <c r="Y2419" s="11"/>
      <c r="Z2419" s="11"/>
      <c r="AA2419" s="11"/>
      <c r="AB2419" s="11"/>
      <c r="AC2419" s="11"/>
      <c r="AD2419" s="11"/>
      <c r="AE2419" s="11"/>
      <c r="AF2419" s="11"/>
      <c r="AG2419" s="11"/>
      <c r="AH2419" s="11"/>
      <c r="AI2419" s="11"/>
      <c r="AJ2419" s="11"/>
      <c r="AK2419" s="11"/>
      <c r="AL2419" s="11"/>
      <c r="AM2419" s="11"/>
      <c r="AN2419" s="11"/>
      <c r="AO2419" s="11"/>
      <c r="AP2419" s="11"/>
      <c r="AQ2419" s="11"/>
      <c r="AR2419" s="11"/>
      <c r="AS2419" s="11"/>
      <c r="AT2419" s="11"/>
      <c r="AU2419" s="11"/>
      <c r="AV2419" s="11"/>
      <c r="AW2419" s="11"/>
      <c r="AX2419" s="11"/>
      <c r="AY2419" s="11"/>
    </row>
    <row r="2420" spans="1:51" hidden="1" x14ac:dyDescent="0.2">
      <c r="A2420" s="6"/>
      <c r="E2420" s="2"/>
      <c r="F2420" s="3"/>
      <c r="G2420" s="3"/>
      <c r="P2420" s="8"/>
      <c r="Q2420" s="11"/>
      <c r="R2420" s="11"/>
      <c r="S2420" s="11"/>
      <c r="T2420" s="11"/>
      <c r="U2420" s="11"/>
      <c r="V2420" s="11"/>
      <c r="W2420" s="11"/>
      <c r="X2420" s="11"/>
      <c r="Y2420" s="11"/>
      <c r="Z2420" s="11"/>
      <c r="AA2420" s="11"/>
      <c r="AB2420" s="11"/>
      <c r="AC2420" s="11"/>
      <c r="AD2420" s="11"/>
      <c r="AE2420" s="11"/>
      <c r="AF2420" s="11"/>
      <c r="AG2420" s="11"/>
      <c r="AH2420" s="11"/>
      <c r="AI2420" s="11"/>
      <c r="AJ2420" s="11"/>
      <c r="AK2420" s="11"/>
      <c r="AL2420" s="11"/>
      <c r="AM2420" s="11"/>
      <c r="AN2420" s="11"/>
      <c r="AO2420" s="11"/>
      <c r="AP2420" s="11"/>
      <c r="AQ2420" s="11"/>
      <c r="AR2420" s="11"/>
      <c r="AS2420" s="11"/>
      <c r="AT2420" s="11"/>
      <c r="AU2420" s="11"/>
      <c r="AV2420" s="11"/>
      <c r="AW2420" s="11"/>
      <c r="AX2420" s="11"/>
      <c r="AY2420" s="11"/>
    </row>
    <row r="2421" spans="1:51" hidden="1" x14ac:dyDescent="0.2">
      <c r="A2421" s="6" t="s">
        <v>17</v>
      </c>
      <c r="B2421" t="s">
        <v>132</v>
      </c>
      <c r="C2421" t="s">
        <v>133</v>
      </c>
      <c r="D2421" t="s">
        <v>3049</v>
      </c>
      <c r="E2421" s="2">
        <v>2.5</v>
      </c>
      <c r="F2421" s="3">
        <f t="shared" ref="F2421:G2429" si="212">DATE(2025,9,26)</f>
        <v>45926</v>
      </c>
      <c r="G2421" s="3">
        <f t="shared" si="212"/>
        <v>45926</v>
      </c>
      <c r="H2421">
        <v>2882846342</v>
      </c>
      <c r="I2421" t="s">
        <v>192</v>
      </c>
      <c r="K2421" t="s">
        <v>22</v>
      </c>
      <c r="L2421" t="s">
        <v>23</v>
      </c>
      <c r="M2421" t="s">
        <v>24</v>
      </c>
      <c r="N2421" t="s">
        <v>24</v>
      </c>
      <c r="O2421" t="s">
        <v>25</v>
      </c>
      <c r="P2421" s="8" t="s">
        <v>3050</v>
      </c>
      <c r="Q2421" s="11"/>
      <c r="R2421" s="11"/>
      <c r="S2421" s="11"/>
      <c r="T2421" s="11"/>
      <c r="U2421" s="11"/>
      <c r="V2421" s="11"/>
      <c r="W2421" s="11"/>
      <c r="X2421" s="11"/>
      <c r="Y2421" s="11"/>
      <c r="Z2421" s="11"/>
      <c r="AA2421" s="11"/>
      <c r="AB2421" s="11"/>
      <c r="AC2421" s="11"/>
      <c r="AD2421" s="11"/>
      <c r="AE2421" s="11"/>
      <c r="AF2421" s="11"/>
      <c r="AG2421" s="11"/>
      <c r="AH2421" s="11"/>
      <c r="AI2421" s="11"/>
      <c r="AJ2421" s="11"/>
      <c r="AK2421" s="11"/>
      <c r="AL2421" s="11"/>
      <c r="AM2421" s="11"/>
      <c r="AN2421" s="11"/>
      <c r="AO2421" s="11"/>
      <c r="AP2421" s="11"/>
      <c r="AQ2421" s="11"/>
      <c r="AR2421" s="11"/>
      <c r="AS2421" s="11"/>
      <c r="AT2421" s="11"/>
      <c r="AU2421" s="11"/>
      <c r="AV2421" s="11"/>
      <c r="AW2421" s="11"/>
      <c r="AX2421" s="11"/>
      <c r="AY2421" s="11"/>
    </row>
    <row r="2422" spans="1:51" hidden="1" x14ac:dyDescent="0.2">
      <c r="A2422" s="6"/>
      <c r="E2422" s="2"/>
      <c r="F2422" s="3"/>
      <c r="G2422" s="3"/>
      <c r="P2422" s="8"/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  <c r="AA2422" s="11"/>
      <c r="AB2422" s="11"/>
      <c r="AC2422" s="11"/>
      <c r="AD2422" s="11"/>
      <c r="AE2422" s="11"/>
      <c r="AF2422" s="11"/>
      <c r="AG2422" s="11"/>
      <c r="AH2422" s="11"/>
      <c r="AI2422" s="11"/>
      <c r="AJ2422" s="11"/>
      <c r="AK2422" s="11"/>
      <c r="AL2422" s="11"/>
      <c r="AM2422" s="11"/>
      <c r="AN2422" s="11"/>
      <c r="AO2422" s="11"/>
      <c r="AP2422" s="11"/>
      <c r="AQ2422" s="11"/>
      <c r="AR2422" s="11"/>
      <c r="AS2422" s="11"/>
      <c r="AT2422" s="11"/>
      <c r="AU2422" s="11"/>
      <c r="AV2422" s="11"/>
      <c r="AW2422" s="11"/>
      <c r="AX2422" s="11"/>
      <c r="AY2422" s="11"/>
    </row>
    <row r="2423" spans="1:51" hidden="1" x14ac:dyDescent="0.2">
      <c r="A2423" s="6"/>
      <c r="E2423" s="2"/>
      <c r="F2423" s="3"/>
      <c r="G2423" s="3"/>
      <c r="P2423" s="8"/>
      <c r="Q2423" s="11"/>
      <c r="R2423" s="11"/>
      <c r="S2423" s="11"/>
      <c r="T2423" s="11"/>
      <c r="U2423" s="11"/>
      <c r="V2423" s="11"/>
      <c r="W2423" s="11"/>
      <c r="X2423" s="11"/>
      <c r="Y2423" s="11"/>
      <c r="Z2423" s="11"/>
      <c r="AA2423" s="11"/>
      <c r="AB2423" s="11"/>
      <c r="AC2423" s="11"/>
      <c r="AD2423" s="11"/>
      <c r="AE2423" s="11"/>
      <c r="AF2423" s="11"/>
      <c r="AG2423" s="11"/>
      <c r="AH2423" s="11"/>
      <c r="AI2423" s="11"/>
      <c r="AJ2423" s="11"/>
      <c r="AK2423" s="11"/>
      <c r="AL2423" s="11"/>
      <c r="AM2423" s="11"/>
      <c r="AN2423" s="11"/>
      <c r="AO2423" s="11"/>
      <c r="AP2423" s="11"/>
      <c r="AQ2423" s="11"/>
      <c r="AR2423" s="11"/>
      <c r="AS2423" s="11"/>
      <c r="AT2423" s="11"/>
      <c r="AU2423" s="11"/>
      <c r="AV2423" s="11"/>
      <c r="AW2423" s="11"/>
      <c r="AX2423" s="11"/>
      <c r="AY2423" s="11"/>
    </row>
    <row r="2424" spans="1:51" hidden="1" x14ac:dyDescent="0.2">
      <c r="A2424" s="6" t="s">
        <v>17</v>
      </c>
      <c r="B2424" t="s">
        <v>132</v>
      </c>
      <c r="C2424" t="s">
        <v>133</v>
      </c>
      <c r="D2424" t="s">
        <v>3049</v>
      </c>
      <c r="E2424" s="2">
        <v>2</v>
      </c>
      <c r="F2424" s="3">
        <f t="shared" si="212"/>
        <v>45926</v>
      </c>
      <c r="G2424" s="3">
        <f t="shared" si="212"/>
        <v>45926</v>
      </c>
      <c r="H2424">
        <v>2882846345</v>
      </c>
      <c r="I2424" t="s">
        <v>192</v>
      </c>
      <c r="K2424" t="s">
        <v>22</v>
      </c>
      <c r="L2424" t="s">
        <v>23</v>
      </c>
      <c r="M2424" t="s">
        <v>24</v>
      </c>
      <c r="N2424" t="s">
        <v>24</v>
      </c>
      <c r="O2424" t="s">
        <v>25</v>
      </c>
      <c r="P2424" s="8" t="s">
        <v>3051</v>
      </c>
      <c r="Q2424" s="11"/>
      <c r="R2424" s="11"/>
      <c r="S2424" s="11"/>
      <c r="T2424" s="11"/>
      <c r="U2424" s="11"/>
      <c r="V2424" s="11"/>
      <c r="W2424" s="11"/>
      <c r="X2424" s="11"/>
      <c r="Y2424" s="11"/>
      <c r="Z2424" s="11"/>
      <c r="AA2424" s="11"/>
      <c r="AB2424" s="11"/>
      <c r="AC2424" s="11"/>
      <c r="AD2424" s="11"/>
      <c r="AE2424" s="11"/>
      <c r="AF2424" s="11"/>
      <c r="AG2424" s="11"/>
      <c r="AH2424" s="11"/>
      <c r="AI2424" s="11"/>
      <c r="AJ2424" s="11"/>
      <c r="AK2424" s="11"/>
      <c r="AL2424" s="11"/>
      <c r="AM2424" s="11"/>
      <c r="AN2424" s="11"/>
      <c r="AO2424" s="11"/>
      <c r="AP2424" s="11"/>
      <c r="AQ2424" s="11"/>
      <c r="AR2424" s="11"/>
      <c r="AS2424" s="11"/>
      <c r="AT2424" s="11"/>
      <c r="AU2424" s="11"/>
      <c r="AV2424" s="11"/>
      <c r="AW2424" s="11"/>
      <c r="AX2424" s="11"/>
      <c r="AY2424" s="11"/>
    </row>
    <row r="2425" spans="1:51" hidden="1" x14ac:dyDescent="0.2">
      <c r="A2425" s="6" t="s">
        <v>17</v>
      </c>
      <c r="B2425" t="s">
        <v>18</v>
      </c>
      <c r="C2425" t="s">
        <v>19</v>
      </c>
      <c r="D2425" t="s">
        <v>3052</v>
      </c>
      <c r="E2425" s="2">
        <v>1.53</v>
      </c>
      <c r="F2425" s="3">
        <f t="shared" si="212"/>
        <v>45926</v>
      </c>
      <c r="G2425" s="3">
        <f t="shared" si="212"/>
        <v>45926</v>
      </c>
      <c r="H2425">
        <v>2882846346</v>
      </c>
      <c r="I2425" t="s">
        <v>192</v>
      </c>
      <c r="K2425" t="s">
        <v>22</v>
      </c>
      <c r="L2425" t="s">
        <v>23</v>
      </c>
      <c r="M2425" t="s">
        <v>24</v>
      </c>
      <c r="N2425" t="s">
        <v>24</v>
      </c>
      <c r="O2425" t="s">
        <v>25</v>
      </c>
      <c r="P2425" s="8" t="s">
        <v>3053</v>
      </c>
      <c r="Q2425" s="11"/>
      <c r="R2425" s="11"/>
      <c r="S2425" s="11"/>
      <c r="T2425" s="11"/>
      <c r="U2425" s="11"/>
      <c r="V2425" s="11"/>
      <c r="W2425" s="11"/>
      <c r="X2425" s="11"/>
      <c r="Y2425" s="11"/>
      <c r="Z2425" s="11"/>
      <c r="AA2425" s="11"/>
      <c r="AB2425" s="11"/>
      <c r="AC2425" s="11"/>
      <c r="AD2425" s="11"/>
      <c r="AE2425" s="11"/>
      <c r="AF2425" s="11"/>
      <c r="AG2425" s="11"/>
      <c r="AH2425" s="11"/>
      <c r="AI2425" s="11"/>
      <c r="AJ2425" s="11"/>
      <c r="AK2425" s="11"/>
      <c r="AL2425" s="11"/>
      <c r="AM2425" s="11"/>
      <c r="AN2425" s="11"/>
      <c r="AO2425" s="11"/>
      <c r="AP2425" s="11"/>
      <c r="AQ2425" s="11"/>
      <c r="AR2425" s="11"/>
      <c r="AS2425" s="11"/>
      <c r="AT2425" s="11"/>
      <c r="AU2425" s="11"/>
      <c r="AV2425" s="11"/>
      <c r="AW2425" s="11"/>
      <c r="AX2425" s="11"/>
      <c r="AY2425" s="11"/>
    </row>
    <row r="2426" spans="1:51" hidden="1" x14ac:dyDescent="0.2">
      <c r="A2426" s="6" t="s">
        <v>17</v>
      </c>
      <c r="B2426" t="s">
        <v>132</v>
      </c>
      <c r="C2426" t="s">
        <v>133</v>
      </c>
      <c r="D2426" t="s">
        <v>3049</v>
      </c>
      <c r="E2426" s="2">
        <v>2.5</v>
      </c>
      <c r="F2426" s="3">
        <f t="shared" si="212"/>
        <v>45926</v>
      </c>
      <c r="G2426" s="3">
        <f t="shared" si="212"/>
        <v>45926</v>
      </c>
      <c r="H2426">
        <v>2882846347</v>
      </c>
      <c r="I2426" t="s">
        <v>192</v>
      </c>
      <c r="K2426" t="s">
        <v>22</v>
      </c>
      <c r="L2426" t="s">
        <v>23</v>
      </c>
      <c r="M2426" t="s">
        <v>24</v>
      </c>
      <c r="N2426" t="s">
        <v>24</v>
      </c>
      <c r="O2426" t="s">
        <v>25</v>
      </c>
      <c r="P2426" s="8" t="s">
        <v>3054</v>
      </c>
      <c r="Q2426" s="11"/>
      <c r="R2426" s="11"/>
      <c r="S2426" s="11"/>
      <c r="T2426" s="11"/>
      <c r="U2426" s="11"/>
      <c r="V2426" s="11"/>
      <c r="W2426" s="11"/>
      <c r="X2426" s="11"/>
      <c r="Y2426" s="11"/>
      <c r="Z2426" s="11"/>
      <c r="AA2426" s="11"/>
      <c r="AB2426" s="11"/>
      <c r="AC2426" s="11"/>
      <c r="AD2426" s="11"/>
      <c r="AE2426" s="11"/>
      <c r="AF2426" s="11"/>
      <c r="AG2426" s="11"/>
      <c r="AH2426" s="11"/>
      <c r="AI2426" s="11"/>
      <c r="AJ2426" s="11"/>
      <c r="AK2426" s="11"/>
      <c r="AL2426" s="11"/>
      <c r="AM2426" s="11"/>
      <c r="AN2426" s="11"/>
      <c r="AO2426" s="11"/>
      <c r="AP2426" s="11"/>
      <c r="AQ2426" s="11"/>
      <c r="AR2426" s="11"/>
      <c r="AS2426" s="11"/>
      <c r="AT2426" s="11"/>
      <c r="AU2426" s="11"/>
      <c r="AV2426" s="11"/>
      <c r="AW2426" s="11"/>
      <c r="AX2426" s="11"/>
      <c r="AY2426" s="11"/>
    </row>
    <row r="2427" spans="1:51" hidden="1" x14ac:dyDescent="0.2">
      <c r="A2427" s="6" t="s">
        <v>17</v>
      </c>
      <c r="B2427" t="s">
        <v>132</v>
      </c>
      <c r="C2427" t="s">
        <v>133</v>
      </c>
      <c r="D2427" t="s">
        <v>3049</v>
      </c>
      <c r="E2427" s="2">
        <v>2</v>
      </c>
      <c r="F2427" s="3">
        <f t="shared" si="212"/>
        <v>45926</v>
      </c>
      <c r="G2427" s="3">
        <f t="shared" si="212"/>
        <v>45926</v>
      </c>
      <c r="H2427">
        <v>2882846348</v>
      </c>
      <c r="I2427" t="s">
        <v>192</v>
      </c>
      <c r="K2427" t="s">
        <v>22</v>
      </c>
      <c r="L2427" t="s">
        <v>23</v>
      </c>
      <c r="M2427" t="s">
        <v>24</v>
      </c>
      <c r="N2427" t="s">
        <v>24</v>
      </c>
      <c r="O2427" t="s">
        <v>25</v>
      </c>
      <c r="P2427" s="8" t="s">
        <v>3055</v>
      </c>
      <c r="Q2427" s="11"/>
      <c r="R2427" s="11"/>
      <c r="S2427" s="11"/>
      <c r="T2427" s="11"/>
      <c r="U2427" s="11"/>
      <c r="V2427" s="11"/>
      <c r="W2427" s="11"/>
      <c r="X2427" s="11"/>
      <c r="Y2427" s="11"/>
      <c r="Z2427" s="11"/>
      <c r="AA2427" s="11"/>
      <c r="AB2427" s="11"/>
      <c r="AC2427" s="11"/>
      <c r="AD2427" s="11"/>
      <c r="AE2427" s="11"/>
      <c r="AF2427" s="11"/>
      <c r="AG2427" s="11"/>
      <c r="AH2427" s="11"/>
      <c r="AI2427" s="11"/>
      <c r="AJ2427" s="11"/>
      <c r="AK2427" s="11"/>
      <c r="AL2427" s="11"/>
      <c r="AM2427" s="11"/>
      <c r="AN2427" s="11"/>
      <c r="AO2427" s="11"/>
      <c r="AP2427" s="11"/>
      <c r="AQ2427" s="11"/>
      <c r="AR2427" s="11"/>
      <c r="AS2427" s="11"/>
      <c r="AT2427" s="11"/>
      <c r="AU2427" s="11"/>
      <c r="AV2427" s="11"/>
      <c r="AW2427" s="11"/>
      <c r="AX2427" s="11"/>
      <c r="AY2427" s="11"/>
    </row>
    <row r="2428" spans="1:51" hidden="1" x14ac:dyDescent="0.2">
      <c r="A2428" s="6"/>
      <c r="E2428" s="2"/>
      <c r="F2428" s="3"/>
      <c r="G2428" s="3"/>
      <c r="P2428" s="8"/>
      <c r="Q2428" s="11"/>
      <c r="R2428" s="11"/>
      <c r="S2428" s="11"/>
      <c r="T2428" s="11"/>
      <c r="U2428" s="11"/>
      <c r="V2428" s="11"/>
      <c r="W2428" s="11"/>
      <c r="X2428" s="11"/>
      <c r="Y2428" s="11"/>
      <c r="Z2428" s="11"/>
      <c r="AA2428" s="11"/>
      <c r="AB2428" s="11"/>
      <c r="AC2428" s="11"/>
      <c r="AD2428" s="11"/>
      <c r="AE2428" s="11"/>
      <c r="AF2428" s="11"/>
      <c r="AG2428" s="11"/>
      <c r="AH2428" s="11"/>
      <c r="AI2428" s="11"/>
      <c r="AJ2428" s="11"/>
      <c r="AK2428" s="11"/>
      <c r="AL2428" s="11"/>
      <c r="AM2428" s="11"/>
      <c r="AN2428" s="11"/>
      <c r="AO2428" s="11"/>
      <c r="AP2428" s="11"/>
      <c r="AQ2428" s="11"/>
      <c r="AR2428" s="11"/>
      <c r="AS2428" s="11"/>
      <c r="AT2428" s="11"/>
      <c r="AU2428" s="11"/>
      <c r="AV2428" s="11"/>
      <c r="AW2428" s="11"/>
      <c r="AX2428" s="11"/>
      <c r="AY2428" s="11"/>
    </row>
    <row r="2429" spans="1:51" hidden="1" x14ac:dyDescent="0.2">
      <c r="A2429" s="6" t="s">
        <v>17</v>
      </c>
      <c r="B2429" t="s">
        <v>132</v>
      </c>
      <c r="C2429" t="s">
        <v>133</v>
      </c>
      <c r="D2429" t="s">
        <v>3056</v>
      </c>
      <c r="E2429" s="2">
        <v>14.95</v>
      </c>
      <c r="F2429" s="3">
        <f t="shared" si="212"/>
        <v>45926</v>
      </c>
      <c r="G2429" s="3">
        <f t="shared" si="212"/>
        <v>45926</v>
      </c>
      <c r="H2429">
        <v>2882846350</v>
      </c>
      <c r="I2429" t="s">
        <v>192</v>
      </c>
      <c r="K2429" t="s">
        <v>22</v>
      </c>
      <c r="L2429" t="s">
        <v>23</v>
      </c>
      <c r="M2429" t="s">
        <v>24</v>
      </c>
      <c r="N2429" t="s">
        <v>24</v>
      </c>
      <c r="O2429" t="s">
        <v>25</v>
      </c>
      <c r="P2429" s="8" t="s">
        <v>3057</v>
      </c>
      <c r="Q2429" s="11"/>
      <c r="R2429" s="11"/>
      <c r="S2429" s="11"/>
      <c r="T2429" s="11"/>
      <c r="U2429" s="11"/>
      <c r="V2429" s="11"/>
      <c r="W2429" s="11"/>
      <c r="X2429" s="11"/>
      <c r="Y2429" s="11"/>
      <c r="Z2429" s="11"/>
      <c r="AA2429" s="11"/>
      <c r="AB2429" s="11"/>
      <c r="AC2429" s="11"/>
      <c r="AD2429" s="11"/>
      <c r="AE2429" s="11"/>
      <c r="AF2429" s="11"/>
      <c r="AG2429" s="11"/>
      <c r="AH2429" s="11"/>
      <c r="AI2429" s="11"/>
      <c r="AJ2429" s="11"/>
      <c r="AK2429" s="11"/>
      <c r="AL2429" s="11"/>
      <c r="AM2429" s="11"/>
      <c r="AN2429" s="11"/>
      <c r="AO2429" s="11"/>
      <c r="AP2429" s="11"/>
      <c r="AQ2429" s="11"/>
      <c r="AR2429" s="11"/>
      <c r="AS2429" s="11"/>
      <c r="AT2429" s="11"/>
      <c r="AU2429" s="11"/>
      <c r="AV2429" s="11"/>
      <c r="AW2429" s="11"/>
      <c r="AX2429" s="11"/>
      <c r="AY2429" s="11"/>
    </row>
    <row r="2430" spans="1:51" hidden="1" x14ac:dyDescent="0.2">
      <c r="A2430" s="6"/>
      <c r="E2430" s="2"/>
      <c r="F2430" s="3"/>
      <c r="G2430" s="3"/>
      <c r="P2430" s="8"/>
      <c r="Q2430" s="11"/>
      <c r="R2430" s="11"/>
      <c r="S2430" s="11"/>
      <c r="T2430" s="11"/>
      <c r="U2430" s="11"/>
      <c r="V2430" s="11"/>
      <c r="W2430" s="11"/>
      <c r="X2430" s="11"/>
      <c r="Y2430" s="11"/>
      <c r="Z2430" s="11"/>
      <c r="AA2430" s="11"/>
      <c r="AB2430" s="11"/>
      <c r="AC2430" s="11"/>
      <c r="AD2430" s="11"/>
      <c r="AE2430" s="11"/>
      <c r="AF2430" s="11"/>
      <c r="AG2430" s="11"/>
      <c r="AH2430" s="11"/>
      <c r="AI2430" s="11"/>
      <c r="AJ2430" s="11"/>
      <c r="AK2430" s="11"/>
      <c r="AL2430" s="11"/>
      <c r="AM2430" s="11"/>
      <c r="AN2430" s="11"/>
      <c r="AO2430" s="11"/>
      <c r="AP2430" s="11"/>
      <c r="AQ2430" s="11"/>
      <c r="AR2430" s="11"/>
      <c r="AS2430" s="11"/>
      <c r="AT2430" s="11"/>
      <c r="AU2430" s="11"/>
      <c r="AV2430" s="11"/>
      <c r="AW2430" s="11"/>
      <c r="AX2430" s="11"/>
      <c r="AY2430" s="11"/>
    </row>
    <row r="2431" spans="1:51" hidden="1" x14ac:dyDescent="0.2">
      <c r="A2431" s="6"/>
      <c r="E2431" s="2"/>
      <c r="F2431" s="3"/>
      <c r="G2431" s="3"/>
      <c r="P2431" s="8"/>
      <c r="Q2431" s="11"/>
      <c r="R2431" s="11"/>
      <c r="S2431" s="11"/>
      <c r="T2431" s="11"/>
      <c r="U2431" s="11"/>
      <c r="V2431" s="11"/>
      <c r="W2431" s="11"/>
      <c r="X2431" s="11"/>
      <c r="Y2431" s="11"/>
      <c r="Z2431" s="11"/>
      <c r="AA2431" s="11"/>
      <c r="AB2431" s="11"/>
      <c r="AC2431" s="11"/>
      <c r="AD2431" s="11"/>
      <c r="AE2431" s="11"/>
      <c r="AF2431" s="11"/>
      <c r="AG2431" s="11"/>
      <c r="AH2431" s="11"/>
      <c r="AI2431" s="11"/>
      <c r="AJ2431" s="11"/>
      <c r="AK2431" s="11"/>
      <c r="AL2431" s="11"/>
      <c r="AM2431" s="11"/>
      <c r="AN2431" s="11"/>
      <c r="AO2431" s="11"/>
      <c r="AP2431" s="11"/>
      <c r="AQ2431" s="11"/>
      <c r="AR2431" s="11"/>
      <c r="AS2431" s="11"/>
      <c r="AT2431" s="11"/>
      <c r="AU2431" s="11"/>
      <c r="AV2431" s="11"/>
      <c r="AW2431" s="11"/>
      <c r="AX2431" s="11"/>
      <c r="AY2431" s="11"/>
    </row>
    <row r="2432" spans="1:51" hidden="1" x14ac:dyDescent="0.2">
      <c r="A2432" s="6"/>
      <c r="E2432" s="2"/>
      <c r="F2432" s="3"/>
      <c r="G2432" s="3"/>
      <c r="P2432" s="8"/>
      <c r="Q2432" s="11"/>
      <c r="R2432" s="11"/>
      <c r="S2432" s="11"/>
      <c r="T2432" s="11"/>
      <c r="U2432" s="11"/>
      <c r="V2432" s="11"/>
      <c r="W2432" s="11"/>
      <c r="X2432" s="11"/>
      <c r="Y2432" s="11"/>
      <c r="Z2432" s="11"/>
      <c r="AA2432" s="11"/>
      <c r="AB2432" s="11"/>
      <c r="AC2432" s="11"/>
      <c r="AD2432" s="11"/>
      <c r="AE2432" s="11"/>
      <c r="AF2432" s="11"/>
      <c r="AG2432" s="11"/>
      <c r="AH2432" s="11"/>
      <c r="AI2432" s="11"/>
      <c r="AJ2432" s="11"/>
      <c r="AK2432" s="11"/>
      <c r="AL2432" s="11"/>
      <c r="AM2432" s="11"/>
      <c r="AN2432" s="11"/>
      <c r="AO2432" s="11"/>
      <c r="AP2432" s="11"/>
      <c r="AQ2432" s="11"/>
      <c r="AR2432" s="11"/>
      <c r="AS2432" s="11"/>
      <c r="AT2432" s="11"/>
      <c r="AU2432" s="11"/>
      <c r="AV2432" s="11"/>
      <c r="AW2432" s="11"/>
      <c r="AX2432" s="11"/>
      <c r="AY2432" s="11"/>
    </row>
    <row r="2433" spans="1:51" hidden="1" x14ac:dyDescent="0.2">
      <c r="A2433" s="6"/>
      <c r="E2433" s="2"/>
      <c r="F2433" s="3"/>
      <c r="G2433" s="3"/>
      <c r="P2433" s="8"/>
      <c r="Q2433" s="11"/>
      <c r="R2433" s="11"/>
      <c r="S2433" s="11"/>
      <c r="T2433" s="11"/>
      <c r="U2433" s="11"/>
      <c r="V2433" s="11"/>
      <c r="W2433" s="11"/>
      <c r="X2433" s="11"/>
      <c r="Y2433" s="11"/>
      <c r="Z2433" s="11"/>
      <c r="AA2433" s="11"/>
      <c r="AB2433" s="11"/>
      <c r="AC2433" s="11"/>
      <c r="AD2433" s="11"/>
      <c r="AE2433" s="11"/>
      <c r="AF2433" s="11"/>
      <c r="AG2433" s="11"/>
      <c r="AH2433" s="11"/>
      <c r="AI2433" s="11"/>
      <c r="AJ2433" s="11"/>
      <c r="AK2433" s="11"/>
      <c r="AL2433" s="11"/>
      <c r="AM2433" s="11"/>
      <c r="AN2433" s="11"/>
      <c r="AO2433" s="11"/>
      <c r="AP2433" s="11"/>
      <c r="AQ2433" s="11"/>
      <c r="AR2433" s="11"/>
      <c r="AS2433" s="11"/>
      <c r="AT2433" s="11"/>
      <c r="AU2433" s="11"/>
      <c r="AV2433" s="11"/>
      <c r="AW2433" s="11"/>
      <c r="AX2433" s="11"/>
      <c r="AY2433" s="11"/>
    </row>
    <row r="2434" spans="1:51" hidden="1" x14ac:dyDescent="0.2">
      <c r="A2434" s="6" t="s">
        <v>17</v>
      </c>
      <c r="B2434" t="s">
        <v>244</v>
      </c>
      <c r="C2434" t="s">
        <v>245</v>
      </c>
      <c r="D2434" t="s">
        <v>3058</v>
      </c>
      <c r="E2434" s="2">
        <v>1640.26</v>
      </c>
      <c r="F2434" s="3">
        <f>DATE(2025,9,29)</f>
        <v>45929</v>
      </c>
      <c r="G2434" s="3">
        <f>DATE(2025,9,29)</f>
        <v>45929</v>
      </c>
      <c r="H2434">
        <v>2893309563</v>
      </c>
      <c r="I2434" t="s">
        <v>21</v>
      </c>
      <c r="K2434" t="s">
        <v>22</v>
      </c>
      <c r="L2434" t="s">
        <v>23</v>
      </c>
      <c r="M2434" t="s">
        <v>24</v>
      </c>
      <c r="N2434" t="s">
        <v>24</v>
      </c>
      <c r="O2434" t="s">
        <v>25</v>
      </c>
      <c r="P2434" s="8" t="s">
        <v>3059</v>
      </c>
      <c r="Q2434" s="11"/>
      <c r="R2434" s="11"/>
      <c r="S2434" s="11"/>
      <c r="T2434" s="11"/>
      <c r="U2434" s="11"/>
      <c r="V2434" s="11"/>
      <c r="W2434" s="11"/>
      <c r="X2434" s="11"/>
      <c r="Y2434" s="11"/>
      <c r="Z2434" s="11"/>
      <c r="AA2434" s="11"/>
      <c r="AB2434" s="11"/>
      <c r="AC2434" s="11"/>
      <c r="AD2434" s="11"/>
      <c r="AE2434" s="11"/>
      <c r="AF2434" s="11"/>
      <c r="AG2434" s="11"/>
      <c r="AH2434" s="11"/>
      <c r="AI2434" s="11"/>
      <c r="AJ2434" s="11"/>
      <c r="AK2434" s="11"/>
      <c r="AL2434" s="11"/>
      <c r="AM2434" s="11"/>
      <c r="AN2434" s="11"/>
      <c r="AO2434" s="11"/>
      <c r="AP2434" s="11"/>
      <c r="AQ2434" s="11"/>
      <c r="AR2434" s="11"/>
      <c r="AS2434" s="11"/>
      <c r="AT2434" s="11"/>
      <c r="AU2434" s="11"/>
      <c r="AV2434" s="11"/>
      <c r="AW2434" s="11"/>
      <c r="AX2434" s="11"/>
      <c r="AY2434" s="11"/>
    </row>
    <row r="2435" spans="1:51" hidden="1" x14ac:dyDescent="0.2">
      <c r="A2435" s="6" t="s">
        <v>17</v>
      </c>
      <c r="B2435" t="s">
        <v>42</v>
      </c>
      <c r="C2435" t="s">
        <v>43</v>
      </c>
      <c r="D2435" t="s">
        <v>3060</v>
      </c>
      <c r="E2435" s="2">
        <v>190.08</v>
      </c>
      <c r="F2435" s="3">
        <f t="shared" ref="F2435:G2437" si="213">DATE(2025,9,30)</f>
        <v>45930</v>
      </c>
      <c r="G2435" s="3">
        <f t="shared" si="213"/>
        <v>45930</v>
      </c>
      <c r="H2435">
        <v>2901783727</v>
      </c>
      <c r="I2435" t="s">
        <v>21</v>
      </c>
      <c r="K2435" t="s">
        <v>22</v>
      </c>
      <c r="L2435" t="s">
        <v>23</v>
      </c>
      <c r="M2435" t="s">
        <v>24</v>
      </c>
      <c r="N2435" t="s">
        <v>24</v>
      </c>
      <c r="O2435" t="s">
        <v>25</v>
      </c>
      <c r="P2435" s="8" t="s">
        <v>3061</v>
      </c>
      <c r="Q2435" s="11"/>
      <c r="R2435" s="11"/>
      <c r="S2435" s="11"/>
      <c r="T2435" s="11"/>
      <c r="U2435" s="11"/>
      <c r="V2435" s="11"/>
      <c r="W2435" s="11"/>
      <c r="X2435" s="11"/>
      <c r="Y2435" s="11"/>
      <c r="Z2435" s="11"/>
      <c r="AA2435" s="11"/>
      <c r="AB2435" s="11"/>
      <c r="AC2435" s="11"/>
      <c r="AD2435" s="11"/>
      <c r="AE2435" s="11"/>
      <c r="AF2435" s="11"/>
      <c r="AG2435" s="11"/>
      <c r="AH2435" s="11"/>
      <c r="AI2435" s="11"/>
      <c r="AJ2435" s="11"/>
      <c r="AK2435" s="11"/>
      <c r="AL2435" s="11"/>
      <c r="AM2435" s="11"/>
      <c r="AN2435" s="11"/>
      <c r="AO2435" s="11"/>
      <c r="AP2435" s="11"/>
      <c r="AQ2435" s="11"/>
      <c r="AR2435" s="11"/>
      <c r="AS2435" s="11"/>
      <c r="AT2435" s="11"/>
      <c r="AU2435" s="11"/>
      <c r="AV2435" s="11"/>
      <c r="AW2435" s="11"/>
      <c r="AX2435" s="11"/>
      <c r="AY2435" s="11"/>
    </row>
    <row r="2436" spans="1:51" hidden="1" x14ac:dyDescent="0.2">
      <c r="A2436" s="6" t="s">
        <v>17</v>
      </c>
      <c r="B2436" t="s">
        <v>565</v>
      </c>
      <c r="C2436" t="s">
        <v>566</v>
      </c>
      <c r="D2436" t="s">
        <v>3062</v>
      </c>
      <c r="E2436" s="2">
        <v>767.7</v>
      </c>
      <c r="F2436" s="3">
        <f t="shared" si="213"/>
        <v>45930</v>
      </c>
      <c r="G2436" s="3">
        <f t="shared" si="213"/>
        <v>45930</v>
      </c>
      <c r="H2436">
        <v>2901783736</v>
      </c>
      <c r="I2436" t="s">
        <v>21</v>
      </c>
      <c r="K2436" t="s">
        <v>22</v>
      </c>
      <c r="L2436" t="s">
        <v>23</v>
      </c>
      <c r="M2436" t="s">
        <v>24</v>
      </c>
      <c r="N2436" t="s">
        <v>24</v>
      </c>
      <c r="O2436" t="s">
        <v>25</v>
      </c>
      <c r="P2436" s="8" t="s">
        <v>3063</v>
      </c>
      <c r="Q2436" s="11"/>
      <c r="R2436" s="11"/>
      <c r="S2436" s="11"/>
      <c r="T2436" s="11"/>
      <c r="U2436" s="11"/>
      <c r="V2436" s="11"/>
      <c r="W2436" s="11"/>
      <c r="X2436" s="11"/>
      <c r="Y2436" s="11"/>
      <c r="Z2436" s="11"/>
      <c r="AA2436" s="11"/>
      <c r="AB2436" s="11"/>
      <c r="AC2436" s="11"/>
      <c r="AD2436" s="11"/>
      <c r="AE2436" s="11"/>
      <c r="AF2436" s="11"/>
      <c r="AG2436" s="11"/>
      <c r="AH2436" s="11"/>
      <c r="AI2436" s="11"/>
      <c r="AJ2436" s="11"/>
      <c r="AK2436" s="11"/>
      <c r="AL2436" s="11"/>
      <c r="AM2436" s="11"/>
      <c r="AN2436" s="11"/>
      <c r="AO2436" s="11"/>
      <c r="AP2436" s="11"/>
      <c r="AQ2436" s="11"/>
      <c r="AR2436" s="11"/>
      <c r="AS2436" s="11"/>
      <c r="AT2436" s="11"/>
      <c r="AU2436" s="11"/>
      <c r="AV2436" s="11"/>
      <c r="AW2436" s="11"/>
      <c r="AX2436" s="11"/>
      <c r="AY2436" s="11"/>
    </row>
    <row r="2437" spans="1:51" hidden="1" x14ac:dyDescent="0.2">
      <c r="A2437" s="6" t="s">
        <v>17</v>
      </c>
      <c r="B2437" t="s">
        <v>1048</v>
      </c>
      <c r="C2437" t="s">
        <v>1049</v>
      </c>
      <c r="D2437" t="s">
        <v>3064</v>
      </c>
      <c r="E2437" s="2">
        <v>1213.42</v>
      </c>
      <c r="F2437" s="3">
        <f t="shared" si="213"/>
        <v>45930</v>
      </c>
      <c r="G2437" s="3">
        <f t="shared" si="213"/>
        <v>45930</v>
      </c>
      <c r="H2437">
        <v>2901783739</v>
      </c>
      <c r="I2437" t="s">
        <v>21</v>
      </c>
      <c r="K2437" t="s">
        <v>22</v>
      </c>
      <c r="L2437" t="s">
        <v>23</v>
      </c>
      <c r="M2437" t="s">
        <v>24</v>
      </c>
      <c r="N2437" t="s">
        <v>24</v>
      </c>
      <c r="O2437" t="s">
        <v>25</v>
      </c>
      <c r="P2437" s="8" t="s">
        <v>3065</v>
      </c>
      <c r="Q2437" s="11"/>
      <c r="R2437" s="11"/>
      <c r="S2437" s="11"/>
      <c r="T2437" s="11"/>
      <c r="U2437" s="11"/>
      <c r="V2437" s="11"/>
      <c r="W2437" s="11"/>
      <c r="X2437" s="11"/>
      <c r="Y2437" s="11"/>
      <c r="Z2437" s="11"/>
      <c r="AA2437" s="11"/>
      <c r="AB2437" s="11"/>
      <c r="AC2437" s="11"/>
      <c r="AD2437" s="11"/>
      <c r="AE2437" s="11"/>
      <c r="AF2437" s="11"/>
      <c r="AG2437" s="11"/>
      <c r="AH2437" s="11"/>
      <c r="AI2437" s="11"/>
      <c r="AJ2437" s="11"/>
      <c r="AK2437" s="11"/>
      <c r="AL2437" s="11"/>
      <c r="AM2437" s="11"/>
      <c r="AN2437" s="11"/>
      <c r="AO2437" s="11"/>
      <c r="AP2437" s="11"/>
      <c r="AQ2437" s="11"/>
      <c r="AR2437" s="11"/>
      <c r="AS2437" s="11"/>
      <c r="AT2437" s="11"/>
      <c r="AU2437" s="11"/>
      <c r="AV2437" s="11"/>
      <c r="AW2437" s="11"/>
      <c r="AX2437" s="11"/>
      <c r="AY2437" s="11"/>
    </row>
    <row r="2438" spans="1:51" hidden="1" x14ac:dyDescent="0.2">
      <c r="A2438" s="6"/>
      <c r="E2438" s="2"/>
      <c r="F2438" s="3"/>
      <c r="G2438" s="3"/>
      <c r="P2438" s="8"/>
      <c r="Q2438" s="11"/>
      <c r="R2438" s="11"/>
      <c r="S2438" s="11"/>
      <c r="T2438" s="11"/>
      <c r="U2438" s="11"/>
      <c r="V2438" s="11"/>
      <c r="W2438" s="11"/>
      <c r="X2438" s="11"/>
      <c r="Y2438" s="11"/>
      <c r="Z2438" s="11"/>
      <c r="AA2438" s="11"/>
      <c r="AB2438" s="11"/>
      <c r="AC2438" s="11"/>
      <c r="AD2438" s="11"/>
      <c r="AE2438" s="11"/>
      <c r="AF2438" s="11"/>
      <c r="AG2438" s="11"/>
      <c r="AH2438" s="11"/>
      <c r="AI2438" s="11"/>
      <c r="AJ2438" s="11"/>
      <c r="AK2438" s="11"/>
      <c r="AL2438" s="11"/>
      <c r="AM2438" s="11"/>
      <c r="AN2438" s="11"/>
      <c r="AO2438" s="11"/>
      <c r="AP2438" s="11"/>
      <c r="AQ2438" s="11"/>
      <c r="AR2438" s="11"/>
      <c r="AS2438" s="11"/>
      <c r="AT2438" s="11"/>
      <c r="AU2438" s="11"/>
      <c r="AV2438" s="11"/>
      <c r="AW2438" s="11"/>
      <c r="AX2438" s="11"/>
      <c r="AY2438" s="11"/>
    </row>
    <row r="2439" spans="1:51" hidden="1" x14ac:dyDescent="0.2">
      <c r="A2439" s="6"/>
      <c r="E2439" s="2"/>
      <c r="F2439" s="3"/>
      <c r="G2439" s="3"/>
      <c r="P2439" s="8"/>
      <c r="Q2439" s="11"/>
      <c r="R2439" s="11"/>
      <c r="S2439" s="11"/>
      <c r="T2439" s="11"/>
      <c r="U2439" s="11"/>
      <c r="V2439" s="11"/>
      <c r="W2439" s="11"/>
      <c r="X2439" s="11"/>
      <c r="Y2439" s="11"/>
      <c r="Z2439" s="11"/>
      <c r="AA2439" s="11"/>
      <c r="AB2439" s="11"/>
      <c r="AC2439" s="11"/>
      <c r="AD2439" s="11"/>
      <c r="AE2439" s="11"/>
      <c r="AF2439" s="11"/>
      <c r="AG2439" s="11"/>
      <c r="AH2439" s="11"/>
      <c r="AI2439" s="11"/>
      <c r="AJ2439" s="11"/>
      <c r="AK2439" s="11"/>
      <c r="AL2439" s="11"/>
      <c r="AM2439" s="11"/>
      <c r="AN2439" s="11"/>
      <c r="AO2439" s="11"/>
      <c r="AP2439" s="11"/>
      <c r="AQ2439" s="11"/>
      <c r="AR2439" s="11"/>
      <c r="AS2439" s="11"/>
      <c r="AT2439" s="11"/>
      <c r="AU2439" s="11"/>
      <c r="AV2439" s="11"/>
      <c r="AW2439" s="11"/>
      <c r="AX2439" s="11"/>
      <c r="AY2439" s="11"/>
    </row>
    <row r="2440" spans="1:51" hidden="1" x14ac:dyDescent="0.2">
      <c r="A2440" s="6"/>
      <c r="E2440" s="2"/>
      <c r="F2440" s="3"/>
      <c r="G2440" s="3"/>
      <c r="P2440" s="8"/>
      <c r="Q2440" s="11"/>
      <c r="R2440" s="11"/>
      <c r="S2440" s="11"/>
      <c r="T2440" s="11"/>
      <c r="U2440" s="11"/>
      <c r="V2440" s="11"/>
      <c r="W2440" s="11"/>
      <c r="X2440" s="11"/>
      <c r="Y2440" s="11"/>
      <c r="Z2440" s="11"/>
      <c r="AA2440" s="11"/>
      <c r="AB2440" s="11"/>
      <c r="AC2440" s="11"/>
      <c r="AD2440" s="11"/>
      <c r="AE2440" s="11"/>
      <c r="AF2440" s="11"/>
      <c r="AG2440" s="11"/>
      <c r="AH2440" s="11"/>
      <c r="AI2440" s="11"/>
      <c r="AJ2440" s="11"/>
      <c r="AK2440" s="11"/>
      <c r="AL2440" s="11"/>
      <c r="AM2440" s="11"/>
      <c r="AN2440" s="11"/>
      <c r="AO2440" s="11"/>
      <c r="AP2440" s="11"/>
      <c r="AQ2440" s="11"/>
      <c r="AR2440" s="11"/>
      <c r="AS2440" s="11"/>
      <c r="AT2440" s="11"/>
      <c r="AU2440" s="11"/>
      <c r="AV2440" s="11"/>
      <c r="AW2440" s="11"/>
      <c r="AX2440" s="11"/>
      <c r="AY2440" s="11"/>
    </row>
    <row r="2441" spans="1:51" hidden="1" x14ac:dyDescent="0.2">
      <c r="A2441" s="6"/>
      <c r="E2441" s="2"/>
      <c r="F2441" s="3"/>
      <c r="G2441" s="3"/>
      <c r="P2441" s="8"/>
      <c r="Q2441" s="11"/>
      <c r="R2441" s="11"/>
      <c r="S2441" s="11"/>
      <c r="T2441" s="11"/>
      <c r="U2441" s="11"/>
      <c r="V2441" s="11"/>
      <c r="W2441" s="11"/>
      <c r="X2441" s="11"/>
      <c r="Y2441" s="11"/>
      <c r="Z2441" s="11"/>
      <c r="AA2441" s="11"/>
      <c r="AB2441" s="11"/>
      <c r="AC2441" s="11"/>
      <c r="AD2441" s="11"/>
      <c r="AE2441" s="11"/>
      <c r="AF2441" s="11"/>
      <c r="AG2441" s="11"/>
      <c r="AH2441" s="11"/>
      <c r="AI2441" s="11"/>
      <c r="AJ2441" s="11"/>
      <c r="AK2441" s="11"/>
      <c r="AL2441" s="11"/>
      <c r="AM2441" s="11"/>
      <c r="AN2441" s="11"/>
      <c r="AO2441" s="11"/>
      <c r="AP2441" s="11"/>
      <c r="AQ2441" s="11"/>
      <c r="AR2441" s="11"/>
      <c r="AS2441" s="11"/>
      <c r="AT2441" s="11"/>
      <c r="AU2441" s="11"/>
      <c r="AV2441" s="11"/>
      <c r="AW2441" s="11"/>
      <c r="AX2441" s="11"/>
      <c r="AY2441" s="11"/>
    </row>
    <row r="2442" spans="1:51" hidden="1" x14ac:dyDescent="0.2">
      <c r="A2442" s="6"/>
      <c r="E2442" s="2"/>
      <c r="F2442" s="3"/>
      <c r="G2442" s="3"/>
      <c r="P2442" s="8"/>
      <c r="Q2442" s="11"/>
      <c r="R2442" s="11"/>
      <c r="S2442" s="11"/>
      <c r="T2442" s="11"/>
      <c r="U2442" s="11"/>
      <c r="V2442" s="11"/>
      <c r="W2442" s="11"/>
      <c r="X2442" s="11"/>
      <c r="Y2442" s="11"/>
      <c r="Z2442" s="11"/>
      <c r="AA2442" s="11"/>
      <c r="AB2442" s="11"/>
      <c r="AC2442" s="11"/>
      <c r="AD2442" s="11"/>
      <c r="AE2442" s="11"/>
      <c r="AF2442" s="11"/>
      <c r="AG2442" s="11"/>
      <c r="AH2442" s="11"/>
      <c r="AI2442" s="11"/>
      <c r="AJ2442" s="11"/>
      <c r="AK2442" s="11"/>
      <c r="AL2442" s="11"/>
      <c r="AM2442" s="11"/>
      <c r="AN2442" s="11"/>
      <c r="AO2442" s="11"/>
      <c r="AP2442" s="11"/>
      <c r="AQ2442" s="11"/>
      <c r="AR2442" s="11"/>
      <c r="AS2442" s="11"/>
      <c r="AT2442" s="11"/>
      <c r="AU2442" s="11"/>
      <c r="AV2442" s="11"/>
      <c r="AW2442" s="11"/>
      <c r="AX2442" s="11"/>
      <c r="AY2442" s="11"/>
    </row>
    <row r="2443" spans="1:51" hidden="1" x14ac:dyDescent="0.2">
      <c r="A2443" s="6" t="s">
        <v>17</v>
      </c>
      <c r="B2443" t="s">
        <v>287</v>
      </c>
      <c r="C2443" t="s">
        <v>288</v>
      </c>
      <c r="D2443" t="s">
        <v>3066</v>
      </c>
      <c r="E2443" s="2">
        <v>30975</v>
      </c>
      <c r="F2443" s="3">
        <f t="shared" ref="F2443:G2443" si="214">DATE(2025,9,29)</f>
        <v>45929</v>
      </c>
      <c r="G2443" s="3">
        <f t="shared" si="214"/>
        <v>45929</v>
      </c>
      <c r="H2443">
        <v>2901783750</v>
      </c>
      <c r="I2443" t="s">
        <v>21</v>
      </c>
      <c r="K2443" t="s">
        <v>22</v>
      </c>
      <c r="L2443" t="s">
        <v>23</v>
      </c>
      <c r="M2443" t="s">
        <v>24</v>
      </c>
      <c r="N2443" t="s">
        <v>24</v>
      </c>
      <c r="O2443" t="s">
        <v>25</v>
      </c>
      <c r="P2443" s="8" t="s">
        <v>3067</v>
      </c>
      <c r="Q2443" s="11"/>
      <c r="R2443" s="11"/>
      <c r="S2443" s="11"/>
      <c r="T2443" s="11"/>
      <c r="U2443" s="11"/>
      <c r="V2443" s="11"/>
      <c r="W2443" s="11"/>
      <c r="X2443" s="11"/>
      <c r="Y2443" s="11"/>
      <c r="Z2443" s="11"/>
      <c r="AA2443" s="11"/>
      <c r="AB2443" s="11"/>
      <c r="AC2443" s="11"/>
      <c r="AD2443" s="11"/>
      <c r="AE2443" s="11"/>
      <c r="AF2443" s="11"/>
      <c r="AG2443" s="11"/>
      <c r="AH2443" s="11"/>
      <c r="AI2443" s="11"/>
      <c r="AJ2443" s="11"/>
      <c r="AK2443" s="11"/>
      <c r="AL2443" s="11"/>
      <c r="AM2443" s="11"/>
      <c r="AN2443" s="11"/>
      <c r="AO2443" s="11"/>
      <c r="AP2443" s="11"/>
      <c r="AQ2443" s="11"/>
      <c r="AR2443" s="11"/>
      <c r="AS2443" s="11"/>
      <c r="AT2443" s="11"/>
      <c r="AU2443" s="11"/>
      <c r="AV2443" s="11"/>
      <c r="AW2443" s="11"/>
      <c r="AX2443" s="11"/>
      <c r="AY2443" s="11"/>
    </row>
    <row r="2444" spans="1:51" hidden="1" x14ac:dyDescent="0.2">
      <c r="A2444" s="6" t="s">
        <v>17</v>
      </c>
      <c r="B2444" t="s">
        <v>118</v>
      </c>
      <c r="C2444" t="s">
        <v>119</v>
      </c>
      <c r="D2444" t="s">
        <v>3068</v>
      </c>
      <c r="E2444" s="2">
        <v>1175.6400000000001</v>
      </c>
      <c r="F2444" s="3">
        <f t="shared" ref="F2444:G2447" si="215">DATE(2025,9,30)</f>
        <v>45930</v>
      </c>
      <c r="G2444" s="3">
        <f t="shared" si="215"/>
        <v>45930</v>
      </c>
      <c r="H2444">
        <v>2901783751</v>
      </c>
      <c r="I2444" t="s">
        <v>21</v>
      </c>
      <c r="K2444" t="s">
        <v>22</v>
      </c>
      <c r="L2444" t="s">
        <v>23</v>
      </c>
      <c r="M2444" t="s">
        <v>24</v>
      </c>
      <c r="N2444" t="s">
        <v>24</v>
      </c>
      <c r="O2444" t="s">
        <v>25</v>
      </c>
      <c r="P2444" s="8" t="s">
        <v>3069</v>
      </c>
      <c r="Q2444" s="11"/>
      <c r="R2444" s="11"/>
      <c r="S2444" s="11"/>
      <c r="T2444" s="11"/>
      <c r="U2444" s="11"/>
      <c r="V2444" s="11"/>
      <c r="W2444" s="11"/>
      <c r="X2444" s="11"/>
      <c r="Y2444" s="11"/>
      <c r="Z2444" s="11"/>
      <c r="AA2444" s="11"/>
      <c r="AB2444" s="11"/>
      <c r="AC2444" s="11"/>
      <c r="AD2444" s="11"/>
      <c r="AE2444" s="11"/>
      <c r="AF2444" s="11"/>
      <c r="AG2444" s="11"/>
      <c r="AH2444" s="11"/>
      <c r="AI2444" s="11"/>
      <c r="AJ2444" s="11"/>
      <c r="AK2444" s="11"/>
      <c r="AL2444" s="11"/>
      <c r="AM2444" s="11"/>
      <c r="AN2444" s="11"/>
      <c r="AO2444" s="11"/>
      <c r="AP2444" s="11"/>
      <c r="AQ2444" s="11"/>
      <c r="AR2444" s="11"/>
      <c r="AS2444" s="11"/>
      <c r="AT2444" s="11"/>
      <c r="AU2444" s="11"/>
      <c r="AV2444" s="11"/>
      <c r="AW2444" s="11"/>
      <c r="AX2444" s="11"/>
      <c r="AY2444" s="11"/>
    </row>
    <row r="2445" spans="1:51" hidden="1" x14ac:dyDescent="0.2">
      <c r="A2445" s="6" t="s">
        <v>17</v>
      </c>
      <c r="B2445" t="s">
        <v>50</v>
      </c>
      <c r="C2445" t="s">
        <v>51</v>
      </c>
      <c r="D2445" t="s">
        <v>3070</v>
      </c>
      <c r="E2445" s="2">
        <v>2048.5300000000002</v>
      </c>
      <c r="F2445" s="3">
        <f t="shared" si="215"/>
        <v>45930</v>
      </c>
      <c r="G2445" s="3">
        <f t="shared" si="215"/>
        <v>45930</v>
      </c>
      <c r="H2445">
        <v>2901783752</v>
      </c>
      <c r="I2445" t="s">
        <v>21</v>
      </c>
      <c r="K2445" t="s">
        <v>22</v>
      </c>
      <c r="L2445" t="s">
        <v>23</v>
      </c>
      <c r="M2445" t="s">
        <v>24</v>
      </c>
      <c r="N2445" t="s">
        <v>24</v>
      </c>
      <c r="O2445" t="s">
        <v>25</v>
      </c>
      <c r="P2445" s="8" t="s">
        <v>3071</v>
      </c>
      <c r="Q2445" s="11"/>
      <c r="R2445" s="11"/>
      <c r="S2445" s="11"/>
      <c r="T2445" s="11"/>
      <c r="U2445" s="11"/>
      <c r="V2445" s="11"/>
      <c r="W2445" s="11"/>
      <c r="X2445" s="11"/>
      <c r="Y2445" s="11"/>
      <c r="Z2445" s="11"/>
      <c r="AA2445" s="11"/>
      <c r="AB2445" s="11"/>
      <c r="AC2445" s="11"/>
      <c r="AD2445" s="11"/>
      <c r="AE2445" s="11"/>
      <c r="AF2445" s="11"/>
      <c r="AG2445" s="11"/>
      <c r="AH2445" s="11"/>
      <c r="AI2445" s="11"/>
      <c r="AJ2445" s="11"/>
      <c r="AK2445" s="11"/>
      <c r="AL2445" s="11"/>
      <c r="AM2445" s="11"/>
      <c r="AN2445" s="11"/>
      <c r="AO2445" s="11"/>
      <c r="AP2445" s="11"/>
      <c r="AQ2445" s="11"/>
      <c r="AR2445" s="11"/>
      <c r="AS2445" s="11"/>
      <c r="AT2445" s="11"/>
      <c r="AU2445" s="11"/>
      <c r="AV2445" s="11"/>
      <c r="AW2445" s="11"/>
      <c r="AX2445" s="11"/>
      <c r="AY2445" s="11"/>
    </row>
    <row r="2446" spans="1:51" hidden="1" x14ac:dyDescent="0.2">
      <c r="A2446" s="6" t="s">
        <v>17</v>
      </c>
      <c r="B2446" t="s">
        <v>1002</v>
      </c>
      <c r="C2446" t="s">
        <v>1003</v>
      </c>
      <c r="D2446" t="s">
        <v>3072</v>
      </c>
      <c r="E2446" s="2">
        <v>1827.65</v>
      </c>
      <c r="F2446" s="3">
        <f t="shared" si="215"/>
        <v>45930</v>
      </c>
      <c r="G2446" s="3">
        <f t="shared" si="215"/>
        <v>45930</v>
      </c>
      <c r="H2446">
        <v>2901783753</v>
      </c>
      <c r="I2446" t="s">
        <v>21</v>
      </c>
      <c r="K2446" t="s">
        <v>22</v>
      </c>
      <c r="L2446" t="s">
        <v>23</v>
      </c>
      <c r="M2446" t="s">
        <v>24</v>
      </c>
      <c r="N2446" t="s">
        <v>24</v>
      </c>
      <c r="O2446" t="s">
        <v>25</v>
      </c>
      <c r="P2446" s="8" t="s">
        <v>3073</v>
      </c>
      <c r="Q2446" s="11"/>
      <c r="R2446" s="11"/>
      <c r="S2446" s="11"/>
      <c r="T2446" s="11"/>
      <c r="U2446" s="11"/>
      <c r="V2446" s="11"/>
      <c r="W2446" s="11"/>
      <c r="X2446" s="11"/>
      <c r="Y2446" s="11"/>
      <c r="Z2446" s="11"/>
      <c r="AA2446" s="11"/>
      <c r="AB2446" s="11"/>
      <c r="AC2446" s="11"/>
      <c r="AD2446" s="11"/>
      <c r="AE2446" s="11"/>
      <c r="AF2446" s="11"/>
      <c r="AG2446" s="11"/>
      <c r="AH2446" s="11"/>
      <c r="AI2446" s="11"/>
      <c r="AJ2446" s="11"/>
      <c r="AK2446" s="11"/>
      <c r="AL2446" s="11"/>
      <c r="AM2446" s="11"/>
      <c r="AN2446" s="11"/>
      <c r="AO2446" s="11"/>
      <c r="AP2446" s="11"/>
      <c r="AQ2446" s="11"/>
      <c r="AR2446" s="11"/>
      <c r="AS2446" s="11"/>
      <c r="AT2446" s="11"/>
      <c r="AU2446" s="11"/>
      <c r="AV2446" s="11"/>
      <c r="AW2446" s="11"/>
      <c r="AX2446" s="11"/>
      <c r="AY2446" s="11"/>
    </row>
    <row r="2447" spans="1:51" hidden="1" x14ac:dyDescent="0.2">
      <c r="A2447" s="6" t="s">
        <v>17</v>
      </c>
      <c r="B2447" t="s">
        <v>244</v>
      </c>
      <c r="C2447" t="s">
        <v>245</v>
      </c>
      <c r="D2447" t="s">
        <v>3074</v>
      </c>
      <c r="E2447" s="2">
        <v>629.04</v>
      </c>
      <c r="F2447" s="3">
        <f t="shared" si="215"/>
        <v>45930</v>
      </c>
      <c r="G2447" s="3">
        <f t="shared" si="215"/>
        <v>45930</v>
      </c>
      <c r="H2447">
        <v>2901783754</v>
      </c>
      <c r="I2447" t="s">
        <v>21</v>
      </c>
      <c r="K2447" t="s">
        <v>22</v>
      </c>
      <c r="L2447" t="s">
        <v>23</v>
      </c>
      <c r="M2447" t="s">
        <v>24</v>
      </c>
      <c r="N2447" t="s">
        <v>24</v>
      </c>
      <c r="O2447" t="s">
        <v>25</v>
      </c>
      <c r="P2447" s="8" t="s">
        <v>3075</v>
      </c>
      <c r="Q2447" s="11"/>
      <c r="R2447" s="11"/>
      <c r="S2447" s="11"/>
      <c r="T2447" s="11"/>
      <c r="U2447" s="11"/>
      <c r="V2447" s="11"/>
      <c r="W2447" s="11"/>
      <c r="X2447" s="11"/>
      <c r="Y2447" s="11"/>
      <c r="Z2447" s="11"/>
      <c r="AA2447" s="11"/>
      <c r="AB2447" s="11"/>
      <c r="AC2447" s="11"/>
      <c r="AD2447" s="11"/>
      <c r="AE2447" s="11"/>
      <c r="AF2447" s="11"/>
      <c r="AG2447" s="11"/>
      <c r="AH2447" s="11"/>
      <c r="AI2447" s="11"/>
      <c r="AJ2447" s="11"/>
      <c r="AK2447" s="11"/>
      <c r="AL2447" s="11"/>
      <c r="AM2447" s="11"/>
      <c r="AN2447" s="11"/>
      <c r="AO2447" s="11"/>
      <c r="AP2447" s="11"/>
      <c r="AQ2447" s="11"/>
      <c r="AR2447" s="11"/>
      <c r="AS2447" s="11"/>
      <c r="AT2447" s="11"/>
      <c r="AU2447" s="11"/>
      <c r="AV2447" s="11"/>
      <c r="AW2447" s="11"/>
      <c r="AX2447" s="11"/>
      <c r="AY2447" s="11"/>
    </row>
    <row r="2448" spans="1:51" hidden="1" x14ac:dyDescent="0.2">
      <c r="A2448" s="6"/>
      <c r="E2448" s="2"/>
      <c r="F2448" s="3"/>
      <c r="G2448" s="3"/>
      <c r="P2448" s="8"/>
      <c r="Q2448" s="11"/>
      <c r="R2448" s="11"/>
      <c r="S2448" s="11"/>
      <c r="T2448" s="11"/>
      <c r="U2448" s="11"/>
      <c r="V2448" s="11"/>
      <c r="W2448" s="11"/>
      <c r="X2448" s="11"/>
      <c r="Y2448" s="11"/>
      <c r="Z2448" s="11"/>
      <c r="AA2448" s="11"/>
      <c r="AB2448" s="11"/>
      <c r="AC2448" s="11"/>
      <c r="AD2448" s="11"/>
      <c r="AE2448" s="11"/>
      <c r="AF2448" s="11"/>
      <c r="AG2448" s="11"/>
      <c r="AH2448" s="11"/>
      <c r="AI2448" s="11"/>
      <c r="AJ2448" s="11"/>
      <c r="AK2448" s="11"/>
      <c r="AL2448" s="11"/>
      <c r="AM2448" s="11"/>
      <c r="AN2448" s="11"/>
      <c r="AO2448" s="11"/>
      <c r="AP2448" s="11"/>
      <c r="AQ2448" s="11"/>
      <c r="AR2448" s="11"/>
      <c r="AS2448" s="11"/>
      <c r="AT2448" s="11"/>
      <c r="AU2448" s="11"/>
      <c r="AV2448" s="11"/>
      <c r="AW2448" s="11"/>
      <c r="AX2448" s="11"/>
      <c r="AY2448" s="11"/>
    </row>
    <row r="2449" spans="1:51" hidden="1" x14ac:dyDescent="0.2">
      <c r="A2449" s="6"/>
      <c r="E2449" s="2"/>
      <c r="F2449" s="3"/>
      <c r="G2449" s="3"/>
      <c r="P2449" s="8"/>
      <c r="Q2449" s="11"/>
      <c r="R2449" s="11"/>
      <c r="S2449" s="11"/>
      <c r="T2449" s="11"/>
      <c r="U2449" s="11"/>
      <c r="V2449" s="11"/>
      <c r="W2449" s="11"/>
      <c r="X2449" s="11"/>
      <c r="Y2449" s="11"/>
      <c r="Z2449" s="11"/>
      <c r="AA2449" s="11"/>
      <c r="AB2449" s="11"/>
      <c r="AC2449" s="11"/>
      <c r="AD2449" s="11"/>
      <c r="AE2449" s="11"/>
      <c r="AF2449" s="11"/>
      <c r="AG2449" s="11"/>
      <c r="AH2449" s="11"/>
      <c r="AI2449" s="11"/>
      <c r="AJ2449" s="11"/>
      <c r="AK2449" s="11"/>
      <c r="AL2449" s="11"/>
      <c r="AM2449" s="11"/>
      <c r="AN2449" s="11"/>
      <c r="AO2449" s="11"/>
      <c r="AP2449" s="11"/>
      <c r="AQ2449" s="11"/>
      <c r="AR2449" s="11"/>
      <c r="AS2449" s="11"/>
      <c r="AT2449" s="11"/>
      <c r="AU2449" s="11"/>
      <c r="AV2449" s="11"/>
      <c r="AW2449" s="11"/>
      <c r="AX2449" s="11"/>
      <c r="AY2449" s="11"/>
    </row>
    <row r="2450" spans="1:51" hidden="1" x14ac:dyDescent="0.2">
      <c r="A2450" s="6" t="s">
        <v>17</v>
      </c>
      <c r="B2450" t="s">
        <v>42</v>
      </c>
      <c r="C2450" t="s">
        <v>43</v>
      </c>
      <c r="D2450" t="s">
        <v>3076</v>
      </c>
      <c r="E2450" s="2">
        <v>89</v>
      </c>
      <c r="F2450" s="3">
        <f t="shared" ref="F2450:G2455" si="216">DATE(2025,10,1)</f>
        <v>45931</v>
      </c>
      <c r="G2450" s="3">
        <f t="shared" si="216"/>
        <v>45931</v>
      </c>
      <c r="H2450">
        <v>2913211002</v>
      </c>
      <c r="I2450" t="s">
        <v>21</v>
      </c>
      <c r="K2450" t="s">
        <v>22</v>
      </c>
      <c r="L2450" t="s">
        <v>23</v>
      </c>
      <c r="M2450" t="s">
        <v>24</v>
      </c>
      <c r="N2450" t="s">
        <v>24</v>
      </c>
      <c r="O2450" t="s">
        <v>25</v>
      </c>
      <c r="P2450" s="8" t="s">
        <v>3077</v>
      </c>
      <c r="Q2450" s="11"/>
      <c r="R2450" s="11"/>
      <c r="S2450" s="11"/>
      <c r="T2450" s="11"/>
      <c r="U2450" s="11"/>
      <c r="V2450" s="11"/>
      <c r="W2450" s="11"/>
      <c r="X2450" s="11"/>
      <c r="Y2450" s="11"/>
      <c r="Z2450" s="11"/>
      <c r="AA2450" s="11"/>
      <c r="AB2450" s="11"/>
      <c r="AC2450" s="11"/>
      <c r="AD2450" s="11"/>
      <c r="AE2450" s="11"/>
      <c r="AF2450" s="11"/>
      <c r="AG2450" s="11"/>
      <c r="AH2450" s="11"/>
      <c r="AI2450" s="11"/>
      <c r="AJ2450" s="11"/>
      <c r="AK2450" s="11"/>
      <c r="AL2450" s="11"/>
      <c r="AM2450" s="11"/>
      <c r="AN2450" s="11"/>
      <c r="AO2450" s="11"/>
      <c r="AP2450" s="11"/>
      <c r="AQ2450" s="11"/>
      <c r="AR2450" s="11"/>
      <c r="AS2450" s="11"/>
      <c r="AT2450" s="11"/>
      <c r="AU2450" s="11"/>
      <c r="AV2450" s="11"/>
      <c r="AW2450" s="11"/>
      <c r="AX2450" s="11"/>
      <c r="AY2450" s="11"/>
    </row>
    <row r="2451" spans="1:51" hidden="1" x14ac:dyDescent="0.2">
      <c r="A2451" s="6"/>
      <c r="E2451" s="2"/>
      <c r="F2451" s="3"/>
      <c r="G2451" s="3"/>
      <c r="P2451" s="8"/>
      <c r="Q2451" s="11"/>
      <c r="R2451" s="11"/>
      <c r="S2451" s="11"/>
      <c r="T2451" s="11"/>
      <c r="U2451" s="11"/>
      <c r="V2451" s="11"/>
      <c r="W2451" s="11"/>
      <c r="X2451" s="11"/>
      <c r="Y2451" s="11"/>
      <c r="Z2451" s="11"/>
      <c r="AA2451" s="11"/>
      <c r="AB2451" s="11"/>
      <c r="AC2451" s="11"/>
      <c r="AD2451" s="11"/>
      <c r="AE2451" s="11"/>
      <c r="AF2451" s="11"/>
      <c r="AG2451" s="11"/>
      <c r="AH2451" s="11"/>
      <c r="AI2451" s="11"/>
      <c r="AJ2451" s="11"/>
      <c r="AK2451" s="11"/>
      <c r="AL2451" s="11"/>
      <c r="AM2451" s="11"/>
      <c r="AN2451" s="11"/>
      <c r="AO2451" s="11"/>
      <c r="AP2451" s="11"/>
      <c r="AQ2451" s="11"/>
      <c r="AR2451" s="11"/>
      <c r="AS2451" s="11"/>
      <c r="AT2451" s="11"/>
      <c r="AU2451" s="11"/>
      <c r="AV2451" s="11"/>
      <c r="AW2451" s="11"/>
      <c r="AX2451" s="11"/>
      <c r="AY2451" s="11"/>
    </row>
    <row r="2452" spans="1:51" hidden="1" x14ac:dyDescent="0.2">
      <c r="A2452" s="6" t="s">
        <v>17</v>
      </c>
      <c r="B2452" t="s">
        <v>35</v>
      </c>
      <c r="C2452" t="s">
        <v>35</v>
      </c>
      <c r="D2452" t="s">
        <v>3078</v>
      </c>
      <c r="E2452" s="2">
        <v>12.92</v>
      </c>
      <c r="F2452" s="3">
        <f t="shared" si="216"/>
        <v>45931</v>
      </c>
      <c r="G2452" s="3">
        <f t="shared" si="216"/>
        <v>45931</v>
      </c>
      <c r="H2452">
        <v>2913211004</v>
      </c>
      <c r="I2452" t="s">
        <v>21</v>
      </c>
      <c r="K2452" t="s">
        <v>22</v>
      </c>
      <c r="L2452" t="s">
        <v>23</v>
      </c>
      <c r="M2452" t="s">
        <v>24</v>
      </c>
      <c r="N2452" t="s">
        <v>24</v>
      </c>
      <c r="O2452" t="s">
        <v>25</v>
      </c>
      <c r="P2452" s="8" t="s">
        <v>3079</v>
      </c>
      <c r="Q2452" s="11"/>
      <c r="R2452" s="11"/>
      <c r="S2452" s="11"/>
      <c r="T2452" s="11"/>
      <c r="U2452" s="11"/>
      <c r="V2452" s="11"/>
      <c r="W2452" s="11"/>
      <c r="X2452" s="11"/>
      <c r="Y2452" s="11"/>
      <c r="Z2452" s="11"/>
      <c r="AA2452" s="11"/>
      <c r="AB2452" s="11"/>
      <c r="AC2452" s="11"/>
      <c r="AD2452" s="11"/>
      <c r="AE2452" s="11"/>
      <c r="AF2452" s="11"/>
      <c r="AG2452" s="11"/>
      <c r="AH2452" s="11"/>
      <c r="AI2452" s="11"/>
      <c r="AJ2452" s="11"/>
      <c r="AK2452" s="11"/>
      <c r="AL2452" s="11"/>
      <c r="AM2452" s="11"/>
      <c r="AN2452" s="11"/>
      <c r="AO2452" s="11"/>
      <c r="AP2452" s="11"/>
      <c r="AQ2452" s="11"/>
      <c r="AR2452" s="11"/>
      <c r="AS2452" s="11"/>
      <c r="AT2452" s="11"/>
      <c r="AU2452" s="11"/>
      <c r="AV2452" s="11"/>
      <c r="AW2452" s="11"/>
      <c r="AX2452" s="11"/>
      <c r="AY2452" s="11"/>
    </row>
    <row r="2453" spans="1:51" hidden="1" x14ac:dyDescent="0.2">
      <c r="A2453" s="6" t="s">
        <v>17</v>
      </c>
      <c r="B2453" t="s">
        <v>27</v>
      </c>
      <c r="C2453" t="s">
        <v>28</v>
      </c>
      <c r="D2453" t="s">
        <v>3080</v>
      </c>
      <c r="E2453" s="2">
        <v>1313.46</v>
      </c>
      <c r="F2453" s="3">
        <f t="shared" si="216"/>
        <v>45931</v>
      </c>
      <c r="G2453" s="3">
        <f t="shared" si="216"/>
        <v>45931</v>
      </c>
      <c r="H2453">
        <v>2913211005</v>
      </c>
      <c r="I2453" t="s">
        <v>21</v>
      </c>
      <c r="K2453" t="s">
        <v>22</v>
      </c>
      <c r="L2453" t="s">
        <v>23</v>
      </c>
      <c r="M2453" t="s">
        <v>24</v>
      </c>
      <c r="N2453" t="s">
        <v>24</v>
      </c>
      <c r="O2453" t="s">
        <v>25</v>
      </c>
      <c r="P2453" s="8" t="s">
        <v>3081</v>
      </c>
      <c r="Q2453" s="11"/>
      <c r="R2453" s="11"/>
      <c r="S2453" s="11"/>
      <c r="T2453" s="11"/>
      <c r="U2453" s="11"/>
      <c r="V2453" s="11"/>
      <c r="W2453" s="11"/>
      <c r="X2453" s="11"/>
      <c r="Y2453" s="11"/>
      <c r="Z2453" s="11"/>
      <c r="AA2453" s="11"/>
      <c r="AB2453" s="11"/>
      <c r="AC2453" s="11"/>
      <c r="AD2453" s="11"/>
      <c r="AE2453" s="11"/>
      <c r="AF2453" s="11"/>
      <c r="AG2453" s="11"/>
      <c r="AH2453" s="11"/>
      <c r="AI2453" s="11"/>
      <c r="AJ2453" s="11"/>
      <c r="AK2453" s="11"/>
      <c r="AL2453" s="11"/>
      <c r="AM2453" s="11"/>
      <c r="AN2453" s="11"/>
      <c r="AO2453" s="11"/>
      <c r="AP2453" s="11"/>
      <c r="AQ2453" s="11"/>
      <c r="AR2453" s="11"/>
      <c r="AS2453" s="11"/>
      <c r="AT2453" s="11"/>
      <c r="AU2453" s="11"/>
      <c r="AV2453" s="11"/>
      <c r="AW2453" s="11"/>
      <c r="AX2453" s="11"/>
      <c r="AY2453" s="11"/>
    </row>
    <row r="2454" spans="1:51" hidden="1" x14ac:dyDescent="0.2">
      <c r="A2454" s="6"/>
      <c r="E2454" s="2"/>
      <c r="F2454" s="3"/>
      <c r="G2454" s="3"/>
      <c r="P2454" s="8"/>
      <c r="Q2454" s="11"/>
      <c r="R2454" s="11"/>
      <c r="S2454" s="11"/>
      <c r="T2454" s="11"/>
      <c r="U2454" s="11"/>
      <c r="V2454" s="11"/>
      <c r="W2454" s="11"/>
      <c r="X2454" s="11"/>
      <c r="Y2454" s="11"/>
      <c r="Z2454" s="11"/>
      <c r="AA2454" s="11"/>
      <c r="AB2454" s="11"/>
      <c r="AC2454" s="11"/>
      <c r="AD2454" s="11"/>
      <c r="AE2454" s="11"/>
      <c r="AF2454" s="11"/>
      <c r="AG2454" s="11"/>
      <c r="AH2454" s="11"/>
      <c r="AI2454" s="11"/>
      <c r="AJ2454" s="11"/>
      <c r="AK2454" s="11"/>
      <c r="AL2454" s="11"/>
      <c r="AM2454" s="11"/>
      <c r="AN2454" s="11"/>
      <c r="AO2454" s="11"/>
      <c r="AP2454" s="11"/>
      <c r="AQ2454" s="11"/>
      <c r="AR2454" s="11"/>
      <c r="AS2454" s="11"/>
      <c r="AT2454" s="11"/>
      <c r="AU2454" s="11"/>
      <c r="AV2454" s="11"/>
      <c r="AW2454" s="11"/>
      <c r="AX2454" s="11"/>
      <c r="AY2454" s="11"/>
    </row>
    <row r="2455" spans="1:51" hidden="1" x14ac:dyDescent="0.2">
      <c r="A2455" s="6" t="s">
        <v>17</v>
      </c>
      <c r="B2455" t="s">
        <v>42</v>
      </c>
      <c r="C2455" t="s">
        <v>43</v>
      </c>
      <c r="D2455" t="s">
        <v>3082</v>
      </c>
      <c r="E2455" s="2">
        <v>102.16</v>
      </c>
      <c r="F2455" s="3">
        <f t="shared" si="216"/>
        <v>45931</v>
      </c>
      <c r="G2455" s="3">
        <f t="shared" si="216"/>
        <v>45931</v>
      </c>
      <c r="H2455">
        <v>2913211007</v>
      </c>
      <c r="I2455" t="s">
        <v>21</v>
      </c>
      <c r="K2455" t="s">
        <v>22</v>
      </c>
      <c r="L2455" t="s">
        <v>23</v>
      </c>
      <c r="M2455" t="s">
        <v>24</v>
      </c>
      <c r="N2455" t="s">
        <v>24</v>
      </c>
      <c r="O2455" t="s">
        <v>25</v>
      </c>
      <c r="P2455" s="8" t="s">
        <v>3083</v>
      </c>
      <c r="Q2455" s="11"/>
      <c r="R2455" s="11"/>
      <c r="S2455" s="11"/>
      <c r="T2455" s="11"/>
      <c r="U2455" s="11"/>
      <c r="V2455" s="11"/>
      <c r="W2455" s="11"/>
      <c r="X2455" s="11"/>
      <c r="Y2455" s="11"/>
      <c r="Z2455" s="11"/>
      <c r="AA2455" s="11"/>
      <c r="AB2455" s="11"/>
      <c r="AC2455" s="11"/>
      <c r="AD2455" s="11"/>
      <c r="AE2455" s="11"/>
      <c r="AF2455" s="11"/>
      <c r="AG2455" s="11"/>
      <c r="AH2455" s="11"/>
      <c r="AI2455" s="11"/>
      <c r="AJ2455" s="11"/>
      <c r="AK2455" s="11"/>
      <c r="AL2455" s="11"/>
      <c r="AM2455" s="11"/>
      <c r="AN2455" s="11"/>
      <c r="AO2455" s="11"/>
      <c r="AP2455" s="11"/>
      <c r="AQ2455" s="11"/>
      <c r="AR2455" s="11"/>
      <c r="AS2455" s="11"/>
      <c r="AT2455" s="11"/>
      <c r="AU2455" s="11"/>
      <c r="AV2455" s="11"/>
      <c r="AW2455" s="11"/>
      <c r="AX2455" s="11"/>
      <c r="AY2455" s="11"/>
    </row>
    <row r="2456" spans="1:51" x14ac:dyDescent="0.2">
      <c r="A2456" s="6" t="s">
        <v>17</v>
      </c>
      <c r="B2456" t="s">
        <v>342</v>
      </c>
      <c r="C2456" t="s">
        <v>342</v>
      </c>
      <c r="D2456" t="s">
        <v>359</v>
      </c>
      <c r="E2456" s="2">
        <v>5238.62</v>
      </c>
      <c r="F2456" s="3">
        <f>DATE(2025,9,30)</f>
        <v>45930</v>
      </c>
      <c r="G2456" s="3">
        <f>DATE(2025,9,30)</f>
        <v>45930</v>
      </c>
      <c r="H2456">
        <v>2913211008</v>
      </c>
      <c r="I2456" t="s">
        <v>21</v>
      </c>
      <c r="K2456" t="s">
        <v>22</v>
      </c>
      <c r="L2456" t="s">
        <v>23</v>
      </c>
      <c r="M2456" t="s">
        <v>24</v>
      </c>
      <c r="N2456" t="s">
        <v>25</v>
      </c>
      <c r="O2456" t="s">
        <v>25</v>
      </c>
      <c r="P2456" s="8" t="s">
        <v>3084</v>
      </c>
      <c r="Q2456" s="11"/>
      <c r="R2456" s="11"/>
      <c r="S2456" s="11"/>
      <c r="T2456" s="11"/>
      <c r="U2456" s="11"/>
      <c r="V2456" s="11"/>
      <c r="W2456" s="11"/>
      <c r="X2456" s="11"/>
      <c r="Y2456" s="11"/>
      <c r="Z2456" s="11"/>
      <c r="AA2456" s="11"/>
      <c r="AB2456" s="11"/>
      <c r="AC2456" s="11"/>
      <c r="AD2456" s="11"/>
      <c r="AE2456" s="11"/>
      <c r="AF2456" s="11"/>
      <c r="AG2456" s="11"/>
      <c r="AH2456" s="11"/>
      <c r="AI2456" s="11"/>
      <c r="AJ2456" s="11"/>
      <c r="AK2456" s="11"/>
      <c r="AL2456" s="11"/>
      <c r="AM2456" s="11"/>
      <c r="AN2456" s="11"/>
      <c r="AO2456" s="11"/>
      <c r="AP2456" s="11"/>
      <c r="AQ2456" s="11"/>
      <c r="AR2456" s="11"/>
      <c r="AS2456" s="11"/>
      <c r="AT2456" s="11"/>
      <c r="AU2456" s="11"/>
      <c r="AV2456" s="11"/>
      <c r="AW2456" s="11"/>
      <c r="AX2456" s="11"/>
      <c r="AY2456" s="11"/>
    </row>
    <row r="2457" spans="1:51" hidden="1" x14ac:dyDescent="0.2">
      <c r="A2457" s="6" t="s">
        <v>17</v>
      </c>
      <c r="B2457" t="s">
        <v>35</v>
      </c>
      <c r="C2457" t="s">
        <v>35</v>
      </c>
      <c r="D2457" t="s">
        <v>98</v>
      </c>
      <c r="E2457" s="2">
        <v>82.5</v>
      </c>
      <c r="F2457" s="3">
        <f>DATE(2025,10,1)</f>
        <v>45931</v>
      </c>
      <c r="G2457" s="3">
        <f>DATE(2025,10,1)</f>
        <v>45931</v>
      </c>
      <c r="H2457">
        <v>2913211009</v>
      </c>
      <c r="I2457" t="s">
        <v>21</v>
      </c>
      <c r="K2457" t="s">
        <v>22</v>
      </c>
      <c r="L2457" t="s">
        <v>23</v>
      </c>
      <c r="M2457" t="s">
        <v>24</v>
      </c>
      <c r="N2457" t="s">
        <v>24</v>
      </c>
      <c r="O2457" t="s">
        <v>25</v>
      </c>
      <c r="P2457" s="8" t="s">
        <v>3085</v>
      </c>
      <c r="Q2457" s="11"/>
      <c r="R2457" s="11"/>
      <c r="S2457" s="11"/>
      <c r="T2457" s="11"/>
      <c r="U2457" s="11"/>
      <c r="V2457" s="11"/>
      <c r="W2457" s="11"/>
      <c r="X2457" s="11"/>
      <c r="Y2457" s="11"/>
      <c r="Z2457" s="11"/>
      <c r="AA2457" s="11"/>
      <c r="AB2457" s="11"/>
      <c r="AC2457" s="11"/>
      <c r="AD2457" s="11"/>
      <c r="AE2457" s="11"/>
      <c r="AF2457" s="11"/>
      <c r="AG2457" s="11"/>
      <c r="AH2457" s="11"/>
      <c r="AI2457" s="11"/>
      <c r="AJ2457" s="11"/>
      <c r="AK2457" s="11"/>
      <c r="AL2457" s="11"/>
      <c r="AM2457" s="11"/>
      <c r="AN2457" s="11"/>
      <c r="AO2457" s="11"/>
      <c r="AP2457" s="11"/>
      <c r="AQ2457" s="11"/>
      <c r="AR2457" s="11"/>
      <c r="AS2457" s="11"/>
      <c r="AT2457" s="11"/>
      <c r="AU2457" s="11"/>
      <c r="AV2457" s="11"/>
      <c r="AW2457" s="11"/>
      <c r="AX2457" s="11"/>
      <c r="AY2457" s="11"/>
    </row>
    <row r="2458" spans="1:51" hidden="1" x14ac:dyDescent="0.2">
      <c r="A2458" s="6" t="s">
        <v>17</v>
      </c>
      <c r="B2458" t="s">
        <v>35</v>
      </c>
      <c r="C2458" t="s">
        <v>35</v>
      </c>
      <c r="D2458" t="s">
        <v>204</v>
      </c>
      <c r="E2458" s="2">
        <v>12</v>
      </c>
      <c r="F2458" s="3">
        <f>DATE(2025,10,1)</f>
        <v>45931</v>
      </c>
      <c r="G2458" s="3">
        <f>DATE(2025,10,1)</f>
        <v>45931</v>
      </c>
      <c r="H2458">
        <v>2913232212</v>
      </c>
      <c r="I2458" t="s">
        <v>192</v>
      </c>
      <c r="K2458" t="s">
        <v>22</v>
      </c>
      <c r="L2458" t="s">
        <v>23</v>
      </c>
      <c r="M2458" t="s">
        <v>24</v>
      </c>
      <c r="N2458" t="s">
        <v>24</v>
      </c>
      <c r="O2458" t="s">
        <v>25</v>
      </c>
      <c r="P2458" s="8" t="s">
        <v>3086</v>
      </c>
      <c r="Q2458" s="11"/>
      <c r="R2458" s="11"/>
      <c r="S2458" s="11"/>
      <c r="T2458" s="11"/>
      <c r="U2458" s="11"/>
      <c r="V2458" s="11"/>
      <c r="W2458" s="11"/>
      <c r="X2458" s="11"/>
      <c r="Y2458" s="11"/>
      <c r="Z2458" s="11"/>
      <c r="AA2458" s="11"/>
      <c r="AB2458" s="11"/>
      <c r="AC2458" s="11"/>
      <c r="AD2458" s="11"/>
      <c r="AE2458" s="11"/>
      <c r="AF2458" s="11"/>
      <c r="AG2458" s="11"/>
      <c r="AH2458" s="11"/>
      <c r="AI2458" s="11"/>
      <c r="AJ2458" s="11"/>
      <c r="AK2458" s="11"/>
      <c r="AL2458" s="11"/>
      <c r="AM2458" s="11"/>
      <c r="AN2458" s="11"/>
      <c r="AO2458" s="11"/>
      <c r="AP2458" s="11"/>
      <c r="AQ2458" s="11"/>
      <c r="AR2458" s="11"/>
      <c r="AS2458" s="11"/>
      <c r="AT2458" s="11"/>
      <c r="AU2458" s="11"/>
      <c r="AV2458" s="11"/>
      <c r="AW2458" s="11"/>
      <c r="AX2458" s="11"/>
      <c r="AY2458" s="11"/>
    </row>
    <row r="2459" spans="1:51" hidden="1" x14ac:dyDescent="0.2">
      <c r="A2459" s="6"/>
      <c r="E2459" s="2"/>
      <c r="F2459" s="3"/>
      <c r="G2459" s="3"/>
      <c r="P2459" s="8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  <c r="AA2459" s="11"/>
      <c r="AB2459" s="11"/>
      <c r="AC2459" s="11"/>
      <c r="AD2459" s="11"/>
      <c r="AE2459" s="11"/>
      <c r="AF2459" s="11"/>
      <c r="AG2459" s="11"/>
      <c r="AH2459" s="11"/>
      <c r="AI2459" s="11"/>
      <c r="AJ2459" s="11"/>
      <c r="AK2459" s="11"/>
      <c r="AL2459" s="11"/>
      <c r="AM2459" s="11"/>
      <c r="AN2459" s="11"/>
      <c r="AO2459" s="11"/>
      <c r="AP2459" s="11"/>
      <c r="AQ2459" s="11"/>
      <c r="AR2459" s="11"/>
      <c r="AS2459" s="11"/>
      <c r="AT2459" s="11"/>
      <c r="AU2459" s="11"/>
      <c r="AV2459" s="11"/>
      <c r="AW2459" s="11"/>
      <c r="AX2459" s="11"/>
      <c r="AY2459" s="11"/>
    </row>
    <row r="2460" spans="1:51" hidden="1" x14ac:dyDescent="0.2">
      <c r="A2460" s="6"/>
      <c r="E2460" s="2"/>
      <c r="F2460" s="3"/>
      <c r="G2460" s="3"/>
      <c r="P2460" s="8"/>
      <c r="Q2460" s="11"/>
      <c r="R2460" s="11"/>
      <c r="S2460" s="11"/>
      <c r="T2460" s="11"/>
      <c r="U2460" s="11"/>
      <c r="V2460" s="11"/>
      <c r="W2460" s="11"/>
      <c r="X2460" s="11"/>
      <c r="Y2460" s="11"/>
      <c r="Z2460" s="11"/>
      <c r="AA2460" s="11"/>
      <c r="AB2460" s="11"/>
      <c r="AC2460" s="11"/>
      <c r="AD2460" s="11"/>
      <c r="AE2460" s="11"/>
      <c r="AF2460" s="11"/>
      <c r="AG2460" s="11"/>
      <c r="AH2460" s="11"/>
      <c r="AI2460" s="11"/>
      <c r="AJ2460" s="11"/>
      <c r="AK2460" s="11"/>
      <c r="AL2460" s="11"/>
      <c r="AM2460" s="11"/>
      <c r="AN2460" s="11"/>
      <c r="AO2460" s="11"/>
      <c r="AP2460" s="11"/>
      <c r="AQ2460" s="11"/>
      <c r="AR2460" s="11"/>
      <c r="AS2460" s="11"/>
      <c r="AT2460" s="11"/>
      <c r="AU2460" s="11"/>
      <c r="AV2460" s="11"/>
      <c r="AW2460" s="11"/>
      <c r="AX2460" s="11"/>
      <c r="AY2460" s="11"/>
    </row>
    <row r="2461" spans="1:51" hidden="1" x14ac:dyDescent="0.2">
      <c r="A2461" s="6"/>
      <c r="E2461" s="2"/>
      <c r="F2461" s="3"/>
      <c r="G2461" s="3"/>
      <c r="P2461" s="8"/>
      <c r="Q2461" s="11"/>
      <c r="R2461" s="11"/>
      <c r="S2461" s="11"/>
      <c r="T2461" s="11"/>
      <c r="U2461" s="11"/>
      <c r="V2461" s="11"/>
      <c r="W2461" s="11"/>
      <c r="X2461" s="11"/>
      <c r="Y2461" s="11"/>
      <c r="Z2461" s="11"/>
      <c r="AA2461" s="11"/>
      <c r="AB2461" s="11"/>
      <c r="AC2461" s="11"/>
      <c r="AD2461" s="11"/>
      <c r="AE2461" s="11"/>
      <c r="AF2461" s="11"/>
      <c r="AG2461" s="11"/>
      <c r="AH2461" s="11"/>
      <c r="AI2461" s="11"/>
      <c r="AJ2461" s="11"/>
      <c r="AK2461" s="11"/>
      <c r="AL2461" s="11"/>
      <c r="AM2461" s="11"/>
      <c r="AN2461" s="11"/>
      <c r="AO2461" s="11"/>
      <c r="AP2461" s="11"/>
      <c r="AQ2461" s="11"/>
      <c r="AR2461" s="11"/>
      <c r="AS2461" s="11"/>
      <c r="AT2461" s="11"/>
      <c r="AU2461" s="11"/>
      <c r="AV2461" s="11"/>
      <c r="AW2461" s="11"/>
      <c r="AX2461" s="11"/>
      <c r="AY2461" s="11"/>
    </row>
    <row r="2462" spans="1:51" hidden="1" x14ac:dyDescent="0.2">
      <c r="A2462" s="6"/>
      <c r="E2462" s="2"/>
      <c r="F2462" s="3"/>
      <c r="G2462" s="3"/>
      <c r="P2462" s="8"/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  <c r="AA2462" s="11"/>
      <c r="AB2462" s="11"/>
      <c r="AC2462" s="11"/>
      <c r="AD2462" s="11"/>
      <c r="AE2462" s="11"/>
      <c r="AF2462" s="11"/>
      <c r="AG2462" s="11"/>
      <c r="AH2462" s="11"/>
      <c r="AI2462" s="11"/>
      <c r="AJ2462" s="11"/>
      <c r="AK2462" s="11"/>
      <c r="AL2462" s="11"/>
      <c r="AM2462" s="11"/>
      <c r="AN2462" s="11"/>
      <c r="AO2462" s="11"/>
      <c r="AP2462" s="11"/>
      <c r="AQ2462" s="11"/>
      <c r="AR2462" s="11"/>
      <c r="AS2462" s="11"/>
      <c r="AT2462" s="11"/>
      <c r="AU2462" s="11"/>
      <c r="AV2462" s="11"/>
      <c r="AW2462" s="11"/>
      <c r="AX2462" s="11"/>
      <c r="AY2462" s="11"/>
    </row>
    <row r="2463" spans="1:51" hidden="1" x14ac:dyDescent="0.2">
      <c r="A2463" s="6" t="s">
        <v>17</v>
      </c>
      <c r="B2463" t="s">
        <v>18</v>
      </c>
      <c r="C2463" t="s">
        <v>19</v>
      </c>
      <c r="D2463" t="s">
        <v>3087</v>
      </c>
      <c r="E2463" s="2">
        <v>0.78</v>
      </c>
      <c r="F2463" s="3">
        <f>DATE(2025,9,30)</f>
        <v>45930</v>
      </c>
      <c r="G2463" s="3">
        <f>DATE(2025,9,30)</f>
        <v>45930</v>
      </c>
      <c r="H2463">
        <v>2913232217</v>
      </c>
      <c r="I2463" t="s">
        <v>192</v>
      </c>
      <c r="K2463" t="s">
        <v>22</v>
      </c>
      <c r="L2463" t="s">
        <v>23</v>
      </c>
      <c r="M2463" t="s">
        <v>24</v>
      </c>
      <c r="N2463" t="s">
        <v>24</v>
      </c>
      <c r="O2463" t="s">
        <v>25</v>
      </c>
      <c r="P2463" s="8" t="s">
        <v>3088</v>
      </c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  <c r="AA2463" s="11"/>
      <c r="AB2463" s="11"/>
      <c r="AC2463" s="11"/>
      <c r="AD2463" s="11"/>
      <c r="AE2463" s="11"/>
      <c r="AF2463" s="11"/>
      <c r="AG2463" s="11"/>
      <c r="AH2463" s="11"/>
      <c r="AI2463" s="11"/>
      <c r="AJ2463" s="11"/>
      <c r="AK2463" s="11"/>
      <c r="AL2463" s="11"/>
      <c r="AM2463" s="11"/>
      <c r="AN2463" s="11"/>
      <c r="AO2463" s="11"/>
      <c r="AP2463" s="11"/>
      <c r="AQ2463" s="11"/>
      <c r="AR2463" s="11"/>
      <c r="AS2463" s="11"/>
      <c r="AT2463" s="11"/>
      <c r="AU2463" s="11"/>
      <c r="AV2463" s="11"/>
      <c r="AW2463" s="11"/>
      <c r="AX2463" s="11"/>
      <c r="AY2463" s="11"/>
    </row>
    <row r="2464" spans="1:51" hidden="1" x14ac:dyDescent="0.2">
      <c r="A2464" s="6"/>
      <c r="E2464" s="2"/>
      <c r="F2464" s="3"/>
      <c r="G2464" s="3"/>
      <c r="P2464" s="8"/>
      <c r="Q2464" s="11"/>
      <c r="R2464" s="11"/>
      <c r="S2464" s="11"/>
      <c r="T2464" s="11"/>
      <c r="U2464" s="11"/>
      <c r="V2464" s="11"/>
      <c r="W2464" s="11"/>
      <c r="X2464" s="11"/>
      <c r="Y2464" s="11"/>
      <c r="Z2464" s="11"/>
      <c r="AA2464" s="11"/>
      <c r="AB2464" s="11"/>
      <c r="AC2464" s="11"/>
      <c r="AD2464" s="11"/>
      <c r="AE2464" s="11"/>
      <c r="AF2464" s="11"/>
      <c r="AG2464" s="11"/>
      <c r="AH2464" s="11"/>
      <c r="AI2464" s="11"/>
      <c r="AJ2464" s="11"/>
      <c r="AK2464" s="11"/>
      <c r="AL2464" s="11"/>
      <c r="AM2464" s="11"/>
      <c r="AN2464" s="11"/>
      <c r="AO2464" s="11"/>
      <c r="AP2464" s="11"/>
      <c r="AQ2464" s="11"/>
      <c r="AR2464" s="11"/>
      <c r="AS2464" s="11"/>
      <c r="AT2464" s="11"/>
      <c r="AU2464" s="11"/>
      <c r="AV2464" s="11"/>
      <c r="AW2464" s="11"/>
      <c r="AX2464" s="11"/>
      <c r="AY2464" s="11"/>
    </row>
    <row r="2465" spans="1:51" hidden="1" x14ac:dyDescent="0.2">
      <c r="A2465" s="6" t="s">
        <v>17</v>
      </c>
      <c r="B2465" t="s">
        <v>244</v>
      </c>
      <c r="C2465" t="s">
        <v>245</v>
      </c>
      <c r="D2465" t="s">
        <v>3089</v>
      </c>
      <c r="E2465" s="2">
        <v>1480</v>
      </c>
      <c r="F2465" s="3">
        <f>DATE(2025,10,3)</f>
        <v>45933</v>
      </c>
      <c r="G2465" s="3">
        <f>DATE(2025,10,3)</f>
        <v>45933</v>
      </c>
      <c r="H2465">
        <v>2923244658</v>
      </c>
      <c r="I2465" t="s">
        <v>21</v>
      </c>
      <c r="K2465" t="s">
        <v>22</v>
      </c>
      <c r="L2465" t="s">
        <v>23</v>
      </c>
      <c r="M2465" t="s">
        <v>24</v>
      </c>
      <c r="N2465" t="s">
        <v>24</v>
      </c>
      <c r="O2465" t="s">
        <v>25</v>
      </c>
      <c r="P2465" s="8" t="s">
        <v>3090</v>
      </c>
      <c r="Q2465" s="11"/>
      <c r="R2465" s="11"/>
      <c r="S2465" s="11"/>
      <c r="T2465" s="11"/>
      <c r="U2465" s="11"/>
      <c r="V2465" s="11"/>
      <c r="W2465" s="11"/>
      <c r="X2465" s="11"/>
      <c r="Y2465" s="11"/>
      <c r="Z2465" s="11"/>
      <c r="AA2465" s="11"/>
      <c r="AB2465" s="11"/>
      <c r="AC2465" s="11"/>
      <c r="AD2465" s="11"/>
      <c r="AE2465" s="11"/>
      <c r="AF2465" s="11"/>
      <c r="AG2465" s="11"/>
      <c r="AH2465" s="11"/>
      <c r="AI2465" s="11"/>
      <c r="AJ2465" s="11"/>
      <c r="AK2465" s="11"/>
      <c r="AL2465" s="11"/>
      <c r="AM2465" s="11"/>
      <c r="AN2465" s="11"/>
      <c r="AO2465" s="11"/>
      <c r="AP2465" s="11"/>
      <c r="AQ2465" s="11"/>
      <c r="AR2465" s="11"/>
      <c r="AS2465" s="11"/>
      <c r="AT2465" s="11"/>
      <c r="AU2465" s="11"/>
      <c r="AV2465" s="11"/>
      <c r="AW2465" s="11"/>
      <c r="AX2465" s="11"/>
      <c r="AY2465" s="11"/>
    </row>
    <row r="2466" spans="1:51" hidden="1" x14ac:dyDescent="0.2">
      <c r="A2466" s="6" t="s">
        <v>17</v>
      </c>
      <c r="B2466" t="s">
        <v>244</v>
      </c>
      <c r="C2466" t="s">
        <v>245</v>
      </c>
      <c r="D2466" t="s">
        <v>3091</v>
      </c>
      <c r="E2466" s="2">
        <v>1567</v>
      </c>
      <c r="F2466" s="3">
        <f>DATE(2025,10,3)</f>
        <v>45933</v>
      </c>
      <c r="G2466" s="3">
        <f>DATE(2025,10,3)</f>
        <v>45933</v>
      </c>
      <c r="H2466">
        <v>2923244659</v>
      </c>
      <c r="I2466" t="s">
        <v>21</v>
      </c>
      <c r="K2466" t="s">
        <v>22</v>
      </c>
      <c r="L2466" t="s">
        <v>23</v>
      </c>
      <c r="M2466" t="s">
        <v>24</v>
      </c>
      <c r="N2466" t="s">
        <v>24</v>
      </c>
      <c r="O2466" t="s">
        <v>25</v>
      </c>
      <c r="P2466" s="8" t="s">
        <v>3092</v>
      </c>
      <c r="Q2466" s="11"/>
      <c r="R2466" s="11"/>
      <c r="S2466" s="11"/>
      <c r="T2466" s="11"/>
      <c r="U2466" s="11"/>
      <c r="V2466" s="11"/>
      <c r="W2466" s="11"/>
      <c r="X2466" s="11"/>
      <c r="Y2466" s="11"/>
      <c r="Z2466" s="11"/>
      <c r="AA2466" s="11"/>
      <c r="AB2466" s="11"/>
      <c r="AC2466" s="11"/>
      <c r="AD2466" s="11"/>
      <c r="AE2466" s="11"/>
      <c r="AF2466" s="11"/>
      <c r="AG2466" s="11"/>
      <c r="AH2466" s="11"/>
      <c r="AI2466" s="11"/>
      <c r="AJ2466" s="11"/>
      <c r="AK2466" s="11"/>
      <c r="AL2466" s="11"/>
      <c r="AM2466" s="11"/>
      <c r="AN2466" s="11"/>
      <c r="AO2466" s="11"/>
      <c r="AP2466" s="11"/>
      <c r="AQ2466" s="11"/>
      <c r="AR2466" s="11"/>
      <c r="AS2466" s="11"/>
      <c r="AT2466" s="11"/>
      <c r="AU2466" s="11"/>
      <c r="AV2466" s="11"/>
      <c r="AW2466" s="11"/>
      <c r="AX2466" s="11"/>
      <c r="AY2466" s="11"/>
    </row>
    <row r="2467" spans="1:51" hidden="1" x14ac:dyDescent="0.2">
      <c r="A2467" s="6"/>
      <c r="E2467" s="2"/>
      <c r="F2467" s="3"/>
      <c r="G2467" s="3"/>
      <c r="P2467" s="8"/>
      <c r="Q2467" s="11"/>
      <c r="R2467" s="11"/>
      <c r="S2467" s="11"/>
      <c r="T2467" s="11"/>
      <c r="U2467" s="11"/>
      <c r="V2467" s="11"/>
      <c r="W2467" s="11"/>
      <c r="X2467" s="11"/>
      <c r="Y2467" s="11"/>
      <c r="Z2467" s="11"/>
      <c r="AA2467" s="11"/>
      <c r="AB2467" s="11"/>
      <c r="AC2467" s="11"/>
      <c r="AD2467" s="11"/>
      <c r="AE2467" s="11"/>
      <c r="AF2467" s="11"/>
      <c r="AG2467" s="11"/>
      <c r="AH2467" s="11"/>
      <c r="AI2467" s="11"/>
      <c r="AJ2467" s="11"/>
      <c r="AK2467" s="11"/>
      <c r="AL2467" s="11"/>
      <c r="AM2467" s="11"/>
      <c r="AN2467" s="11"/>
      <c r="AO2467" s="11"/>
      <c r="AP2467" s="11"/>
      <c r="AQ2467" s="11"/>
      <c r="AR2467" s="11"/>
      <c r="AS2467" s="11"/>
      <c r="AT2467" s="11"/>
      <c r="AU2467" s="11"/>
      <c r="AV2467" s="11"/>
      <c r="AW2467" s="11"/>
      <c r="AX2467" s="11"/>
      <c r="AY2467" s="11"/>
    </row>
    <row r="2468" spans="1:51" hidden="1" x14ac:dyDescent="0.2">
      <c r="A2468" s="6" t="s">
        <v>17</v>
      </c>
      <c r="B2468" t="s">
        <v>266</v>
      </c>
      <c r="C2468" t="s">
        <v>267</v>
      </c>
      <c r="D2468" t="s">
        <v>3093</v>
      </c>
      <c r="E2468" s="2">
        <v>108.55</v>
      </c>
      <c r="F2468" s="3">
        <f t="shared" ref="F2468:G2475" si="217">DATE(2025,10,3)</f>
        <v>45933</v>
      </c>
      <c r="G2468" s="3">
        <f t="shared" si="217"/>
        <v>45933</v>
      </c>
      <c r="H2468">
        <v>2923244661</v>
      </c>
      <c r="I2468" t="s">
        <v>21</v>
      </c>
      <c r="K2468" t="s">
        <v>22</v>
      </c>
      <c r="L2468" t="s">
        <v>23</v>
      </c>
      <c r="M2468" t="s">
        <v>24</v>
      </c>
      <c r="N2468" t="s">
        <v>24</v>
      </c>
      <c r="O2468" t="s">
        <v>25</v>
      </c>
      <c r="P2468" s="8" t="s">
        <v>3094</v>
      </c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  <c r="AA2468" s="11"/>
      <c r="AB2468" s="11"/>
      <c r="AC2468" s="11"/>
      <c r="AD2468" s="11"/>
      <c r="AE2468" s="11"/>
      <c r="AF2468" s="11"/>
      <c r="AG2468" s="11"/>
      <c r="AH2468" s="11"/>
      <c r="AI2468" s="11"/>
      <c r="AJ2468" s="11"/>
      <c r="AK2468" s="11"/>
      <c r="AL2468" s="11"/>
      <c r="AM2468" s="11"/>
      <c r="AN2468" s="11"/>
      <c r="AO2468" s="11"/>
      <c r="AP2468" s="11"/>
      <c r="AQ2468" s="11"/>
      <c r="AR2468" s="11"/>
      <c r="AS2468" s="11"/>
      <c r="AT2468" s="11"/>
      <c r="AU2468" s="11"/>
      <c r="AV2468" s="11"/>
      <c r="AW2468" s="11"/>
      <c r="AX2468" s="11"/>
      <c r="AY2468" s="11"/>
    </row>
    <row r="2469" spans="1:51" hidden="1" x14ac:dyDescent="0.2">
      <c r="A2469" s="6" t="s">
        <v>17</v>
      </c>
      <c r="B2469" t="s">
        <v>27</v>
      </c>
      <c r="C2469" t="s">
        <v>28</v>
      </c>
      <c r="D2469" t="s">
        <v>3095</v>
      </c>
      <c r="E2469" s="2">
        <v>3829.92</v>
      </c>
      <c r="F2469" s="3">
        <f t="shared" si="217"/>
        <v>45933</v>
      </c>
      <c r="G2469" s="3">
        <f t="shared" si="217"/>
        <v>45933</v>
      </c>
      <c r="H2469">
        <v>2923244662</v>
      </c>
      <c r="I2469" t="s">
        <v>21</v>
      </c>
      <c r="K2469" t="s">
        <v>22</v>
      </c>
      <c r="L2469" t="s">
        <v>23</v>
      </c>
      <c r="M2469" t="s">
        <v>24</v>
      </c>
      <c r="N2469" t="s">
        <v>24</v>
      </c>
      <c r="O2469" t="s">
        <v>25</v>
      </c>
      <c r="P2469" s="8" t="s">
        <v>3096</v>
      </c>
      <c r="Q2469" s="11"/>
      <c r="R2469" s="11"/>
      <c r="S2469" s="11"/>
      <c r="T2469" s="11"/>
      <c r="U2469" s="11"/>
      <c r="V2469" s="11"/>
      <c r="W2469" s="11"/>
      <c r="X2469" s="11"/>
      <c r="Y2469" s="11"/>
      <c r="Z2469" s="11"/>
      <c r="AA2469" s="11"/>
      <c r="AB2469" s="11"/>
      <c r="AC2469" s="11"/>
      <c r="AD2469" s="11"/>
      <c r="AE2469" s="11"/>
      <c r="AF2469" s="11"/>
      <c r="AG2469" s="11"/>
      <c r="AH2469" s="11"/>
      <c r="AI2469" s="11"/>
      <c r="AJ2469" s="11"/>
      <c r="AK2469" s="11"/>
      <c r="AL2469" s="11"/>
      <c r="AM2469" s="11"/>
      <c r="AN2469" s="11"/>
      <c r="AO2469" s="11"/>
      <c r="AP2469" s="11"/>
      <c r="AQ2469" s="11"/>
      <c r="AR2469" s="11"/>
      <c r="AS2469" s="11"/>
      <c r="AT2469" s="11"/>
      <c r="AU2469" s="11"/>
      <c r="AV2469" s="11"/>
      <c r="AW2469" s="11"/>
      <c r="AX2469" s="11"/>
      <c r="AY2469" s="11"/>
    </row>
    <row r="2470" spans="1:51" hidden="1" x14ac:dyDescent="0.2">
      <c r="A2470" s="6" t="s">
        <v>17</v>
      </c>
      <c r="B2470" t="s">
        <v>60</v>
      </c>
      <c r="C2470" t="s">
        <v>61</v>
      </c>
      <c r="D2470" t="s">
        <v>3097</v>
      </c>
      <c r="E2470" s="2">
        <v>224.33</v>
      </c>
      <c r="F2470" s="3">
        <f t="shared" si="217"/>
        <v>45933</v>
      </c>
      <c r="G2470" s="3">
        <f t="shared" si="217"/>
        <v>45933</v>
      </c>
      <c r="H2470">
        <v>2923244663</v>
      </c>
      <c r="I2470" t="s">
        <v>21</v>
      </c>
      <c r="K2470" t="s">
        <v>22</v>
      </c>
      <c r="L2470" t="s">
        <v>23</v>
      </c>
      <c r="M2470" t="s">
        <v>24</v>
      </c>
      <c r="N2470" t="s">
        <v>24</v>
      </c>
      <c r="O2470" t="s">
        <v>25</v>
      </c>
      <c r="P2470" s="8" t="s">
        <v>3098</v>
      </c>
      <c r="Q2470" s="11"/>
      <c r="R2470" s="11"/>
      <c r="S2470" s="11"/>
      <c r="T2470" s="11"/>
      <c r="U2470" s="11"/>
      <c r="V2470" s="11"/>
      <c r="W2470" s="11"/>
      <c r="X2470" s="11"/>
      <c r="Y2470" s="11"/>
      <c r="Z2470" s="11"/>
      <c r="AA2470" s="11"/>
      <c r="AB2470" s="11"/>
      <c r="AC2470" s="11"/>
      <c r="AD2470" s="11"/>
      <c r="AE2470" s="11"/>
      <c r="AF2470" s="11"/>
      <c r="AG2470" s="11"/>
      <c r="AH2470" s="11"/>
      <c r="AI2470" s="11"/>
      <c r="AJ2470" s="11"/>
      <c r="AK2470" s="11"/>
      <c r="AL2470" s="11"/>
      <c r="AM2470" s="11"/>
      <c r="AN2470" s="11"/>
      <c r="AO2470" s="11"/>
      <c r="AP2470" s="11"/>
      <c r="AQ2470" s="11"/>
      <c r="AR2470" s="11"/>
      <c r="AS2470" s="11"/>
      <c r="AT2470" s="11"/>
      <c r="AU2470" s="11"/>
      <c r="AV2470" s="11"/>
      <c r="AW2470" s="11"/>
      <c r="AX2470" s="11"/>
      <c r="AY2470" s="11"/>
    </row>
    <row r="2471" spans="1:51" x14ac:dyDescent="0.2">
      <c r="A2471" s="6" t="s">
        <v>17</v>
      </c>
      <c r="B2471" t="s">
        <v>342</v>
      </c>
      <c r="C2471" t="s">
        <v>342</v>
      </c>
      <c r="D2471" t="s">
        <v>3099</v>
      </c>
      <c r="E2471" s="2">
        <v>1196.51</v>
      </c>
      <c r="F2471" s="3">
        <f t="shared" si="217"/>
        <v>45933</v>
      </c>
      <c r="G2471" s="3">
        <f t="shared" si="217"/>
        <v>45933</v>
      </c>
      <c r="H2471">
        <v>2923244664</v>
      </c>
      <c r="I2471" t="s">
        <v>21</v>
      </c>
      <c r="K2471" t="s">
        <v>22</v>
      </c>
      <c r="L2471" t="s">
        <v>23</v>
      </c>
      <c r="M2471" t="s">
        <v>24</v>
      </c>
      <c r="N2471" t="s">
        <v>24</v>
      </c>
      <c r="O2471" t="s">
        <v>25</v>
      </c>
      <c r="P2471" s="8" t="s">
        <v>3100</v>
      </c>
      <c r="Q2471" s="11"/>
      <c r="R2471" s="11"/>
      <c r="S2471" s="11"/>
      <c r="T2471" s="11"/>
      <c r="U2471" s="11"/>
      <c r="V2471" s="11"/>
      <c r="W2471" s="11"/>
      <c r="X2471" s="11"/>
      <c r="Y2471" s="11"/>
      <c r="Z2471" s="11"/>
      <c r="AA2471" s="11"/>
      <c r="AB2471" s="11"/>
      <c r="AC2471" s="11"/>
      <c r="AD2471" s="11"/>
      <c r="AE2471" s="11"/>
      <c r="AF2471" s="11"/>
      <c r="AG2471" s="11"/>
      <c r="AH2471" s="11"/>
      <c r="AI2471" s="11"/>
      <c r="AJ2471" s="11"/>
      <c r="AK2471" s="11"/>
      <c r="AL2471" s="11"/>
      <c r="AM2471" s="11"/>
      <c r="AN2471" s="11"/>
      <c r="AO2471" s="11"/>
      <c r="AP2471" s="11"/>
      <c r="AQ2471" s="11"/>
      <c r="AR2471" s="11"/>
      <c r="AS2471" s="11"/>
      <c r="AT2471" s="11"/>
      <c r="AU2471" s="11"/>
      <c r="AV2471" s="11"/>
      <c r="AW2471" s="11"/>
      <c r="AX2471" s="11"/>
      <c r="AY2471" s="11"/>
    </row>
    <row r="2472" spans="1:51" hidden="1" x14ac:dyDescent="0.2">
      <c r="A2472" s="6" t="s">
        <v>17</v>
      </c>
      <c r="B2472" t="s">
        <v>18</v>
      </c>
      <c r="C2472" t="s">
        <v>19</v>
      </c>
      <c r="D2472" t="s">
        <v>3101</v>
      </c>
      <c r="E2472" s="2">
        <v>147.24</v>
      </c>
      <c r="F2472" s="3">
        <f t="shared" si="217"/>
        <v>45933</v>
      </c>
      <c r="G2472" s="3">
        <f t="shared" si="217"/>
        <v>45933</v>
      </c>
      <c r="H2472">
        <v>2923244665</v>
      </c>
      <c r="I2472" t="s">
        <v>21</v>
      </c>
      <c r="K2472" t="s">
        <v>22</v>
      </c>
      <c r="L2472" t="s">
        <v>23</v>
      </c>
      <c r="M2472" t="s">
        <v>24</v>
      </c>
      <c r="N2472" t="s">
        <v>24</v>
      </c>
      <c r="O2472" t="s">
        <v>25</v>
      </c>
      <c r="P2472" s="8" t="s">
        <v>3102</v>
      </c>
      <c r="Q2472" s="11"/>
      <c r="R2472" s="11"/>
      <c r="S2472" s="11"/>
      <c r="T2472" s="11"/>
      <c r="U2472" s="11"/>
      <c r="V2472" s="11"/>
      <c r="W2472" s="11"/>
      <c r="X2472" s="11"/>
      <c r="Y2472" s="11"/>
      <c r="Z2472" s="11"/>
      <c r="AA2472" s="11"/>
      <c r="AB2472" s="11"/>
      <c r="AC2472" s="11"/>
      <c r="AD2472" s="11"/>
      <c r="AE2472" s="11"/>
      <c r="AF2472" s="11"/>
      <c r="AG2472" s="11"/>
      <c r="AH2472" s="11"/>
      <c r="AI2472" s="11"/>
      <c r="AJ2472" s="11"/>
      <c r="AK2472" s="11"/>
      <c r="AL2472" s="11"/>
      <c r="AM2472" s="11"/>
      <c r="AN2472" s="11"/>
      <c r="AO2472" s="11"/>
      <c r="AP2472" s="11"/>
      <c r="AQ2472" s="11"/>
      <c r="AR2472" s="11"/>
      <c r="AS2472" s="11"/>
      <c r="AT2472" s="11"/>
      <c r="AU2472" s="11"/>
      <c r="AV2472" s="11"/>
      <c r="AW2472" s="11"/>
      <c r="AX2472" s="11"/>
      <c r="AY2472" s="11"/>
    </row>
    <row r="2473" spans="1:51" hidden="1" x14ac:dyDescent="0.2">
      <c r="A2473" s="6" t="s">
        <v>17</v>
      </c>
      <c r="B2473" t="s">
        <v>825</v>
      </c>
      <c r="C2473" t="s">
        <v>826</v>
      </c>
      <c r="D2473" t="s">
        <v>3103</v>
      </c>
      <c r="E2473" s="2">
        <v>170.39</v>
      </c>
      <c r="F2473" s="3">
        <f t="shared" si="217"/>
        <v>45933</v>
      </c>
      <c r="G2473" s="3">
        <f t="shared" si="217"/>
        <v>45933</v>
      </c>
      <c r="H2473">
        <v>2923244666</v>
      </c>
      <c r="I2473" t="s">
        <v>21</v>
      </c>
      <c r="K2473" t="s">
        <v>22</v>
      </c>
      <c r="L2473" t="s">
        <v>23</v>
      </c>
      <c r="M2473" t="s">
        <v>24</v>
      </c>
      <c r="N2473" t="s">
        <v>24</v>
      </c>
      <c r="O2473" t="s">
        <v>25</v>
      </c>
      <c r="P2473" s="8" t="s">
        <v>3104</v>
      </c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  <c r="AA2473" s="11"/>
      <c r="AB2473" s="11"/>
      <c r="AC2473" s="11"/>
      <c r="AD2473" s="11"/>
      <c r="AE2473" s="11"/>
      <c r="AF2473" s="11"/>
      <c r="AG2473" s="11"/>
      <c r="AH2473" s="11"/>
      <c r="AI2473" s="11"/>
      <c r="AJ2473" s="11"/>
      <c r="AK2473" s="11"/>
      <c r="AL2473" s="11"/>
      <c r="AM2473" s="11"/>
      <c r="AN2473" s="11"/>
      <c r="AO2473" s="11"/>
      <c r="AP2473" s="11"/>
      <c r="AQ2473" s="11"/>
      <c r="AR2473" s="11"/>
      <c r="AS2473" s="11"/>
      <c r="AT2473" s="11"/>
      <c r="AU2473" s="11"/>
      <c r="AV2473" s="11"/>
      <c r="AW2473" s="11"/>
      <c r="AX2473" s="11"/>
      <c r="AY2473" s="11"/>
    </row>
    <row r="2474" spans="1:51" hidden="1" x14ac:dyDescent="0.2">
      <c r="A2474" s="6" t="s">
        <v>17</v>
      </c>
      <c r="B2474" t="s">
        <v>589</v>
      </c>
      <c r="C2474" t="s">
        <v>590</v>
      </c>
      <c r="D2474" t="s">
        <v>3105</v>
      </c>
      <c r="E2474" s="2">
        <v>1025.1500000000001</v>
      </c>
      <c r="F2474" s="3">
        <f t="shared" si="217"/>
        <v>45933</v>
      </c>
      <c r="G2474" s="3">
        <f t="shared" si="217"/>
        <v>45933</v>
      </c>
      <c r="H2474">
        <v>2923244667</v>
      </c>
      <c r="I2474" t="s">
        <v>21</v>
      </c>
      <c r="K2474" t="s">
        <v>22</v>
      </c>
      <c r="L2474" t="s">
        <v>23</v>
      </c>
      <c r="M2474" t="s">
        <v>24</v>
      </c>
      <c r="N2474" t="s">
        <v>24</v>
      </c>
      <c r="O2474" t="s">
        <v>25</v>
      </c>
      <c r="P2474" s="8" t="s">
        <v>3106</v>
      </c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  <c r="AA2474" s="11"/>
      <c r="AB2474" s="11"/>
      <c r="AC2474" s="11"/>
      <c r="AD2474" s="11"/>
      <c r="AE2474" s="11"/>
      <c r="AF2474" s="11"/>
      <c r="AG2474" s="11"/>
      <c r="AH2474" s="11"/>
      <c r="AI2474" s="11"/>
      <c r="AJ2474" s="11"/>
      <c r="AK2474" s="11"/>
      <c r="AL2474" s="11"/>
      <c r="AM2474" s="11"/>
      <c r="AN2474" s="11"/>
      <c r="AO2474" s="11"/>
      <c r="AP2474" s="11"/>
      <c r="AQ2474" s="11"/>
      <c r="AR2474" s="11"/>
      <c r="AS2474" s="11"/>
      <c r="AT2474" s="11"/>
      <c r="AU2474" s="11"/>
      <c r="AV2474" s="11"/>
      <c r="AW2474" s="11"/>
      <c r="AX2474" s="11"/>
      <c r="AY2474" s="11"/>
    </row>
    <row r="2475" spans="1:51" hidden="1" x14ac:dyDescent="0.2">
      <c r="A2475" s="6" t="s">
        <v>17</v>
      </c>
      <c r="B2475" t="s">
        <v>878</v>
      </c>
      <c r="C2475" t="s">
        <v>879</v>
      </c>
      <c r="D2475" t="s">
        <v>3107</v>
      </c>
      <c r="E2475" s="2">
        <v>1124.69</v>
      </c>
      <c r="F2475" s="3">
        <f t="shared" si="217"/>
        <v>45933</v>
      </c>
      <c r="G2475" s="3">
        <f t="shared" si="217"/>
        <v>45933</v>
      </c>
      <c r="H2475">
        <v>2923244668</v>
      </c>
      <c r="I2475" t="s">
        <v>21</v>
      </c>
      <c r="K2475" t="s">
        <v>22</v>
      </c>
      <c r="L2475" t="s">
        <v>23</v>
      </c>
      <c r="M2475" t="s">
        <v>24</v>
      </c>
      <c r="N2475" t="s">
        <v>24</v>
      </c>
      <c r="O2475" t="s">
        <v>25</v>
      </c>
      <c r="P2475" s="8" t="s">
        <v>3108</v>
      </c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  <c r="AA2475" s="11"/>
      <c r="AB2475" s="11"/>
      <c r="AC2475" s="11"/>
      <c r="AD2475" s="11"/>
      <c r="AE2475" s="11"/>
      <c r="AF2475" s="11"/>
      <c r="AG2475" s="11"/>
      <c r="AH2475" s="11"/>
      <c r="AI2475" s="11"/>
      <c r="AJ2475" s="11"/>
      <c r="AK2475" s="11"/>
      <c r="AL2475" s="11"/>
      <c r="AM2475" s="11"/>
      <c r="AN2475" s="11"/>
      <c r="AO2475" s="11"/>
      <c r="AP2475" s="11"/>
      <c r="AQ2475" s="11"/>
      <c r="AR2475" s="11"/>
      <c r="AS2475" s="11"/>
      <c r="AT2475" s="11"/>
      <c r="AU2475" s="11"/>
      <c r="AV2475" s="11"/>
      <c r="AW2475" s="11"/>
      <c r="AX2475" s="11"/>
      <c r="AY2475" s="11"/>
    </row>
    <row r="2476" spans="1:51" hidden="1" x14ac:dyDescent="0.2">
      <c r="A2476" s="6"/>
      <c r="E2476" s="2"/>
      <c r="F2476" s="3"/>
      <c r="G2476" s="3"/>
      <c r="P2476" s="8"/>
      <c r="Q2476" s="11"/>
      <c r="R2476" s="11"/>
      <c r="S2476" s="11"/>
      <c r="T2476" s="11"/>
      <c r="U2476" s="11"/>
      <c r="V2476" s="11"/>
      <c r="W2476" s="11"/>
      <c r="X2476" s="11"/>
      <c r="Y2476" s="11"/>
      <c r="Z2476" s="11"/>
      <c r="AA2476" s="11"/>
      <c r="AB2476" s="11"/>
      <c r="AC2476" s="11"/>
      <c r="AD2476" s="11"/>
      <c r="AE2476" s="11"/>
      <c r="AF2476" s="11"/>
      <c r="AG2476" s="11"/>
      <c r="AH2476" s="11"/>
      <c r="AI2476" s="11"/>
      <c r="AJ2476" s="11"/>
      <c r="AK2476" s="11"/>
      <c r="AL2476" s="11"/>
      <c r="AM2476" s="11"/>
      <c r="AN2476" s="11"/>
      <c r="AO2476" s="11"/>
      <c r="AP2476" s="11"/>
      <c r="AQ2476" s="11"/>
      <c r="AR2476" s="11"/>
      <c r="AS2476" s="11"/>
      <c r="AT2476" s="11"/>
      <c r="AU2476" s="11"/>
      <c r="AV2476" s="11"/>
      <c r="AW2476" s="11"/>
      <c r="AX2476" s="11"/>
      <c r="AY2476" s="11"/>
    </row>
    <row r="2477" spans="1:51" hidden="1" x14ac:dyDescent="0.2">
      <c r="A2477" s="6"/>
      <c r="E2477" s="2"/>
      <c r="F2477" s="3"/>
      <c r="G2477" s="3"/>
      <c r="P2477" s="8"/>
      <c r="Q2477" s="11"/>
      <c r="R2477" s="11"/>
      <c r="S2477" s="11"/>
      <c r="T2477" s="11"/>
      <c r="U2477" s="11"/>
      <c r="V2477" s="11"/>
      <c r="W2477" s="11"/>
      <c r="X2477" s="11"/>
      <c r="Y2477" s="11"/>
      <c r="Z2477" s="11"/>
      <c r="AA2477" s="11"/>
      <c r="AB2477" s="11"/>
      <c r="AC2477" s="11"/>
      <c r="AD2477" s="11"/>
      <c r="AE2477" s="11"/>
      <c r="AF2477" s="11"/>
      <c r="AG2477" s="11"/>
      <c r="AH2477" s="11"/>
      <c r="AI2477" s="11"/>
      <c r="AJ2477" s="11"/>
      <c r="AK2477" s="11"/>
      <c r="AL2477" s="11"/>
      <c r="AM2477" s="11"/>
      <c r="AN2477" s="11"/>
      <c r="AO2477" s="11"/>
      <c r="AP2477" s="11"/>
      <c r="AQ2477" s="11"/>
      <c r="AR2477" s="11"/>
      <c r="AS2477" s="11"/>
      <c r="AT2477" s="11"/>
      <c r="AU2477" s="11"/>
      <c r="AV2477" s="11"/>
      <c r="AW2477" s="11"/>
      <c r="AX2477" s="11"/>
      <c r="AY2477" s="11"/>
    </row>
    <row r="2478" spans="1:51" hidden="1" x14ac:dyDescent="0.2">
      <c r="A2478" s="6"/>
      <c r="E2478" s="2"/>
      <c r="F2478" s="3"/>
      <c r="G2478" s="3"/>
      <c r="P2478" s="8"/>
      <c r="Q2478" s="11"/>
      <c r="R2478" s="11"/>
      <c r="S2478" s="11"/>
      <c r="T2478" s="11"/>
      <c r="U2478" s="11"/>
      <c r="V2478" s="11"/>
      <c r="W2478" s="11"/>
      <c r="X2478" s="11"/>
      <c r="Y2478" s="11"/>
      <c r="Z2478" s="11"/>
      <c r="AA2478" s="11"/>
      <c r="AB2478" s="11"/>
      <c r="AC2478" s="11"/>
      <c r="AD2478" s="11"/>
      <c r="AE2478" s="11"/>
      <c r="AF2478" s="11"/>
      <c r="AG2478" s="11"/>
      <c r="AH2478" s="11"/>
      <c r="AI2478" s="11"/>
      <c r="AJ2478" s="11"/>
      <c r="AK2478" s="11"/>
      <c r="AL2478" s="11"/>
      <c r="AM2478" s="11"/>
      <c r="AN2478" s="11"/>
      <c r="AO2478" s="11"/>
      <c r="AP2478" s="11"/>
      <c r="AQ2478" s="11"/>
      <c r="AR2478" s="11"/>
      <c r="AS2478" s="11"/>
      <c r="AT2478" s="11"/>
      <c r="AU2478" s="11"/>
      <c r="AV2478" s="11"/>
      <c r="AW2478" s="11"/>
      <c r="AX2478" s="11"/>
      <c r="AY2478" s="11"/>
    </row>
    <row r="2479" spans="1:51" hidden="1" x14ac:dyDescent="0.2">
      <c r="A2479" s="6"/>
      <c r="E2479" s="2"/>
      <c r="F2479" s="3"/>
      <c r="G2479" s="3"/>
      <c r="P2479" s="8"/>
      <c r="Q2479" s="11"/>
      <c r="R2479" s="11"/>
      <c r="S2479" s="11"/>
      <c r="T2479" s="11"/>
      <c r="U2479" s="11"/>
      <c r="V2479" s="11"/>
      <c r="W2479" s="11"/>
      <c r="X2479" s="11"/>
      <c r="Y2479" s="11"/>
      <c r="Z2479" s="11"/>
      <c r="AA2479" s="11"/>
      <c r="AB2479" s="11"/>
      <c r="AC2479" s="11"/>
      <c r="AD2479" s="11"/>
      <c r="AE2479" s="11"/>
      <c r="AF2479" s="11"/>
      <c r="AG2479" s="11"/>
      <c r="AH2479" s="11"/>
      <c r="AI2479" s="11"/>
      <c r="AJ2479" s="11"/>
      <c r="AK2479" s="11"/>
      <c r="AL2479" s="11"/>
      <c r="AM2479" s="11"/>
      <c r="AN2479" s="11"/>
      <c r="AO2479" s="11"/>
      <c r="AP2479" s="11"/>
      <c r="AQ2479" s="11"/>
      <c r="AR2479" s="11"/>
      <c r="AS2479" s="11"/>
      <c r="AT2479" s="11"/>
      <c r="AU2479" s="11"/>
      <c r="AV2479" s="11"/>
      <c r="AW2479" s="11"/>
      <c r="AX2479" s="11"/>
      <c r="AY2479" s="11"/>
    </row>
    <row r="2480" spans="1:51" hidden="1" x14ac:dyDescent="0.2">
      <c r="A2480" s="6"/>
      <c r="E2480" s="2"/>
      <c r="F2480" s="3"/>
      <c r="G2480" s="3"/>
      <c r="P2480" s="8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  <c r="AA2480" s="11"/>
      <c r="AB2480" s="11"/>
      <c r="AC2480" s="11"/>
      <c r="AD2480" s="11"/>
      <c r="AE2480" s="11"/>
      <c r="AF2480" s="11"/>
      <c r="AG2480" s="11"/>
      <c r="AH2480" s="11"/>
      <c r="AI2480" s="11"/>
      <c r="AJ2480" s="11"/>
      <c r="AK2480" s="11"/>
      <c r="AL2480" s="11"/>
      <c r="AM2480" s="11"/>
      <c r="AN2480" s="11"/>
      <c r="AO2480" s="11"/>
      <c r="AP2480" s="11"/>
      <c r="AQ2480" s="11"/>
      <c r="AR2480" s="11"/>
      <c r="AS2480" s="11"/>
      <c r="AT2480" s="11"/>
      <c r="AU2480" s="11"/>
      <c r="AV2480" s="11"/>
      <c r="AW2480" s="11"/>
      <c r="AX2480" s="11"/>
      <c r="AY2480" s="11"/>
    </row>
    <row r="2481" spans="1:51" hidden="1" x14ac:dyDescent="0.2">
      <c r="A2481" s="6"/>
      <c r="E2481" s="2"/>
      <c r="F2481" s="3"/>
      <c r="G2481" s="3"/>
      <c r="P2481" s="8"/>
      <c r="Q2481" s="11"/>
      <c r="R2481" s="11"/>
      <c r="S2481" s="11"/>
      <c r="T2481" s="11"/>
      <c r="U2481" s="11"/>
      <c r="V2481" s="11"/>
      <c r="W2481" s="11"/>
      <c r="X2481" s="11"/>
      <c r="Y2481" s="11"/>
      <c r="Z2481" s="11"/>
      <c r="AA2481" s="11"/>
      <c r="AB2481" s="11"/>
      <c r="AC2481" s="11"/>
      <c r="AD2481" s="11"/>
      <c r="AE2481" s="11"/>
      <c r="AF2481" s="11"/>
      <c r="AG2481" s="11"/>
      <c r="AH2481" s="11"/>
      <c r="AI2481" s="11"/>
      <c r="AJ2481" s="11"/>
      <c r="AK2481" s="11"/>
      <c r="AL2481" s="11"/>
      <c r="AM2481" s="11"/>
      <c r="AN2481" s="11"/>
      <c r="AO2481" s="11"/>
      <c r="AP2481" s="11"/>
      <c r="AQ2481" s="11"/>
      <c r="AR2481" s="11"/>
      <c r="AS2481" s="11"/>
      <c r="AT2481" s="11"/>
      <c r="AU2481" s="11"/>
      <c r="AV2481" s="11"/>
      <c r="AW2481" s="11"/>
      <c r="AX2481" s="11"/>
      <c r="AY2481" s="11"/>
    </row>
    <row r="2482" spans="1:51" hidden="1" x14ac:dyDescent="0.2">
      <c r="A2482" s="6" t="s">
        <v>17</v>
      </c>
      <c r="B2482" t="s">
        <v>244</v>
      </c>
      <c r="C2482" t="s">
        <v>245</v>
      </c>
      <c r="D2482" t="s">
        <v>3109</v>
      </c>
      <c r="E2482" s="2">
        <v>18.600000000000001</v>
      </c>
      <c r="F2482" s="3">
        <f t="shared" ref="F2482:G2482" si="218">DATE(2025,10,3)</f>
        <v>45933</v>
      </c>
      <c r="G2482" s="3">
        <f t="shared" si="218"/>
        <v>45933</v>
      </c>
      <c r="H2482">
        <v>2928612913</v>
      </c>
      <c r="I2482" t="s">
        <v>192</v>
      </c>
      <c r="K2482" t="s">
        <v>22</v>
      </c>
      <c r="L2482" t="s">
        <v>23</v>
      </c>
      <c r="M2482" t="s">
        <v>24</v>
      </c>
      <c r="N2482" t="s">
        <v>24</v>
      </c>
      <c r="O2482" t="s">
        <v>25</v>
      </c>
      <c r="P2482" s="8" t="s">
        <v>3110</v>
      </c>
      <c r="Q2482" s="11"/>
      <c r="R2482" s="11"/>
      <c r="S2482" s="11"/>
      <c r="T2482" s="11"/>
      <c r="U2482" s="11"/>
      <c r="V2482" s="11"/>
      <c r="W2482" s="11"/>
      <c r="X2482" s="11"/>
      <c r="Y2482" s="11"/>
      <c r="Z2482" s="11"/>
      <c r="AA2482" s="11"/>
      <c r="AB2482" s="11"/>
      <c r="AC2482" s="11"/>
      <c r="AD2482" s="11"/>
      <c r="AE2482" s="11"/>
      <c r="AF2482" s="11"/>
      <c r="AG2482" s="11"/>
      <c r="AH2482" s="11"/>
      <c r="AI2482" s="11"/>
      <c r="AJ2482" s="11"/>
      <c r="AK2482" s="11"/>
      <c r="AL2482" s="11"/>
      <c r="AM2482" s="11"/>
      <c r="AN2482" s="11"/>
      <c r="AO2482" s="11"/>
      <c r="AP2482" s="11"/>
      <c r="AQ2482" s="11"/>
      <c r="AR2482" s="11"/>
      <c r="AS2482" s="11"/>
      <c r="AT2482" s="11"/>
      <c r="AU2482" s="11"/>
      <c r="AV2482" s="11"/>
      <c r="AW2482" s="11"/>
      <c r="AX2482" s="11"/>
      <c r="AY2482" s="11"/>
    </row>
    <row r="2483" spans="1:51" hidden="1" x14ac:dyDescent="0.2">
      <c r="A2483" s="6"/>
      <c r="E2483" s="2"/>
      <c r="F2483" s="3"/>
      <c r="G2483" s="3"/>
      <c r="P2483" s="8"/>
      <c r="Q2483" s="11"/>
      <c r="R2483" s="11"/>
      <c r="S2483" s="11"/>
      <c r="T2483" s="11"/>
      <c r="U2483" s="11"/>
      <c r="V2483" s="11"/>
      <c r="W2483" s="11"/>
      <c r="X2483" s="11"/>
      <c r="Y2483" s="11"/>
      <c r="Z2483" s="11"/>
      <c r="AA2483" s="11"/>
      <c r="AB2483" s="11"/>
      <c r="AC2483" s="11"/>
      <c r="AD2483" s="11"/>
      <c r="AE2483" s="11"/>
      <c r="AF2483" s="11"/>
      <c r="AG2483" s="11"/>
      <c r="AH2483" s="11"/>
      <c r="AI2483" s="11"/>
      <c r="AJ2483" s="11"/>
      <c r="AK2483" s="11"/>
      <c r="AL2483" s="11"/>
      <c r="AM2483" s="11"/>
      <c r="AN2483" s="11"/>
      <c r="AO2483" s="11"/>
      <c r="AP2483" s="11"/>
      <c r="AQ2483" s="11"/>
      <c r="AR2483" s="11"/>
      <c r="AS2483" s="11"/>
      <c r="AT2483" s="11"/>
      <c r="AU2483" s="11"/>
      <c r="AV2483" s="11"/>
      <c r="AW2483" s="11"/>
      <c r="AX2483" s="11"/>
      <c r="AY2483" s="11"/>
    </row>
    <row r="2484" spans="1:51" hidden="1" x14ac:dyDescent="0.2">
      <c r="A2484" s="6"/>
      <c r="E2484" s="2"/>
      <c r="F2484" s="3"/>
      <c r="G2484" s="3"/>
      <c r="P2484" s="8"/>
      <c r="Q2484" s="11"/>
      <c r="R2484" s="11"/>
      <c r="S2484" s="11"/>
      <c r="T2484" s="11"/>
      <c r="U2484" s="11"/>
      <c r="V2484" s="11"/>
      <c r="W2484" s="11"/>
      <c r="X2484" s="11"/>
      <c r="Y2484" s="11"/>
      <c r="Z2484" s="11"/>
      <c r="AA2484" s="11"/>
      <c r="AB2484" s="11"/>
      <c r="AC2484" s="11"/>
      <c r="AD2484" s="11"/>
      <c r="AE2484" s="11"/>
      <c r="AF2484" s="11"/>
      <c r="AG2484" s="11"/>
      <c r="AH2484" s="11"/>
      <c r="AI2484" s="11"/>
      <c r="AJ2484" s="11"/>
      <c r="AK2484" s="11"/>
      <c r="AL2484" s="11"/>
      <c r="AM2484" s="11"/>
      <c r="AN2484" s="11"/>
      <c r="AO2484" s="11"/>
      <c r="AP2484" s="11"/>
      <c r="AQ2484" s="11"/>
      <c r="AR2484" s="11"/>
      <c r="AS2484" s="11"/>
      <c r="AT2484" s="11"/>
      <c r="AU2484" s="11"/>
      <c r="AV2484" s="11"/>
      <c r="AW2484" s="11"/>
      <c r="AX2484" s="11"/>
      <c r="AY2484" s="11"/>
    </row>
    <row r="2485" spans="1:51" hidden="1" x14ac:dyDescent="0.2">
      <c r="A2485" s="6" t="s">
        <v>17</v>
      </c>
      <c r="B2485" t="s">
        <v>1002</v>
      </c>
      <c r="C2485" t="s">
        <v>1003</v>
      </c>
      <c r="D2485" t="s">
        <v>3111</v>
      </c>
      <c r="E2485" s="2">
        <v>650.84</v>
      </c>
      <c r="F2485" s="3">
        <f t="shared" ref="F2485:G2488" si="219">DATE(2025,10,6)</f>
        <v>45936</v>
      </c>
      <c r="G2485" s="3">
        <f t="shared" si="219"/>
        <v>45936</v>
      </c>
      <c r="H2485">
        <v>2939873740</v>
      </c>
      <c r="I2485" t="s">
        <v>21</v>
      </c>
      <c r="K2485" t="s">
        <v>22</v>
      </c>
      <c r="L2485" t="s">
        <v>23</v>
      </c>
      <c r="M2485" t="s">
        <v>24</v>
      </c>
      <c r="N2485" t="s">
        <v>24</v>
      </c>
      <c r="O2485" t="s">
        <v>25</v>
      </c>
      <c r="P2485" s="8" t="s">
        <v>3112</v>
      </c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  <c r="AA2485" s="11"/>
      <c r="AB2485" s="11"/>
      <c r="AC2485" s="11"/>
      <c r="AD2485" s="11"/>
      <c r="AE2485" s="11"/>
      <c r="AF2485" s="11"/>
      <c r="AG2485" s="11"/>
      <c r="AH2485" s="11"/>
      <c r="AI2485" s="11"/>
      <c r="AJ2485" s="11"/>
      <c r="AK2485" s="11"/>
      <c r="AL2485" s="11"/>
      <c r="AM2485" s="11"/>
      <c r="AN2485" s="11"/>
      <c r="AO2485" s="11"/>
      <c r="AP2485" s="11"/>
      <c r="AQ2485" s="11"/>
      <c r="AR2485" s="11"/>
      <c r="AS2485" s="11"/>
      <c r="AT2485" s="11"/>
      <c r="AU2485" s="11"/>
      <c r="AV2485" s="11"/>
      <c r="AW2485" s="11"/>
      <c r="AX2485" s="11"/>
      <c r="AY2485" s="11"/>
    </row>
    <row r="2486" spans="1:51" hidden="1" x14ac:dyDescent="0.2">
      <c r="A2486" s="6"/>
      <c r="E2486" s="2"/>
      <c r="F2486" s="3"/>
      <c r="G2486" s="3"/>
      <c r="P2486" s="8"/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  <c r="AA2486" s="11"/>
      <c r="AB2486" s="11"/>
      <c r="AC2486" s="11"/>
      <c r="AD2486" s="11"/>
      <c r="AE2486" s="11"/>
      <c r="AF2486" s="11"/>
      <c r="AG2486" s="11"/>
      <c r="AH2486" s="11"/>
      <c r="AI2486" s="11"/>
      <c r="AJ2486" s="11"/>
      <c r="AK2486" s="11"/>
      <c r="AL2486" s="11"/>
      <c r="AM2486" s="11"/>
      <c r="AN2486" s="11"/>
      <c r="AO2486" s="11"/>
      <c r="AP2486" s="11"/>
      <c r="AQ2486" s="11"/>
      <c r="AR2486" s="11"/>
      <c r="AS2486" s="11"/>
      <c r="AT2486" s="11"/>
      <c r="AU2486" s="11"/>
      <c r="AV2486" s="11"/>
      <c r="AW2486" s="11"/>
      <c r="AX2486" s="11"/>
      <c r="AY2486" s="11"/>
    </row>
    <row r="2487" spans="1:51" hidden="1" x14ac:dyDescent="0.2">
      <c r="A2487" s="6" t="s">
        <v>17</v>
      </c>
      <c r="B2487" t="s">
        <v>35</v>
      </c>
      <c r="C2487" t="s">
        <v>35</v>
      </c>
      <c r="D2487" t="s">
        <v>3113</v>
      </c>
      <c r="E2487" s="2">
        <v>0.56000000000000005</v>
      </c>
      <c r="F2487" s="3">
        <f t="shared" si="219"/>
        <v>45936</v>
      </c>
      <c r="G2487" s="3">
        <f t="shared" si="219"/>
        <v>45936</v>
      </c>
      <c r="H2487">
        <v>2939873742</v>
      </c>
      <c r="I2487" t="s">
        <v>21</v>
      </c>
      <c r="K2487" t="s">
        <v>22</v>
      </c>
      <c r="L2487" t="s">
        <v>23</v>
      </c>
      <c r="M2487" t="s">
        <v>24</v>
      </c>
      <c r="N2487" t="s">
        <v>24</v>
      </c>
      <c r="O2487" t="s">
        <v>25</v>
      </c>
      <c r="P2487" s="8" t="s">
        <v>3114</v>
      </c>
      <c r="Q2487" s="11"/>
      <c r="R2487" s="11"/>
      <c r="S2487" s="11"/>
      <c r="T2487" s="11"/>
      <c r="U2487" s="11"/>
      <c r="V2487" s="11"/>
      <c r="W2487" s="11"/>
      <c r="X2487" s="11"/>
      <c r="Y2487" s="11"/>
      <c r="Z2487" s="11"/>
      <c r="AA2487" s="11"/>
      <c r="AB2487" s="11"/>
      <c r="AC2487" s="11"/>
      <c r="AD2487" s="11"/>
      <c r="AE2487" s="11"/>
      <c r="AF2487" s="11"/>
      <c r="AG2487" s="11"/>
      <c r="AH2487" s="11"/>
      <c r="AI2487" s="11"/>
      <c r="AJ2487" s="11"/>
      <c r="AK2487" s="11"/>
      <c r="AL2487" s="11"/>
      <c r="AM2487" s="11"/>
      <c r="AN2487" s="11"/>
      <c r="AO2487" s="11"/>
      <c r="AP2487" s="11"/>
      <c r="AQ2487" s="11"/>
      <c r="AR2487" s="11"/>
      <c r="AS2487" s="11"/>
      <c r="AT2487" s="11"/>
      <c r="AU2487" s="11"/>
      <c r="AV2487" s="11"/>
      <c r="AW2487" s="11"/>
      <c r="AX2487" s="11"/>
      <c r="AY2487" s="11"/>
    </row>
    <row r="2488" spans="1:51" hidden="1" x14ac:dyDescent="0.2">
      <c r="A2488" s="6" t="s">
        <v>17</v>
      </c>
      <c r="B2488" t="s">
        <v>50</v>
      </c>
      <c r="C2488" t="s">
        <v>51</v>
      </c>
      <c r="D2488" t="s">
        <v>3115</v>
      </c>
      <c r="E2488" s="2">
        <v>205.2</v>
      </c>
      <c r="F2488" s="3">
        <f t="shared" si="219"/>
        <v>45936</v>
      </c>
      <c r="G2488" s="3">
        <f t="shared" si="219"/>
        <v>45936</v>
      </c>
      <c r="H2488">
        <v>2939873743</v>
      </c>
      <c r="I2488" t="s">
        <v>21</v>
      </c>
      <c r="K2488" t="s">
        <v>22</v>
      </c>
      <c r="L2488" t="s">
        <v>23</v>
      </c>
      <c r="M2488" t="s">
        <v>24</v>
      </c>
      <c r="N2488" t="s">
        <v>24</v>
      </c>
      <c r="O2488" t="s">
        <v>25</v>
      </c>
      <c r="P2488" s="8" t="s">
        <v>3116</v>
      </c>
      <c r="Q2488" s="11"/>
      <c r="R2488" s="11"/>
      <c r="S2488" s="11"/>
      <c r="T2488" s="11"/>
      <c r="U2488" s="11"/>
      <c r="V2488" s="11"/>
      <c r="W2488" s="11"/>
      <c r="X2488" s="11"/>
      <c r="Y2488" s="11"/>
      <c r="Z2488" s="11"/>
      <c r="AA2488" s="11"/>
      <c r="AB2488" s="11"/>
      <c r="AC2488" s="11"/>
      <c r="AD2488" s="11"/>
      <c r="AE2488" s="11"/>
      <c r="AF2488" s="11"/>
      <c r="AG2488" s="11"/>
      <c r="AH2488" s="11"/>
      <c r="AI2488" s="11"/>
      <c r="AJ2488" s="11"/>
      <c r="AK2488" s="11"/>
      <c r="AL2488" s="11"/>
      <c r="AM2488" s="11"/>
      <c r="AN2488" s="11"/>
      <c r="AO2488" s="11"/>
      <c r="AP2488" s="11"/>
      <c r="AQ2488" s="11"/>
      <c r="AR2488" s="11"/>
      <c r="AS2488" s="11"/>
      <c r="AT2488" s="11"/>
      <c r="AU2488" s="11"/>
      <c r="AV2488" s="11"/>
      <c r="AW2488" s="11"/>
      <c r="AX2488" s="11"/>
      <c r="AY2488" s="11"/>
    </row>
    <row r="2489" spans="1:51" hidden="1" x14ac:dyDescent="0.2">
      <c r="A2489" s="6"/>
      <c r="E2489" s="2"/>
      <c r="F2489" s="3"/>
      <c r="G2489" s="3"/>
      <c r="P2489" s="8"/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  <c r="AA2489" s="11"/>
      <c r="AB2489" s="11"/>
      <c r="AC2489" s="11"/>
      <c r="AD2489" s="11"/>
      <c r="AE2489" s="11"/>
      <c r="AF2489" s="11"/>
      <c r="AG2489" s="11"/>
      <c r="AH2489" s="11"/>
      <c r="AI2489" s="11"/>
      <c r="AJ2489" s="11"/>
      <c r="AK2489" s="11"/>
      <c r="AL2489" s="11"/>
      <c r="AM2489" s="11"/>
      <c r="AN2489" s="11"/>
      <c r="AO2489" s="11"/>
      <c r="AP2489" s="11"/>
      <c r="AQ2489" s="11"/>
      <c r="AR2489" s="11"/>
      <c r="AS2489" s="11"/>
      <c r="AT2489" s="11"/>
      <c r="AU2489" s="11"/>
      <c r="AV2489" s="11"/>
      <c r="AW2489" s="11"/>
      <c r="AX2489" s="11"/>
      <c r="AY2489" s="11"/>
    </row>
    <row r="2490" spans="1:51" hidden="1" x14ac:dyDescent="0.2">
      <c r="A2490" s="6"/>
      <c r="E2490" s="2"/>
      <c r="F2490" s="3"/>
      <c r="G2490" s="3"/>
      <c r="P2490" s="8"/>
      <c r="Q2490" s="11"/>
      <c r="R2490" s="11"/>
      <c r="S2490" s="11"/>
      <c r="T2490" s="11"/>
      <c r="U2490" s="11"/>
      <c r="V2490" s="11"/>
      <c r="W2490" s="11"/>
      <c r="X2490" s="11"/>
      <c r="Y2490" s="11"/>
      <c r="Z2490" s="11"/>
      <c r="AA2490" s="11"/>
      <c r="AB2490" s="11"/>
      <c r="AC2490" s="11"/>
      <c r="AD2490" s="11"/>
      <c r="AE2490" s="11"/>
      <c r="AF2490" s="11"/>
      <c r="AG2490" s="11"/>
      <c r="AH2490" s="11"/>
      <c r="AI2490" s="11"/>
      <c r="AJ2490" s="11"/>
      <c r="AK2490" s="11"/>
      <c r="AL2490" s="11"/>
      <c r="AM2490" s="11"/>
      <c r="AN2490" s="11"/>
      <c r="AO2490" s="11"/>
      <c r="AP2490" s="11"/>
      <c r="AQ2490" s="11"/>
      <c r="AR2490" s="11"/>
      <c r="AS2490" s="11"/>
      <c r="AT2490" s="11"/>
      <c r="AU2490" s="11"/>
      <c r="AV2490" s="11"/>
      <c r="AW2490" s="11"/>
      <c r="AX2490" s="11"/>
      <c r="AY2490" s="11"/>
    </row>
    <row r="2491" spans="1:51" hidden="1" x14ac:dyDescent="0.2">
      <c r="A2491" s="6" t="s">
        <v>17</v>
      </c>
      <c r="B2491" t="s">
        <v>35</v>
      </c>
      <c r="C2491" t="s">
        <v>35</v>
      </c>
      <c r="D2491" t="s">
        <v>3117</v>
      </c>
      <c r="E2491" s="2">
        <v>381.46</v>
      </c>
      <c r="F2491" s="3">
        <f>DATE(2025,10,7)</f>
        <v>45937</v>
      </c>
      <c r="G2491" s="3">
        <f>DATE(2025,10,7)</f>
        <v>45937</v>
      </c>
      <c r="H2491">
        <v>2948396388</v>
      </c>
      <c r="I2491" t="s">
        <v>21</v>
      </c>
      <c r="K2491" t="s">
        <v>22</v>
      </c>
      <c r="L2491" t="s">
        <v>23</v>
      </c>
      <c r="M2491" t="s">
        <v>24</v>
      </c>
      <c r="N2491" t="s">
        <v>24</v>
      </c>
      <c r="O2491" t="s">
        <v>25</v>
      </c>
      <c r="P2491" s="8" t="s">
        <v>3118</v>
      </c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  <c r="AA2491" s="11"/>
      <c r="AB2491" s="11"/>
      <c r="AC2491" s="11"/>
      <c r="AD2491" s="11"/>
      <c r="AE2491" s="11"/>
      <c r="AF2491" s="11"/>
      <c r="AG2491" s="11"/>
      <c r="AH2491" s="11"/>
      <c r="AI2491" s="11"/>
      <c r="AJ2491" s="11"/>
      <c r="AK2491" s="11"/>
      <c r="AL2491" s="11"/>
      <c r="AM2491" s="11"/>
      <c r="AN2491" s="11"/>
      <c r="AO2491" s="11"/>
      <c r="AP2491" s="11"/>
      <c r="AQ2491" s="11"/>
      <c r="AR2491" s="11"/>
      <c r="AS2491" s="11"/>
      <c r="AT2491" s="11"/>
      <c r="AU2491" s="11"/>
      <c r="AV2491" s="11"/>
      <c r="AW2491" s="11"/>
      <c r="AX2491" s="11"/>
      <c r="AY2491" s="11"/>
    </row>
    <row r="2492" spans="1:51" hidden="1" x14ac:dyDescent="0.2">
      <c r="A2492" s="6" t="s">
        <v>17</v>
      </c>
      <c r="B2492" t="s">
        <v>90</v>
      </c>
      <c r="C2492" t="s">
        <v>91</v>
      </c>
      <c r="D2492" t="s">
        <v>3119</v>
      </c>
      <c r="E2492" s="2">
        <v>29659.98</v>
      </c>
      <c r="F2492" s="3">
        <f>DATE(2025,10,6)</f>
        <v>45936</v>
      </c>
      <c r="G2492" s="3">
        <f>DATE(2025,10,6)</f>
        <v>45936</v>
      </c>
      <c r="H2492">
        <v>2948396389</v>
      </c>
      <c r="I2492" t="s">
        <v>21</v>
      </c>
      <c r="K2492" t="s">
        <v>22</v>
      </c>
      <c r="L2492" t="s">
        <v>23</v>
      </c>
      <c r="M2492" t="s">
        <v>24</v>
      </c>
      <c r="N2492" t="s">
        <v>24</v>
      </c>
      <c r="O2492" t="s">
        <v>25</v>
      </c>
      <c r="P2492" s="8" t="s">
        <v>3120</v>
      </c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  <c r="AA2492" s="11"/>
      <c r="AB2492" s="11"/>
      <c r="AC2492" s="11"/>
      <c r="AD2492" s="11"/>
      <c r="AE2492" s="11"/>
      <c r="AF2492" s="11"/>
      <c r="AG2492" s="11"/>
      <c r="AH2492" s="11"/>
      <c r="AI2492" s="11"/>
      <c r="AJ2492" s="11"/>
      <c r="AK2492" s="11"/>
      <c r="AL2492" s="11"/>
      <c r="AM2492" s="11"/>
      <c r="AN2492" s="11"/>
      <c r="AO2492" s="11"/>
      <c r="AP2492" s="11"/>
      <c r="AQ2492" s="11"/>
      <c r="AR2492" s="11"/>
      <c r="AS2492" s="11"/>
      <c r="AT2492" s="11"/>
      <c r="AU2492" s="11"/>
      <c r="AV2492" s="11"/>
      <c r="AW2492" s="11"/>
      <c r="AX2492" s="11"/>
      <c r="AY2492" s="11"/>
    </row>
    <row r="2493" spans="1:51" hidden="1" x14ac:dyDescent="0.2">
      <c r="A2493" s="6" t="s">
        <v>17</v>
      </c>
      <c r="B2493" t="s">
        <v>42</v>
      </c>
      <c r="C2493" t="s">
        <v>43</v>
      </c>
      <c r="D2493" t="s">
        <v>3121</v>
      </c>
      <c r="E2493" s="2">
        <v>162.6</v>
      </c>
      <c r="F2493" s="3">
        <f>DATE(2025,10,6)</f>
        <v>45936</v>
      </c>
      <c r="G2493" s="3">
        <f>DATE(2025,10,6)</f>
        <v>45936</v>
      </c>
      <c r="H2493">
        <v>2948396390</v>
      </c>
      <c r="I2493" t="s">
        <v>21</v>
      </c>
      <c r="K2493" t="s">
        <v>22</v>
      </c>
      <c r="L2493" t="s">
        <v>23</v>
      </c>
      <c r="M2493" t="s">
        <v>24</v>
      </c>
      <c r="N2493" t="s">
        <v>24</v>
      </c>
      <c r="O2493" t="s">
        <v>25</v>
      </c>
      <c r="P2493" s="8" t="s">
        <v>3122</v>
      </c>
      <c r="Q2493" s="11"/>
      <c r="R2493" s="11"/>
      <c r="S2493" s="11"/>
      <c r="T2493" s="11"/>
      <c r="U2493" s="11"/>
      <c r="V2493" s="11"/>
      <c r="W2493" s="11"/>
      <c r="X2493" s="11"/>
      <c r="Y2493" s="11"/>
      <c r="Z2493" s="11"/>
      <c r="AA2493" s="11"/>
      <c r="AB2493" s="11"/>
      <c r="AC2493" s="11"/>
      <c r="AD2493" s="11"/>
      <c r="AE2493" s="11"/>
      <c r="AF2493" s="11"/>
      <c r="AG2493" s="11"/>
      <c r="AH2493" s="11"/>
      <c r="AI2493" s="11"/>
      <c r="AJ2493" s="11"/>
      <c r="AK2493" s="11"/>
      <c r="AL2493" s="11"/>
      <c r="AM2493" s="11"/>
      <c r="AN2493" s="11"/>
      <c r="AO2493" s="11"/>
      <c r="AP2493" s="11"/>
      <c r="AQ2493" s="11"/>
      <c r="AR2493" s="11"/>
      <c r="AS2493" s="11"/>
      <c r="AT2493" s="11"/>
      <c r="AU2493" s="11"/>
      <c r="AV2493" s="11"/>
      <c r="AW2493" s="11"/>
      <c r="AX2493" s="11"/>
      <c r="AY2493" s="11"/>
    </row>
    <row r="2494" spans="1:51" hidden="1" x14ac:dyDescent="0.2">
      <c r="A2494" s="6" t="s">
        <v>17</v>
      </c>
      <c r="B2494" t="s">
        <v>42</v>
      </c>
      <c r="C2494" t="s">
        <v>43</v>
      </c>
      <c r="D2494" t="s">
        <v>44</v>
      </c>
      <c r="E2494" s="2">
        <v>500</v>
      </c>
      <c r="F2494" s="3">
        <f>DATE(2025,10,7)</f>
        <v>45937</v>
      </c>
      <c r="G2494" s="3">
        <f>DATE(2025,10,7)</f>
        <v>45937</v>
      </c>
      <c r="H2494">
        <v>2948396391</v>
      </c>
      <c r="I2494" t="s">
        <v>21</v>
      </c>
      <c r="K2494" t="s">
        <v>22</v>
      </c>
      <c r="L2494" t="s">
        <v>23</v>
      </c>
      <c r="M2494" t="s">
        <v>24</v>
      </c>
      <c r="N2494" t="s">
        <v>24</v>
      </c>
      <c r="O2494" t="s">
        <v>25</v>
      </c>
      <c r="P2494" s="8" t="s">
        <v>3123</v>
      </c>
      <c r="Q2494" s="11"/>
      <c r="R2494" s="11"/>
      <c r="S2494" s="11"/>
      <c r="T2494" s="11"/>
      <c r="U2494" s="11"/>
      <c r="V2494" s="11"/>
      <c r="W2494" s="11"/>
      <c r="X2494" s="11"/>
      <c r="Y2494" s="11"/>
      <c r="Z2494" s="11"/>
      <c r="AA2494" s="11"/>
      <c r="AB2494" s="11"/>
      <c r="AC2494" s="11"/>
      <c r="AD2494" s="11"/>
      <c r="AE2494" s="11"/>
      <c r="AF2494" s="11"/>
      <c r="AG2494" s="11"/>
      <c r="AH2494" s="11"/>
      <c r="AI2494" s="11"/>
      <c r="AJ2494" s="11"/>
      <c r="AK2494" s="11"/>
      <c r="AL2494" s="11"/>
      <c r="AM2494" s="11"/>
      <c r="AN2494" s="11"/>
      <c r="AO2494" s="11"/>
      <c r="AP2494" s="11"/>
      <c r="AQ2494" s="11"/>
      <c r="AR2494" s="11"/>
      <c r="AS2494" s="11"/>
      <c r="AT2494" s="11"/>
      <c r="AU2494" s="11"/>
      <c r="AV2494" s="11"/>
      <c r="AW2494" s="11"/>
      <c r="AX2494" s="11"/>
      <c r="AY2494" s="11"/>
    </row>
    <row r="2495" spans="1:51" x14ac:dyDescent="0.2">
      <c r="A2495" s="6"/>
      <c r="E2495" s="2"/>
      <c r="F2495" s="3"/>
      <c r="G2495" s="3"/>
      <c r="P2495" s="8"/>
      <c r="Q2495" s="11"/>
      <c r="R2495" s="11"/>
      <c r="S2495" s="11"/>
      <c r="T2495" s="11"/>
      <c r="U2495" s="11"/>
      <c r="V2495" s="11"/>
      <c r="W2495" s="11"/>
      <c r="X2495" s="11"/>
      <c r="Y2495" s="11"/>
      <c r="Z2495" s="11"/>
      <c r="AA2495" s="11"/>
      <c r="AB2495" s="11"/>
      <c r="AC2495" s="11"/>
      <c r="AD2495" s="11"/>
      <c r="AE2495" s="11"/>
      <c r="AF2495" s="11"/>
      <c r="AG2495" s="11"/>
      <c r="AH2495" s="11"/>
      <c r="AI2495" s="11"/>
      <c r="AJ2495" s="11"/>
      <c r="AK2495" s="11"/>
      <c r="AL2495" s="11"/>
      <c r="AM2495" s="11"/>
      <c r="AN2495" s="11"/>
      <c r="AO2495" s="11"/>
      <c r="AP2495" s="11"/>
      <c r="AQ2495" s="11"/>
      <c r="AR2495" s="11"/>
      <c r="AS2495" s="11"/>
      <c r="AT2495" s="11"/>
      <c r="AU2495" s="11"/>
      <c r="AV2495" s="11"/>
      <c r="AW2495" s="11"/>
      <c r="AX2495" s="11"/>
      <c r="AY2495" s="11"/>
    </row>
    <row r="2496" spans="1:51" hidden="1" x14ac:dyDescent="0.2">
      <c r="A2496" s="6" t="s">
        <v>17</v>
      </c>
      <c r="B2496" t="s">
        <v>90</v>
      </c>
      <c r="C2496" t="s">
        <v>91</v>
      </c>
      <c r="D2496" t="s">
        <v>3124</v>
      </c>
      <c r="E2496" s="2">
        <v>6900.43</v>
      </c>
      <c r="F2496" s="3">
        <f t="shared" ref="F2495:G2496" si="220">DATE(2025,10,6)</f>
        <v>45936</v>
      </c>
      <c r="G2496" s="3">
        <f t="shared" si="220"/>
        <v>45936</v>
      </c>
      <c r="H2496">
        <v>2948396393</v>
      </c>
      <c r="I2496" t="s">
        <v>21</v>
      </c>
      <c r="K2496" t="s">
        <v>22</v>
      </c>
      <c r="L2496" t="s">
        <v>23</v>
      </c>
      <c r="M2496" t="s">
        <v>24</v>
      </c>
      <c r="N2496" t="s">
        <v>24</v>
      </c>
      <c r="O2496" t="s">
        <v>25</v>
      </c>
      <c r="P2496" s="8" t="s">
        <v>3125</v>
      </c>
      <c r="Q2496" s="11"/>
      <c r="R2496" s="11"/>
      <c r="S2496" s="11"/>
      <c r="T2496" s="11"/>
      <c r="U2496" s="11"/>
      <c r="V2496" s="11"/>
      <c r="W2496" s="11"/>
      <c r="X2496" s="11"/>
      <c r="Y2496" s="11"/>
      <c r="Z2496" s="11"/>
      <c r="AA2496" s="11"/>
      <c r="AB2496" s="11"/>
      <c r="AC2496" s="11"/>
      <c r="AD2496" s="11"/>
      <c r="AE2496" s="11"/>
      <c r="AF2496" s="11"/>
      <c r="AG2496" s="11"/>
      <c r="AH2496" s="11"/>
      <c r="AI2496" s="11"/>
      <c r="AJ2496" s="11"/>
      <c r="AK2496" s="11"/>
      <c r="AL2496" s="11"/>
      <c r="AM2496" s="11"/>
      <c r="AN2496" s="11"/>
      <c r="AO2496" s="11"/>
      <c r="AP2496" s="11"/>
      <c r="AQ2496" s="11"/>
      <c r="AR2496" s="11"/>
      <c r="AS2496" s="11"/>
      <c r="AT2496" s="11"/>
      <c r="AU2496" s="11"/>
      <c r="AV2496" s="11"/>
      <c r="AW2496" s="11"/>
      <c r="AX2496" s="11"/>
      <c r="AY2496" s="11"/>
    </row>
    <row r="2497" spans="1:51" hidden="1" x14ac:dyDescent="0.2">
      <c r="A2497" s="6"/>
      <c r="E2497" s="2"/>
      <c r="F2497" s="3"/>
      <c r="G2497" s="3"/>
      <c r="P2497" s="8"/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  <c r="AA2497" s="11"/>
      <c r="AB2497" s="11"/>
      <c r="AC2497" s="11"/>
      <c r="AD2497" s="11"/>
      <c r="AE2497" s="11"/>
      <c r="AF2497" s="11"/>
      <c r="AG2497" s="11"/>
      <c r="AH2497" s="11"/>
      <c r="AI2497" s="11"/>
      <c r="AJ2497" s="11"/>
      <c r="AK2497" s="11"/>
      <c r="AL2497" s="11"/>
      <c r="AM2497" s="11"/>
      <c r="AN2497" s="11"/>
      <c r="AO2497" s="11"/>
      <c r="AP2497" s="11"/>
      <c r="AQ2497" s="11"/>
      <c r="AR2497" s="11"/>
      <c r="AS2497" s="11"/>
      <c r="AT2497" s="11"/>
      <c r="AU2497" s="11"/>
      <c r="AV2497" s="11"/>
      <c r="AW2497" s="11"/>
      <c r="AX2497" s="11"/>
      <c r="AY2497" s="11"/>
    </row>
    <row r="2498" spans="1:51" hidden="1" x14ac:dyDescent="0.2">
      <c r="A2498" s="6" t="s">
        <v>17</v>
      </c>
      <c r="B2498" t="s">
        <v>35</v>
      </c>
      <c r="C2498" t="s">
        <v>35</v>
      </c>
      <c r="D2498" t="s">
        <v>3126</v>
      </c>
      <c r="E2498" s="2">
        <v>0.56000000000000005</v>
      </c>
      <c r="F2498" s="3">
        <f>DATE(2025,10,7)</f>
        <v>45937</v>
      </c>
      <c r="G2498" s="3">
        <f>DATE(2025,10,7)</f>
        <v>45937</v>
      </c>
      <c r="H2498">
        <v>2948396395</v>
      </c>
      <c r="I2498" t="s">
        <v>21</v>
      </c>
      <c r="K2498" t="s">
        <v>22</v>
      </c>
      <c r="L2498" t="s">
        <v>23</v>
      </c>
      <c r="M2498" t="s">
        <v>24</v>
      </c>
      <c r="N2498" t="s">
        <v>24</v>
      </c>
      <c r="O2498" t="s">
        <v>25</v>
      </c>
      <c r="P2498" s="8" t="s">
        <v>3127</v>
      </c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1"/>
      <c r="AB2498" s="11"/>
      <c r="AC2498" s="11"/>
      <c r="AD2498" s="11"/>
      <c r="AE2498" s="11"/>
      <c r="AF2498" s="11"/>
      <c r="AG2498" s="11"/>
      <c r="AH2498" s="11"/>
      <c r="AI2498" s="11"/>
      <c r="AJ2498" s="11"/>
      <c r="AK2498" s="11"/>
      <c r="AL2498" s="11"/>
      <c r="AM2498" s="11"/>
      <c r="AN2498" s="11"/>
      <c r="AO2498" s="11"/>
      <c r="AP2498" s="11"/>
      <c r="AQ2498" s="11"/>
      <c r="AR2498" s="11"/>
      <c r="AS2498" s="11"/>
      <c r="AT2498" s="11"/>
      <c r="AU2498" s="11"/>
      <c r="AV2498" s="11"/>
      <c r="AW2498" s="11"/>
      <c r="AX2498" s="11"/>
      <c r="AY2498" s="11"/>
    </row>
    <row r="2499" spans="1:51" hidden="1" x14ac:dyDescent="0.2">
      <c r="A2499" s="6"/>
      <c r="E2499" s="2"/>
      <c r="F2499" s="3"/>
      <c r="G2499" s="3"/>
      <c r="P2499" s="8"/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  <c r="AA2499" s="11"/>
      <c r="AB2499" s="11"/>
      <c r="AC2499" s="11"/>
      <c r="AD2499" s="11"/>
      <c r="AE2499" s="11"/>
      <c r="AF2499" s="11"/>
      <c r="AG2499" s="11"/>
      <c r="AH2499" s="11"/>
      <c r="AI2499" s="11"/>
      <c r="AJ2499" s="11"/>
      <c r="AK2499" s="11"/>
      <c r="AL2499" s="11"/>
      <c r="AM2499" s="11"/>
      <c r="AN2499" s="11"/>
      <c r="AO2499" s="11"/>
      <c r="AP2499" s="11"/>
      <c r="AQ2499" s="11"/>
      <c r="AR2499" s="11"/>
      <c r="AS2499" s="11"/>
      <c r="AT2499" s="11"/>
      <c r="AU2499" s="11"/>
      <c r="AV2499" s="11"/>
      <c r="AW2499" s="11"/>
      <c r="AX2499" s="11"/>
      <c r="AY2499" s="11"/>
    </row>
    <row r="2500" spans="1:51" hidden="1" x14ac:dyDescent="0.2">
      <c r="A2500" s="6"/>
      <c r="E2500" s="2"/>
      <c r="F2500" s="3"/>
      <c r="G2500" s="3"/>
      <c r="P2500" s="8"/>
      <c r="Q2500" s="11"/>
      <c r="R2500" s="11"/>
      <c r="S2500" s="11"/>
      <c r="T2500" s="11"/>
      <c r="U2500" s="11"/>
      <c r="V2500" s="11"/>
      <c r="W2500" s="11"/>
      <c r="X2500" s="11"/>
      <c r="Y2500" s="11"/>
      <c r="Z2500" s="11"/>
      <c r="AA2500" s="11"/>
      <c r="AB2500" s="11"/>
      <c r="AC2500" s="11"/>
      <c r="AD2500" s="11"/>
      <c r="AE2500" s="11"/>
      <c r="AF2500" s="11"/>
      <c r="AG2500" s="11"/>
      <c r="AH2500" s="11"/>
      <c r="AI2500" s="11"/>
      <c r="AJ2500" s="11"/>
      <c r="AK2500" s="11"/>
      <c r="AL2500" s="11"/>
      <c r="AM2500" s="11"/>
      <c r="AN2500" s="11"/>
      <c r="AO2500" s="11"/>
      <c r="AP2500" s="11"/>
      <c r="AQ2500" s="11"/>
      <c r="AR2500" s="11"/>
      <c r="AS2500" s="11"/>
      <c r="AT2500" s="11"/>
      <c r="AU2500" s="11"/>
      <c r="AV2500" s="11"/>
      <c r="AW2500" s="11"/>
      <c r="AX2500" s="11"/>
      <c r="AY2500" s="11"/>
    </row>
    <row r="2501" spans="1:51" x14ac:dyDescent="0.2">
      <c r="A2501" s="6" t="s">
        <v>17</v>
      </c>
      <c r="B2501" t="s">
        <v>342</v>
      </c>
      <c r="C2501" t="s">
        <v>342</v>
      </c>
      <c r="D2501" t="s">
        <v>3128</v>
      </c>
      <c r="E2501" s="2">
        <v>555.41999999999996</v>
      </c>
      <c r="F2501" s="3">
        <f t="shared" ref="F2501:G2501" si="221">DATE(2025,10,6)</f>
        <v>45936</v>
      </c>
      <c r="G2501" s="3">
        <f t="shared" si="221"/>
        <v>45936</v>
      </c>
      <c r="H2501">
        <v>2948396398</v>
      </c>
      <c r="I2501" t="s">
        <v>21</v>
      </c>
      <c r="K2501" t="s">
        <v>22</v>
      </c>
      <c r="L2501" t="s">
        <v>23</v>
      </c>
      <c r="M2501" t="s">
        <v>24</v>
      </c>
      <c r="N2501" t="s">
        <v>24</v>
      </c>
      <c r="O2501" t="s">
        <v>25</v>
      </c>
      <c r="P2501" s="8" t="s">
        <v>3129</v>
      </c>
      <c r="Q2501" s="11"/>
      <c r="R2501" s="11"/>
      <c r="S2501" s="11"/>
      <c r="T2501" s="11"/>
      <c r="U2501" s="11"/>
      <c r="V2501" s="11"/>
      <c r="W2501" s="11"/>
      <c r="X2501" s="11"/>
      <c r="Y2501" s="11"/>
      <c r="Z2501" s="11"/>
      <c r="AA2501" s="11"/>
      <c r="AB2501" s="11"/>
      <c r="AC2501" s="11"/>
      <c r="AD2501" s="11"/>
      <c r="AE2501" s="11"/>
      <c r="AF2501" s="11"/>
      <c r="AG2501" s="11"/>
      <c r="AH2501" s="11"/>
      <c r="AI2501" s="11"/>
      <c r="AJ2501" s="11"/>
      <c r="AK2501" s="11"/>
      <c r="AL2501" s="11"/>
      <c r="AM2501" s="11"/>
      <c r="AN2501" s="11"/>
      <c r="AO2501" s="11"/>
      <c r="AP2501" s="11"/>
      <c r="AQ2501" s="11"/>
      <c r="AR2501" s="11"/>
      <c r="AS2501" s="11"/>
      <c r="AT2501" s="11"/>
      <c r="AU2501" s="11"/>
      <c r="AV2501" s="11"/>
      <c r="AW2501" s="11"/>
      <c r="AX2501" s="11"/>
      <c r="AY2501" s="11"/>
    </row>
    <row r="2502" spans="1:51" hidden="1" x14ac:dyDescent="0.2">
      <c r="A2502" s="6"/>
      <c r="E2502" s="2"/>
      <c r="F2502" s="3"/>
      <c r="G2502" s="3"/>
      <c r="P2502" s="8"/>
      <c r="Q2502" s="11"/>
      <c r="R2502" s="11"/>
      <c r="S2502" s="11"/>
      <c r="T2502" s="11"/>
      <c r="U2502" s="11"/>
      <c r="V2502" s="11"/>
      <c r="W2502" s="11"/>
      <c r="X2502" s="11"/>
      <c r="Y2502" s="11"/>
      <c r="Z2502" s="11"/>
      <c r="AA2502" s="11"/>
      <c r="AB2502" s="11"/>
      <c r="AC2502" s="11"/>
      <c r="AD2502" s="11"/>
      <c r="AE2502" s="11"/>
      <c r="AF2502" s="11"/>
      <c r="AG2502" s="11"/>
      <c r="AH2502" s="11"/>
      <c r="AI2502" s="11"/>
      <c r="AJ2502" s="11"/>
      <c r="AK2502" s="11"/>
      <c r="AL2502" s="11"/>
      <c r="AM2502" s="11"/>
      <c r="AN2502" s="11"/>
      <c r="AO2502" s="11"/>
      <c r="AP2502" s="11"/>
      <c r="AQ2502" s="11"/>
      <c r="AR2502" s="11"/>
      <c r="AS2502" s="11"/>
      <c r="AT2502" s="11"/>
      <c r="AU2502" s="11"/>
      <c r="AV2502" s="11"/>
      <c r="AW2502" s="11"/>
      <c r="AX2502" s="11"/>
      <c r="AY2502" s="11"/>
    </row>
    <row r="2503" spans="1:51" hidden="1" x14ac:dyDescent="0.2">
      <c r="A2503" s="6"/>
      <c r="E2503" s="2"/>
      <c r="F2503" s="3"/>
      <c r="G2503" s="3"/>
      <c r="P2503" s="8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  <c r="AA2503" s="11"/>
      <c r="AB2503" s="11"/>
      <c r="AC2503" s="11"/>
      <c r="AD2503" s="11"/>
      <c r="AE2503" s="11"/>
      <c r="AF2503" s="11"/>
      <c r="AG2503" s="11"/>
      <c r="AH2503" s="11"/>
      <c r="AI2503" s="11"/>
      <c r="AJ2503" s="11"/>
      <c r="AK2503" s="11"/>
      <c r="AL2503" s="11"/>
      <c r="AM2503" s="11"/>
      <c r="AN2503" s="11"/>
      <c r="AO2503" s="11"/>
      <c r="AP2503" s="11"/>
      <c r="AQ2503" s="11"/>
      <c r="AR2503" s="11"/>
      <c r="AS2503" s="11"/>
      <c r="AT2503" s="11"/>
      <c r="AU2503" s="11"/>
      <c r="AV2503" s="11"/>
      <c r="AW2503" s="11"/>
      <c r="AX2503" s="11"/>
      <c r="AY2503" s="11"/>
    </row>
    <row r="2504" spans="1:51" hidden="1" x14ac:dyDescent="0.2">
      <c r="A2504" s="6"/>
      <c r="E2504" s="2"/>
      <c r="F2504" s="3"/>
      <c r="G2504" s="3"/>
      <c r="P2504" s="8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11"/>
      <c r="AB2504" s="11"/>
      <c r="AC2504" s="11"/>
      <c r="AD2504" s="11"/>
      <c r="AE2504" s="11"/>
      <c r="AF2504" s="11"/>
      <c r="AG2504" s="11"/>
      <c r="AH2504" s="11"/>
      <c r="AI2504" s="11"/>
      <c r="AJ2504" s="11"/>
      <c r="AK2504" s="11"/>
      <c r="AL2504" s="11"/>
      <c r="AM2504" s="11"/>
      <c r="AN2504" s="11"/>
      <c r="AO2504" s="11"/>
      <c r="AP2504" s="11"/>
      <c r="AQ2504" s="11"/>
      <c r="AR2504" s="11"/>
      <c r="AS2504" s="11"/>
      <c r="AT2504" s="11"/>
      <c r="AU2504" s="11"/>
      <c r="AV2504" s="11"/>
      <c r="AW2504" s="11"/>
      <c r="AX2504" s="11"/>
      <c r="AY2504" s="11"/>
    </row>
    <row r="2505" spans="1:51" hidden="1" x14ac:dyDescent="0.2">
      <c r="A2505" s="6" t="s">
        <v>17</v>
      </c>
      <c r="B2505" t="s">
        <v>198</v>
      </c>
      <c r="C2505" t="s">
        <v>199</v>
      </c>
      <c r="D2505" t="s">
        <v>3130</v>
      </c>
      <c r="E2505" s="2">
        <v>3638.63</v>
      </c>
      <c r="F2505" s="3">
        <f>DATE(2025,10,5)</f>
        <v>45935</v>
      </c>
      <c r="G2505" s="3">
        <f>DATE(2025,10,5)</f>
        <v>45935</v>
      </c>
      <c r="H2505">
        <v>2948444239</v>
      </c>
      <c r="I2505" t="s">
        <v>192</v>
      </c>
      <c r="K2505" t="s">
        <v>22</v>
      </c>
      <c r="L2505" t="s">
        <v>23</v>
      </c>
      <c r="M2505" t="s">
        <v>24</v>
      </c>
      <c r="N2505" t="s">
        <v>24</v>
      </c>
      <c r="O2505" t="s">
        <v>25</v>
      </c>
      <c r="P2505" s="8" t="s">
        <v>3131</v>
      </c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  <c r="AA2505" s="11"/>
      <c r="AB2505" s="11"/>
      <c r="AC2505" s="11"/>
      <c r="AD2505" s="11"/>
      <c r="AE2505" s="11"/>
      <c r="AF2505" s="11"/>
      <c r="AG2505" s="11"/>
      <c r="AH2505" s="11"/>
      <c r="AI2505" s="11"/>
      <c r="AJ2505" s="11"/>
      <c r="AK2505" s="11"/>
      <c r="AL2505" s="11"/>
      <c r="AM2505" s="11"/>
      <c r="AN2505" s="11"/>
      <c r="AO2505" s="11"/>
      <c r="AP2505" s="11"/>
      <c r="AQ2505" s="11"/>
      <c r="AR2505" s="11"/>
      <c r="AS2505" s="11"/>
      <c r="AT2505" s="11"/>
      <c r="AU2505" s="11"/>
      <c r="AV2505" s="11"/>
      <c r="AW2505" s="11"/>
      <c r="AX2505" s="11"/>
      <c r="AY2505" s="11"/>
    </row>
    <row r="2506" spans="1:51" hidden="1" x14ac:dyDescent="0.2">
      <c r="A2506" s="6" t="s">
        <v>17</v>
      </c>
      <c r="B2506" t="s">
        <v>18</v>
      </c>
      <c r="C2506" t="s">
        <v>19</v>
      </c>
      <c r="D2506" t="s">
        <v>3132</v>
      </c>
      <c r="E2506" s="2">
        <v>1.21</v>
      </c>
      <c r="F2506" s="3">
        <f>DATE(2025,10,6)</f>
        <v>45936</v>
      </c>
      <c r="G2506" s="3">
        <f>DATE(2025,10,6)</f>
        <v>45936</v>
      </c>
      <c r="H2506">
        <v>2948444240</v>
      </c>
      <c r="I2506" t="s">
        <v>192</v>
      </c>
      <c r="K2506" t="s">
        <v>22</v>
      </c>
      <c r="L2506" t="s">
        <v>23</v>
      </c>
      <c r="M2506" t="s">
        <v>24</v>
      </c>
      <c r="N2506" t="s">
        <v>24</v>
      </c>
      <c r="O2506" t="s">
        <v>25</v>
      </c>
      <c r="P2506" s="8" t="s">
        <v>3133</v>
      </c>
      <c r="Q2506" s="11"/>
      <c r="R2506" s="11"/>
      <c r="S2506" s="11"/>
      <c r="T2506" s="11"/>
      <c r="U2506" s="11"/>
      <c r="V2506" s="11"/>
      <c r="W2506" s="11"/>
      <c r="X2506" s="11"/>
      <c r="Y2506" s="11"/>
      <c r="Z2506" s="11"/>
      <c r="AA2506" s="11"/>
      <c r="AB2506" s="11"/>
      <c r="AC2506" s="11"/>
      <c r="AD2506" s="11"/>
      <c r="AE2506" s="11"/>
      <c r="AF2506" s="11"/>
      <c r="AG2506" s="11"/>
      <c r="AH2506" s="11"/>
      <c r="AI2506" s="11"/>
      <c r="AJ2506" s="11"/>
      <c r="AK2506" s="11"/>
      <c r="AL2506" s="11"/>
      <c r="AM2506" s="11"/>
      <c r="AN2506" s="11"/>
      <c r="AO2506" s="11"/>
      <c r="AP2506" s="11"/>
      <c r="AQ2506" s="11"/>
      <c r="AR2506" s="11"/>
      <c r="AS2506" s="11"/>
      <c r="AT2506" s="11"/>
      <c r="AU2506" s="11"/>
      <c r="AV2506" s="11"/>
      <c r="AW2506" s="11"/>
      <c r="AX2506" s="11"/>
      <c r="AY2506" s="11"/>
    </row>
    <row r="2507" spans="1:51" hidden="1" x14ac:dyDescent="0.2">
      <c r="A2507" s="6"/>
      <c r="E2507" s="2"/>
      <c r="F2507" s="3"/>
      <c r="G2507" s="3"/>
      <c r="P2507" s="8"/>
      <c r="Q2507" s="11"/>
      <c r="R2507" s="11"/>
      <c r="S2507" s="11"/>
      <c r="T2507" s="11"/>
      <c r="U2507" s="11"/>
      <c r="V2507" s="11"/>
      <c r="W2507" s="11"/>
      <c r="X2507" s="11"/>
      <c r="Y2507" s="11"/>
      <c r="Z2507" s="11"/>
      <c r="AA2507" s="11"/>
      <c r="AB2507" s="11"/>
      <c r="AC2507" s="11"/>
      <c r="AD2507" s="11"/>
      <c r="AE2507" s="11"/>
      <c r="AF2507" s="11"/>
      <c r="AG2507" s="11"/>
      <c r="AH2507" s="11"/>
      <c r="AI2507" s="11"/>
      <c r="AJ2507" s="11"/>
      <c r="AK2507" s="11"/>
      <c r="AL2507" s="11"/>
      <c r="AM2507" s="11"/>
      <c r="AN2507" s="11"/>
      <c r="AO2507" s="11"/>
      <c r="AP2507" s="11"/>
      <c r="AQ2507" s="11"/>
      <c r="AR2507" s="11"/>
      <c r="AS2507" s="11"/>
      <c r="AT2507" s="11"/>
      <c r="AU2507" s="11"/>
      <c r="AV2507" s="11"/>
      <c r="AW2507" s="11"/>
      <c r="AX2507" s="11"/>
      <c r="AY2507" s="11"/>
    </row>
    <row r="2508" spans="1:51" hidden="1" x14ac:dyDescent="0.2">
      <c r="A2508" s="6" t="s">
        <v>17</v>
      </c>
      <c r="B2508" t="s">
        <v>198</v>
      </c>
      <c r="C2508" t="s">
        <v>199</v>
      </c>
      <c r="D2508" t="s">
        <v>3134</v>
      </c>
      <c r="E2508" s="2">
        <v>214.23</v>
      </c>
      <c r="F2508" s="3">
        <f>DATE(2025,10,5)</f>
        <v>45935</v>
      </c>
      <c r="G2508" s="3">
        <f>DATE(2025,10,5)</f>
        <v>45935</v>
      </c>
      <c r="H2508">
        <v>2948444242</v>
      </c>
      <c r="I2508" t="s">
        <v>192</v>
      </c>
      <c r="K2508" t="s">
        <v>22</v>
      </c>
      <c r="L2508" t="s">
        <v>23</v>
      </c>
      <c r="M2508" t="s">
        <v>24</v>
      </c>
      <c r="N2508" t="s">
        <v>24</v>
      </c>
      <c r="O2508" t="s">
        <v>25</v>
      </c>
      <c r="P2508" s="8" t="s">
        <v>3135</v>
      </c>
      <c r="Q2508" s="11"/>
      <c r="R2508" s="11"/>
      <c r="S2508" s="11"/>
      <c r="T2508" s="11"/>
      <c r="U2508" s="11"/>
      <c r="V2508" s="11"/>
      <c r="W2508" s="11"/>
      <c r="X2508" s="11"/>
      <c r="Y2508" s="11"/>
      <c r="Z2508" s="11"/>
      <c r="AA2508" s="11"/>
      <c r="AB2508" s="11"/>
      <c r="AC2508" s="11"/>
      <c r="AD2508" s="11"/>
      <c r="AE2508" s="11"/>
      <c r="AF2508" s="11"/>
      <c r="AG2508" s="11"/>
      <c r="AH2508" s="11"/>
      <c r="AI2508" s="11"/>
      <c r="AJ2508" s="11"/>
      <c r="AK2508" s="11"/>
      <c r="AL2508" s="11"/>
      <c r="AM2508" s="11"/>
      <c r="AN2508" s="11"/>
      <c r="AO2508" s="11"/>
      <c r="AP2508" s="11"/>
      <c r="AQ2508" s="11"/>
      <c r="AR2508" s="11"/>
      <c r="AS2508" s="11"/>
      <c r="AT2508" s="11"/>
      <c r="AU2508" s="11"/>
      <c r="AV2508" s="11"/>
      <c r="AW2508" s="11"/>
      <c r="AX2508" s="11"/>
      <c r="AY2508" s="11"/>
    </row>
    <row r="2509" spans="1:51" hidden="1" x14ac:dyDescent="0.2">
      <c r="A2509" s="6" t="s">
        <v>17</v>
      </c>
      <c r="B2509" t="s">
        <v>27</v>
      </c>
      <c r="C2509" t="s">
        <v>28</v>
      </c>
      <c r="D2509" t="s">
        <v>3136</v>
      </c>
      <c r="E2509" s="2">
        <v>1156.0999999999999</v>
      </c>
      <c r="F2509" s="3">
        <f>DATE(2025,10,9)</f>
        <v>45939</v>
      </c>
      <c r="G2509" s="3">
        <f>DATE(2025,10,9)</f>
        <v>45939</v>
      </c>
      <c r="H2509">
        <v>2959237252</v>
      </c>
      <c r="I2509" t="s">
        <v>21</v>
      </c>
      <c r="K2509" t="s">
        <v>22</v>
      </c>
      <c r="L2509" t="s">
        <v>23</v>
      </c>
      <c r="M2509" t="s">
        <v>24</v>
      </c>
      <c r="N2509" t="s">
        <v>24</v>
      </c>
      <c r="O2509" t="s">
        <v>25</v>
      </c>
      <c r="P2509" s="8" t="s">
        <v>3137</v>
      </c>
      <c r="Q2509" s="11"/>
      <c r="R2509" s="11"/>
      <c r="S2509" s="11"/>
      <c r="T2509" s="11"/>
      <c r="U2509" s="11"/>
      <c r="V2509" s="11"/>
      <c r="W2509" s="11"/>
      <c r="X2509" s="11"/>
      <c r="Y2509" s="11"/>
      <c r="Z2509" s="11"/>
      <c r="AA2509" s="11"/>
      <c r="AB2509" s="11"/>
      <c r="AC2509" s="11"/>
      <c r="AD2509" s="11"/>
      <c r="AE2509" s="11"/>
      <c r="AF2509" s="11"/>
      <c r="AG2509" s="11"/>
      <c r="AH2509" s="11"/>
      <c r="AI2509" s="11"/>
      <c r="AJ2509" s="11"/>
      <c r="AK2509" s="11"/>
      <c r="AL2509" s="11"/>
      <c r="AM2509" s="11"/>
      <c r="AN2509" s="11"/>
      <c r="AO2509" s="11"/>
      <c r="AP2509" s="11"/>
      <c r="AQ2509" s="11"/>
      <c r="AR2509" s="11"/>
      <c r="AS2509" s="11"/>
      <c r="AT2509" s="11"/>
      <c r="AU2509" s="11"/>
      <c r="AV2509" s="11"/>
      <c r="AW2509" s="11"/>
      <c r="AX2509" s="11"/>
      <c r="AY2509" s="11"/>
    </row>
    <row r="2510" spans="1:51" hidden="1" x14ac:dyDescent="0.2">
      <c r="A2510" s="6"/>
      <c r="E2510" s="2"/>
      <c r="F2510" s="3"/>
      <c r="G2510" s="3"/>
      <c r="P2510" s="8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  <c r="AA2510" s="11"/>
      <c r="AB2510" s="11"/>
      <c r="AC2510" s="11"/>
      <c r="AD2510" s="11"/>
      <c r="AE2510" s="11"/>
      <c r="AF2510" s="11"/>
      <c r="AG2510" s="11"/>
      <c r="AH2510" s="11"/>
      <c r="AI2510" s="11"/>
      <c r="AJ2510" s="11"/>
      <c r="AK2510" s="11"/>
      <c r="AL2510" s="11"/>
      <c r="AM2510" s="11"/>
      <c r="AN2510" s="11"/>
      <c r="AO2510" s="11"/>
      <c r="AP2510" s="11"/>
      <c r="AQ2510" s="11"/>
      <c r="AR2510" s="11"/>
      <c r="AS2510" s="11"/>
      <c r="AT2510" s="11"/>
      <c r="AU2510" s="11"/>
      <c r="AV2510" s="11"/>
      <c r="AW2510" s="11"/>
      <c r="AX2510" s="11"/>
      <c r="AY2510" s="11"/>
    </row>
    <row r="2511" spans="1:51" hidden="1" x14ac:dyDescent="0.2">
      <c r="A2511" s="6"/>
      <c r="E2511" s="2"/>
      <c r="F2511" s="3"/>
      <c r="G2511" s="3"/>
      <c r="P2511" s="8"/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  <c r="AA2511" s="11"/>
      <c r="AB2511" s="11"/>
      <c r="AC2511" s="11"/>
      <c r="AD2511" s="11"/>
      <c r="AE2511" s="11"/>
      <c r="AF2511" s="11"/>
      <c r="AG2511" s="11"/>
      <c r="AH2511" s="11"/>
      <c r="AI2511" s="11"/>
      <c r="AJ2511" s="11"/>
      <c r="AK2511" s="11"/>
      <c r="AL2511" s="11"/>
      <c r="AM2511" s="11"/>
      <c r="AN2511" s="11"/>
      <c r="AO2511" s="11"/>
      <c r="AP2511" s="11"/>
      <c r="AQ2511" s="11"/>
      <c r="AR2511" s="11"/>
      <c r="AS2511" s="11"/>
      <c r="AT2511" s="11"/>
      <c r="AU2511" s="11"/>
      <c r="AV2511" s="11"/>
      <c r="AW2511" s="11"/>
      <c r="AX2511" s="11"/>
      <c r="AY2511" s="11"/>
    </row>
    <row r="2512" spans="1:51" hidden="1" x14ac:dyDescent="0.2">
      <c r="A2512" s="6"/>
      <c r="E2512" s="2"/>
      <c r="F2512" s="3"/>
      <c r="G2512" s="3"/>
      <c r="P2512" s="8"/>
      <c r="Q2512" s="11"/>
      <c r="R2512" s="11"/>
      <c r="S2512" s="11"/>
      <c r="T2512" s="11"/>
      <c r="U2512" s="11"/>
      <c r="V2512" s="11"/>
      <c r="W2512" s="11"/>
      <c r="X2512" s="11"/>
      <c r="Y2512" s="11"/>
      <c r="Z2512" s="11"/>
      <c r="AA2512" s="11"/>
      <c r="AB2512" s="11"/>
      <c r="AC2512" s="11"/>
      <c r="AD2512" s="11"/>
      <c r="AE2512" s="11"/>
      <c r="AF2512" s="11"/>
      <c r="AG2512" s="11"/>
      <c r="AH2512" s="11"/>
      <c r="AI2512" s="11"/>
      <c r="AJ2512" s="11"/>
      <c r="AK2512" s="11"/>
      <c r="AL2512" s="11"/>
      <c r="AM2512" s="11"/>
      <c r="AN2512" s="11"/>
      <c r="AO2512" s="11"/>
      <c r="AP2512" s="11"/>
      <c r="AQ2512" s="11"/>
      <c r="AR2512" s="11"/>
      <c r="AS2512" s="11"/>
      <c r="AT2512" s="11"/>
      <c r="AU2512" s="11"/>
      <c r="AV2512" s="11"/>
      <c r="AW2512" s="11"/>
      <c r="AX2512" s="11"/>
      <c r="AY2512" s="11"/>
    </row>
    <row r="2513" spans="1:51" hidden="1" x14ac:dyDescent="0.2">
      <c r="A2513" s="6"/>
      <c r="E2513" s="2"/>
      <c r="F2513" s="3"/>
      <c r="G2513" s="3"/>
      <c r="P2513" s="8"/>
      <c r="Q2513" s="11"/>
      <c r="R2513" s="11"/>
      <c r="S2513" s="11"/>
      <c r="T2513" s="11"/>
      <c r="U2513" s="11"/>
      <c r="V2513" s="11"/>
      <c r="W2513" s="11"/>
      <c r="X2513" s="11"/>
      <c r="Y2513" s="11"/>
      <c r="Z2513" s="11"/>
      <c r="AA2513" s="11"/>
      <c r="AB2513" s="11"/>
      <c r="AC2513" s="11"/>
      <c r="AD2513" s="11"/>
      <c r="AE2513" s="11"/>
      <c r="AF2513" s="11"/>
      <c r="AG2513" s="11"/>
      <c r="AH2513" s="11"/>
      <c r="AI2513" s="11"/>
      <c r="AJ2513" s="11"/>
      <c r="AK2513" s="11"/>
      <c r="AL2513" s="11"/>
      <c r="AM2513" s="11"/>
      <c r="AN2513" s="11"/>
      <c r="AO2513" s="11"/>
      <c r="AP2513" s="11"/>
      <c r="AQ2513" s="11"/>
      <c r="AR2513" s="11"/>
      <c r="AS2513" s="11"/>
      <c r="AT2513" s="11"/>
      <c r="AU2513" s="11"/>
      <c r="AV2513" s="11"/>
      <c r="AW2513" s="11"/>
      <c r="AX2513" s="11"/>
      <c r="AY2513" s="11"/>
    </row>
    <row r="2514" spans="1:51" hidden="1" x14ac:dyDescent="0.2">
      <c r="A2514" s="6"/>
      <c r="E2514" s="2"/>
      <c r="F2514" s="3"/>
      <c r="G2514" s="3"/>
      <c r="P2514" s="8"/>
      <c r="Q2514" s="11"/>
      <c r="R2514" s="11"/>
      <c r="S2514" s="11"/>
      <c r="T2514" s="11"/>
      <c r="U2514" s="11"/>
      <c r="V2514" s="11"/>
      <c r="W2514" s="11"/>
      <c r="X2514" s="11"/>
      <c r="Y2514" s="11"/>
      <c r="Z2514" s="11"/>
      <c r="AA2514" s="11"/>
      <c r="AB2514" s="11"/>
      <c r="AC2514" s="11"/>
      <c r="AD2514" s="11"/>
      <c r="AE2514" s="11"/>
      <c r="AF2514" s="11"/>
      <c r="AG2514" s="11"/>
      <c r="AH2514" s="11"/>
      <c r="AI2514" s="11"/>
      <c r="AJ2514" s="11"/>
      <c r="AK2514" s="11"/>
      <c r="AL2514" s="11"/>
      <c r="AM2514" s="11"/>
      <c r="AN2514" s="11"/>
      <c r="AO2514" s="11"/>
      <c r="AP2514" s="11"/>
      <c r="AQ2514" s="11"/>
      <c r="AR2514" s="11"/>
      <c r="AS2514" s="11"/>
      <c r="AT2514" s="11"/>
      <c r="AU2514" s="11"/>
      <c r="AV2514" s="11"/>
      <c r="AW2514" s="11"/>
      <c r="AX2514" s="11"/>
      <c r="AY2514" s="11"/>
    </row>
    <row r="2515" spans="1:51" x14ac:dyDescent="0.2">
      <c r="A2515" s="6" t="s">
        <v>17</v>
      </c>
      <c r="B2515" t="s">
        <v>342</v>
      </c>
      <c r="C2515" t="s">
        <v>342</v>
      </c>
      <c r="D2515" t="s">
        <v>3138</v>
      </c>
      <c r="E2515" s="2">
        <v>500</v>
      </c>
      <c r="F2515" s="3">
        <f>DATE(2025,10,8)</f>
        <v>45938</v>
      </c>
      <c r="G2515" s="3">
        <f>DATE(2025,10,8)</f>
        <v>45938</v>
      </c>
      <c r="H2515">
        <v>2959237258</v>
      </c>
      <c r="I2515" t="s">
        <v>21</v>
      </c>
      <c r="K2515" t="s">
        <v>22</v>
      </c>
      <c r="L2515" t="s">
        <v>23</v>
      </c>
      <c r="M2515" t="s">
        <v>24</v>
      </c>
      <c r="N2515" t="s">
        <v>24</v>
      </c>
      <c r="O2515" t="s">
        <v>25</v>
      </c>
      <c r="P2515" s="8" t="s">
        <v>3139</v>
      </c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  <c r="AA2515" s="11"/>
      <c r="AB2515" s="11"/>
      <c r="AC2515" s="11"/>
      <c r="AD2515" s="11"/>
      <c r="AE2515" s="11"/>
      <c r="AF2515" s="11"/>
      <c r="AG2515" s="11"/>
      <c r="AH2515" s="11"/>
      <c r="AI2515" s="11"/>
      <c r="AJ2515" s="11"/>
      <c r="AK2515" s="11"/>
      <c r="AL2515" s="11"/>
      <c r="AM2515" s="11"/>
      <c r="AN2515" s="11"/>
      <c r="AO2515" s="11"/>
      <c r="AP2515" s="11"/>
      <c r="AQ2515" s="11"/>
      <c r="AR2515" s="11"/>
      <c r="AS2515" s="11"/>
      <c r="AT2515" s="11"/>
      <c r="AU2515" s="11"/>
      <c r="AV2515" s="11"/>
      <c r="AW2515" s="11"/>
      <c r="AX2515" s="11"/>
      <c r="AY2515" s="11"/>
    </row>
    <row r="2516" spans="1:51" hidden="1" x14ac:dyDescent="0.2">
      <c r="A2516" s="6" t="s">
        <v>17</v>
      </c>
      <c r="B2516" t="s">
        <v>27</v>
      </c>
      <c r="C2516" t="s">
        <v>28</v>
      </c>
      <c r="D2516" t="s">
        <v>3140</v>
      </c>
      <c r="E2516" s="2">
        <v>871.08</v>
      </c>
      <c r="F2516" s="3">
        <f>DATE(2025,10,9)</f>
        <v>45939</v>
      </c>
      <c r="G2516" s="3">
        <f>DATE(2025,10,9)</f>
        <v>45939</v>
      </c>
      <c r="H2516">
        <v>2959237259</v>
      </c>
      <c r="I2516" t="s">
        <v>21</v>
      </c>
      <c r="K2516" t="s">
        <v>22</v>
      </c>
      <c r="L2516" t="s">
        <v>23</v>
      </c>
      <c r="M2516" t="s">
        <v>24</v>
      </c>
      <c r="N2516" t="s">
        <v>24</v>
      </c>
      <c r="O2516" t="s">
        <v>25</v>
      </c>
      <c r="P2516" s="8" t="s">
        <v>3141</v>
      </c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1"/>
      <c r="AB2516" s="11"/>
      <c r="AC2516" s="11"/>
      <c r="AD2516" s="11"/>
      <c r="AE2516" s="11"/>
      <c r="AF2516" s="11"/>
      <c r="AG2516" s="11"/>
      <c r="AH2516" s="11"/>
      <c r="AI2516" s="11"/>
      <c r="AJ2516" s="11"/>
      <c r="AK2516" s="11"/>
      <c r="AL2516" s="11"/>
      <c r="AM2516" s="11"/>
      <c r="AN2516" s="11"/>
      <c r="AO2516" s="11"/>
      <c r="AP2516" s="11"/>
      <c r="AQ2516" s="11"/>
      <c r="AR2516" s="11"/>
      <c r="AS2516" s="11"/>
      <c r="AT2516" s="11"/>
      <c r="AU2516" s="11"/>
      <c r="AV2516" s="11"/>
      <c r="AW2516" s="11"/>
      <c r="AX2516" s="11"/>
      <c r="AY2516" s="11"/>
    </row>
    <row r="2517" spans="1:51" hidden="1" x14ac:dyDescent="0.2">
      <c r="A2517" s="6"/>
      <c r="E2517" s="2"/>
      <c r="F2517" s="3"/>
      <c r="G2517" s="3"/>
      <c r="P2517" s="8"/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  <c r="AA2517" s="11"/>
      <c r="AB2517" s="11"/>
      <c r="AC2517" s="11"/>
      <c r="AD2517" s="11"/>
      <c r="AE2517" s="11"/>
      <c r="AF2517" s="11"/>
      <c r="AG2517" s="11"/>
      <c r="AH2517" s="11"/>
      <c r="AI2517" s="11"/>
      <c r="AJ2517" s="11"/>
      <c r="AK2517" s="11"/>
      <c r="AL2517" s="11"/>
      <c r="AM2517" s="11"/>
      <c r="AN2517" s="11"/>
      <c r="AO2517" s="11"/>
      <c r="AP2517" s="11"/>
      <c r="AQ2517" s="11"/>
      <c r="AR2517" s="11"/>
      <c r="AS2517" s="11"/>
      <c r="AT2517" s="11"/>
      <c r="AU2517" s="11"/>
      <c r="AV2517" s="11"/>
      <c r="AW2517" s="11"/>
      <c r="AX2517" s="11"/>
      <c r="AY2517" s="11"/>
    </row>
    <row r="2518" spans="1:51" hidden="1" x14ac:dyDescent="0.2">
      <c r="A2518" s="6" t="s">
        <v>17</v>
      </c>
      <c r="B2518" t="s">
        <v>565</v>
      </c>
      <c r="C2518" t="s">
        <v>566</v>
      </c>
      <c r="D2518" t="s">
        <v>3142</v>
      </c>
      <c r="E2518" s="2">
        <v>116.97</v>
      </c>
      <c r="F2518" s="3">
        <f t="shared" ref="F2518:G2521" si="222">DATE(2025,10,8)</f>
        <v>45938</v>
      </c>
      <c r="G2518" s="3">
        <f t="shared" si="222"/>
        <v>45938</v>
      </c>
      <c r="H2518">
        <v>2959237261</v>
      </c>
      <c r="I2518" t="s">
        <v>21</v>
      </c>
      <c r="K2518" t="s">
        <v>22</v>
      </c>
      <c r="L2518" t="s">
        <v>23</v>
      </c>
      <c r="M2518" t="s">
        <v>24</v>
      </c>
      <c r="N2518" t="s">
        <v>24</v>
      </c>
      <c r="O2518" t="s">
        <v>25</v>
      </c>
      <c r="P2518" s="8" t="s">
        <v>3143</v>
      </c>
      <c r="Q2518" s="11"/>
      <c r="R2518" s="11"/>
      <c r="S2518" s="11"/>
      <c r="T2518" s="11"/>
      <c r="U2518" s="11"/>
      <c r="V2518" s="11"/>
      <c r="W2518" s="11"/>
      <c r="X2518" s="11"/>
      <c r="Y2518" s="11"/>
      <c r="Z2518" s="11"/>
      <c r="AA2518" s="11"/>
      <c r="AB2518" s="11"/>
      <c r="AC2518" s="11"/>
      <c r="AD2518" s="11"/>
      <c r="AE2518" s="11"/>
      <c r="AF2518" s="11"/>
      <c r="AG2518" s="11"/>
      <c r="AH2518" s="11"/>
      <c r="AI2518" s="11"/>
      <c r="AJ2518" s="11"/>
      <c r="AK2518" s="11"/>
      <c r="AL2518" s="11"/>
      <c r="AM2518" s="11"/>
      <c r="AN2518" s="11"/>
      <c r="AO2518" s="11"/>
      <c r="AP2518" s="11"/>
      <c r="AQ2518" s="11"/>
      <c r="AR2518" s="11"/>
      <c r="AS2518" s="11"/>
      <c r="AT2518" s="11"/>
      <c r="AU2518" s="11"/>
      <c r="AV2518" s="11"/>
      <c r="AW2518" s="11"/>
      <c r="AX2518" s="11"/>
      <c r="AY2518" s="11"/>
    </row>
    <row r="2519" spans="1:51" hidden="1" x14ac:dyDescent="0.2">
      <c r="A2519" s="6"/>
      <c r="E2519" s="2"/>
      <c r="F2519" s="3"/>
      <c r="G2519" s="3"/>
      <c r="P2519" s="8"/>
      <c r="Q2519" s="11"/>
      <c r="R2519" s="11"/>
      <c r="S2519" s="11"/>
      <c r="T2519" s="11"/>
      <c r="U2519" s="11"/>
      <c r="V2519" s="11"/>
      <c r="W2519" s="11"/>
      <c r="X2519" s="11"/>
      <c r="Y2519" s="11"/>
      <c r="Z2519" s="11"/>
      <c r="AA2519" s="11"/>
      <c r="AB2519" s="11"/>
      <c r="AC2519" s="11"/>
      <c r="AD2519" s="11"/>
      <c r="AE2519" s="11"/>
      <c r="AF2519" s="11"/>
      <c r="AG2519" s="11"/>
      <c r="AH2519" s="11"/>
      <c r="AI2519" s="11"/>
      <c r="AJ2519" s="11"/>
      <c r="AK2519" s="11"/>
      <c r="AL2519" s="11"/>
      <c r="AM2519" s="11"/>
      <c r="AN2519" s="11"/>
      <c r="AO2519" s="11"/>
      <c r="AP2519" s="11"/>
      <c r="AQ2519" s="11"/>
      <c r="AR2519" s="11"/>
      <c r="AS2519" s="11"/>
      <c r="AT2519" s="11"/>
      <c r="AU2519" s="11"/>
      <c r="AV2519" s="11"/>
      <c r="AW2519" s="11"/>
      <c r="AX2519" s="11"/>
      <c r="AY2519" s="11"/>
    </row>
    <row r="2520" spans="1:51" hidden="1" x14ac:dyDescent="0.2">
      <c r="A2520" s="6"/>
      <c r="E2520" s="2"/>
      <c r="F2520" s="3"/>
      <c r="G2520" s="3"/>
      <c r="P2520" s="8"/>
      <c r="Q2520" s="11"/>
      <c r="R2520" s="11"/>
      <c r="S2520" s="11"/>
      <c r="T2520" s="11"/>
      <c r="U2520" s="11"/>
      <c r="V2520" s="11"/>
      <c r="W2520" s="11"/>
      <c r="X2520" s="11"/>
      <c r="Y2520" s="11"/>
      <c r="Z2520" s="11"/>
      <c r="AA2520" s="11"/>
      <c r="AB2520" s="11"/>
      <c r="AC2520" s="11"/>
      <c r="AD2520" s="11"/>
      <c r="AE2520" s="11"/>
      <c r="AF2520" s="11"/>
      <c r="AG2520" s="11"/>
      <c r="AH2520" s="11"/>
      <c r="AI2520" s="11"/>
      <c r="AJ2520" s="11"/>
      <c r="AK2520" s="11"/>
      <c r="AL2520" s="11"/>
      <c r="AM2520" s="11"/>
      <c r="AN2520" s="11"/>
      <c r="AO2520" s="11"/>
      <c r="AP2520" s="11"/>
      <c r="AQ2520" s="11"/>
      <c r="AR2520" s="11"/>
      <c r="AS2520" s="11"/>
      <c r="AT2520" s="11"/>
      <c r="AU2520" s="11"/>
      <c r="AV2520" s="11"/>
      <c r="AW2520" s="11"/>
      <c r="AX2520" s="11"/>
      <c r="AY2520" s="11"/>
    </row>
    <row r="2521" spans="1:51" hidden="1" x14ac:dyDescent="0.2">
      <c r="A2521" s="6" t="s">
        <v>17</v>
      </c>
      <c r="B2521" t="s">
        <v>31</v>
      </c>
      <c r="C2521" t="s">
        <v>32</v>
      </c>
      <c r="D2521" t="s">
        <v>3144</v>
      </c>
      <c r="E2521" s="2">
        <v>287.95</v>
      </c>
      <c r="F2521" s="3">
        <f t="shared" si="222"/>
        <v>45938</v>
      </c>
      <c r="G2521" s="3">
        <f t="shared" si="222"/>
        <v>45938</v>
      </c>
      <c r="H2521">
        <v>2959237264</v>
      </c>
      <c r="I2521" t="s">
        <v>21</v>
      </c>
      <c r="K2521" t="s">
        <v>22</v>
      </c>
      <c r="L2521" t="s">
        <v>23</v>
      </c>
      <c r="M2521" t="s">
        <v>24</v>
      </c>
      <c r="N2521" t="s">
        <v>24</v>
      </c>
      <c r="O2521" t="s">
        <v>25</v>
      </c>
      <c r="P2521" s="8" t="s">
        <v>3145</v>
      </c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  <c r="AA2521" s="11"/>
      <c r="AB2521" s="11"/>
      <c r="AC2521" s="11"/>
      <c r="AD2521" s="11"/>
      <c r="AE2521" s="11"/>
      <c r="AF2521" s="11"/>
      <c r="AG2521" s="11"/>
      <c r="AH2521" s="11"/>
      <c r="AI2521" s="11"/>
      <c r="AJ2521" s="11"/>
      <c r="AK2521" s="11"/>
      <c r="AL2521" s="11"/>
      <c r="AM2521" s="11"/>
      <c r="AN2521" s="11"/>
      <c r="AO2521" s="11"/>
      <c r="AP2521" s="11"/>
      <c r="AQ2521" s="11"/>
      <c r="AR2521" s="11"/>
      <c r="AS2521" s="11"/>
      <c r="AT2521" s="11"/>
      <c r="AU2521" s="11"/>
      <c r="AV2521" s="11"/>
      <c r="AW2521" s="11"/>
      <c r="AX2521" s="11"/>
      <c r="AY2521" s="11"/>
    </row>
    <row r="2522" spans="1:51" hidden="1" x14ac:dyDescent="0.2">
      <c r="A2522" s="6"/>
      <c r="E2522" s="2"/>
      <c r="F2522" s="3"/>
      <c r="G2522" s="3"/>
      <c r="P2522" s="8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11"/>
      <c r="AB2522" s="11"/>
      <c r="AC2522" s="11"/>
      <c r="AD2522" s="11"/>
      <c r="AE2522" s="11"/>
      <c r="AF2522" s="11"/>
      <c r="AG2522" s="11"/>
      <c r="AH2522" s="11"/>
      <c r="AI2522" s="11"/>
      <c r="AJ2522" s="11"/>
      <c r="AK2522" s="11"/>
      <c r="AL2522" s="11"/>
      <c r="AM2522" s="11"/>
      <c r="AN2522" s="11"/>
      <c r="AO2522" s="11"/>
      <c r="AP2522" s="11"/>
      <c r="AQ2522" s="11"/>
      <c r="AR2522" s="11"/>
      <c r="AS2522" s="11"/>
      <c r="AT2522" s="11"/>
      <c r="AU2522" s="11"/>
      <c r="AV2522" s="11"/>
      <c r="AW2522" s="11"/>
      <c r="AX2522" s="11"/>
      <c r="AY2522" s="11"/>
    </row>
    <row r="2523" spans="1:51" hidden="1" x14ac:dyDescent="0.2">
      <c r="A2523" s="6"/>
      <c r="E2523" s="2"/>
      <c r="F2523" s="3"/>
      <c r="G2523" s="3"/>
      <c r="P2523" s="8"/>
      <c r="Q2523" s="11"/>
      <c r="R2523" s="11"/>
      <c r="S2523" s="11"/>
      <c r="T2523" s="11"/>
      <c r="U2523" s="11"/>
      <c r="V2523" s="11"/>
      <c r="W2523" s="11"/>
      <c r="X2523" s="11"/>
      <c r="Y2523" s="11"/>
      <c r="Z2523" s="11"/>
      <c r="AA2523" s="11"/>
      <c r="AB2523" s="11"/>
      <c r="AC2523" s="11"/>
      <c r="AD2523" s="11"/>
      <c r="AE2523" s="11"/>
      <c r="AF2523" s="11"/>
      <c r="AG2523" s="11"/>
      <c r="AH2523" s="11"/>
      <c r="AI2523" s="11"/>
      <c r="AJ2523" s="11"/>
      <c r="AK2523" s="11"/>
      <c r="AL2523" s="11"/>
      <c r="AM2523" s="11"/>
      <c r="AN2523" s="11"/>
      <c r="AO2523" s="11"/>
      <c r="AP2523" s="11"/>
      <c r="AQ2523" s="11"/>
      <c r="AR2523" s="11"/>
      <c r="AS2523" s="11"/>
      <c r="AT2523" s="11"/>
      <c r="AU2523" s="11"/>
      <c r="AV2523" s="11"/>
      <c r="AW2523" s="11"/>
      <c r="AX2523" s="11"/>
      <c r="AY2523" s="11"/>
    </row>
    <row r="2524" spans="1:51" hidden="1" x14ac:dyDescent="0.2">
      <c r="A2524" s="6"/>
      <c r="E2524" s="2"/>
      <c r="F2524" s="3"/>
      <c r="G2524" s="3"/>
      <c r="P2524" s="8"/>
      <c r="Q2524" s="11"/>
      <c r="R2524" s="11"/>
      <c r="S2524" s="11"/>
      <c r="T2524" s="11"/>
      <c r="U2524" s="11"/>
      <c r="V2524" s="11"/>
      <c r="W2524" s="11"/>
      <c r="X2524" s="11"/>
      <c r="Y2524" s="11"/>
      <c r="Z2524" s="11"/>
      <c r="AA2524" s="11"/>
      <c r="AB2524" s="11"/>
      <c r="AC2524" s="11"/>
      <c r="AD2524" s="11"/>
      <c r="AE2524" s="11"/>
      <c r="AF2524" s="11"/>
      <c r="AG2524" s="11"/>
      <c r="AH2524" s="11"/>
      <c r="AI2524" s="11"/>
      <c r="AJ2524" s="11"/>
      <c r="AK2524" s="11"/>
      <c r="AL2524" s="11"/>
      <c r="AM2524" s="11"/>
      <c r="AN2524" s="11"/>
      <c r="AO2524" s="11"/>
      <c r="AP2524" s="11"/>
      <c r="AQ2524" s="11"/>
      <c r="AR2524" s="11"/>
      <c r="AS2524" s="11"/>
      <c r="AT2524" s="11"/>
      <c r="AU2524" s="11"/>
      <c r="AV2524" s="11"/>
      <c r="AW2524" s="11"/>
      <c r="AX2524" s="11"/>
      <c r="AY2524" s="11"/>
    </row>
    <row r="2525" spans="1:51" hidden="1" x14ac:dyDescent="0.2">
      <c r="A2525" s="6"/>
      <c r="E2525" s="2"/>
      <c r="F2525" s="3"/>
      <c r="G2525" s="3"/>
      <c r="P2525" s="8"/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  <c r="AA2525" s="11"/>
      <c r="AB2525" s="11"/>
      <c r="AC2525" s="11"/>
      <c r="AD2525" s="11"/>
      <c r="AE2525" s="11"/>
      <c r="AF2525" s="11"/>
      <c r="AG2525" s="11"/>
      <c r="AH2525" s="11"/>
      <c r="AI2525" s="11"/>
      <c r="AJ2525" s="11"/>
      <c r="AK2525" s="11"/>
      <c r="AL2525" s="11"/>
      <c r="AM2525" s="11"/>
      <c r="AN2525" s="11"/>
      <c r="AO2525" s="11"/>
      <c r="AP2525" s="11"/>
      <c r="AQ2525" s="11"/>
      <c r="AR2525" s="11"/>
      <c r="AS2525" s="11"/>
      <c r="AT2525" s="11"/>
      <c r="AU2525" s="11"/>
      <c r="AV2525" s="11"/>
      <c r="AW2525" s="11"/>
      <c r="AX2525" s="11"/>
      <c r="AY2525" s="11"/>
    </row>
    <row r="2526" spans="1:51" hidden="1" x14ac:dyDescent="0.2">
      <c r="A2526" s="6"/>
      <c r="E2526" s="2"/>
      <c r="F2526" s="3"/>
      <c r="G2526" s="3"/>
      <c r="P2526" s="8"/>
      <c r="Q2526" s="11"/>
      <c r="R2526" s="11"/>
      <c r="S2526" s="11"/>
      <c r="T2526" s="11"/>
      <c r="U2526" s="11"/>
      <c r="V2526" s="11"/>
      <c r="W2526" s="11"/>
      <c r="X2526" s="11"/>
      <c r="Y2526" s="11"/>
      <c r="Z2526" s="11"/>
      <c r="AA2526" s="11"/>
      <c r="AB2526" s="11"/>
      <c r="AC2526" s="11"/>
      <c r="AD2526" s="11"/>
      <c r="AE2526" s="11"/>
      <c r="AF2526" s="11"/>
      <c r="AG2526" s="11"/>
      <c r="AH2526" s="11"/>
      <c r="AI2526" s="11"/>
      <c r="AJ2526" s="11"/>
      <c r="AK2526" s="11"/>
      <c r="AL2526" s="11"/>
      <c r="AM2526" s="11"/>
      <c r="AN2526" s="11"/>
      <c r="AO2526" s="11"/>
      <c r="AP2526" s="11"/>
      <c r="AQ2526" s="11"/>
      <c r="AR2526" s="11"/>
      <c r="AS2526" s="11"/>
      <c r="AT2526" s="11"/>
      <c r="AU2526" s="11"/>
      <c r="AV2526" s="11"/>
      <c r="AW2526" s="11"/>
      <c r="AX2526" s="11"/>
      <c r="AY2526" s="11"/>
    </row>
    <row r="2527" spans="1:51" hidden="1" x14ac:dyDescent="0.2">
      <c r="A2527" s="6"/>
      <c r="E2527" s="2"/>
      <c r="F2527" s="3"/>
      <c r="G2527" s="3"/>
      <c r="P2527" s="8"/>
      <c r="Q2527" s="11"/>
      <c r="R2527" s="11"/>
      <c r="S2527" s="11"/>
      <c r="T2527" s="11"/>
      <c r="U2527" s="11"/>
      <c r="V2527" s="11"/>
      <c r="W2527" s="11"/>
      <c r="X2527" s="11"/>
      <c r="Y2527" s="11"/>
      <c r="Z2527" s="11"/>
      <c r="AA2527" s="11"/>
      <c r="AB2527" s="11"/>
      <c r="AC2527" s="11"/>
      <c r="AD2527" s="11"/>
      <c r="AE2527" s="11"/>
      <c r="AF2527" s="11"/>
      <c r="AG2527" s="11"/>
      <c r="AH2527" s="11"/>
      <c r="AI2527" s="11"/>
      <c r="AJ2527" s="11"/>
      <c r="AK2527" s="11"/>
      <c r="AL2527" s="11"/>
      <c r="AM2527" s="11"/>
      <c r="AN2527" s="11"/>
      <c r="AO2527" s="11"/>
      <c r="AP2527" s="11"/>
      <c r="AQ2527" s="11"/>
      <c r="AR2527" s="11"/>
      <c r="AS2527" s="11"/>
      <c r="AT2527" s="11"/>
      <c r="AU2527" s="11"/>
      <c r="AV2527" s="11"/>
      <c r="AW2527" s="11"/>
      <c r="AX2527" s="11"/>
      <c r="AY2527" s="11"/>
    </row>
    <row r="2528" spans="1:51" hidden="1" x14ac:dyDescent="0.2">
      <c r="A2528" s="6"/>
      <c r="E2528" s="2"/>
      <c r="F2528" s="3"/>
      <c r="G2528" s="3"/>
      <c r="P2528" s="8"/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  <c r="AA2528" s="11"/>
      <c r="AB2528" s="11"/>
      <c r="AC2528" s="11"/>
      <c r="AD2528" s="11"/>
      <c r="AE2528" s="11"/>
      <c r="AF2528" s="11"/>
      <c r="AG2528" s="11"/>
      <c r="AH2528" s="11"/>
      <c r="AI2528" s="11"/>
      <c r="AJ2528" s="11"/>
      <c r="AK2528" s="11"/>
      <c r="AL2528" s="11"/>
      <c r="AM2528" s="11"/>
      <c r="AN2528" s="11"/>
      <c r="AO2528" s="11"/>
      <c r="AP2528" s="11"/>
      <c r="AQ2528" s="11"/>
      <c r="AR2528" s="11"/>
      <c r="AS2528" s="11"/>
      <c r="AT2528" s="11"/>
      <c r="AU2528" s="11"/>
      <c r="AV2528" s="11"/>
      <c r="AW2528" s="11"/>
      <c r="AX2528" s="11"/>
      <c r="AY2528" s="11"/>
    </row>
    <row r="2529" spans="1:51" hidden="1" x14ac:dyDescent="0.2">
      <c r="A2529" s="6" t="s">
        <v>17</v>
      </c>
      <c r="B2529" t="s">
        <v>18</v>
      </c>
      <c r="C2529" t="s">
        <v>19</v>
      </c>
      <c r="D2529" t="s">
        <v>3146</v>
      </c>
      <c r="E2529" s="2">
        <v>3.08</v>
      </c>
      <c r="F2529" s="3">
        <f t="shared" ref="F2529:G2529" si="223">DATE(2025,10,8)</f>
        <v>45938</v>
      </c>
      <c r="G2529" s="3">
        <f t="shared" si="223"/>
        <v>45938</v>
      </c>
      <c r="H2529">
        <v>2959251848</v>
      </c>
      <c r="I2529" t="s">
        <v>192</v>
      </c>
      <c r="K2529" t="s">
        <v>22</v>
      </c>
      <c r="L2529" t="s">
        <v>23</v>
      </c>
      <c r="M2529" t="s">
        <v>24</v>
      </c>
      <c r="N2529" t="s">
        <v>24</v>
      </c>
      <c r="O2529" t="s">
        <v>25</v>
      </c>
      <c r="P2529" s="8" t="s">
        <v>3147</v>
      </c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  <c r="AA2529" s="11"/>
      <c r="AB2529" s="11"/>
      <c r="AC2529" s="11"/>
      <c r="AD2529" s="11"/>
      <c r="AE2529" s="11"/>
      <c r="AF2529" s="11"/>
      <c r="AG2529" s="11"/>
      <c r="AH2529" s="11"/>
      <c r="AI2529" s="11"/>
      <c r="AJ2529" s="11"/>
      <c r="AK2529" s="11"/>
      <c r="AL2529" s="11"/>
      <c r="AM2529" s="11"/>
      <c r="AN2529" s="11"/>
      <c r="AO2529" s="11"/>
      <c r="AP2529" s="11"/>
      <c r="AQ2529" s="11"/>
      <c r="AR2529" s="11"/>
      <c r="AS2529" s="11"/>
      <c r="AT2529" s="11"/>
      <c r="AU2529" s="11"/>
      <c r="AV2529" s="11"/>
      <c r="AW2529" s="11"/>
      <c r="AX2529" s="11"/>
      <c r="AY2529" s="11"/>
    </row>
    <row r="2530" spans="1:51" hidden="1" x14ac:dyDescent="0.2">
      <c r="A2530" s="6"/>
      <c r="E2530" s="2"/>
      <c r="F2530" s="3"/>
      <c r="G2530" s="3"/>
      <c r="P2530" s="8"/>
      <c r="Q2530" s="11"/>
      <c r="R2530" s="11"/>
      <c r="S2530" s="11"/>
      <c r="T2530" s="11"/>
      <c r="U2530" s="11"/>
      <c r="V2530" s="11"/>
      <c r="W2530" s="11"/>
      <c r="X2530" s="11"/>
      <c r="Y2530" s="11"/>
      <c r="Z2530" s="11"/>
      <c r="AA2530" s="11"/>
      <c r="AB2530" s="11"/>
      <c r="AC2530" s="11"/>
      <c r="AD2530" s="11"/>
      <c r="AE2530" s="11"/>
      <c r="AF2530" s="11"/>
      <c r="AG2530" s="11"/>
      <c r="AH2530" s="11"/>
      <c r="AI2530" s="11"/>
      <c r="AJ2530" s="11"/>
      <c r="AK2530" s="11"/>
      <c r="AL2530" s="11"/>
      <c r="AM2530" s="11"/>
      <c r="AN2530" s="11"/>
      <c r="AO2530" s="11"/>
      <c r="AP2530" s="11"/>
      <c r="AQ2530" s="11"/>
      <c r="AR2530" s="11"/>
      <c r="AS2530" s="11"/>
      <c r="AT2530" s="11"/>
      <c r="AU2530" s="11"/>
      <c r="AV2530" s="11"/>
      <c r="AW2530" s="11"/>
      <c r="AX2530" s="11"/>
      <c r="AY2530" s="11"/>
    </row>
    <row r="2531" spans="1:51" hidden="1" x14ac:dyDescent="0.2">
      <c r="A2531" s="6"/>
      <c r="E2531" s="2"/>
      <c r="F2531" s="3"/>
      <c r="G2531" s="3"/>
      <c r="P2531" s="8"/>
      <c r="Q2531" s="11"/>
      <c r="R2531" s="11"/>
      <c r="S2531" s="11"/>
      <c r="T2531" s="11"/>
      <c r="U2531" s="11"/>
      <c r="V2531" s="11"/>
      <c r="W2531" s="11"/>
      <c r="X2531" s="11"/>
      <c r="Y2531" s="11"/>
      <c r="Z2531" s="11"/>
      <c r="AA2531" s="11"/>
      <c r="AB2531" s="11"/>
      <c r="AC2531" s="11"/>
      <c r="AD2531" s="11"/>
      <c r="AE2531" s="11"/>
      <c r="AF2531" s="11"/>
      <c r="AG2531" s="11"/>
      <c r="AH2531" s="11"/>
      <c r="AI2531" s="11"/>
      <c r="AJ2531" s="11"/>
      <c r="AK2531" s="11"/>
      <c r="AL2531" s="11"/>
      <c r="AM2531" s="11"/>
      <c r="AN2531" s="11"/>
      <c r="AO2531" s="11"/>
      <c r="AP2531" s="11"/>
      <c r="AQ2531" s="11"/>
      <c r="AR2531" s="11"/>
      <c r="AS2531" s="11"/>
      <c r="AT2531" s="11"/>
      <c r="AU2531" s="11"/>
      <c r="AV2531" s="11"/>
      <c r="AW2531" s="11"/>
      <c r="AX2531" s="11"/>
      <c r="AY2531" s="11"/>
    </row>
    <row r="2532" spans="1:51" hidden="1" x14ac:dyDescent="0.2">
      <c r="A2532" s="6"/>
      <c r="E2532" s="2"/>
      <c r="F2532" s="3"/>
      <c r="G2532" s="3"/>
      <c r="P2532" s="8"/>
      <c r="Q2532" s="11"/>
      <c r="R2532" s="11"/>
      <c r="S2532" s="11"/>
      <c r="T2532" s="11"/>
      <c r="U2532" s="11"/>
      <c r="V2532" s="11"/>
      <c r="W2532" s="11"/>
      <c r="X2532" s="11"/>
      <c r="Y2532" s="11"/>
      <c r="Z2532" s="11"/>
      <c r="AA2532" s="11"/>
      <c r="AB2532" s="11"/>
      <c r="AC2532" s="11"/>
      <c r="AD2532" s="11"/>
      <c r="AE2532" s="11"/>
      <c r="AF2532" s="11"/>
      <c r="AG2532" s="11"/>
      <c r="AH2532" s="11"/>
      <c r="AI2532" s="11"/>
      <c r="AJ2532" s="11"/>
      <c r="AK2532" s="11"/>
      <c r="AL2532" s="11"/>
      <c r="AM2532" s="11"/>
      <c r="AN2532" s="11"/>
      <c r="AO2532" s="11"/>
      <c r="AP2532" s="11"/>
      <c r="AQ2532" s="11"/>
      <c r="AR2532" s="11"/>
      <c r="AS2532" s="11"/>
      <c r="AT2532" s="11"/>
      <c r="AU2532" s="11"/>
      <c r="AV2532" s="11"/>
      <c r="AW2532" s="11"/>
      <c r="AX2532" s="11"/>
      <c r="AY2532" s="11"/>
    </row>
    <row r="2533" spans="1:51" hidden="1" x14ac:dyDescent="0.2">
      <c r="A2533" s="6" t="s">
        <v>17</v>
      </c>
      <c r="B2533" t="s">
        <v>84</v>
      </c>
      <c r="C2533" t="s">
        <v>85</v>
      </c>
      <c r="D2533" t="s">
        <v>3148</v>
      </c>
      <c r="E2533" s="2">
        <v>944.42</v>
      </c>
      <c r="F2533" s="3">
        <f>DATE(2025,10,10)</f>
        <v>45940</v>
      </c>
      <c r="G2533" s="3">
        <f>DATE(2025,10,10)</f>
        <v>45940</v>
      </c>
      <c r="H2533">
        <v>2968413263</v>
      </c>
      <c r="I2533" t="s">
        <v>21</v>
      </c>
      <c r="K2533" t="s">
        <v>22</v>
      </c>
      <c r="L2533" t="s">
        <v>23</v>
      </c>
      <c r="M2533" t="s">
        <v>24</v>
      </c>
      <c r="N2533" t="s">
        <v>24</v>
      </c>
      <c r="O2533" t="s">
        <v>25</v>
      </c>
      <c r="P2533" s="8" t="s">
        <v>3149</v>
      </c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  <c r="AA2533" s="11"/>
      <c r="AB2533" s="11"/>
      <c r="AC2533" s="11"/>
      <c r="AD2533" s="11"/>
      <c r="AE2533" s="11"/>
      <c r="AF2533" s="11"/>
      <c r="AG2533" s="11"/>
      <c r="AH2533" s="11"/>
      <c r="AI2533" s="11"/>
      <c r="AJ2533" s="11"/>
      <c r="AK2533" s="11"/>
      <c r="AL2533" s="11"/>
      <c r="AM2533" s="11"/>
      <c r="AN2533" s="11"/>
      <c r="AO2533" s="11"/>
      <c r="AP2533" s="11"/>
      <c r="AQ2533" s="11"/>
      <c r="AR2533" s="11"/>
      <c r="AS2533" s="11"/>
      <c r="AT2533" s="11"/>
      <c r="AU2533" s="11"/>
      <c r="AV2533" s="11"/>
      <c r="AW2533" s="11"/>
      <c r="AX2533" s="11"/>
      <c r="AY2533" s="11"/>
    </row>
    <row r="2534" spans="1:51" hidden="1" x14ac:dyDescent="0.2">
      <c r="A2534" s="6" t="s">
        <v>17</v>
      </c>
      <c r="B2534" t="s">
        <v>1002</v>
      </c>
      <c r="C2534" t="s">
        <v>1003</v>
      </c>
      <c r="D2534" t="s">
        <v>3150</v>
      </c>
      <c r="E2534" s="2">
        <v>3122.99</v>
      </c>
      <c r="F2534" s="3">
        <f>DATE(2025,10,10)</f>
        <v>45940</v>
      </c>
      <c r="G2534" s="3">
        <f>DATE(2025,10,10)</f>
        <v>45940</v>
      </c>
      <c r="H2534">
        <v>2968413264</v>
      </c>
      <c r="I2534" t="s">
        <v>21</v>
      </c>
      <c r="K2534" t="s">
        <v>22</v>
      </c>
      <c r="L2534" t="s">
        <v>23</v>
      </c>
      <c r="M2534" t="s">
        <v>24</v>
      </c>
      <c r="N2534" t="s">
        <v>24</v>
      </c>
      <c r="O2534" t="s">
        <v>25</v>
      </c>
      <c r="P2534" s="8" t="s">
        <v>3151</v>
      </c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  <c r="AA2534" s="11"/>
      <c r="AB2534" s="11"/>
      <c r="AC2534" s="11"/>
      <c r="AD2534" s="11"/>
      <c r="AE2534" s="11"/>
      <c r="AF2534" s="11"/>
      <c r="AG2534" s="11"/>
      <c r="AH2534" s="11"/>
      <c r="AI2534" s="11"/>
      <c r="AJ2534" s="11"/>
      <c r="AK2534" s="11"/>
      <c r="AL2534" s="11"/>
      <c r="AM2534" s="11"/>
      <c r="AN2534" s="11"/>
      <c r="AO2534" s="11"/>
      <c r="AP2534" s="11"/>
      <c r="AQ2534" s="11"/>
      <c r="AR2534" s="11"/>
      <c r="AS2534" s="11"/>
      <c r="AT2534" s="11"/>
      <c r="AU2534" s="11"/>
      <c r="AV2534" s="11"/>
      <c r="AW2534" s="11"/>
      <c r="AX2534" s="11"/>
      <c r="AY2534" s="11"/>
    </row>
    <row r="2535" spans="1:51" hidden="1" x14ac:dyDescent="0.2">
      <c r="A2535" s="6" t="s">
        <v>17</v>
      </c>
      <c r="B2535" t="s">
        <v>244</v>
      </c>
      <c r="C2535" t="s">
        <v>245</v>
      </c>
      <c r="D2535" t="s">
        <v>3152</v>
      </c>
      <c r="E2535" s="2">
        <v>931</v>
      </c>
      <c r="F2535" s="3">
        <f>DATE(2025,10,9)</f>
        <v>45939</v>
      </c>
      <c r="G2535" s="3">
        <f>DATE(2025,10,9)</f>
        <v>45939</v>
      </c>
      <c r="H2535">
        <v>2968413265</v>
      </c>
      <c r="I2535" t="s">
        <v>21</v>
      </c>
      <c r="K2535" t="s">
        <v>22</v>
      </c>
      <c r="L2535" t="s">
        <v>23</v>
      </c>
      <c r="M2535" t="s">
        <v>24</v>
      </c>
      <c r="N2535" t="s">
        <v>24</v>
      </c>
      <c r="O2535" t="s">
        <v>25</v>
      </c>
      <c r="P2535" s="8" t="s">
        <v>3153</v>
      </c>
      <c r="Q2535" s="11"/>
      <c r="R2535" s="11"/>
      <c r="S2535" s="11"/>
      <c r="T2535" s="11"/>
      <c r="U2535" s="11"/>
      <c r="V2535" s="11"/>
      <c r="W2535" s="11"/>
      <c r="X2535" s="11"/>
      <c r="Y2535" s="11"/>
      <c r="Z2535" s="11"/>
      <c r="AA2535" s="11"/>
      <c r="AB2535" s="11"/>
      <c r="AC2535" s="11"/>
      <c r="AD2535" s="11"/>
      <c r="AE2535" s="11"/>
      <c r="AF2535" s="11"/>
      <c r="AG2535" s="11"/>
      <c r="AH2535" s="11"/>
      <c r="AI2535" s="11"/>
      <c r="AJ2535" s="11"/>
      <c r="AK2535" s="11"/>
      <c r="AL2535" s="11"/>
      <c r="AM2535" s="11"/>
      <c r="AN2535" s="11"/>
      <c r="AO2535" s="11"/>
      <c r="AP2535" s="11"/>
      <c r="AQ2535" s="11"/>
      <c r="AR2535" s="11"/>
      <c r="AS2535" s="11"/>
      <c r="AT2535" s="11"/>
      <c r="AU2535" s="11"/>
      <c r="AV2535" s="11"/>
      <c r="AW2535" s="11"/>
      <c r="AX2535" s="11"/>
      <c r="AY2535" s="11"/>
    </row>
    <row r="2536" spans="1:51" hidden="1" x14ac:dyDescent="0.2">
      <c r="A2536" s="6" t="s">
        <v>17</v>
      </c>
      <c r="B2536" t="s">
        <v>118</v>
      </c>
      <c r="C2536" t="s">
        <v>119</v>
      </c>
      <c r="D2536" t="s">
        <v>3154</v>
      </c>
      <c r="E2536" s="2">
        <v>146.03</v>
      </c>
      <c r="F2536" s="3">
        <f>DATE(2025,10,10)</f>
        <v>45940</v>
      </c>
      <c r="G2536" s="3">
        <f>DATE(2025,10,10)</f>
        <v>45940</v>
      </c>
      <c r="H2536">
        <v>2968413266</v>
      </c>
      <c r="I2536" t="s">
        <v>21</v>
      </c>
      <c r="K2536" t="s">
        <v>22</v>
      </c>
      <c r="L2536" t="s">
        <v>23</v>
      </c>
      <c r="M2536" t="s">
        <v>24</v>
      </c>
      <c r="N2536" t="s">
        <v>24</v>
      </c>
      <c r="O2536" t="s">
        <v>25</v>
      </c>
      <c r="P2536" s="8" t="s">
        <v>3155</v>
      </c>
      <c r="Q2536" s="11"/>
      <c r="R2536" s="11"/>
      <c r="S2536" s="11"/>
      <c r="T2536" s="11"/>
      <c r="U2536" s="11"/>
      <c r="V2536" s="11"/>
      <c r="W2536" s="11"/>
      <c r="X2536" s="11"/>
      <c r="Y2536" s="11"/>
      <c r="Z2536" s="11"/>
      <c r="AA2536" s="11"/>
      <c r="AB2536" s="11"/>
      <c r="AC2536" s="11"/>
      <c r="AD2536" s="11"/>
      <c r="AE2536" s="11"/>
      <c r="AF2536" s="11"/>
      <c r="AG2536" s="11"/>
      <c r="AH2536" s="11"/>
      <c r="AI2536" s="11"/>
      <c r="AJ2536" s="11"/>
      <c r="AK2536" s="11"/>
      <c r="AL2536" s="11"/>
      <c r="AM2536" s="11"/>
      <c r="AN2536" s="11"/>
      <c r="AO2536" s="11"/>
      <c r="AP2536" s="11"/>
      <c r="AQ2536" s="11"/>
      <c r="AR2536" s="11"/>
      <c r="AS2536" s="11"/>
      <c r="AT2536" s="11"/>
      <c r="AU2536" s="11"/>
      <c r="AV2536" s="11"/>
      <c r="AW2536" s="11"/>
      <c r="AX2536" s="11"/>
      <c r="AY2536" s="11"/>
    </row>
    <row r="2537" spans="1:51" hidden="1" x14ac:dyDescent="0.2">
      <c r="A2537" s="6" t="s">
        <v>17</v>
      </c>
      <c r="B2537" t="s">
        <v>1048</v>
      </c>
      <c r="C2537" t="s">
        <v>1049</v>
      </c>
      <c r="D2537" t="s">
        <v>3156</v>
      </c>
      <c r="E2537" s="2">
        <v>1733.87</v>
      </c>
      <c r="F2537" s="3">
        <f>DATE(2025,10,10)</f>
        <v>45940</v>
      </c>
      <c r="G2537" s="3">
        <f>DATE(2025,10,10)</f>
        <v>45940</v>
      </c>
      <c r="H2537">
        <v>2968413267</v>
      </c>
      <c r="I2537" t="s">
        <v>21</v>
      </c>
      <c r="K2537" t="s">
        <v>22</v>
      </c>
      <c r="L2537" t="s">
        <v>23</v>
      </c>
      <c r="M2537" t="s">
        <v>24</v>
      </c>
      <c r="N2537" t="s">
        <v>24</v>
      </c>
      <c r="O2537" t="s">
        <v>25</v>
      </c>
      <c r="P2537" s="8" t="s">
        <v>3157</v>
      </c>
      <c r="Q2537" s="11"/>
      <c r="R2537" s="11"/>
      <c r="S2537" s="11"/>
      <c r="T2537" s="11"/>
      <c r="U2537" s="11"/>
      <c r="V2537" s="11"/>
      <c r="W2537" s="11"/>
      <c r="X2537" s="11"/>
      <c r="Y2537" s="11"/>
      <c r="Z2537" s="11"/>
      <c r="AA2537" s="11"/>
      <c r="AB2537" s="11"/>
      <c r="AC2537" s="11"/>
      <c r="AD2537" s="11"/>
      <c r="AE2537" s="11"/>
      <c r="AF2537" s="11"/>
      <c r="AG2537" s="11"/>
      <c r="AH2537" s="11"/>
      <c r="AI2537" s="11"/>
      <c r="AJ2537" s="11"/>
      <c r="AK2537" s="11"/>
      <c r="AL2537" s="11"/>
      <c r="AM2537" s="11"/>
      <c r="AN2537" s="11"/>
      <c r="AO2537" s="11"/>
      <c r="AP2537" s="11"/>
      <c r="AQ2537" s="11"/>
      <c r="AR2537" s="11"/>
      <c r="AS2537" s="11"/>
      <c r="AT2537" s="11"/>
      <c r="AU2537" s="11"/>
      <c r="AV2537" s="11"/>
      <c r="AW2537" s="11"/>
      <c r="AX2537" s="11"/>
      <c r="AY2537" s="11"/>
    </row>
    <row r="2538" spans="1:51" hidden="1" x14ac:dyDescent="0.2">
      <c r="A2538" s="6"/>
      <c r="E2538" s="2"/>
      <c r="F2538" s="3"/>
      <c r="G2538" s="3"/>
      <c r="P2538" s="8"/>
      <c r="Q2538" s="11"/>
      <c r="R2538" s="11"/>
      <c r="S2538" s="11"/>
      <c r="T2538" s="11"/>
      <c r="U2538" s="11"/>
      <c r="V2538" s="11"/>
      <c r="W2538" s="11"/>
      <c r="X2538" s="11"/>
      <c r="Y2538" s="11"/>
      <c r="Z2538" s="11"/>
      <c r="AA2538" s="11"/>
      <c r="AB2538" s="11"/>
      <c r="AC2538" s="11"/>
      <c r="AD2538" s="11"/>
      <c r="AE2538" s="11"/>
      <c r="AF2538" s="11"/>
      <c r="AG2538" s="11"/>
      <c r="AH2538" s="11"/>
      <c r="AI2538" s="11"/>
      <c r="AJ2538" s="11"/>
      <c r="AK2538" s="11"/>
      <c r="AL2538" s="11"/>
      <c r="AM2538" s="11"/>
      <c r="AN2538" s="11"/>
      <c r="AO2538" s="11"/>
      <c r="AP2538" s="11"/>
      <c r="AQ2538" s="11"/>
      <c r="AR2538" s="11"/>
      <c r="AS2538" s="11"/>
      <c r="AT2538" s="11"/>
      <c r="AU2538" s="11"/>
      <c r="AV2538" s="11"/>
      <c r="AW2538" s="11"/>
      <c r="AX2538" s="11"/>
      <c r="AY2538" s="11"/>
    </row>
    <row r="2539" spans="1:51" hidden="1" x14ac:dyDescent="0.2">
      <c r="A2539" s="6" t="s">
        <v>17</v>
      </c>
      <c r="B2539" t="s">
        <v>46</v>
      </c>
      <c r="C2539" t="s">
        <v>47</v>
      </c>
      <c r="D2539" t="s">
        <v>3158</v>
      </c>
      <c r="E2539" s="2">
        <v>150</v>
      </c>
      <c r="F2539" s="3">
        <f t="shared" ref="F2539:G2540" si="224">DATE(2025,10,9)</f>
        <v>45939</v>
      </c>
      <c r="G2539" s="3">
        <f t="shared" si="224"/>
        <v>45939</v>
      </c>
      <c r="H2539">
        <v>2968413269</v>
      </c>
      <c r="I2539" t="s">
        <v>21</v>
      </c>
      <c r="K2539" t="s">
        <v>22</v>
      </c>
      <c r="L2539" t="s">
        <v>23</v>
      </c>
      <c r="M2539" t="s">
        <v>24</v>
      </c>
      <c r="N2539" t="s">
        <v>24</v>
      </c>
      <c r="O2539" t="s">
        <v>25</v>
      </c>
      <c r="P2539" s="8" t="s">
        <v>3159</v>
      </c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  <c r="AA2539" s="11"/>
      <c r="AB2539" s="11"/>
      <c r="AC2539" s="11"/>
      <c r="AD2539" s="11"/>
      <c r="AE2539" s="11"/>
      <c r="AF2539" s="11"/>
      <c r="AG2539" s="11"/>
      <c r="AH2539" s="11"/>
      <c r="AI2539" s="11"/>
      <c r="AJ2539" s="11"/>
      <c r="AK2539" s="11"/>
      <c r="AL2539" s="11"/>
      <c r="AM2539" s="11"/>
      <c r="AN2539" s="11"/>
      <c r="AO2539" s="11"/>
      <c r="AP2539" s="11"/>
      <c r="AQ2539" s="11"/>
      <c r="AR2539" s="11"/>
      <c r="AS2539" s="11"/>
      <c r="AT2539" s="11"/>
      <c r="AU2539" s="11"/>
      <c r="AV2539" s="11"/>
      <c r="AW2539" s="11"/>
      <c r="AX2539" s="11"/>
      <c r="AY2539" s="11"/>
    </row>
    <row r="2540" spans="1:51" hidden="1" x14ac:dyDescent="0.2">
      <c r="A2540" s="6" t="s">
        <v>17</v>
      </c>
      <c r="B2540" t="s">
        <v>18</v>
      </c>
      <c r="C2540" t="s">
        <v>19</v>
      </c>
      <c r="D2540" t="s">
        <v>3160</v>
      </c>
      <c r="E2540" s="2">
        <v>2879.31</v>
      </c>
      <c r="F2540" s="3">
        <f t="shared" si="224"/>
        <v>45939</v>
      </c>
      <c r="G2540" s="3">
        <f t="shared" si="224"/>
        <v>45939</v>
      </c>
      <c r="H2540">
        <v>2968413270</v>
      </c>
      <c r="I2540" t="s">
        <v>21</v>
      </c>
      <c r="K2540" t="s">
        <v>22</v>
      </c>
      <c r="L2540" t="s">
        <v>23</v>
      </c>
      <c r="M2540" t="s">
        <v>24</v>
      </c>
      <c r="N2540" t="s">
        <v>24</v>
      </c>
      <c r="O2540" t="s">
        <v>25</v>
      </c>
      <c r="P2540" s="8" t="s">
        <v>3161</v>
      </c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  <c r="AA2540" s="11"/>
      <c r="AB2540" s="11"/>
      <c r="AC2540" s="11"/>
      <c r="AD2540" s="11"/>
      <c r="AE2540" s="11"/>
      <c r="AF2540" s="11"/>
      <c r="AG2540" s="11"/>
      <c r="AH2540" s="11"/>
      <c r="AI2540" s="11"/>
      <c r="AJ2540" s="11"/>
      <c r="AK2540" s="11"/>
      <c r="AL2540" s="11"/>
      <c r="AM2540" s="11"/>
      <c r="AN2540" s="11"/>
      <c r="AO2540" s="11"/>
      <c r="AP2540" s="11"/>
      <c r="AQ2540" s="11"/>
      <c r="AR2540" s="11"/>
      <c r="AS2540" s="11"/>
      <c r="AT2540" s="11"/>
      <c r="AU2540" s="11"/>
      <c r="AV2540" s="11"/>
      <c r="AW2540" s="11"/>
      <c r="AX2540" s="11"/>
      <c r="AY2540" s="11"/>
    </row>
    <row r="2541" spans="1:51" hidden="1" x14ac:dyDescent="0.2">
      <c r="A2541" s="6" t="s">
        <v>17</v>
      </c>
      <c r="B2541" t="s">
        <v>42</v>
      </c>
      <c r="C2541" t="s">
        <v>43</v>
      </c>
      <c r="D2541" t="s">
        <v>3162</v>
      </c>
      <c r="E2541" s="2">
        <v>143.30000000000001</v>
      </c>
      <c r="F2541" s="3">
        <f>DATE(2025,10,10)</f>
        <v>45940</v>
      </c>
      <c r="G2541" s="3">
        <f>DATE(2025,10,10)</f>
        <v>45940</v>
      </c>
      <c r="H2541">
        <v>2968413271</v>
      </c>
      <c r="I2541" t="s">
        <v>21</v>
      </c>
      <c r="K2541" t="s">
        <v>22</v>
      </c>
      <c r="L2541" t="s">
        <v>23</v>
      </c>
      <c r="M2541" t="s">
        <v>24</v>
      </c>
      <c r="N2541" t="s">
        <v>24</v>
      </c>
      <c r="O2541" t="s">
        <v>25</v>
      </c>
      <c r="P2541" s="8" t="s">
        <v>3163</v>
      </c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  <c r="AA2541" s="11"/>
      <c r="AB2541" s="11"/>
      <c r="AC2541" s="11"/>
      <c r="AD2541" s="11"/>
      <c r="AE2541" s="11"/>
      <c r="AF2541" s="11"/>
      <c r="AG2541" s="11"/>
      <c r="AH2541" s="11"/>
      <c r="AI2541" s="11"/>
      <c r="AJ2541" s="11"/>
      <c r="AK2541" s="11"/>
      <c r="AL2541" s="11"/>
      <c r="AM2541" s="11"/>
      <c r="AN2541" s="11"/>
      <c r="AO2541" s="11"/>
      <c r="AP2541" s="11"/>
      <c r="AQ2541" s="11"/>
      <c r="AR2541" s="11"/>
      <c r="AS2541" s="11"/>
      <c r="AT2541" s="11"/>
      <c r="AU2541" s="11"/>
      <c r="AV2541" s="11"/>
      <c r="AW2541" s="11"/>
      <c r="AX2541" s="11"/>
      <c r="AY2541" s="11"/>
    </row>
    <row r="2542" spans="1:51" hidden="1" x14ac:dyDescent="0.2">
      <c r="A2542" s="6" t="s">
        <v>17</v>
      </c>
      <c r="B2542" t="s">
        <v>18</v>
      </c>
      <c r="C2542" t="s">
        <v>19</v>
      </c>
      <c r="D2542" t="s">
        <v>3164</v>
      </c>
      <c r="E2542" s="2">
        <v>80.28</v>
      </c>
      <c r="F2542" s="3">
        <f>DATE(2025,10,9)</f>
        <v>45939</v>
      </c>
      <c r="G2542" s="3">
        <f>DATE(2025,10,9)</f>
        <v>45939</v>
      </c>
      <c r="H2542">
        <v>2968413272</v>
      </c>
      <c r="I2542" t="s">
        <v>21</v>
      </c>
      <c r="K2542" t="s">
        <v>22</v>
      </c>
      <c r="L2542" t="s">
        <v>23</v>
      </c>
      <c r="M2542" t="s">
        <v>24</v>
      </c>
      <c r="N2542" t="s">
        <v>24</v>
      </c>
      <c r="O2542" t="s">
        <v>25</v>
      </c>
      <c r="P2542" s="8" t="s">
        <v>3165</v>
      </c>
      <c r="Q2542" s="11"/>
      <c r="R2542" s="11"/>
      <c r="S2542" s="11"/>
      <c r="T2542" s="11"/>
      <c r="U2542" s="11"/>
      <c r="V2542" s="11"/>
      <c r="W2542" s="11"/>
      <c r="X2542" s="11"/>
      <c r="Y2542" s="11"/>
      <c r="Z2542" s="11"/>
      <c r="AA2542" s="11"/>
      <c r="AB2542" s="11"/>
      <c r="AC2542" s="11"/>
      <c r="AD2542" s="11"/>
      <c r="AE2542" s="11"/>
      <c r="AF2542" s="11"/>
      <c r="AG2542" s="11"/>
      <c r="AH2542" s="11"/>
      <c r="AI2542" s="11"/>
      <c r="AJ2542" s="11"/>
      <c r="AK2542" s="11"/>
      <c r="AL2542" s="11"/>
      <c r="AM2542" s="11"/>
      <c r="AN2542" s="11"/>
      <c r="AO2542" s="11"/>
      <c r="AP2542" s="11"/>
      <c r="AQ2542" s="11"/>
      <c r="AR2542" s="11"/>
      <c r="AS2542" s="11"/>
      <c r="AT2542" s="11"/>
      <c r="AU2542" s="11"/>
      <c r="AV2542" s="11"/>
      <c r="AW2542" s="11"/>
      <c r="AX2542" s="11"/>
      <c r="AY2542" s="11"/>
    </row>
    <row r="2543" spans="1:51" hidden="1" x14ac:dyDescent="0.2">
      <c r="A2543" s="6" t="s">
        <v>17</v>
      </c>
      <c r="B2543" t="s">
        <v>266</v>
      </c>
      <c r="C2543" t="s">
        <v>267</v>
      </c>
      <c r="D2543" t="s">
        <v>3166</v>
      </c>
      <c r="E2543" s="2">
        <v>742.4</v>
      </c>
      <c r="F2543" s="3">
        <f>DATE(2025,10,9)</f>
        <v>45939</v>
      </c>
      <c r="G2543" s="3">
        <f>DATE(2025,10,9)</f>
        <v>45939</v>
      </c>
      <c r="H2543">
        <v>2968413273</v>
      </c>
      <c r="I2543" t="s">
        <v>21</v>
      </c>
      <c r="K2543" t="s">
        <v>22</v>
      </c>
      <c r="L2543" t="s">
        <v>23</v>
      </c>
      <c r="M2543" t="s">
        <v>24</v>
      </c>
      <c r="N2543" t="s">
        <v>24</v>
      </c>
      <c r="O2543" t="s">
        <v>25</v>
      </c>
      <c r="P2543" s="8" t="s">
        <v>3167</v>
      </c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  <c r="AA2543" s="11"/>
      <c r="AB2543" s="11"/>
      <c r="AC2543" s="11"/>
      <c r="AD2543" s="11"/>
      <c r="AE2543" s="11"/>
      <c r="AF2543" s="11"/>
      <c r="AG2543" s="11"/>
      <c r="AH2543" s="11"/>
      <c r="AI2543" s="11"/>
      <c r="AJ2543" s="11"/>
      <c r="AK2543" s="11"/>
      <c r="AL2543" s="11"/>
      <c r="AM2543" s="11"/>
      <c r="AN2543" s="11"/>
      <c r="AO2543" s="11"/>
      <c r="AP2543" s="11"/>
      <c r="AQ2543" s="11"/>
      <c r="AR2543" s="11"/>
      <c r="AS2543" s="11"/>
      <c r="AT2543" s="11"/>
      <c r="AU2543" s="11"/>
      <c r="AV2543" s="11"/>
      <c r="AW2543" s="11"/>
      <c r="AX2543" s="11"/>
      <c r="AY2543" s="11"/>
    </row>
    <row r="2544" spans="1:51" hidden="1" x14ac:dyDescent="0.2">
      <c r="A2544" s="6" t="s">
        <v>17</v>
      </c>
      <c r="B2544" t="s">
        <v>565</v>
      </c>
      <c r="C2544" t="s">
        <v>566</v>
      </c>
      <c r="D2544" t="s">
        <v>3168</v>
      </c>
      <c r="E2544" s="2">
        <v>1709.4</v>
      </c>
      <c r="F2544" s="3">
        <f>DATE(2025,10,10)</f>
        <v>45940</v>
      </c>
      <c r="G2544" s="3">
        <f>DATE(2025,10,10)</f>
        <v>45940</v>
      </c>
      <c r="H2544">
        <v>2968413274</v>
      </c>
      <c r="I2544" t="s">
        <v>21</v>
      </c>
      <c r="K2544" t="s">
        <v>22</v>
      </c>
      <c r="L2544" t="s">
        <v>23</v>
      </c>
      <c r="M2544" t="s">
        <v>24</v>
      </c>
      <c r="N2544" t="s">
        <v>24</v>
      </c>
      <c r="O2544" t="s">
        <v>25</v>
      </c>
      <c r="P2544" s="8" t="s">
        <v>3169</v>
      </c>
      <c r="Q2544" s="11"/>
      <c r="R2544" s="11"/>
      <c r="S2544" s="11"/>
      <c r="T2544" s="11"/>
      <c r="U2544" s="11"/>
      <c r="V2544" s="11"/>
      <c r="W2544" s="11"/>
      <c r="X2544" s="11"/>
      <c r="Y2544" s="11"/>
      <c r="Z2544" s="11"/>
      <c r="AA2544" s="11"/>
      <c r="AB2544" s="11"/>
      <c r="AC2544" s="11"/>
      <c r="AD2544" s="11"/>
      <c r="AE2544" s="11"/>
      <c r="AF2544" s="11"/>
      <c r="AG2544" s="11"/>
      <c r="AH2544" s="11"/>
      <c r="AI2544" s="11"/>
      <c r="AJ2544" s="11"/>
      <c r="AK2544" s="11"/>
      <c r="AL2544" s="11"/>
      <c r="AM2544" s="11"/>
      <c r="AN2544" s="11"/>
      <c r="AO2544" s="11"/>
      <c r="AP2544" s="11"/>
      <c r="AQ2544" s="11"/>
      <c r="AR2544" s="11"/>
      <c r="AS2544" s="11"/>
      <c r="AT2544" s="11"/>
      <c r="AU2544" s="11"/>
      <c r="AV2544" s="11"/>
      <c r="AW2544" s="11"/>
      <c r="AX2544" s="11"/>
      <c r="AY2544" s="11"/>
    </row>
    <row r="2545" spans="1:51" hidden="1" x14ac:dyDescent="0.2">
      <c r="A2545" s="6" t="s">
        <v>17</v>
      </c>
      <c r="B2545" t="s">
        <v>266</v>
      </c>
      <c r="C2545" t="s">
        <v>267</v>
      </c>
      <c r="D2545" t="s">
        <v>3170</v>
      </c>
      <c r="E2545" s="2">
        <v>402.8</v>
      </c>
      <c r="F2545" s="3">
        <f>DATE(2025,10,9)</f>
        <v>45939</v>
      </c>
      <c r="G2545" s="3">
        <f>DATE(2025,10,9)</f>
        <v>45939</v>
      </c>
      <c r="H2545">
        <v>2968413275</v>
      </c>
      <c r="I2545" t="s">
        <v>21</v>
      </c>
      <c r="K2545" t="s">
        <v>22</v>
      </c>
      <c r="L2545" t="s">
        <v>23</v>
      </c>
      <c r="M2545" t="s">
        <v>24</v>
      </c>
      <c r="N2545" t="s">
        <v>24</v>
      </c>
      <c r="O2545" t="s">
        <v>25</v>
      </c>
      <c r="P2545" s="8" t="s">
        <v>3171</v>
      </c>
      <c r="Q2545" s="11"/>
      <c r="R2545" s="11"/>
      <c r="S2545" s="11"/>
      <c r="T2545" s="11"/>
      <c r="U2545" s="11"/>
      <c r="V2545" s="11"/>
      <c r="W2545" s="11"/>
      <c r="X2545" s="11"/>
      <c r="Y2545" s="11"/>
      <c r="Z2545" s="11"/>
      <c r="AA2545" s="11"/>
      <c r="AB2545" s="11"/>
      <c r="AC2545" s="11"/>
      <c r="AD2545" s="11"/>
      <c r="AE2545" s="11"/>
      <c r="AF2545" s="11"/>
      <c r="AG2545" s="11"/>
      <c r="AH2545" s="11"/>
      <c r="AI2545" s="11"/>
      <c r="AJ2545" s="11"/>
      <c r="AK2545" s="11"/>
      <c r="AL2545" s="11"/>
      <c r="AM2545" s="11"/>
      <c r="AN2545" s="11"/>
      <c r="AO2545" s="11"/>
      <c r="AP2545" s="11"/>
      <c r="AQ2545" s="11"/>
      <c r="AR2545" s="11"/>
      <c r="AS2545" s="11"/>
      <c r="AT2545" s="11"/>
      <c r="AU2545" s="11"/>
      <c r="AV2545" s="11"/>
      <c r="AW2545" s="11"/>
      <c r="AX2545" s="11"/>
      <c r="AY2545" s="11"/>
    </row>
    <row r="2546" spans="1:51" hidden="1" x14ac:dyDescent="0.2">
      <c r="A2546" s="6" t="s">
        <v>17</v>
      </c>
      <c r="B2546" t="s">
        <v>84</v>
      </c>
      <c r="C2546" t="s">
        <v>85</v>
      </c>
      <c r="D2546" t="s">
        <v>3172</v>
      </c>
      <c r="E2546" s="2">
        <v>2544.35</v>
      </c>
      <c r="F2546" s="3">
        <f>DATE(2025,10,10)</f>
        <v>45940</v>
      </c>
      <c r="G2546" s="3">
        <f>DATE(2025,10,10)</f>
        <v>45940</v>
      </c>
      <c r="H2546">
        <v>2968413276</v>
      </c>
      <c r="I2546" t="s">
        <v>21</v>
      </c>
      <c r="K2546" t="s">
        <v>22</v>
      </c>
      <c r="L2546" t="s">
        <v>23</v>
      </c>
      <c r="M2546" t="s">
        <v>24</v>
      </c>
      <c r="N2546" t="s">
        <v>24</v>
      </c>
      <c r="O2546" t="s">
        <v>25</v>
      </c>
      <c r="P2546" s="8" t="s">
        <v>3173</v>
      </c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  <c r="AA2546" s="11"/>
      <c r="AB2546" s="11"/>
      <c r="AC2546" s="11"/>
      <c r="AD2546" s="11"/>
      <c r="AE2546" s="11"/>
      <c r="AF2546" s="11"/>
      <c r="AG2546" s="11"/>
      <c r="AH2546" s="11"/>
      <c r="AI2546" s="11"/>
      <c r="AJ2546" s="11"/>
      <c r="AK2546" s="11"/>
      <c r="AL2546" s="11"/>
      <c r="AM2546" s="11"/>
      <c r="AN2546" s="11"/>
      <c r="AO2546" s="11"/>
      <c r="AP2546" s="11"/>
      <c r="AQ2546" s="11"/>
      <c r="AR2546" s="11"/>
      <c r="AS2546" s="11"/>
      <c r="AT2546" s="11"/>
      <c r="AU2546" s="11"/>
      <c r="AV2546" s="11"/>
      <c r="AW2546" s="11"/>
      <c r="AX2546" s="11"/>
      <c r="AY2546" s="11"/>
    </row>
    <row r="2547" spans="1:51" hidden="1" x14ac:dyDescent="0.2">
      <c r="A2547" s="6" t="s">
        <v>17</v>
      </c>
      <c r="B2547" t="s">
        <v>825</v>
      </c>
      <c r="C2547" t="s">
        <v>826</v>
      </c>
      <c r="D2547" t="s">
        <v>3174</v>
      </c>
      <c r="E2547" s="2">
        <v>566.12</v>
      </c>
      <c r="F2547" s="3">
        <f t="shared" ref="F2547:G2551" si="225">DATE(2025,10,9)</f>
        <v>45939</v>
      </c>
      <c r="G2547" s="3">
        <f t="shared" si="225"/>
        <v>45939</v>
      </c>
      <c r="H2547">
        <v>2968413277</v>
      </c>
      <c r="I2547" t="s">
        <v>21</v>
      </c>
      <c r="K2547" t="s">
        <v>22</v>
      </c>
      <c r="L2547" t="s">
        <v>23</v>
      </c>
      <c r="M2547" t="s">
        <v>24</v>
      </c>
      <c r="N2547" t="s">
        <v>24</v>
      </c>
      <c r="O2547" t="s">
        <v>25</v>
      </c>
      <c r="P2547" s="8" t="s">
        <v>3175</v>
      </c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  <c r="AA2547" s="11"/>
      <c r="AB2547" s="11"/>
      <c r="AC2547" s="11"/>
      <c r="AD2547" s="11"/>
      <c r="AE2547" s="11"/>
      <c r="AF2547" s="11"/>
      <c r="AG2547" s="11"/>
      <c r="AH2547" s="11"/>
      <c r="AI2547" s="11"/>
      <c r="AJ2547" s="11"/>
      <c r="AK2547" s="11"/>
      <c r="AL2547" s="11"/>
      <c r="AM2547" s="11"/>
      <c r="AN2547" s="11"/>
      <c r="AO2547" s="11"/>
      <c r="AP2547" s="11"/>
      <c r="AQ2547" s="11"/>
      <c r="AR2547" s="11"/>
      <c r="AS2547" s="11"/>
      <c r="AT2547" s="11"/>
      <c r="AU2547" s="11"/>
      <c r="AV2547" s="11"/>
      <c r="AW2547" s="11"/>
      <c r="AX2547" s="11"/>
      <c r="AY2547" s="11"/>
    </row>
    <row r="2548" spans="1:51" hidden="1" x14ac:dyDescent="0.2">
      <c r="A2548" s="6" t="s">
        <v>17</v>
      </c>
      <c r="B2548" t="s">
        <v>118</v>
      </c>
      <c r="C2548" t="s">
        <v>119</v>
      </c>
      <c r="D2548" t="s">
        <v>3176</v>
      </c>
      <c r="E2548" s="2">
        <v>220.94</v>
      </c>
      <c r="F2548" s="3">
        <f t="shared" si="225"/>
        <v>45939</v>
      </c>
      <c r="G2548" s="3">
        <f t="shared" si="225"/>
        <v>45939</v>
      </c>
      <c r="H2548">
        <v>2968413278</v>
      </c>
      <c r="I2548" t="s">
        <v>21</v>
      </c>
      <c r="K2548" t="s">
        <v>22</v>
      </c>
      <c r="L2548" t="s">
        <v>23</v>
      </c>
      <c r="M2548" t="s">
        <v>24</v>
      </c>
      <c r="N2548" t="s">
        <v>24</v>
      </c>
      <c r="O2548" t="s">
        <v>25</v>
      </c>
      <c r="P2548" s="8" t="s">
        <v>3177</v>
      </c>
      <c r="Q2548" s="11"/>
      <c r="R2548" s="11"/>
      <c r="S2548" s="11"/>
      <c r="T2548" s="11"/>
      <c r="U2548" s="11"/>
      <c r="V2548" s="11"/>
      <c r="W2548" s="11"/>
      <c r="X2548" s="11"/>
      <c r="Y2548" s="11"/>
      <c r="Z2548" s="11"/>
      <c r="AA2548" s="11"/>
      <c r="AB2548" s="11"/>
      <c r="AC2548" s="11"/>
      <c r="AD2548" s="11"/>
      <c r="AE2548" s="11"/>
      <c r="AF2548" s="11"/>
      <c r="AG2548" s="11"/>
      <c r="AH2548" s="11"/>
      <c r="AI2548" s="11"/>
      <c r="AJ2548" s="11"/>
      <c r="AK2548" s="11"/>
      <c r="AL2548" s="11"/>
      <c r="AM2548" s="11"/>
      <c r="AN2548" s="11"/>
      <c r="AO2548" s="11"/>
      <c r="AP2548" s="11"/>
      <c r="AQ2548" s="11"/>
      <c r="AR2548" s="11"/>
      <c r="AS2548" s="11"/>
      <c r="AT2548" s="11"/>
      <c r="AU2548" s="11"/>
      <c r="AV2548" s="11"/>
      <c r="AW2548" s="11"/>
      <c r="AX2548" s="11"/>
      <c r="AY2548" s="11"/>
    </row>
    <row r="2549" spans="1:51" hidden="1" x14ac:dyDescent="0.2">
      <c r="A2549" s="6" t="s">
        <v>17</v>
      </c>
      <c r="B2549" t="s">
        <v>329</v>
      </c>
      <c r="C2549" t="s">
        <v>330</v>
      </c>
      <c r="D2549" t="s">
        <v>3178</v>
      </c>
      <c r="E2549" s="2">
        <v>521.76</v>
      </c>
      <c r="F2549" s="3">
        <f t="shared" si="225"/>
        <v>45939</v>
      </c>
      <c r="G2549" s="3">
        <f t="shared" si="225"/>
        <v>45939</v>
      </c>
      <c r="H2549">
        <v>2968413279</v>
      </c>
      <c r="I2549" t="s">
        <v>21</v>
      </c>
      <c r="K2549" t="s">
        <v>22</v>
      </c>
      <c r="L2549" t="s">
        <v>23</v>
      </c>
      <c r="M2549" t="s">
        <v>24</v>
      </c>
      <c r="N2549" t="s">
        <v>24</v>
      </c>
      <c r="O2549" t="s">
        <v>25</v>
      </c>
      <c r="P2549" s="8" t="s">
        <v>3179</v>
      </c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  <c r="AA2549" s="11"/>
      <c r="AB2549" s="11"/>
      <c r="AC2549" s="11"/>
      <c r="AD2549" s="11"/>
      <c r="AE2549" s="11"/>
      <c r="AF2549" s="11"/>
      <c r="AG2549" s="11"/>
      <c r="AH2549" s="11"/>
      <c r="AI2549" s="11"/>
      <c r="AJ2549" s="11"/>
      <c r="AK2549" s="11"/>
      <c r="AL2549" s="11"/>
      <c r="AM2549" s="11"/>
      <c r="AN2549" s="11"/>
      <c r="AO2549" s="11"/>
      <c r="AP2549" s="11"/>
      <c r="AQ2549" s="11"/>
      <c r="AR2549" s="11"/>
      <c r="AS2549" s="11"/>
      <c r="AT2549" s="11"/>
      <c r="AU2549" s="11"/>
      <c r="AV2549" s="11"/>
      <c r="AW2549" s="11"/>
      <c r="AX2549" s="11"/>
      <c r="AY2549" s="11"/>
    </row>
    <row r="2550" spans="1:51" hidden="1" x14ac:dyDescent="0.2">
      <c r="A2550" s="6" t="s">
        <v>17</v>
      </c>
      <c r="B2550" t="s">
        <v>18</v>
      </c>
      <c r="C2550" t="s">
        <v>19</v>
      </c>
      <c r="D2550" t="s">
        <v>3180</v>
      </c>
      <c r="E2550" s="2">
        <v>21.61</v>
      </c>
      <c r="F2550" s="3">
        <f t="shared" si="225"/>
        <v>45939</v>
      </c>
      <c r="G2550" s="3">
        <f t="shared" si="225"/>
        <v>45939</v>
      </c>
      <c r="H2550">
        <v>2968413280</v>
      </c>
      <c r="I2550" t="s">
        <v>21</v>
      </c>
      <c r="K2550" t="s">
        <v>22</v>
      </c>
      <c r="L2550" t="s">
        <v>23</v>
      </c>
      <c r="M2550" t="s">
        <v>24</v>
      </c>
      <c r="N2550" t="s">
        <v>24</v>
      </c>
      <c r="O2550" t="s">
        <v>25</v>
      </c>
      <c r="P2550" s="8" t="s">
        <v>3181</v>
      </c>
      <c r="Q2550" s="11"/>
      <c r="R2550" s="11"/>
      <c r="S2550" s="11"/>
      <c r="T2550" s="11"/>
      <c r="U2550" s="11"/>
      <c r="V2550" s="11"/>
      <c r="W2550" s="11"/>
      <c r="X2550" s="11"/>
      <c r="Y2550" s="11"/>
      <c r="Z2550" s="11"/>
      <c r="AA2550" s="11"/>
      <c r="AB2550" s="11"/>
      <c r="AC2550" s="11"/>
      <c r="AD2550" s="11"/>
      <c r="AE2550" s="11"/>
      <c r="AF2550" s="11"/>
      <c r="AG2550" s="11"/>
      <c r="AH2550" s="11"/>
      <c r="AI2550" s="11"/>
      <c r="AJ2550" s="11"/>
      <c r="AK2550" s="11"/>
      <c r="AL2550" s="11"/>
      <c r="AM2550" s="11"/>
      <c r="AN2550" s="11"/>
      <c r="AO2550" s="11"/>
      <c r="AP2550" s="11"/>
      <c r="AQ2550" s="11"/>
      <c r="AR2550" s="11"/>
      <c r="AS2550" s="11"/>
      <c r="AT2550" s="11"/>
      <c r="AU2550" s="11"/>
      <c r="AV2550" s="11"/>
      <c r="AW2550" s="11"/>
      <c r="AX2550" s="11"/>
      <c r="AY2550" s="11"/>
    </row>
    <row r="2551" spans="1:51" hidden="1" x14ac:dyDescent="0.2">
      <c r="A2551" s="6" t="s">
        <v>17</v>
      </c>
      <c r="B2551" t="s">
        <v>18</v>
      </c>
      <c r="C2551" t="s">
        <v>19</v>
      </c>
      <c r="D2551" t="s">
        <v>3182</v>
      </c>
      <c r="E2551" s="2">
        <v>101.18</v>
      </c>
      <c r="F2551" s="3">
        <f t="shared" si="225"/>
        <v>45939</v>
      </c>
      <c r="G2551" s="3">
        <f t="shared" si="225"/>
        <v>45939</v>
      </c>
      <c r="H2551">
        <v>2968413281</v>
      </c>
      <c r="I2551" t="s">
        <v>21</v>
      </c>
      <c r="K2551" t="s">
        <v>22</v>
      </c>
      <c r="L2551" t="s">
        <v>23</v>
      </c>
      <c r="M2551" t="s">
        <v>24</v>
      </c>
      <c r="N2551" t="s">
        <v>24</v>
      </c>
      <c r="O2551" t="s">
        <v>25</v>
      </c>
      <c r="P2551" s="8" t="s">
        <v>3183</v>
      </c>
      <c r="Q2551" s="11"/>
      <c r="R2551" s="11"/>
      <c r="S2551" s="11"/>
      <c r="T2551" s="11"/>
      <c r="U2551" s="11"/>
      <c r="V2551" s="11"/>
      <c r="W2551" s="11"/>
      <c r="X2551" s="11"/>
      <c r="Y2551" s="11"/>
      <c r="Z2551" s="11"/>
      <c r="AA2551" s="11"/>
      <c r="AB2551" s="11"/>
      <c r="AC2551" s="11"/>
      <c r="AD2551" s="11"/>
      <c r="AE2551" s="11"/>
      <c r="AF2551" s="11"/>
      <c r="AG2551" s="11"/>
      <c r="AH2551" s="11"/>
      <c r="AI2551" s="11"/>
      <c r="AJ2551" s="11"/>
      <c r="AK2551" s="11"/>
      <c r="AL2551" s="11"/>
      <c r="AM2551" s="11"/>
      <c r="AN2551" s="11"/>
      <c r="AO2551" s="11"/>
      <c r="AP2551" s="11"/>
      <c r="AQ2551" s="11"/>
      <c r="AR2551" s="11"/>
      <c r="AS2551" s="11"/>
      <c r="AT2551" s="11"/>
      <c r="AU2551" s="11"/>
      <c r="AV2551" s="11"/>
      <c r="AW2551" s="11"/>
      <c r="AX2551" s="11"/>
      <c r="AY2551" s="11"/>
    </row>
    <row r="2552" spans="1:51" hidden="1" x14ac:dyDescent="0.2">
      <c r="A2552" s="6"/>
      <c r="E2552" s="2"/>
      <c r="F2552" s="3"/>
      <c r="G2552" s="3"/>
      <c r="P2552" s="8"/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  <c r="AA2552" s="11"/>
      <c r="AB2552" s="11"/>
      <c r="AC2552" s="11"/>
      <c r="AD2552" s="11"/>
      <c r="AE2552" s="11"/>
      <c r="AF2552" s="11"/>
      <c r="AG2552" s="11"/>
      <c r="AH2552" s="11"/>
      <c r="AI2552" s="11"/>
      <c r="AJ2552" s="11"/>
      <c r="AK2552" s="11"/>
      <c r="AL2552" s="11"/>
      <c r="AM2552" s="11"/>
      <c r="AN2552" s="11"/>
      <c r="AO2552" s="11"/>
      <c r="AP2552" s="11"/>
      <c r="AQ2552" s="11"/>
      <c r="AR2552" s="11"/>
      <c r="AS2552" s="11"/>
      <c r="AT2552" s="11"/>
      <c r="AU2552" s="11"/>
      <c r="AV2552" s="11"/>
      <c r="AW2552" s="11"/>
      <c r="AX2552" s="11"/>
      <c r="AY2552" s="11"/>
    </row>
    <row r="2553" spans="1:51" hidden="1" x14ac:dyDescent="0.2">
      <c r="A2553" s="6" t="s">
        <v>17</v>
      </c>
      <c r="B2553" t="s">
        <v>118</v>
      </c>
      <c r="C2553" t="s">
        <v>119</v>
      </c>
      <c r="D2553" t="s">
        <v>3184</v>
      </c>
      <c r="E2553" s="2">
        <v>36</v>
      </c>
      <c r="F2553" s="3">
        <f>DATE(2025,10,11)</f>
        <v>45941</v>
      </c>
      <c r="G2553" s="3">
        <f>DATE(2025,10,11)</f>
        <v>45941</v>
      </c>
      <c r="H2553">
        <v>2974383065</v>
      </c>
      <c r="I2553" t="s">
        <v>21</v>
      </c>
      <c r="K2553" t="s">
        <v>22</v>
      </c>
      <c r="L2553" t="s">
        <v>23</v>
      </c>
      <c r="M2553" t="s">
        <v>24</v>
      </c>
      <c r="N2553" t="s">
        <v>24</v>
      </c>
      <c r="O2553" t="s">
        <v>25</v>
      </c>
      <c r="P2553" s="8" t="s">
        <v>3185</v>
      </c>
      <c r="Q2553" s="11"/>
      <c r="R2553" s="11"/>
      <c r="S2553" s="11"/>
      <c r="T2553" s="11"/>
      <c r="U2553" s="11"/>
      <c r="V2553" s="11"/>
      <c r="W2553" s="11"/>
      <c r="X2553" s="11"/>
      <c r="Y2553" s="11"/>
      <c r="Z2553" s="11"/>
      <c r="AA2553" s="11"/>
      <c r="AB2553" s="11"/>
      <c r="AC2553" s="11"/>
      <c r="AD2553" s="11"/>
      <c r="AE2553" s="11"/>
      <c r="AF2553" s="11"/>
      <c r="AG2553" s="11"/>
      <c r="AH2553" s="11"/>
      <c r="AI2553" s="11"/>
      <c r="AJ2553" s="11"/>
      <c r="AK2553" s="11"/>
      <c r="AL2553" s="11"/>
      <c r="AM2553" s="11"/>
      <c r="AN2553" s="11"/>
      <c r="AO2553" s="11"/>
      <c r="AP2553" s="11"/>
      <c r="AQ2553" s="11"/>
      <c r="AR2553" s="11"/>
      <c r="AS2553" s="11"/>
      <c r="AT2553" s="11"/>
      <c r="AU2553" s="11"/>
      <c r="AV2553" s="11"/>
      <c r="AW2553" s="11"/>
      <c r="AX2553" s="11"/>
      <c r="AY2553" s="11"/>
    </row>
    <row r="2554" spans="1:51" hidden="1" x14ac:dyDescent="0.2">
      <c r="A2554" s="6"/>
      <c r="E2554" s="2"/>
      <c r="F2554" s="3"/>
      <c r="G2554" s="3"/>
      <c r="P2554" s="8"/>
      <c r="Q2554" s="11"/>
      <c r="R2554" s="11"/>
      <c r="S2554" s="11"/>
      <c r="T2554" s="11"/>
      <c r="U2554" s="11"/>
      <c r="V2554" s="11"/>
      <c r="W2554" s="11"/>
      <c r="X2554" s="11"/>
      <c r="Y2554" s="11"/>
      <c r="Z2554" s="11"/>
      <c r="AA2554" s="11"/>
      <c r="AB2554" s="11"/>
      <c r="AC2554" s="11"/>
      <c r="AD2554" s="11"/>
      <c r="AE2554" s="11"/>
      <c r="AF2554" s="11"/>
      <c r="AG2554" s="11"/>
      <c r="AH2554" s="11"/>
      <c r="AI2554" s="11"/>
      <c r="AJ2554" s="11"/>
      <c r="AK2554" s="11"/>
      <c r="AL2554" s="11"/>
      <c r="AM2554" s="11"/>
      <c r="AN2554" s="11"/>
      <c r="AO2554" s="11"/>
      <c r="AP2554" s="11"/>
      <c r="AQ2554" s="11"/>
      <c r="AR2554" s="11"/>
      <c r="AS2554" s="11"/>
      <c r="AT2554" s="11"/>
      <c r="AU2554" s="11"/>
      <c r="AV2554" s="11"/>
      <c r="AW2554" s="11"/>
      <c r="AX2554" s="11"/>
      <c r="AY2554" s="11"/>
    </row>
    <row r="2555" spans="1:51" hidden="1" x14ac:dyDescent="0.2">
      <c r="A2555" s="6" t="s">
        <v>17</v>
      </c>
      <c r="B2555" t="s">
        <v>35</v>
      </c>
      <c r="C2555" t="s">
        <v>35</v>
      </c>
      <c r="D2555" t="s">
        <v>3186</v>
      </c>
      <c r="E2555" s="2">
        <v>30.98</v>
      </c>
      <c r="F2555" s="3">
        <f t="shared" ref="F2555:G2559" si="226">DATE(2025,10,10)</f>
        <v>45940</v>
      </c>
      <c r="G2555" s="3">
        <f t="shared" si="226"/>
        <v>45940</v>
      </c>
      <c r="H2555">
        <v>2974383626</v>
      </c>
      <c r="I2555" t="s">
        <v>192</v>
      </c>
      <c r="K2555" t="s">
        <v>22</v>
      </c>
      <c r="L2555" t="s">
        <v>23</v>
      </c>
      <c r="M2555" t="s">
        <v>24</v>
      </c>
      <c r="N2555" t="s">
        <v>24</v>
      </c>
      <c r="O2555" t="s">
        <v>25</v>
      </c>
      <c r="P2555" s="8" t="s">
        <v>3187</v>
      </c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  <c r="AA2555" s="11"/>
      <c r="AB2555" s="11"/>
      <c r="AC2555" s="11"/>
      <c r="AD2555" s="11"/>
      <c r="AE2555" s="11"/>
      <c r="AF2555" s="11"/>
      <c r="AG2555" s="11"/>
      <c r="AH2555" s="11"/>
      <c r="AI2555" s="11"/>
      <c r="AJ2555" s="11"/>
      <c r="AK2555" s="11"/>
      <c r="AL2555" s="11"/>
      <c r="AM2555" s="11"/>
      <c r="AN2555" s="11"/>
      <c r="AO2555" s="11"/>
      <c r="AP2555" s="11"/>
      <c r="AQ2555" s="11"/>
      <c r="AR2555" s="11"/>
      <c r="AS2555" s="11"/>
      <c r="AT2555" s="11"/>
      <c r="AU2555" s="11"/>
      <c r="AV2555" s="11"/>
      <c r="AW2555" s="11"/>
      <c r="AX2555" s="11"/>
      <c r="AY2555" s="11"/>
    </row>
    <row r="2556" spans="1:51" hidden="1" x14ac:dyDescent="0.2">
      <c r="A2556" s="6"/>
      <c r="E2556" s="2"/>
      <c r="F2556" s="3"/>
      <c r="G2556" s="3"/>
      <c r="P2556" s="8"/>
      <c r="Q2556" s="11"/>
      <c r="R2556" s="11"/>
      <c r="S2556" s="11"/>
      <c r="T2556" s="11"/>
      <c r="U2556" s="11"/>
      <c r="V2556" s="11"/>
      <c r="W2556" s="11"/>
      <c r="X2556" s="11"/>
      <c r="Y2556" s="11"/>
      <c r="Z2556" s="11"/>
      <c r="AA2556" s="11"/>
      <c r="AB2556" s="11"/>
      <c r="AC2556" s="11"/>
      <c r="AD2556" s="11"/>
      <c r="AE2556" s="11"/>
      <c r="AF2556" s="11"/>
      <c r="AG2556" s="11"/>
      <c r="AH2556" s="11"/>
      <c r="AI2556" s="11"/>
      <c r="AJ2556" s="11"/>
      <c r="AK2556" s="11"/>
      <c r="AL2556" s="11"/>
      <c r="AM2556" s="11"/>
      <c r="AN2556" s="11"/>
      <c r="AO2556" s="11"/>
      <c r="AP2556" s="11"/>
      <c r="AQ2556" s="11"/>
      <c r="AR2556" s="11"/>
      <c r="AS2556" s="11"/>
      <c r="AT2556" s="11"/>
      <c r="AU2556" s="11"/>
      <c r="AV2556" s="11"/>
      <c r="AW2556" s="11"/>
      <c r="AX2556" s="11"/>
      <c r="AY2556" s="11"/>
    </row>
    <row r="2557" spans="1:51" hidden="1" x14ac:dyDescent="0.2">
      <c r="A2557" s="6"/>
      <c r="E2557" s="2"/>
      <c r="F2557" s="3"/>
      <c r="G2557" s="3"/>
      <c r="P2557" s="8"/>
      <c r="Q2557" s="11"/>
      <c r="R2557" s="11"/>
      <c r="S2557" s="11"/>
      <c r="T2557" s="11"/>
      <c r="U2557" s="11"/>
      <c r="V2557" s="11"/>
      <c r="W2557" s="11"/>
      <c r="X2557" s="11"/>
      <c r="Y2557" s="11"/>
      <c r="Z2557" s="11"/>
      <c r="AA2557" s="11"/>
      <c r="AB2557" s="11"/>
      <c r="AC2557" s="11"/>
      <c r="AD2557" s="11"/>
      <c r="AE2557" s="11"/>
      <c r="AF2557" s="11"/>
      <c r="AG2557" s="11"/>
      <c r="AH2557" s="11"/>
      <c r="AI2557" s="11"/>
      <c r="AJ2557" s="11"/>
      <c r="AK2557" s="11"/>
      <c r="AL2557" s="11"/>
      <c r="AM2557" s="11"/>
      <c r="AN2557" s="11"/>
      <c r="AO2557" s="11"/>
      <c r="AP2557" s="11"/>
      <c r="AQ2557" s="11"/>
      <c r="AR2557" s="11"/>
      <c r="AS2557" s="11"/>
      <c r="AT2557" s="11"/>
      <c r="AU2557" s="11"/>
      <c r="AV2557" s="11"/>
      <c r="AW2557" s="11"/>
      <c r="AX2557" s="11"/>
      <c r="AY2557" s="11"/>
    </row>
    <row r="2558" spans="1:51" hidden="1" x14ac:dyDescent="0.2">
      <c r="A2558" s="6"/>
      <c r="E2558" s="2"/>
      <c r="F2558" s="3"/>
      <c r="G2558" s="3"/>
      <c r="P2558" s="8"/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  <c r="AA2558" s="11"/>
      <c r="AB2558" s="11"/>
      <c r="AC2558" s="11"/>
      <c r="AD2558" s="11"/>
      <c r="AE2558" s="11"/>
      <c r="AF2558" s="11"/>
      <c r="AG2558" s="11"/>
      <c r="AH2558" s="11"/>
      <c r="AI2558" s="11"/>
      <c r="AJ2558" s="11"/>
      <c r="AK2558" s="11"/>
      <c r="AL2558" s="11"/>
      <c r="AM2558" s="11"/>
      <c r="AN2558" s="11"/>
      <c r="AO2558" s="11"/>
      <c r="AP2558" s="11"/>
      <c r="AQ2558" s="11"/>
      <c r="AR2558" s="11"/>
      <c r="AS2558" s="11"/>
      <c r="AT2558" s="11"/>
      <c r="AU2558" s="11"/>
      <c r="AV2558" s="11"/>
      <c r="AW2558" s="11"/>
      <c r="AX2558" s="11"/>
      <c r="AY2558" s="11"/>
    </row>
    <row r="2559" spans="1:51" hidden="1" x14ac:dyDescent="0.2">
      <c r="A2559" s="6" t="s">
        <v>17</v>
      </c>
      <c r="B2559" t="s">
        <v>18</v>
      </c>
      <c r="C2559" t="s">
        <v>19</v>
      </c>
      <c r="D2559" t="s">
        <v>3188</v>
      </c>
      <c r="E2559" s="2">
        <v>1.65</v>
      </c>
      <c r="F2559" s="3">
        <f t="shared" si="226"/>
        <v>45940</v>
      </c>
      <c r="G2559" s="3">
        <f t="shared" si="226"/>
        <v>45940</v>
      </c>
      <c r="H2559">
        <v>2974383630</v>
      </c>
      <c r="I2559" t="s">
        <v>192</v>
      </c>
      <c r="K2559" t="s">
        <v>22</v>
      </c>
      <c r="L2559" t="s">
        <v>23</v>
      </c>
      <c r="M2559" t="s">
        <v>24</v>
      </c>
      <c r="N2559" t="s">
        <v>24</v>
      </c>
      <c r="O2559" t="s">
        <v>25</v>
      </c>
      <c r="P2559" s="8" t="s">
        <v>3189</v>
      </c>
      <c r="Q2559" s="11"/>
      <c r="R2559" s="11"/>
      <c r="S2559" s="11"/>
      <c r="T2559" s="11"/>
      <c r="U2559" s="11"/>
      <c r="V2559" s="11"/>
      <c r="W2559" s="11"/>
      <c r="X2559" s="11"/>
      <c r="Y2559" s="11"/>
      <c r="Z2559" s="11"/>
      <c r="AA2559" s="11"/>
      <c r="AB2559" s="11"/>
      <c r="AC2559" s="11"/>
      <c r="AD2559" s="11"/>
      <c r="AE2559" s="11"/>
      <c r="AF2559" s="11"/>
      <c r="AG2559" s="11"/>
      <c r="AH2559" s="11"/>
      <c r="AI2559" s="11"/>
      <c r="AJ2559" s="11"/>
      <c r="AK2559" s="11"/>
      <c r="AL2559" s="11"/>
      <c r="AM2559" s="11"/>
      <c r="AN2559" s="11"/>
      <c r="AO2559" s="11"/>
      <c r="AP2559" s="11"/>
      <c r="AQ2559" s="11"/>
      <c r="AR2559" s="11"/>
      <c r="AS2559" s="11"/>
      <c r="AT2559" s="11"/>
      <c r="AU2559" s="11"/>
      <c r="AV2559" s="11"/>
      <c r="AW2559" s="11"/>
      <c r="AX2559" s="11"/>
      <c r="AY2559" s="11"/>
    </row>
    <row r="2560" spans="1:51" hidden="1" x14ac:dyDescent="0.2">
      <c r="A2560" s="6" t="s">
        <v>17</v>
      </c>
      <c r="B2560" t="s">
        <v>90</v>
      </c>
      <c r="C2560" t="s">
        <v>91</v>
      </c>
      <c r="D2560" t="s">
        <v>3190</v>
      </c>
      <c r="E2560" s="2">
        <v>1040</v>
      </c>
      <c r="F2560" s="3">
        <f>DATE(2025,10,11)</f>
        <v>45941</v>
      </c>
      <c r="G2560" s="3">
        <f>DATE(2025,10,11)</f>
        <v>45941</v>
      </c>
      <c r="H2560">
        <v>2978684448</v>
      </c>
      <c r="I2560" t="s">
        <v>21</v>
      </c>
      <c r="K2560" t="s">
        <v>22</v>
      </c>
      <c r="L2560" t="s">
        <v>23</v>
      </c>
      <c r="M2560" t="s">
        <v>24</v>
      </c>
      <c r="N2560" t="s">
        <v>24</v>
      </c>
      <c r="O2560" t="s">
        <v>25</v>
      </c>
      <c r="P2560" s="8" t="s">
        <v>3191</v>
      </c>
      <c r="Q2560" s="11"/>
      <c r="R2560" s="11"/>
      <c r="S2560" s="11"/>
      <c r="T2560" s="11"/>
      <c r="U2560" s="11"/>
      <c r="V2560" s="11"/>
      <c r="W2560" s="11"/>
      <c r="X2560" s="11"/>
      <c r="Y2560" s="11"/>
      <c r="Z2560" s="11"/>
      <c r="AA2560" s="11"/>
      <c r="AB2560" s="11"/>
      <c r="AC2560" s="11"/>
      <c r="AD2560" s="11"/>
      <c r="AE2560" s="11"/>
      <c r="AF2560" s="11"/>
      <c r="AG2560" s="11"/>
      <c r="AH2560" s="11"/>
      <c r="AI2560" s="11"/>
      <c r="AJ2560" s="11"/>
      <c r="AK2560" s="11"/>
      <c r="AL2560" s="11"/>
      <c r="AM2560" s="11"/>
      <c r="AN2560" s="11"/>
      <c r="AO2560" s="11"/>
      <c r="AP2560" s="11"/>
      <c r="AQ2560" s="11"/>
      <c r="AR2560" s="11"/>
      <c r="AS2560" s="11"/>
      <c r="AT2560" s="11"/>
      <c r="AU2560" s="11"/>
      <c r="AV2560" s="11"/>
      <c r="AW2560" s="11"/>
      <c r="AX2560" s="11"/>
      <c r="AY2560" s="11"/>
    </row>
    <row r="2561" spans="1:51" x14ac:dyDescent="0.2">
      <c r="A2561" s="6" t="s">
        <v>17</v>
      </c>
      <c r="B2561" t="s">
        <v>342</v>
      </c>
      <c r="C2561" t="s">
        <v>342</v>
      </c>
      <c r="D2561" t="s">
        <v>3192</v>
      </c>
      <c r="E2561" s="2">
        <v>132</v>
      </c>
      <c r="F2561" s="3">
        <f t="shared" ref="F2561:G2566" si="227">DATE(2025,10,13)</f>
        <v>45943</v>
      </c>
      <c r="G2561" s="3">
        <f t="shared" si="227"/>
        <v>45943</v>
      </c>
      <c r="H2561">
        <v>2986108704</v>
      </c>
      <c r="I2561" t="s">
        <v>21</v>
      </c>
      <c r="K2561" t="s">
        <v>22</v>
      </c>
      <c r="L2561" t="s">
        <v>23</v>
      </c>
      <c r="M2561" t="s">
        <v>24</v>
      </c>
      <c r="N2561" t="s">
        <v>24</v>
      </c>
      <c r="O2561" t="s">
        <v>25</v>
      </c>
      <c r="P2561" s="8" t="s">
        <v>3193</v>
      </c>
      <c r="Q2561" s="11"/>
      <c r="R2561" s="11"/>
      <c r="S2561" s="11"/>
      <c r="T2561" s="11"/>
      <c r="U2561" s="11"/>
      <c r="V2561" s="11"/>
      <c r="W2561" s="11"/>
      <c r="X2561" s="11"/>
      <c r="Y2561" s="11"/>
      <c r="Z2561" s="11"/>
      <c r="AA2561" s="11"/>
      <c r="AB2561" s="11"/>
      <c r="AC2561" s="11"/>
      <c r="AD2561" s="11"/>
      <c r="AE2561" s="11"/>
      <c r="AF2561" s="11"/>
      <c r="AG2561" s="11"/>
      <c r="AH2561" s="11"/>
      <c r="AI2561" s="11"/>
      <c r="AJ2561" s="11"/>
      <c r="AK2561" s="11"/>
      <c r="AL2561" s="11"/>
      <c r="AM2561" s="11"/>
      <c r="AN2561" s="11"/>
      <c r="AO2561" s="11"/>
      <c r="AP2561" s="11"/>
      <c r="AQ2561" s="11"/>
      <c r="AR2561" s="11"/>
      <c r="AS2561" s="11"/>
      <c r="AT2561" s="11"/>
      <c r="AU2561" s="11"/>
      <c r="AV2561" s="11"/>
      <c r="AW2561" s="11"/>
      <c r="AX2561" s="11"/>
      <c r="AY2561" s="11"/>
    </row>
    <row r="2562" spans="1:51" hidden="1" x14ac:dyDescent="0.2">
      <c r="A2562" s="6" t="s">
        <v>17</v>
      </c>
      <c r="B2562" t="s">
        <v>31</v>
      </c>
      <c r="C2562" t="s">
        <v>32</v>
      </c>
      <c r="D2562" t="s">
        <v>3194</v>
      </c>
      <c r="E2562" s="2">
        <v>130.07</v>
      </c>
      <c r="F2562" s="3">
        <f t="shared" si="227"/>
        <v>45943</v>
      </c>
      <c r="G2562" s="3">
        <f t="shared" si="227"/>
        <v>45943</v>
      </c>
      <c r="H2562">
        <v>2986108705</v>
      </c>
      <c r="I2562" t="s">
        <v>21</v>
      </c>
      <c r="K2562" t="s">
        <v>22</v>
      </c>
      <c r="L2562" t="s">
        <v>23</v>
      </c>
      <c r="M2562" t="s">
        <v>24</v>
      </c>
      <c r="N2562" t="s">
        <v>24</v>
      </c>
      <c r="O2562" t="s">
        <v>25</v>
      </c>
      <c r="P2562" s="8" t="s">
        <v>3195</v>
      </c>
      <c r="Q2562" s="11"/>
      <c r="R2562" s="11"/>
      <c r="S2562" s="11"/>
      <c r="T2562" s="11"/>
      <c r="U2562" s="11"/>
      <c r="V2562" s="11"/>
      <c r="W2562" s="11"/>
      <c r="X2562" s="11"/>
      <c r="Y2562" s="11"/>
      <c r="Z2562" s="11"/>
      <c r="AA2562" s="11"/>
      <c r="AB2562" s="11"/>
      <c r="AC2562" s="11"/>
      <c r="AD2562" s="11"/>
      <c r="AE2562" s="11"/>
      <c r="AF2562" s="11"/>
      <c r="AG2562" s="11"/>
      <c r="AH2562" s="11"/>
      <c r="AI2562" s="11"/>
      <c r="AJ2562" s="11"/>
      <c r="AK2562" s="11"/>
      <c r="AL2562" s="11"/>
      <c r="AM2562" s="11"/>
      <c r="AN2562" s="11"/>
      <c r="AO2562" s="11"/>
      <c r="AP2562" s="11"/>
      <c r="AQ2562" s="11"/>
      <c r="AR2562" s="11"/>
      <c r="AS2562" s="11"/>
      <c r="AT2562" s="11"/>
      <c r="AU2562" s="11"/>
      <c r="AV2562" s="11"/>
      <c r="AW2562" s="11"/>
      <c r="AX2562" s="11"/>
      <c r="AY2562" s="11"/>
    </row>
    <row r="2563" spans="1:51" hidden="1" x14ac:dyDescent="0.2">
      <c r="A2563" s="6" t="s">
        <v>17</v>
      </c>
      <c r="B2563" t="s">
        <v>84</v>
      </c>
      <c r="C2563" t="s">
        <v>85</v>
      </c>
      <c r="D2563" t="s">
        <v>3196</v>
      </c>
      <c r="E2563" s="2">
        <v>58</v>
      </c>
      <c r="F2563" s="3">
        <f t="shared" si="227"/>
        <v>45943</v>
      </c>
      <c r="G2563" s="3">
        <f t="shared" si="227"/>
        <v>45943</v>
      </c>
      <c r="H2563">
        <v>2986108706</v>
      </c>
      <c r="I2563" t="s">
        <v>21</v>
      </c>
      <c r="K2563" t="s">
        <v>22</v>
      </c>
      <c r="L2563" t="s">
        <v>23</v>
      </c>
      <c r="M2563" t="s">
        <v>24</v>
      </c>
      <c r="N2563" t="s">
        <v>24</v>
      </c>
      <c r="O2563" t="s">
        <v>25</v>
      </c>
      <c r="P2563" s="8" t="s">
        <v>3197</v>
      </c>
      <c r="Q2563" s="11"/>
      <c r="R2563" s="11"/>
      <c r="S2563" s="11"/>
      <c r="T2563" s="11"/>
      <c r="U2563" s="11"/>
      <c r="V2563" s="11"/>
      <c r="W2563" s="11"/>
      <c r="X2563" s="11"/>
      <c r="Y2563" s="11"/>
      <c r="Z2563" s="11"/>
      <c r="AA2563" s="11"/>
      <c r="AB2563" s="11"/>
      <c r="AC2563" s="11"/>
      <c r="AD2563" s="11"/>
      <c r="AE2563" s="11"/>
      <c r="AF2563" s="11"/>
      <c r="AG2563" s="11"/>
      <c r="AH2563" s="11"/>
      <c r="AI2563" s="11"/>
      <c r="AJ2563" s="11"/>
      <c r="AK2563" s="11"/>
      <c r="AL2563" s="11"/>
      <c r="AM2563" s="11"/>
      <c r="AN2563" s="11"/>
      <c r="AO2563" s="11"/>
      <c r="AP2563" s="11"/>
      <c r="AQ2563" s="11"/>
      <c r="AR2563" s="11"/>
      <c r="AS2563" s="11"/>
      <c r="AT2563" s="11"/>
      <c r="AU2563" s="11"/>
      <c r="AV2563" s="11"/>
      <c r="AW2563" s="11"/>
      <c r="AX2563" s="11"/>
      <c r="AY2563" s="11"/>
    </row>
    <row r="2564" spans="1:51" hidden="1" x14ac:dyDescent="0.2">
      <c r="A2564" s="6" t="s">
        <v>17</v>
      </c>
      <c r="B2564" t="s">
        <v>244</v>
      </c>
      <c r="C2564" t="s">
        <v>245</v>
      </c>
      <c r="D2564" t="s">
        <v>3198</v>
      </c>
      <c r="E2564" s="2">
        <v>840</v>
      </c>
      <c r="F2564" s="3">
        <f t="shared" si="227"/>
        <v>45943</v>
      </c>
      <c r="G2564" s="3">
        <f t="shared" si="227"/>
        <v>45943</v>
      </c>
      <c r="H2564">
        <v>2986108707</v>
      </c>
      <c r="I2564" t="s">
        <v>21</v>
      </c>
      <c r="K2564" t="s">
        <v>22</v>
      </c>
      <c r="L2564" t="s">
        <v>23</v>
      </c>
      <c r="M2564" t="s">
        <v>24</v>
      </c>
      <c r="N2564" t="s">
        <v>24</v>
      </c>
      <c r="O2564" t="s">
        <v>25</v>
      </c>
      <c r="P2564" s="8" t="s">
        <v>3199</v>
      </c>
      <c r="Q2564" s="11"/>
      <c r="R2564" s="11"/>
      <c r="S2564" s="11"/>
      <c r="T2564" s="11"/>
      <c r="U2564" s="11"/>
      <c r="V2564" s="11"/>
      <c r="W2564" s="11"/>
      <c r="X2564" s="11"/>
      <c r="Y2564" s="11"/>
      <c r="Z2564" s="11"/>
      <c r="AA2564" s="11"/>
      <c r="AB2564" s="11"/>
      <c r="AC2564" s="11"/>
      <c r="AD2564" s="11"/>
      <c r="AE2564" s="11"/>
      <c r="AF2564" s="11"/>
      <c r="AG2564" s="11"/>
      <c r="AH2564" s="11"/>
      <c r="AI2564" s="11"/>
      <c r="AJ2564" s="11"/>
      <c r="AK2564" s="11"/>
      <c r="AL2564" s="11"/>
      <c r="AM2564" s="11"/>
      <c r="AN2564" s="11"/>
      <c r="AO2564" s="11"/>
      <c r="AP2564" s="11"/>
      <c r="AQ2564" s="11"/>
      <c r="AR2564" s="11"/>
      <c r="AS2564" s="11"/>
      <c r="AT2564" s="11"/>
      <c r="AU2564" s="11"/>
      <c r="AV2564" s="11"/>
      <c r="AW2564" s="11"/>
      <c r="AX2564" s="11"/>
      <c r="AY2564" s="11"/>
    </row>
    <row r="2565" spans="1:51" hidden="1" x14ac:dyDescent="0.2">
      <c r="A2565" s="6"/>
      <c r="E2565" s="2"/>
      <c r="F2565" s="3"/>
      <c r="G2565" s="3"/>
      <c r="P2565" s="8"/>
      <c r="Q2565" s="11"/>
      <c r="R2565" s="11"/>
      <c r="S2565" s="11"/>
      <c r="T2565" s="11"/>
      <c r="U2565" s="11"/>
      <c r="V2565" s="11"/>
      <c r="W2565" s="11"/>
      <c r="X2565" s="11"/>
      <c r="Y2565" s="11"/>
      <c r="Z2565" s="11"/>
      <c r="AA2565" s="11"/>
      <c r="AB2565" s="11"/>
      <c r="AC2565" s="11"/>
      <c r="AD2565" s="11"/>
      <c r="AE2565" s="11"/>
      <c r="AF2565" s="11"/>
      <c r="AG2565" s="11"/>
      <c r="AH2565" s="11"/>
      <c r="AI2565" s="11"/>
      <c r="AJ2565" s="11"/>
      <c r="AK2565" s="11"/>
      <c r="AL2565" s="11"/>
      <c r="AM2565" s="11"/>
      <c r="AN2565" s="11"/>
      <c r="AO2565" s="11"/>
      <c r="AP2565" s="11"/>
      <c r="AQ2565" s="11"/>
      <c r="AR2565" s="11"/>
      <c r="AS2565" s="11"/>
      <c r="AT2565" s="11"/>
      <c r="AU2565" s="11"/>
      <c r="AV2565" s="11"/>
      <c r="AW2565" s="11"/>
      <c r="AX2565" s="11"/>
      <c r="AY2565" s="11"/>
    </row>
    <row r="2566" spans="1:51" x14ac:dyDescent="0.2">
      <c r="A2566" s="6" t="s">
        <v>17</v>
      </c>
      <c r="B2566" t="s">
        <v>342</v>
      </c>
      <c r="C2566" t="s">
        <v>342</v>
      </c>
      <c r="D2566" t="s">
        <v>3200</v>
      </c>
      <c r="E2566" s="2">
        <v>227.45</v>
      </c>
      <c r="F2566" s="3">
        <f t="shared" si="227"/>
        <v>45943</v>
      </c>
      <c r="G2566" s="3">
        <f t="shared" si="227"/>
        <v>45943</v>
      </c>
      <c r="H2566">
        <v>2994856370</v>
      </c>
      <c r="I2566" t="s">
        <v>21</v>
      </c>
      <c r="K2566" t="s">
        <v>22</v>
      </c>
      <c r="L2566" t="s">
        <v>23</v>
      </c>
      <c r="M2566" t="s">
        <v>24</v>
      </c>
      <c r="N2566" t="s">
        <v>24</v>
      </c>
      <c r="O2566" t="s">
        <v>25</v>
      </c>
      <c r="P2566" s="8" t="s">
        <v>3201</v>
      </c>
      <c r="Q2566" s="11"/>
      <c r="R2566" s="11"/>
      <c r="S2566" s="11"/>
      <c r="T2566" s="11"/>
      <c r="U2566" s="11"/>
      <c r="V2566" s="11"/>
      <c r="W2566" s="11"/>
      <c r="X2566" s="11"/>
      <c r="Y2566" s="11"/>
      <c r="Z2566" s="11"/>
      <c r="AA2566" s="11"/>
      <c r="AB2566" s="11"/>
      <c r="AC2566" s="11"/>
      <c r="AD2566" s="11"/>
      <c r="AE2566" s="11"/>
      <c r="AF2566" s="11"/>
      <c r="AG2566" s="11"/>
      <c r="AH2566" s="11"/>
      <c r="AI2566" s="11"/>
      <c r="AJ2566" s="11"/>
      <c r="AK2566" s="11"/>
      <c r="AL2566" s="11"/>
      <c r="AM2566" s="11"/>
      <c r="AN2566" s="11"/>
      <c r="AO2566" s="11"/>
      <c r="AP2566" s="11"/>
      <c r="AQ2566" s="11"/>
      <c r="AR2566" s="11"/>
      <c r="AS2566" s="11"/>
      <c r="AT2566" s="11"/>
      <c r="AU2566" s="11"/>
      <c r="AV2566" s="11"/>
      <c r="AW2566" s="11"/>
      <c r="AX2566" s="11"/>
      <c r="AY2566" s="11"/>
    </row>
    <row r="2567" spans="1:51" hidden="1" x14ac:dyDescent="0.2">
      <c r="A2567" s="6" t="s">
        <v>17</v>
      </c>
      <c r="B2567" t="s">
        <v>18</v>
      </c>
      <c r="C2567" t="s">
        <v>19</v>
      </c>
      <c r="D2567" t="s">
        <v>3202</v>
      </c>
      <c r="E2567" s="2">
        <v>0.35</v>
      </c>
      <c r="F2567" s="3">
        <f>DATE(2025,10,14)</f>
        <v>45944</v>
      </c>
      <c r="G2567" s="3">
        <f>DATE(2025,10,14)</f>
        <v>45944</v>
      </c>
      <c r="H2567">
        <v>2994856371</v>
      </c>
      <c r="I2567" t="s">
        <v>21</v>
      </c>
      <c r="K2567" t="s">
        <v>22</v>
      </c>
      <c r="L2567" t="s">
        <v>23</v>
      </c>
      <c r="M2567" t="s">
        <v>24</v>
      </c>
      <c r="N2567" t="s">
        <v>24</v>
      </c>
      <c r="O2567" t="s">
        <v>25</v>
      </c>
      <c r="P2567" s="8" t="s">
        <v>3203</v>
      </c>
      <c r="Q2567" s="11"/>
      <c r="R2567" s="11"/>
      <c r="S2567" s="11"/>
      <c r="T2567" s="11"/>
      <c r="U2567" s="11"/>
      <c r="V2567" s="11"/>
      <c r="W2567" s="11"/>
      <c r="X2567" s="11"/>
      <c r="Y2567" s="11"/>
      <c r="Z2567" s="11"/>
      <c r="AA2567" s="11"/>
      <c r="AB2567" s="11"/>
      <c r="AC2567" s="11"/>
      <c r="AD2567" s="11"/>
      <c r="AE2567" s="11"/>
      <c r="AF2567" s="11"/>
      <c r="AG2567" s="11"/>
      <c r="AH2567" s="11"/>
      <c r="AI2567" s="11"/>
      <c r="AJ2567" s="11"/>
      <c r="AK2567" s="11"/>
      <c r="AL2567" s="11"/>
      <c r="AM2567" s="11"/>
      <c r="AN2567" s="11"/>
      <c r="AO2567" s="11"/>
      <c r="AP2567" s="11"/>
      <c r="AQ2567" s="11"/>
      <c r="AR2567" s="11"/>
      <c r="AS2567" s="11"/>
      <c r="AT2567" s="11"/>
      <c r="AU2567" s="11"/>
      <c r="AV2567" s="11"/>
      <c r="AW2567" s="11"/>
      <c r="AX2567" s="11"/>
      <c r="AY2567" s="11"/>
    </row>
    <row r="2568" spans="1:51" hidden="1" x14ac:dyDescent="0.2">
      <c r="A2568" s="6"/>
      <c r="E2568" s="2"/>
      <c r="F2568" s="3"/>
      <c r="G2568" s="3"/>
      <c r="P2568" s="8"/>
      <c r="Q2568" s="11"/>
      <c r="R2568" s="11"/>
      <c r="S2568" s="11"/>
      <c r="T2568" s="11"/>
      <c r="U2568" s="11"/>
      <c r="V2568" s="11"/>
      <c r="W2568" s="11"/>
      <c r="X2568" s="11"/>
      <c r="Y2568" s="11"/>
      <c r="Z2568" s="11"/>
      <c r="AA2568" s="11"/>
      <c r="AB2568" s="11"/>
      <c r="AC2568" s="11"/>
      <c r="AD2568" s="11"/>
      <c r="AE2568" s="11"/>
      <c r="AF2568" s="11"/>
      <c r="AG2568" s="11"/>
      <c r="AH2568" s="11"/>
      <c r="AI2568" s="11"/>
      <c r="AJ2568" s="11"/>
      <c r="AK2568" s="11"/>
      <c r="AL2568" s="11"/>
      <c r="AM2568" s="11"/>
      <c r="AN2568" s="11"/>
      <c r="AO2568" s="11"/>
      <c r="AP2568" s="11"/>
      <c r="AQ2568" s="11"/>
      <c r="AR2568" s="11"/>
      <c r="AS2568" s="11"/>
      <c r="AT2568" s="11"/>
      <c r="AU2568" s="11"/>
      <c r="AV2568" s="11"/>
      <c r="AW2568" s="11"/>
      <c r="AX2568" s="11"/>
      <c r="AY2568" s="11"/>
    </row>
    <row r="2569" spans="1:51" hidden="1" x14ac:dyDescent="0.2">
      <c r="A2569" s="6" t="s">
        <v>17</v>
      </c>
      <c r="B2569" t="s">
        <v>54</v>
      </c>
      <c r="C2569" t="s">
        <v>55</v>
      </c>
      <c r="D2569" t="s">
        <v>3204</v>
      </c>
      <c r="E2569" s="2">
        <v>1195.58</v>
      </c>
      <c r="F2569" s="3">
        <f t="shared" ref="F2569:G2573" si="228">DATE(2025,10,13)</f>
        <v>45943</v>
      </c>
      <c r="G2569" s="3">
        <f t="shared" si="228"/>
        <v>45943</v>
      </c>
      <c r="H2569">
        <v>2994856373</v>
      </c>
      <c r="I2569" t="s">
        <v>21</v>
      </c>
      <c r="K2569" t="s">
        <v>22</v>
      </c>
      <c r="L2569" t="s">
        <v>23</v>
      </c>
      <c r="M2569" t="s">
        <v>24</v>
      </c>
      <c r="N2569" t="s">
        <v>24</v>
      </c>
      <c r="O2569" t="s">
        <v>25</v>
      </c>
      <c r="P2569" s="8" t="s">
        <v>3205</v>
      </c>
      <c r="Q2569" s="11"/>
      <c r="R2569" s="11"/>
      <c r="S2569" s="11"/>
      <c r="T2569" s="11"/>
      <c r="U2569" s="11"/>
      <c r="V2569" s="11"/>
      <c r="W2569" s="11"/>
      <c r="X2569" s="11"/>
      <c r="Y2569" s="11"/>
      <c r="Z2569" s="11"/>
      <c r="AA2569" s="11"/>
      <c r="AB2569" s="11"/>
      <c r="AC2569" s="11"/>
      <c r="AD2569" s="11"/>
      <c r="AE2569" s="11"/>
      <c r="AF2569" s="11"/>
      <c r="AG2569" s="11"/>
      <c r="AH2569" s="11"/>
      <c r="AI2569" s="11"/>
      <c r="AJ2569" s="11"/>
      <c r="AK2569" s="11"/>
      <c r="AL2569" s="11"/>
      <c r="AM2569" s="11"/>
      <c r="AN2569" s="11"/>
      <c r="AO2569" s="11"/>
      <c r="AP2569" s="11"/>
      <c r="AQ2569" s="11"/>
      <c r="AR2569" s="11"/>
      <c r="AS2569" s="11"/>
      <c r="AT2569" s="11"/>
      <c r="AU2569" s="11"/>
      <c r="AV2569" s="11"/>
      <c r="AW2569" s="11"/>
      <c r="AX2569" s="11"/>
      <c r="AY2569" s="11"/>
    </row>
    <row r="2570" spans="1:51" hidden="1" x14ac:dyDescent="0.2">
      <c r="A2570" s="6"/>
      <c r="E2570" s="2"/>
      <c r="F2570" s="3"/>
      <c r="G2570" s="3"/>
      <c r="P2570" s="8"/>
      <c r="Q2570" s="11"/>
      <c r="R2570" s="11"/>
      <c r="S2570" s="11"/>
      <c r="T2570" s="11"/>
      <c r="U2570" s="11"/>
      <c r="V2570" s="11"/>
      <c r="W2570" s="11"/>
      <c r="X2570" s="11"/>
      <c r="Y2570" s="11"/>
      <c r="Z2570" s="11"/>
      <c r="AA2570" s="11"/>
      <c r="AB2570" s="11"/>
      <c r="AC2570" s="11"/>
      <c r="AD2570" s="11"/>
      <c r="AE2570" s="11"/>
      <c r="AF2570" s="11"/>
      <c r="AG2570" s="11"/>
      <c r="AH2570" s="11"/>
      <c r="AI2570" s="11"/>
      <c r="AJ2570" s="11"/>
      <c r="AK2570" s="11"/>
      <c r="AL2570" s="11"/>
      <c r="AM2570" s="11"/>
      <c r="AN2570" s="11"/>
      <c r="AO2570" s="11"/>
      <c r="AP2570" s="11"/>
      <c r="AQ2570" s="11"/>
      <c r="AR2570" s="11"/>
      <c r="AS2570" s="11"/>
      <c r="AT2570" s="11"/>
      <c r="AU2570" s="11"/>
      <c r="AV2570" s="11"/>
      <c r="AW2570" s="11"/>
      <c r="AX2570" s="11"/>
      <c r="AY2570" s="11"/>
    </row>
    <row r="2571" spans="1:51" hidden="1" x14ac:dyDescent="0.2">
      <c r="A2571" s="6" t="s">
        <v>17</v>
      </c>
      <c r="B2571" t="s">
        <v>18</v>
      </c>
      <c r="C2571" t="s">
        <v>19</v>
      </c>
      <c r="D2571" t="s">
        <v>3206</v>
      </c>
      <c r="E2571" s="2">
        <v>4.79</v>
      </c>
      <c r="F2571" s="3">
        <f t="shared" si="228"/>
        <v>45943</v>
      </c>
      <c r="G2571" s="3">
        <f t="shared" si="228"/>
        <v>45943</v>
      </c>
      <c r="H2571">
        <v>2994902790</v>
      </c>
      <c r="I2571" t="s">
        <v>192</v>
      </c>
      <c r="K2571" t="s">
        <v>22</v>
      </c>
      <c r="L2571" t="s">
        <v>23</v>
      </c>
      <c r="M2571" t="s">
        <v>24</v>
      </c>
      <c r="N2571" t="s">
        <v>24</v>
      </c>
      <c r="O2571" t="s">
        <v>25</v>
      </c>
      <c r="P2571" s="8" t="s">
        <v>3207</v>
      </c>
      <c r="Q2571" s="11"/>
      <c r="R2571" s="11"/>
      <c r="S2571" s="11"/>
      <c r="T2571" s="11"/>
      <c r="U2571" s="11"/>
      <c r="V2571" s="11"/>
      <c r="W2571" s="11"/>
      <c r="X2571" s="11"/>
      <c r="Y2571" s="11"/>
      <c r="Z2571" s="11"/>
      <c r="AA2571" s="11"/>
      <c r="AB2571" s="11"/>
      <c r="AC2571" s="11"/>
      <c r="AD2571" s="11"/>
      <c r="AE2571" s="11"/>
      <c r="AF2571" s="11"/>
      <c r="AG2571" s="11"/>
      <c r="AH2571" s="11"/>
      <c r="AI2571" s="11"/>
      <c r="AJ2571" s="11"/>
      <c r="AK2571" s="11"/>
      <c r="AL2571" s="11"/>
      <c r="AM2571" s="11"/>
      <c r="AN2571" s="11"/>
      <c r="AO2571" s="11"/>
      <c r="AP2571" s="11"/>
      <c r="AQ2571" s="11"/>
      <c r="AR2571" s="11"/>
      <c r="AS2571" s="11"/>
      <c r="AT2571" s="11"/>
      <c r="AU2571" s="11"/>
      <c r="AV2571" s="11"/>
      <c r="AW2571" s="11"/>
      <c r="AX2571" s="11"/>
      <c r="AY2571" s="11"/>
    </row>
    <row r="2572" spans="1:51" hidden="1" x14ac:dyDescent="0.2">
      <c r="A2572" s="6"/>
      <c r="E2572" s="2"/>
      <c r="F2572" s="3"/>
      <c r="G2572" s="3"/>
      <c r="P2572" s="8"/>
      <c r="Q2572" s="11"/>
      <c r="R2572" s="11"/>
      <c r="S2572" s="11"/>
      <c r="T2572" s="11"/>
      <c r="U2572" s="11"/>
      <c r="V2572" s="11"/>
      <c r="W2572" s="11"/>
      <c r="X2572" s="11"/>
      <c r="Y2572" s="11"/>
      <c r="Z2572" s="11"/>
      <c r="AA2572" s="11"/>
      <c r="AB2572" s="11"/>
      <c r="AC2572" s="11"/>
      <c r="AD2572" s="11"/>
      <c r="AE2572" s="11"/>
      <c r="AF2572" s="11"/>
      <c r="AG2572" s="11"/>
      <c r="AH2572" s="11"/>
      <c r="AI2572" s="11"/>
      <c r="AJ2572" s="11"/>
      <c r="AK2572" s="11"/>
      <c r="AL2572" s="11"/>
      <c r="AM2572" s="11"/>
      <c r="AN2572" s="11"/>
      <c r="AO2572" s="11"/>
      <c r="AP2572" s="11"/>
      <c r="AQ2572" s="11"/>
      <c r="AR2572" s="11"/>
      <c r="AS2572" s="11"/>
      <c r="AT2572" s="11"/>
      <c r="AU2572" s="11"/>
      <c r="AV2572" s="11"/>
      <c r="AW2572" s="11"/>
      <c r="AX2572" s="11"/>
      <c r="AY2572" s="11"/>
    </row>
    <row r="2573" spans="1:51" hidden="1" x14ac:dyDescent="0.2">
      <c r="A2573" s="6" t="s">
        <v>17</v>
      </c>
      <c r="B2573" t="s">
        <v>18</v>
      </c>
      <c r="C2573" t="s">
        <v>19</v>
      </c>
      <c r="D2573" t="s">
        <v>3208</v>
      </c>
      <c r="E2573" s="2">
        <v>1.01</v>
      </c>
      <c r="F2573" s="3">
        <f t="shared" si="228"/>
        <v>45943</v>
      </c>
      <c r="G2573" s="3">
        <f t="shared" si="228"/>
        <v>45943</v>
      </c>
      <c r="H2573">
        <v>2994902792</v>
      </c>
      <c r="I2573" t="s">
        <v>192</v>
      </c>
      <c r="K2573" t="s">
        <v>22</v>
      </c>
      <c r="L2573" t="s">
        <v>23</v>
      </c>
      <c r="M2573" t="s">
        <v>24</v>
      </c>
      <c r="N2573" t="s">
        <v>24</v>
      </c>
      <c r="O2573" t="s">
        <v>25</v>
      </c>
      <c r="P2573" s="8" t="s">
        <v>3209</v>
      </c>
      <c r="Q2573" s="11"/>
      <c r="R2573" s="11"/>
      <c r="S2573" s="11"/>
      <c r="T2573" s="11"/>
      <c r="U2573" s="11"/>
      <c r="V2573" s="11"/>
      <c r="W2573" s="11"/>
      <c r="X2573" s="11"/>
      <c r="Y2573" s="11"/>
      <c r="Z2573" s="11"/>
      <c r="AA2573" s="11"/>
      <c r="AB2573" s="11"/>
      <c r="AC2573" s="11"/>
      <c r="AD2573" s="11"/>
      <c r="AE2573" s="11"/>
      <c r="AF2573" s="11"/>
      <c r="AG2573" s="11"/>
      <c r="AH2573" s="11"/>
      <c r="AI2573" s="11"/>
      <c r="AJ2573" s="11"/>
      <c r="AK2573" s="11"/>
      <c r="AL2573" s="11"/>
      <c r="AM2573" s="11"/>
      <c r="AN2573" s="11"/>
      <c r="AO2573" s="11"/>
      <c r="AP2573" s="11"/>
      <c r="AQ2573" s="11"/>
      <c r="AR2573" s="11"/>
      <c r="AS2573" s="11"/>
      <c r="AT2573" s="11"/>
      <c r="AU2573" s="11"/>
      <c r="AV2573" s="11"/>
      <c r="AW2573" s="11"/>
      <c r="AX2573" s="11"/>
      <c r="AY2573" s="11"/>
    </row>
    <row r="2574" spans="1:51" hidden="1" x14ac:dyDescent="0.2">
      <c r="A2574" s="6"/>
      <c r="E2574" s="2"/>
      <c r="F2574" s="3"/>
      <c r="G2574" s="3"/>
      <c r="P2574" s="8"/>
      <c r="Q2574" s="11"/>
      <c r="R2574" s="11"/>
      <c r="S2574" s="11"/>
      <c r="T2574" s="11"/>
      <c r="U2574" s="11"/>
      <c r="V2574" s="11"/>
      <c r="W2574" s="11"/>
      <c r="X2574" s="11"/>
      <c r="Y2574" s="11"/>
      <c r="Z2574" s="11"/>
      <c r="AA2574" s="11"/>
      <c r="AB2574" s="11"/>
      <c r="AC2574" s="11"/>
      <c r="AD2574" s="11"/>
      <c r="AE2574" s="11"/>
      <c r="AF2574" s="11"/>
      <c r="AG2574" s="11"/>
      <c r="AH2574" s="11"/>
      <c r="AI2574" s="11"/>
      <c r="AJ2574" s="11"/>
      <c r="AK2574" s="11"/>
      <c r="AL2574" s="11"/>
      <c r="AM2574" s="11"/>
      <c r="AN2574" s="11"/>
      <c r="AO2574" s="11"/>
      <c r="AP2574" s="11"/>
      <c r="AQ2574" s="11"/>
      <c r="AR2574" s="11"/>
      <c r="AS2574" s="11"/>
      <c r="AT2574" s="11"/>
      <c r="AU2574" s="11"/>
      <c r="AV2574" s="11"/>
      <c r="AW2574" s="11"/>
      <c r="AX2574" s="11"/>
      <c r="AY2574" s="11"/>
    </row>
    <row r="2575" spans="1:51" hidden="1" x14ac:dyDescent="0.2">
      <c r="A2575" s="6"/>
      <c r="E2575" s="2"/>
      <c r="F2575" s="3"/>
      <c r="G2575" s="3"/>
      <c r="P2575" s="8"/>
      <c r="Q2575" s="11"/>
      <c r="R2575" s="11"/>
      <c r="S2575" s="11"/>
      <c r="T2575" s="11"/>
      <c r="U2575" s="11"/>
      <c r="V2575" s="11"/>
      <c r="W2575" s="11"/>
      <c r="X2575" s="11"/>
      <c r="Y2575" s="11"/>
      <c r="Z2575" s="11"/>
      <c r="AA2575" s="11"/>
      <c r="AB2575" s="11"/>
      <c r="AC2575" s="11"/>
      <c r="AD2575" s="11"/>
      <c r="AE2575" s="11"/>
      <c r="AF2575" s="11"/>
      <c r="AG2575" s="11"/>
      <c r="AH2575" s="11"/>
      <c r="AI2575" s="11"/>
      <c r="AJ2575" s="11"/>
      <c r="AK2575" s="11"/>
      <c r="AL2575" s="11"/>
      <c r="AM2575" s="11"/>
      <c r="AN2575" s="11"/>
      <c r="AO2575" s="11"/>
      <c r="AP2575" s="11"/>
      <c r="AQ2575" s="11"/>
      <c r="AR2575" s="11"/>
      <c r="AS2575" s="11"/>
      <c r="AT2575" s="11"/>
      <c r="AU2575" s="11"/>
      <c r="AV2575" s="11"/>
      <c r="AW2575" s="11"/>
      <c r="AX2575" s="11"/>
      <c r="AY2575" s="11"/>
    </row>
    <row r="2576" spans="1:51" hidden="1" x14ac:dyDescent="0.2">
      <c r="A2576" s="6" t="s">
        <v>17</v>
      </c>
      <c r="B2576" t="s">
        <v>255</v>
      </c>
      <c r="C2576" t="s">
        <v>255</v>
      </c>
      <c r="D2576" t="s">
        <v>3210</v>
      </c>
      <c r="E2576" s="2">
        <v>240</v>
      </c>
      <c r="F2576" s="3">
        <f>DATE(2025,10,16)</f>
        <v>45946</v>
      </c>
      <c r="G2576" s="3">
        <f>DATE(2025,10,16)</f>
        <v>45946</v>
      </c>
      <c r="H2576">
        <v>3006126930</v>
      </c>
      <c r="I2576" t="s">
        <v>21</v>
      </c>
      <c r="K2576" t="s">
        <v>22</v>
      </c>
      <c r="L2576" t="s">
        <v>23</v>
      </c>
      <c r="M2576" t="s">
        <v>24</v>
      </c>
      <c r="N2576" t="s">
        <v>24</v>
      </c>
      <c r="O2576" t="s">
        <v>25</v>
      </c>
      <c r="P2576" s="8" t="s">
        <v>3211</v>
      </c>
      <c r="Q2576" s="11"/>
      <c r="R2576" s="11"/>
      <c r="S2576" s="11"/>
      <c r="T2576" s="11"/>
      <c r="U2576" s="11"/>
      <c r="V2576" s="11"/>
      <c r="W2576" s="11"/>
      <c r="X2576" s="11"/>
      <c r="Y2576" s="11"/>
      <c r="Z2576" s="11"/>
      <c r="AA2576" s="11"/>
      <c r="AB2576" s="11"/>
      <c r="AC2576" s="11"/>
      <c r="AD2576" s="11"/>
      <c r="AE2576" s="11"/>
      <c r="AF2576" s="11"/>
      <c r="AG2576" s="11"/>
      <c r="AH2576" s="11"/>
      <c r="AI2576" s="11"/>
      <c r="AJ2576" s="11"/>
      <c r="AK2576" s="11"/>
      <c r="AL2576" s="11"/>
      <c r="AM2576" s="11"/>
      <c r="AN2576" s="11"/>
      <c r="AO2576" s="11"/>
      <c r="AP2576" s="11"/>
      <c r="AQ2576" s="11"/>
      <c r="AR2576" s="11"/>
      <c r="AS2576" s="11"/>
      <c r="AT2576" s="11"/>
      <c r="AU2576" s="11"/>
      <c r="AV2576" s="11"/>
      <c r="AW2576" s="11"/>
      <c r="AX2576" s="11"/>
      <c r="AY2576" s="11"/>
    </row>
    <row r="2577" spans="1:51" hidden="1" x14ac:dyDescent="0.2">
      <c r="A2577" s="6"/>
      <c r="E2577" s="2"/>
      <c r="F2577" s="3"/>
      <c r="G2577" s="3"/>
      <c r="P2577" s="8"/>
      <c r="Q2577" s="11"/>
      <c r="R2577" s="11"/>
      <c r="S2577" s="11"/>
      <c r="T2577" s="11"/>
      <c r="U2577" s="11"/>
      <c r="V2577" s="11"/>
      <c r="W2577" s="11"/>
      <c r="X2577" s="11"/>
      <c r="Y2577" s="11"/>
      <c r="Z2577" s="11"/>
      <c r="AA2577" s="11"/>
      <c r="AB2577" s="11"/>
      <c r="AC2577" s="11"/>
      <c r="AD2577" s="11"/>
      <c r="AE2577" s="11"/>
      <c r="AF2577" s="11"/>
      <c r="AG2577" s="11"/>
      <c r="AH2577" s="11"/>
      <c r="AI2577" s="11"/>
      <c r="AJ2577" s="11"/>
      <c r="AK2577" s="11"/>
      <c r="AL2577" s="11"/>
      <c r="AM2577" s="11"/>
      <c r="AN2577" s="11"/>
      <c r="AO2577" s="11"/>
      <c r="AP2577" s="11"/>
      <c r="AQ2577" s="11"/>
      <c r="AR2577" s="11"/>
      <c r="AS2577" s="11"/>
      <c r="AT2577" s="11"/>
      <c r="AU2577" s="11"/>
      <c r="AV2577" s="11"/>
      <c r="AW2577" s="11"/>
      <c r="AX2577" s="11"/>
      <c r="AY2577" s="11"/>
    </row>
    <row r="2578" spans="1:51" x14ac:dyDescent="0.2">
      <c r="A2578" s="6" t="s">
        <v>17</v>
      </c>
      <c r="B2578" t="s">
        <v>342</v>
      </c>
      <c r="C2578" t="s">
        <v>342</v>
      </c>
      <c r="D2578" t="s">
        <v>3212</v>
      </c>
      <c r="E2578" s="2">
        <v>570.12</v>
      </c>
      <c r="F2578" s="3">
        <f t="shared" ref="F2578:G2580" si="229">DATE(2025,10,15)</f>
        <v>45945</v>
      </c>
      <c r="G2578" s="3">
        <f t="shared" si="229"/>
        <v>45945</v>
      </c>
      <c r="H2578">
        <v>3006126932</v>
      </c>
      <c r="I2578" t="s">
        <v>21</v>
      </c>
      <c r="K2578" t="s">
        <v>22</v>
      </c>
      <c r="L2578" t="s">
        <v>23</v>
      </c>
      <c r="M2578" t="s">
        <v>24</v>
      </c>
      <c r="N2578" t="s">
        <v>24</v>
      </c>
      <c r="O2578" t="s">
        <v>25</v>
      </c>
      <c r="P2578" s="8" t="s">
        <v>3213</v>
      </c>
      <c r="Q2578" s="11"/>
      <c r="R2578" s="11"/>
      <c r="S2578" s="11"/>
      <c r="T2578" s="11"/>
      <c r="U2578" s="11"/>
      <c r="V2578" s="11"/>
      <c r="W2578" s="11"/>
      <c r="X2578" s="11"/>
      <c r="Y2578" s="11"/>
      <c r="Z2578" s="11"/>
      <c r="AA2578" s="11"/>
      <c r="AB2578" s="11"/>
      <c r="AC2578" s="11"/>
      <c r="AD2578" s="11"/>
      <c r="AE2578" s="11"/>
      <c r="AF2578" s="11"/>
      <c r="AG2578" s="11"/>
      <c r="AH2578" s="11"/>
      <c r="AI2578" s="11"/>
      <c r="AJ2578" s="11"/>
      <c r="AK2578" s="11"/>
      <c r="AL2578" s="11"/>
      <c r="AM2578" s="11"/>
      <c r="AN2578" s="11"/>
      <c r="AO2578" s="11"/>
      <c r="AP2578" s="11"/>
      <c r="AQ2578" s="11"/>
      <c r="AR2578" s="11"/>
      <c r="AS2578" s="11"/>
      <c r="AT2578" s="11"/>
      <c r="AU2578" s="11"/>
      <c r="AV2578" s="11"/>
      <c r="AW2578" s="11"/>
      <c r="AX2578" s="11"/>
      <c r="AY2578" s="11"/>
    </row>
    <row r="2579" spans="1:51" hidden="1" x14ac:dyDescent="0.2">
      <c r="A2579" s="6" t="s">
        <v>17</v>
      </c>
      <c r="B2579" t="s">
        <v>31</v>
      </c>
      <c r="C2579" t="s">
        <v>32</v>
      </c>
      <c r="D2579" t="s">
        <v>3214</v>
      </c>
      <c r="E2579" s="2">
        <v>143.91999999999999</v>
      </c>
      <c r="F2579" s="3">
        <f t="shared" si="229"/>
        <v>45945</v>
      </c>
      <c r="G2579" s="3">
        <f t="shared" si="229"/>
        <v>45945</v>
      </c>
      <c r="H2579">
        <v>3006126933</v>
      </c>
      <c r="I2579" t="s">
        <v>21</v>
      </c>
      <c r="K2579" t="s">
        <v>22</v>
      </c>
      <c r="L2579" t="s">
        <v>23</v>
      </c>
      <c r="M2579" t="s">
        <v>24</v>
      </c>
      <c r="N2579" t="s">
        <v>24</v>
      </c>
      <c r="O2579" t="s">
        <v>25</v>
      </c>
      <c r="P2579" s="8" t="s">
        <v>3215</v>
      </c>
      <c r="Q2579" s="11"/>
      <c r="R2579" s="11"/>
      <c r="S2579" s="11"/>
      <c r="T2579" s="11"/>
      <c r="U2579" s="11"/>
      <c r="V2579" s="11"/>
      <c r="W2579" s="11"/>
      <c r="X2579" s="11"/>
      <c r="Y2579" s="11"/>
      <c r="Z2579" s="11"/>
      <c r="AA2579" s="11"/>
      <c r="AB2579" s="11"/>
      <c r="AC2579" s="11"/>
      <c r="AD2579" s="11"/>
      <c r="AE2579" s="11"/>
      <c r="AF2579" s="11"/>
      <c r="AG2579" s="11"/>
      <c r="AH2579" s="11"/>
      <c r="AI2579" s="11"/>
      <c r="AJ2579" s="11"/>
      <c r="AK2579" s="11"/>
      <c r="AL2579" s="11"/>
      <c r="AM2579" s="11"/>
      <c r="AN2579" s="11"/>
      <c r="AO2579" s="11"/>
      <c r="AP2579" s="11"/>
      <c r="AQ2579" s="11"/>
      <c r="AR2579" s="11"/>
      <c r="AS2579" s="11"/>
      <c r="AT2579" s="11"/>
      <c r="AU2579" s="11"/>
      <c r="AV2579" s="11"/>
      <c r="AW2579" s="11"/>
      <c r="AX2579" s="11"/>
      <c r="AY2579" s="11"/>
    </row>
    <row r="2580" spans="1:51" hidden="1" x14ac:dyDescent="0.2">
      <c r="A2580" s="6" t="s">
        <v>17</v>
      </c>
      <c r="B2580" t="s">
        <v>1002</v>
      </c>
      <c r="C2580" t="s">
        <v>1003</v>
      </c>
      <c r="D2580" t="s">
        <v>3216</v>
      </c>
      <c r="E2580" s="2">
        <v>85.41</v>
      </c>
      <c r="F2580" s="3">
        <f t="shared" si="229"/>
        <v>45945</v>
      </c>
      <c r="G2580" s="3">
        <f t="shared" si="229"/>
        <v>45945</v>
      </c>
      <c r="H2580">
        <v>3006126934</v>
      </c>
      <c r="I2580" t="s">
        <v>21</v>
      </c>
      <c r="K2580" t="s">
        <v>22</v>
      </c>
      <c r="L2580" t="s">
        <v>23</v>
      </c>
      <c r="M2580" t="s">
        <v>24</v>
      </c>
      <c r="N2580" t="s">
        <v>24</v>
      </c>
      <c r="O2580" t="s">
        <v>25</v>
      </c>
      <c r="P2580" s="8" t="s">
        <v>3217</v>
      </c>
      <c r="Q2580" s="11"/>
      <c r="R2580" s="11"/>
      <c r="S2580" s="11"/>
      <c r="T2580" s="11"/>
      <c r="U2580" s="11"/>
      <c r="V2580" s="11"/>
      <c r="W2580" s="11"/>
      <c r="X2580" s="11"/>
      <c r="Y2580" s="11"/>
      <c r="Z2580" s="11"/>
      <c r="AA2580" s="11"/>
      <c r="AB2580" s="11"/>
      <c r="AC2580" s="11"/>
      <c r="AD2580" s="11"/>
      <c r="AE2580" s="11"/>
      <c r="AF2580" s="11"/>
      <c r="AG2580" s="11"/>
      <c r="AH2580" s="11"/>
      <c r="AI2580" s="11"/>
      <c r="AJ2580" s="11"/>
      <c r="AK2580" s="11"/>
      <c r="AL2580" s="11"/>
      <c r="AM2580" s="11"/>
      <c r="AN2580" s="11"/>
      <c r="AO2580" s="11"/>
      <c r="AP2580" s="11"/>
      <c r="AQ2580" s="11"/>
      <c r="AR2580" s="11"/>
      <c r="AS2580" s="11"/>
      <c r="AT2580" s="11"/>
      <c r="AU2580" s="11"/>
      <c r="AV2580" s="11"/>
      <c r="AW2580" s="11"/>
      <c r="AX2580" s="11"/>
      <c r="AY2580" s="11"/>
    </row>
    <row r="2581" spans="1:51" hidden="1" x14ac:dyDescent="0.2">
      <c r="A2581" s="6" t="s">
        <v>17</v>
      </c>
      <c r="B2581" t="s">
        <v>140</v>
      </c>
      <c r="C2581" t="s">
        <v>141</v>
      </c>
      <c r="D2581" t="s">
        <v>3218</v>
      </c>
      <c r="E2581" s="2">
        <v>13073</v>
      </c>
      <c r="F2581" s="3">
        <f>DATE(2025,10,16)</f>
        <v>45946</v>
      </c>
      <c r="G2581" s="3">
        <f>DATE(2025,10,16)</f>
        <v>45946</v>
      </c>
      <c r="H2581">
        <v>3006126935</v>
      </c>
      <c r="I2581" t="s">
        <v>21</v>
      </c>
      <c r="K2581" t="s">
        <v>22</v>
      </c>
      <c r="L2581" t="s">
        <v>23</v>
      </c>
      <c r="M2581" t="s">
        <v>24</v>
      </c>
      <c r="N2581" t="s">
        <v>24</v>
      </c>
      <c r="O2581" t="s">
        <v>25</v>
      </c>
      <c r="P2581" s="8" t="s">
        <v>3219</v>
      </c>
      <c r="Q2581" s="11"/>
      <c r="R2581" s="11"/>
      <c r="S2581" s="11"/>
      <c r="T2581" s="11"/>
      <c r="U2581" s="11"/>
      <c r="V2581" s="11"/>
      <c r="W2581" s="11"/>
      <c r="X2581" s="11"/>
      <c r="Y2581" s="11"/>
      <c r="Z2581" s="11"/>
      <c r="AA2581" s="11"/>
      <c r="AB2581" s="11"/>
      <c r="AC2581" s="11"/>
      <c r="AD2581" s="11"/>
      <c r="AE2581" s="11"/>
      <c r="AF2581" s="11"/>
      <c r="AG2581" s="11"/>
      <c r="AH2581" s="11"/>
      <c r="AI2581" s="11"/>
      <c r="AJ2581" s="11"/>
      <c r="AK2581" s="11"/>
      <c r="AL2581" s="11"/>
      <c r="AM2581" s="11"/>
      <c r="AN2581" s="11"/>
      <c r="AO2581" s="11"/>
      <c r="AP2581" s="11"/>
      <c r="AQ2581" s="11"/>
      <c r="AR2581" s="11"/>
      <c r="AS2581" s="11"/>
      <c r="AT2581" s="11"/>
      <c r="AU2581" s="11"/>
      <c r="AV2581" s="11"/>
      <c r="AW2581" s="11"/>
      <c r="AX2581" s="11"/>
      <c r="AY2581" s="11"/>
    </row>
    <row r="2582" spans="1:51" hidden="1" x14ac:dyDescent="0.2">
      <c r="A2582" s="6"/>
      <c r="E2582" s="2"/>
      <c r="F2582" s="3"/>
      <c r="G2582" s="3"/>
      <c r="P2582" s="8"/>
      <c r="Q2582" s="11"/>
      <c r="R2582" s="11"/>
      <c r="S2582" s="11"/>
      <c r="T2582" s="11"/>
      <c r="U2582" s="11"/>
      <c r="V2582" s="11"/>
      <c r="W2582" s="11"/>
      <c r="X2582" s="11"/>
      <c r="Y2582" s="11"/>
      <c r="Z2582" s="11"/>
      <c r="AA2582" s="11"/>
      <c r="AB2582" s="11"/>
      <c r="AC2582" s="11"/>
      <c r="AD2582" s="11"/>
      <c r="AE2582" s="11"/>
      <c r="AF2582" s="11"/>
      <c r="AG2582" s="11"/>
      <c r="AH2582" s="11"/>
      <c r="AI2582" s="11"/>
      <c r="AJ2582" s="11"/>
      <c r="AK2582" s="11"/>
      <c r="AL2582" s="11"/>
      <c r="AM2582" s="11"/>
      <c r="AN2582" s="11"/>
      <c r="AO2582" s="11"/>
      <c r="AP2582" s="11"/>
      <c r="AQ2582" s="11"/>
      <c r="AR2582" s="11"/>
      <c r="AS2582" s="11"/>
      <c r="AT2582" s="11"/>
      <c r="AU2582" s="11"/>
      <c r="AV2582" s="11"/>
      <c r="AW2582" s="11"/>
      <c r="AX2582" s="11"/>
      <c r="AY2582" s="11"/>
    </row>
    <row r="2583" spans="1:51" hidden="1" x14ac:dyDescent="0.2">
      <c r="A2583" s="6" t="s">
        <v>17</v>
      </c>
      <c r="B2583" t="s">
        <v>1002</v>
      </c>
      <c r="C2583" t="s">
        <v>1003</v>
      </c>
      <c r="D2583" t="s">
        <v>3220</v>
      </c>
      <c r="E2583" s="2">
        <v>689.53</v>
      </c>
      <c r="F2583" s="3">
        <f t="shared" ref="F2583:G2585" si="230">DATE(2025,10,15)</f>
        <v>45945</v>
      </c>
      <c r="G2583" s="3">
        <f t="shared" si="230"/>
        <v>45945</v>
      </c>
      <c r="H2583">
        <v>3006126937</v>
      </c>
      <c r="I2583" t="s">
        <v>21</v>
      </c>
      <c r="K2583" t="s">
        <v>22</v>
      </c>
      <c r="L2583" t="s">
        <v>23</v>
      </c>
      <c r="M2583" t="s">
        <v>24</v>
      </c>
      <c r="N2583" t="s">
        <v>24</v>
      </c>
      <c r="O2583" t="s">
        <v>25</v>
      </c>
      <c r="P2583" s="8" t="s">
        <v>3221</v>
      </c>
      <c r="Q2583" s="11"/>
      <c r="R2583" s="11"/>
      <c r="S2583" s="11"/>
      <c r="T2583" s="11"/>
      <c r="U2583" s="11"/>
      <c r="V2583" s="11"/>
      <c r="W2583" s="11"/>
      <c r="X2583" s="11"/>
      <c r="Y2583" s="11"/>
      <c r="Z2583" s="11"/>
      <c r="AA2583" s="11"/>
      <c r="AB2583" s="11"/>
      <c r="AC2583" s="11"/>
      <c r="AD2583" s="11"/>
      <c r="AE2583" s="11"/>
      <c r="AF2583" s="11"/>
      <c r="AG2583" s="11"/>
      <c r="AH2583" s="11"/>
      <c r="AI2583" s="11"/>
      <c r="AJ2583" s="11"/>
      <c r="AK2583" s="11"/>
      <c r="AL2583" s="11"/>
      <c r="AM2583" s="11"/>
      <c r="AN2583" s="11"/>
      <c r="AO2583" s="11"/>
      <c r="AP2583" s="11"/>
      <c r="AQ2583" s="11"/>
      <c r="AR2583" s="11"/>
      <c r="AS2583" s="11"/>
      <c r="AT2583" s="11"/>
      <c r="AU2583" s="11"/>
      <c r="AV2583" s="11"/>
      <c r="AW2583" s="11"/>
      <c r="AX2583" s="11"/>
      <c r="AY2583" s="11"/>
    </row>
    <row r="2584" spans="1:51" x14ac:dyDescent="0.2">
      <c r="A2584" s="6" t="s">
        <v>17</v>
      </c>
      <c r="B2584" t="s">
        <v>342</v>
      </c>
      <c r="C2584" t="s">
        <v>342</v>
      </c>
      <c r="D2584" t="s">
        <v>3222</v>
      </c>
      <c r="E2584" s="2">
        <v>2341</v>
      </c>
      <c r="F2584" s="3">
        <f t="shared" si="230"/>
        <v>45945</v>
      </c>
      <c r="G2584" s="3">
        <f t="shared" si="230"/>
        <v>45945</v>
      </c>
      <c r="H2584">
        <v>3006126938</v>
      </c>
      <c r="I2584" t="s">
        <v>21</v>
      </c>
      <c r="K2584" t="s">
        <v>22</v>
      </c>
      <c r="L2584" t="s">
        <v>23</v>
      </c>
      <c r="M2584" t="s">
        <v>24</v>
      </c>
      <c r="N2584" t="s">
        <v>24</v>
      </c>
      <c r="O2584" t="s">
        <v>25</v>
      </c>
      <c r="P2584" s="8" t="s">
        <v>3223</v>
      </c>
      <c r="Q2584" s="11"/>
      <c r="R2584" s="11"/>
      <c r="S2584" s="11"/>
      <c r="T2584" s="11"/>
      <c r="U2584" s="11"/>
      <c r="V2584" s="11"/>
      <c r="W2584" s="11"/>
      <c r="X2584" s="11"/>
      <c r="Y2584" s="11"/>
      <c r="Z2584" s="11"/>
      <c r="AA2584" s="11"/>
      <c r="AB2584" s="11"/>
      <c r="AC2584" s="11"/>
      <c r="AD2584" s="11"/>
      <c r="AE2584" s="11"/>
      <c r="AF2584" s="11"/>
      <c r="AG2584" s="11"/>
      <c r="AH2584" s="11"/>
      <c r="AI2584" s="11"/>
      <c r="AJ2584" s="11"/>
      <c r="AK2584" s="11"/>
      <c r="AL2584" s="11"/>
      <c r="AM2584" s="11"/>
      <c r="AN2584" s="11"/>
      <c r="AO2584" s="11"/>
      <c r="AP2584" s="11"/>
      <c r="AQ2584" s="11"/>
      <c r="AR2584" s="11"/>
      <c r="AS2584" s="11"/>
      <c r="AT2584" s="11"/>
      <c r="AU2584" s="11"/>
      <c r="AV2584" s="11"/>
      <c r="AW2584" s="11"/>
      <c r="AX2584" s="11"/>
      <c r="AY2584" s="11"/>
    </row>
    <row r="2585" spans="1:51" hidden="1" x14ac:dyDescent="0.2">
      <c r="A2585" s="6" t="s">
        <v>17</v>
      </c>
      <c r="B2585" t="s">
        <v>46</v>
      </c>
      <c r="C2585" t="s">
        <v>47</v>
      </c>
      <c r="D2585" t="s">
        <v>3224</v>
      </c>
      <c r="E2585" s="2">
        <v>398.4</v>
      </c>
      <c r="F2585" s="3">
        <f t="shared" si="230"/>
        <v>45945</v>
      </c>
      <c r="G2585" s="3">
        <f t="shared" si="230"/>
        <v>45945</v>
      </c>
      <c r="H2585">
        <v>3006126939</v>
      </c>
      <c r="I2585" t="s">
        <v>21</v>
      </c>
      <c r="K2585" t="s">
        <v>22</v>
      </c>
      <c r="L2585" t="s">
        <v>23</v>
      </c>
      <c r="M2585" t="s">
        <v>24</v>
      </c>
      <c r="N2585" t="s">
        <v>24</v>
      </c>
      <c r="O2585" t="s">
        <v>25</v>
      </c>
      <c r="P2585" s="8" t="s">
        <v>3225</v>
      </c>
      <c r="Q2585" s="11"/>
      <c r="R2585" s="11"/>
      <c r="S2585" s="11"/>
      <c r="T2585" s="11"/>
      <c r="U2585" s="11"/>
      <c r="V2585" s="11"/>
      <c r="W2585" s="11"/>
      <c r="X2585" s="11"/>
      <c r="Y2585" s="11"/>
      <c r="Z2585" s="11"/>
      <c r="AA2585" s="11"/>
      <c r="AB2585" s="11"/>
      <c r="AC2585" s="11"/>
      <c r="AD2585" s="11"/>
      <c r="AE2585" s="11"/>
      <c r="AF2585" s="11"/>
      <c r="AG2585" s="11"/>
      <c r="AH2585" s="11"/>
      <c r="AI2585" s="11"/>
      <c r="AJ2585" s="11"/>
      <c r="AK2585" s="11"/>
      <c r="AL2585" s="11"/>
      <c r="AM2585" s="11"/>
      <c r="AN2585" s="11"/>
      <c r="AO2585" s="11"/>
      <c r="AP2585" s="11"/>
      <c r="AQ2585" s="11"/>
      <c r="AR2585" s="11"/>
      <c r="AS2585" s="11"/>
      <c r="AT2585" s="11"/>
      <c r="AU2585" s="11"/>
      <c r="AV2585" s="11"/>
      <c r="AW2585" s="11"/>
      <c r="AX2585" s="11"/>
      <c r="AY2585" s="11"/>
    </row>
    <row r="2586" spans="1:51" hidden="1" x14ac:dyDescent="0.2">
      <c r="A2586" s="6"/>
      <c r="E2586" s="2"/>
      <c r="F2586" s="3"/>
      <c r="G2586" s="3"/>
      <c r="P2586" s="8"/>
      <c r="Q2586" s="11"/>
      <c r="R2586" s="11"/>
      <c r="S2586" s="11"/>
      <c r="T2586" s="11"/>
      <c r="U2586" s="11"/>
      <c r="V2586" s="11"/>
      <c r="W2586" s="11"/>
      <c r="X2586" s="11"/>
      <c r="Y2586" s="11"/>
      <c r="Z2586" s="11"/>
      <c r="AA2586" s="11"/>
      <c r="AB2586" s="11"/>
      <c r="AC2586" s="11"/>
      <c r="AD2586" s="11"/>
      <c r="AE2586" s="11"/>
      <c r="AF2586" s="11"/>
      <c r="AG2586" s="11"/>
      <c r="AH2586" s="11"/>
      <c r="AI2586" s="11"/>
      <c r="AJ2586" s="11"/>
      <c r="AK2586" s="11"/>
      <c r="AL2586" s="11"/>
      <c r="AM2586" s="11"/>
      <c r="AN2586" s="11"/>
      <c r="AO2586" s="11"/>
      <c r="AP2586" s="11"/>
      <c r="AQ2586" s="11"/>
      <c r="AR2586" s="11"/>
      <c r="AS2586" s="11"/>
      <c r="AT2586" s="11"/>
      <c r="AU2586" s="11"/>
      <c r="AV2586" s="11"/>
      <c r="AW2586" s="11"/>
      <c r="AX2586" s="11"/>
      <c r="AY2586" s="11"/>
    </row>
    <row r="2587" spans="1:51" hidden="1" x14ac:dyDescent="0.2">
      <c r="A2587" s="6" t="s">
        <v>17</v>
      </c>
      <c r="B2587" t="s">
        <v>18</v>
      </c>
      <c r="C2587" t="s">
        <v>19</v>
      </c>
      <c r="D2587" t="s">
        <v>3226</v>
      </c>
      <c r="E2587" s="2">
        <v>0.4</v>
      </c>
      <c r="F2587" s="3">
        <f>DATE(2025,10,15)</f>
        <v>45945</v>
      </c>
      <c r="G2587" s="3">
        <f>DATE(2025,10,15)</f>
        <v>45945</v>
      </c>
      <c r="H2587">
        <v>3006214385</v>
      </c>
      <c r="I2587" t="s">
        <v>192</v>
      </c>
      <c r="K2587" t="s">
        <v>22</v>
      </c>
      <c r="L2587" t="s">
        <v>23</v>
      </c>
      <c r="M2587" t="s">
        <v>24</v>
      </c>
      <c r="N2587" t="s">
        <v>24</v>
      </c>
      <c r="O2587" t="s">
        <v>25</v>
      </c>
      <c r="P2587" s="8" t="s">
        <v>3227</v>
      </c>
      <c r="Q2587" s="11"/>
      <c r="R2587" s="11"/>
      <c r="S2587" s="11"/>
      <c r="T2587" s="11"/>
      <c r="U2587" s="11"/>
      <c r="V2587" s="11"/>
      <c r="W2587" s="11"/>
      <c r="X2587" s="11"/>
      <c r="Y2587" s="11"/>
      <c r="Z2587" s="11"/>
      <c r="AA2587" s="11"/>
      <c r="AB2587" s="11"/>
      <c r="AC2587" s="11"/>
      <c r="AD2587" s="11"/>
      <c r="AE2587" s="11"/>
      <c r="AF2587" s="11"/>
      <c r="AG2587" s="11"/>
      <c r="AH2587" s="11"/>
      <c r="AI2587" s="11"/>
      <c r="AJ2587" s="11"/>
      <c r="AK2587" s="11"/>
      <c r="AL2587" s="11"/>
      <c r="AM2587" s="11"/>
      <c r="AN2587" s="11"/>
      <c r="AO2587" s="11"/>
      <c r="AP2587" s="11"/>
      <c r="AQ2587" s="11"/>
      <c r="AR2587" s="11"/>
      <c r="AS2587" s="11"/>
      <c r="AT2587" s="11"/>
      <c r="AU2587" s="11"/>
      <c r="AV2587" s="11"/>
      <c r="AW2587" s="11"/>
      <c r="AX2587" s="11"/>
      <c r="AY2587" s="11"/>
    </row>
    <row r="2588" spans="1:51" hidden="1" x14ac:dyDescent="0.2">
      <c r="A2588" s="6"/>
      <c r="E2588" s="2"/>
      <c r="F2588" s="3"/>
      <c r="G2588" s="3"/>
      <c r="P2588" s="8"/>
      <c r="Q2588" s="11"/>
      <c r="R2588" s="11"/>
      <c r="S2588" s="11"/>
      <c r="T2588" s="11"/>
      <c r="U2588" s="11"/>
      <c r="V2588" s="11"/>
      <c r="W2588" s="11"/>
      <c r="X2588" s="11"/>
      <c r="Y2588" s="11"/>
      <c r="Z2588" s="11"/>
      <c r="AA2588" s="11"/>
      <c r="AB2588" s="11"/>
      <c r="AC2588" s="11"/>
      <c r="AD2588" s="11"/>
      <c r="AE2588" s="11"/>
      <c r="AF2588" s="11"/>
      <c r="AG2588" s="11"/>
      <c r="AH2588" s="11"/>
      <c r="AI2588" s="11"/>
      <c r="AJ2588" s="11"/>
      <c r="AK2588" s="11"/>
      <c r="AL2588" s="11"/>
      <c r="AM2588" s="11"/>
      <c r="AN2588" s="11"/>
      <c r="AO2588" s="11"/>
      <c r="AP2588" s="11"/>
      <c r="AQ2588" s="11"/>
      <c r="AR2588" s="11"/>
      <c r="AS2588" s="11"/>
      <c r="AT2588" s="11"/>
      <c r="AU2588" s="11"/>
      <c r="AV2588" s="11"/>
      <c r="AW2588" s="11"/>
      <c r="AX2588" s="11"/>
      <c r="AY2588" s="11"/>
    </row>
    <row r="2589" spans="1:51" hidden="1" x14ac:dyDescent="0.2">
      <c r="A2589" s="6" t="s">
        <v>17</v>
      </c>
      <c r="B2589" t="s">
        <v>118</v>
      </c>
      <c r="C2589" t="s">
        <v>119</v>
      </c>
      <c r="D2589" t="s">
        <v>3228</v>
      </c>
      <c r="E2589" s="2">
        <v>629</v>
      </c>
      <c r="F2589" s="3">
        <f>DATE(2025,10,14)</f>
        <v>45944</v>
      </c>
      <c r="G2589" s="3">
        <f>DATE(2025,10,14)</f>
        <v>45944</v>
      </c>
      <c r="H2589">
        <v>3006214387</v>
      </c>
      <c r="I2589" t="s">
        <v>192</v>
      </c>
      <c r="K2589" t="s">
        <v>22</v>
      </c>
      <c r="L2589" t="s">
        <v>23</v>
      </c>
      <c r="M2589" t="s">
        <v>24</v>
      </c>
      <c r="N2589" t="s">
        <v>24</v>
      </c>
      <c r="O2589" t="s">
        <v>25</v>
      </c>
      <c r="P2589" s="8" t="s">
        <v>3229</v>
      </c>
      <c r="Q2589" s="11"/>
      <c r="R2589" s="11"/>
      <c r="S2589" s="11"/>
      <c r="T2589" s="11"/>
      <c r="U2589" s="11"/>
      <c r="V2589" s="11"/>
      <c r="W2589" s="11"/>
      <c r="X2589" s="11"/>
      <c r="Y2589" s="11"/>
      <c r="Z2589" s="11"/>
      <c r="AA2589" s="11"/>
      <c r="AB2589" s="11"/>
      <c r="AC2589" s="11"/>
      <c r="AD2589" s="11"/>
      <c r="AE2589" s="11"/>
      <c r="AF2589" s="11"/>
      <c r="AG2589" s="11"/>
      <c r="AH2589" s="11"/>
      <c r="AI2589" s="11"/>
      <c r="AJ2589" s="11"/>
      <c r="AK2589" s="11"/>
      <c r="AL2589" s="11"/>
      <c r="AM2589" s="11"/>
      <c r="AN2589" s="11"/>
      <c r="AO2589" s="11"/>
      <c r="AP2589" s="11"/>
      <c r="AQ2589" s="11"/>
      <c r="AR2589" s="11"/>
      <c r="AS2589" s="11"/>
      <c r="AT2589" s="11"/>
      <c r="AU2589" s="11"/>
      <c r="AV2589" s="11"/>
      <c r="AW2589" s="11"/>
      <c r="AX2589" s="11"/>
      <c r="AY2589" s="11"/>
    </row>
    <row r="2590" spans="1:51" hidden="1" x14ac:dyDescent="0.2">
      <c r="A2590" s="6"/>
      <c r="E2590" s="2"/>
      <c r="F2590" s="3"/>
      <c r="G2590" s="3"/>
      <c r="P2590" s="8"/>
      <c r="Q2590" s="11"/>
      <c r="R2590" s="11"/>
      <c r="S2590" s="11"/>
      <c r="T2590" s="11"/>
      <c r="U2590" s="11"/>
      <c r="V2590" s="11"/>
      <c r="W2590" s="11"/>
      <c r="X2590" s="11"/>
      <c r="Y2590" s="11"/>
      <c r="Z2590" s="11"/>
      <c r="AA2590" s="11"/>
      <c r="AB2590" s="11"/>
      <c r="AC2590" s="11"/>
      <c r="AD2590" s="11"/>
      <c r="AE2590" s="11"/>
      <c r="AF2590" s="11"/>
      <c r="AG2590" s="11"/>
      <c r="AH2590" s="11"/>
      <c r="AI2590" s="11"/>
      <c r="AJ2590" s="11"/>
      <c r="AK2590" s="11"/>
      <c r="AL2590" s="11"/>
      <c r="AM2590" s="11"/>
      <c r="AN2590" s="11"/>
      <c r="AO2590" s="11"/>
      <c r="AP2590" s="11"/>
      <c r="AQ2590" s="11"/>
      <c r="AR2590" s="11"/>
      <c r="AS2590" s="11"/>
      <c r="AT2590" s="11"/>
      <c r="AU2590" s="11"/>
      <c r="AV2590" s="11"/>
      <c r="AW2590" s="11"/>
      <c r="AX2590" s="11"/>
      <c r="AY2590" s="11"/>
    </row>
    <row r="2591" spans="1:51" hidden="1" x14ac:dyDescent="0.2">
      <c r="A2591" s="6"/>
      <c r="E2591" s="2"/>
      <c r="F2591" s="3"/>
      <c r="G2591" s="3"/>
      <c r="P2591" s="8"/>
      <c r="Q2591" s="11"/>
      <c r="R2591" s="11"/>
      <c r="S2591" s="11"/>
      <c r="T2591" s="11"/>
      <c r="U2591" s="11"/>
      <c r="V2591" s="11"/>
      <c r="W2591" s="11"/>
      <c r="X2591" s="11"/>
      <c r="Y2591" s="11"/>
      <c r="Z2591" s="11"/>
      <c r="AA2591" s="11"/>
      <c r="AB2591" s="11"/>
      <c r="AC2591" s="11"/>
      <c r="AD2591" s="11"/>
      <c r="AE2591" s="11"/>
      <c r="AF2591" s="11"/>
      <c r="AG2591" s="11"/>
      <c r="AH2591" s="11"/>
      <c r="AI2591" s="11"/>
      <c r="AJ2591" s="11"/>
      <c r="AK2591" s="11"/>
      <c r="AL2591" s="11"/>
      <c r="AM2591" s="11"/>
      <c r="AN2591" s="11"/>
      <c r="AO2591" s="11"/>
      <c r="AP2591" s="11"/>
      <c r="AQ2591" s="11"/>
      <c r="AR2591" s="11"/>
      <c r="AS2591" s="11"/>
      <c r="AT2591" s="11"/>
      <c r="AU2591" s="11"/>
      <c r="AV2591" s="11"/>
      <c r="AW2591" s="11"/>
      <c r="AX2591" s="11"/>
      <c r="AY2591" s="11"/>
    </row>
    <row r="2592" spans="1:51" hidden="1" x14ac:dyDescent="0.2">
      <c r="A2592" s="6"/>
      <c r="E2592" s="2"/>
      <c r="F2592" s="3"/>
      <c r="G2592" s="3"/>
      <c r="P2592" s="8"/>
      <c r="Q2592" s="11"/>
      <c r="R2592" s="11"/>
      <c r="S2592" s="11"/>
      <c r="T2592" s="11"/>
      <c r="U2592" s="11"/>
      <c r="V2592" s="11"/>
      <c r="W2592" s="11"/>
      <c r="X2592" s="11"/>
      <c r="Y2592" s="11"/>
      <c r="Z2592" s="11"/>
      <c r="AA2592" s="11"/>
      <c r="AB2592" s="11"/>
      <c r="AC2592" s="11"/>
      <c r="AD2592" s="11"/>
      <c r="AE2592" s="11"/>
      <c r="AF2592" s="11"/>
      <c r="AG2592" s="11"/>
      <c r="AH2592" s="11"/>
      <c r="AI2592" s="11"/>
      <c r="AJ2592" s="11"/>
      <c r="AK2592" s="11"/>
      <c r="AL2592" s="11"/>
      <c r="AM2592" s="11"/>
      <c r="AN2592" s="11"/>
      <c r="AO2592" s="11"/>
      <c r="AP2592" s="11"/>
      <c r="AQ2592" s="11"/>
      <c r="AR2592" s="11"/>
      <c r="AS2592" s="11"/>
      <c r="AT2592" s="11"/>
      <c r="AU2592" s="11"/>
      <c r="AV2592" s="11"/>
      <c r="AW2592" s="11"/>
      <c r="AX2592" s="11"/>
      <c r="AY2592" s="11"/>
    </row>
    <row r="2593" spans="1:51" hidden="1" x14ac:dyDescent="0.2">
      <c r="A2593" s="6" t="s">
        <v>17</v>
      </c>
      <c r="B2593" t="s">
        <v>255</v>
      </c>
      <c r="C2593" t="s">
        <v>255</v>
      </c>
      <c r="D2593" t="s">
        <v>3230</v>
      </c>
      <c r="E2593" s="2">
        <v>1276.8399999999999</v>
      </c>
      <c r="F2593" s="3">
        <f>DATE(2025,10,17)</f>
        <v>45947</v>
      </c>
      <c r="G2593" s="3">
        <f>DATE(2025,10,17)</f>
        <v>45947</v>
      </c>
      <c r="H2593">
        <v>3014936050</v>
      </c>
      <c r="I2593" t="s">
        <v>21</v>
      </c>
      <c r="K2593" t="s">
        <v>22</v>
      </c>
      <c r="L2593" t="s">
        <v>23</v>
      </c>
      <c r="M2593" t="s">
        <v>24</v>
      </c>
      <c r="N2593" t="s">
        <v>24</v>
      </c>
      <c r="O2593" t="s">
        <v>25</v>
      </c>
      <c r="P2593" s="8" t="s">
        <v>3231</v>
      </c>
      <c r="Q2593" s="11"/>
      <c r="R2593" s="11"/>
      <c r="S2593" s="11"/>
      <c r="T2593" s="11"/>
      <c r="U2593" s="11"/>
      <c r="V2593" s="11"/>
      <c r="W2593" s="11"/>
      <c r="X2593" s="11"/>
      <c r="Y2593" s="11"/>
      <c r="Z2593" s="11"/>
      <c r="AA2593" s="11"/>
      <c r="AB2593" s="11"/>
      <c r="AC2593" s="11"/>
      <c r="AD2593" s="11"/>
      <c r="AE2593" s="11"/>
      <c r="AF2593" s="11"/>
      <c r="AG2593" s="11"/>
      <c r="AH2593" s="11"/>
      <c r="AI2593" s="11"/>
      <c r="AJ2593" s="11"/>
      <c r="AK2593" s="11"/>
      <c r="AL2593" s="11"/>
      <c r="AM2593" s="11"/>
      <c r="AN2593" s="11"/>
      <c r="AO2593" s="11"/>
      <c r="AP2593" s="11"/>
      <c r="AQ2593" s="11"/>
      <c r="AR2593" s="11"/>
      <c r="AS2593" s="11"/>
      <c r="AT2593" s="11"/>
      <c r="AU2593" s="11"/>
      <c r="AV2593" s="11"/>
      <c r="AW2593" s="11"/>
      <c r="AX2593" s="11"/>
      <c r="AY2593" s="11"/>
    </row>
    <row r="2594" spans="1:51" hidden="1" x14ac:dyDescent="0.2">
      <c r="A2594" s="6"/>
      <c r="E2594" s="2"/>
      <c r="F2594" s="3"/>
      <c r="G2594" s="3"/>
      <c r="P2594" s="8"/>
      <c r="Q2594" s="11"/>
      <c r="R2594" s="11"/>
      <c r="S2594" s="11"/>
      <c r="T2594" s="11"/>
      <c r="U2594" s="11"/>
      <c r="V2594" s="11"/>
      <c r="W2594" s="11"/>
      <c r="X2594" s="11"/>
      <c r="Y2594" s="11"/>
      <c r="Z2594" s="11"/>
      <c r="AA2594" s="11"/>
      <c r="AB2594" s="11"/>
      <c r="AC2594" s="11"/>
      <c r="AD2594" s="11"/>
      <c r="AE2594" s="11"/>
      <c r="AF2594" s="11"/>
      <c r="AG2594" s="11"/>
      <c r="AH2594" s="11"/>
      <c r="AI2594" s="11"/>
      <c r="AJ2594" s="11"/>
      <c r="AK2594" s="11"/>
      <c r="AL2594" s="11"/>
      <c r="AM2594" s="11"/>
      <c r="AN2594" s="11"/>
      <c r="AO2594" s="11"/>
      <c r="AP2594" s="11"/>
      <c r="AQ2594" s="11"/>
      <c r="AR2594" s="11"/>
      <c r="AS2594" s="11"/>
      <c r="AT2594" s="11"/>
      <c r="AU2594" s="11"/>
      <c r="AV2594" s="11"/>
      <c r="AW2594" s="11"/>
      <c r="AX2594" s="11"/>
      <c r="AY2594" s="11"/>
    </row>
    <row r="2595" spans="1:51" hidden="1" x14ac:dyDescent="0.2">
      <c r="A2595" s="6"/>
      <c r="E2595" s="2"/>
      <c r="F2595" s="3"/>
      <c r="G2595" s="3"/>
      <c r="P2595" s="8"/>
      <c r="Q2595" s="11"/>
      <c r="R2595" s="11"/>
      <c r="S2595" s="11"/>
      <c r="T2595" s="11"/>
      <c r="U2595" s="11"/>
      <c r="V2595" s="11"/>
      <c r="W2595" s="11"/>
      <c r="X2595" s="11"/>
      <c r="Y2595" s="11"/>
      <c r="Z2595" s="11"/>
      <c r="AA2595" s="11"/>
      <c r="AB2595" s="11"/>
      <c r="AC2595" s="11"/>
      <c r="AD2595" s="11"/>
      <c r="AE2595" s="11"/>
      <c r="AF2595" s="11"/>
      <c r="AG2595" s="11"/>
      <c r="AH2595" s="11"/>
      <c r="AI2595" s="11"/>
      <c r="AJ2595" s="11"/>
      <c r="AK2595" s="11"/>
      <c r="AL2595" s="11"/>
      <c r="AM2595" s="11"/>
      <c r="AN2595" s="11"/>
      <c r="AO2595" s="11"/>
      <c r="AP2595" s="11"/>
      <c r="AQ2595" s="11"/>
      <c r="AR2595" s="11"/>
      <c r="AS2595" s="11"/>
      <c r="AT2595" s="11"/>
      <c r="AU2595" s="11"/>
      <c r="AV2595" s="11"/>
      <c r="AW2595" s="11"/>
      <c r="AX2595" s="11"/>
      <c r="AY2595" s="11"/>
    </row>
    <row r="2596" spans="1:51" hidden="1" x14ac:dyDescent="0.2">
      <c r="A2596" s="6" t="s">
        <v>17</v>
      </c>
      <c r="B2596" t="s">
        <v>35</v>
      </c>
      <c r="C2596" t="s">
        <v>35</v>
      </c>
      <c r="D2596" t="s">
        <v>242</v>
      </c>
      <c r="E2596" s="2">
        <v>57</v>
      </c>
      <c r="F2596" s="3">
        <f t="shared" ref="F2596:G2596" si="231">DATE(2025,10,16)</f>
        <v>45946</v>
      </c>
      <c r="G2596" s="3">
        <f t="shared" si="231"/>
        <v>45946</v>
      </c>
      <c r="H2596">
        <v>3014957156</v>
      </c>
      <c r="I2596" t="s">
        <v>192</v>
      </c>
      <c r="K2596" t="s">
        <v>22</v>
      </c>
      <c r="L2596" t="s">
        <v>23</v>
      </c>
      <c r="M2596" t="s">
        <v>24</v>
      </c>
      <c r="N2596" t="s">
        <v>24</v>
      </c>
      <c r="O2596" t="s">
        <v>25</v>
      </c>
      <c r="P2596" s="8" t="s">
        <v>3232</v>
      </c>
      <c r="Q2596" s="11"/>
      <c r="R2596" s="11"/>
      <c r="S2596" s="11"/>
      <c r="T2596" s="11"/>
      <c r="U2596" s="11"/>
      <c r="V2596" s="11"/>
      <c r="W2596" s="11"/>
      <c r="X2596" s="11"/>
      <c r="Y2596" s="11"/>
      <c r="Z2596" s="11"/>
      <c r="AA2596" s="11"/>
      <c r="AB2596" s="11"/>
      <c r="AC2596" s="11"/>
      <c r="AD2596" s="11"/>
      <c r="AE2596" s="11"/>
      <c r="AF2596" s="11"/>
      <c r="AG2596" s="11"/>
      <c r="AH2596" s="11"/>
      <c r="AI2596" s="11"/>
      <c r="AJ2596" s="11"/>
      <c r="AK2596" s="11"/>
      <c r="AL2596" s="11"/>
      <c r="AM2596" s="11"/>
      <c r="AN2596" s="11"/>
      <c r="AO2596" s="11"/>
      <c r="AP2596" s="11"/>
      <c r="AQ2596" s="11"/>
      <c r="AR2596" s="11"/>
      <c r="AS2596" s="11"/>
      <c r="AT2596" s="11"/>
      <c r="AU2596" s="11"/>
      <c r="AV2596" s="11"/>
      <c r="AW2596" s="11"/>
      <c r="AX2596" s="11"/>
      <c r="AY2596" s="11"/>
    </row>
    <row r="2597" spans="1:51" hidden="1" x14ac:dyDescent="0.2">
      <c r="A2597" s="6"/>
      <c r="E2597" s="2"/>
      <c r="F2597" s="3"/>
      <c r="G2597" s="3"/>
      <c r="P2597" s="8"/>
      <c r="Q2597" s="11"/>
      <c r="R2597" s="11"/>
      <c r="S2597" s="11"/>
      <c r="T2597" s="11"/>
      <c r="U2597" s="11"/>
      <c r="V2597" s="11"/>
      <c r="W2597" s="11"/>
      <c r="X2597" s="11"/>
      <c r="Y2597" s="11"/>
      <c r="Z2597" s="11"/>
      <c r="AA2597" s="11"/>
      <c r="AB2597" s="11"/>
      <c r="AC2597" s="11"/>
      <c r="AD2597" s="11"/>
      <c r="AE2597" s="11"/>
      <c r="AF2597" s="11"/>
      <c r="AG2597" s="11"/>
      <c r="AH2597" s="11"/>
      <c r="AI2597" s="11"/>
      <c r="AJ2597" s="11"/>
      <c r="AK2597" s="11"/>
      <c r="AL2597" s="11"/>
      <c r="AM2597" s="11"/>
      <c r="AN2597" s="11"/>
      <c r="AO2597" s="11"/>
      <c r="AP2597" s="11"/>
      <c r="AQ2597" s="11"/>
      <c r="AR2597" s="11"/>
      <c r="AS2597" s="11"/>
      <c r="AT2597" s="11"/>
      <c r="AU2597" s="11"/>
      <c r="AV2597" s="11"/>
      <c r="AW2597" s="11"/>
      <c r="AX2597" s="11"/>
      <c r="AY2597" s="11"/>
    </row>
    <row r="2598" spans="1:51" hidden="1" x14ac:dyDescent="0.2">
      <c r="A2598" s="6"/>
      <c r="E2598" s="2"/>
      <c r="F2598" s="3"/>
      <c r="G2598" s="3"/>
      <c r="P2598" s="8"/>
      <c r="Q2598" s="11"/>
      <c r="R2598" s="11"/>
      <c r="S2598" s="11"/>
      <c r="T2598" s="11"/>
      <c r="U2598" s="11"/>
      <c r="V2598" s="11"/>
      <c r="W2598" s="11"/>
      <c r="X2598" s="11"/>
      <c r="Y2598" s="11"/>
      <c r="Z2598" s="11"/>
      <c r="AA2598" s="11"/>
      <c r="AB2598" s="11"/>
      <c r="AC2598" s="11"/>
      <c r="AD2598" s="11"/>
      <c r="AE2598" s="11"/>
      <c r="AF2598" s="11"/>
      <c r="AG2598" s="11"/>
      <c r="AH2598" s="11"/>
      <c r="AI2598" s="11"/>
      <c r="AJ2598" s="11"/>
      <c r="AK2598" s="11"/>
      <c r="AL2598" s="11"/>
      <c r="AM2598" s="11"/>
      <c r="AN2598" s="11"/>
      <c r="AO2598" s="11"/>
      <c r="AP2598" s="11"/>
      <c r="AQ2598" s="11"/>
      <c r="AR2598" s="11"/>
      <c r="AS2598" s="11"/>
      <c r="AT2598" s="11"/>
      <c r="AU2598" s="11"/>
      <c r="AV2598" s="11"/>
      <c r="AW2598" s="11"/>
      <c r="AX2598" s="11"/>
      <c r="AY2598" s="11"/>
    </row>
    <row r="2599" spans="1:51" hidden="1" x14ac:dyDescent="0.2">
      <c r="A2599" s="6"/>
      <c r="E2599" s="2"/>
      <c r="F2599" s="3"/>
      <c r="G2599" s="3"/>
      <c r="P2599" s="8"/>
      <c r="Q2599" s="11"/>
      <c r="R2599" s="11"/>
      <c r="S2599" s="11"/>
      <c r="T2599" s="11"/>
      <c r="U2599" s="11"/>
      <c r="V2599" s="11"/>
      <c r="W2599" s="11"/>
      <c r="X2599" s="11"/>
      <c r="Y2599" s="11"/>
      <c r="Z2599" s="11"/>
      <c r="AA2599" s="11"/>
      <c r="AB2599" s="11"/>
      <c r="AC2599" s="11"/>
      <c r="AD2599" s="11"/>
      <c r="AE2599" s="11"/>
      <c r="AF2599" s="11"/>
      <c r="AG2599" s="11"/>
      <c r="AH2599" s="11"/>
      <c r="AI2599" s="11"/>
      <c r="AJ2599" s="11"/>
      <c r="AK2599" s="11"/>
      <c r="AL2599" s="11"/>
      <c r="AM2599" s="11"/>
      <c r="AN2599" s="11"/>
      <c r="AO2599" s="11"/>
      <c r="AP2599" s="11"/>
      <c r="AQ2599" s="11"/>
      <c r="AR2599" s="11"/>
      <c r="AS2599" s="11"/>
      <c r="AT2599" s="11"/>
      <c r="AU2599" s="11"/>
      <c r="AV2599" s="11"/>
      <c r="AW2599" s="11"/>
      <c r="AX2599" s="11"/>
      <c r="AY2599" s="11"/>
    </row>
    <row r="2600" spans="1:51" hidden="1" x14ac:dyDescent="0.2">
      <c r="A2600" s="6"/>
      <c r="E2600" s="2"/>
      <c r="F2600" s="3"/>
      <c r="G2600" s="3"/>
      <c r="P2600" s="8"/>
      <c r="Q2600" s="11"/>
      <c r="R2600" s="11"/>
      <c r="S2600" s="11"/>
      <c r="T2600" s="11"/>
      <c r="U2600" s="11"/>
      <c r="V2600" s="11"/>
      <c r="W2600" s="11"/>
      <c r="X2600" s="11"/>
      <c r="Y2600" s="11"/>
      <c r="Z2600" s="11"/>
      <c r="AA2600" s="11"/>
      <c r="AB2600" s="11"/>
      <c r="AC2600" s="11"/>
      <c r="AD2600" s="11"/>
      <c r="AE2600" s="11"/>
      <c r="AF2600" s="11"/>
      <c r="AG2600" s="11"/>
      <c r="AH2600" s="11"/>
      <c r="AI2600" s="11"/>
      <c r="AJ2600" s="11"/>
      <c r="AK2600" s="11"/>
      <c r="AL2600" s="11"/>
      <c r="AM2600" s="11"/>
      <c r="AN2600" s="11"/>
      <c r="AO2600" s="11"/>
      <c r="AP2600" s="11"/>
      <c r="AQ2600" s="11"/>
      <c r="AR2600" s="11"/>
      <c r="AS2600" s="11"/>
      <c r="AT2600" s="11"/>
      <c r="AU2600" s="11"/>
      <c r="AV2600" s="11"/>
      <c r="AW2600" s="11"/>
      <c r="AX2600" s="11"/>
      <c r="AY2600" s="11"/>
    </row>
    <row r="2601" spans="1:51" hidden="1" x14ac:dyDescent="0.2">
      <c r="A2601" s="6"/>
      <c r="E2601" s="2"/>
      <c r="F2601" s="3"/>
      <c r="G2601" s="3"/>
      <c r="P2601" s="8"/>
      <c r="Q2601" s="11"/>
      <c r="R2601" s="11"/>
      <c r="S2601" s="11"/>
      <c r="T2601" s="11"/>
      <c r="U2601" s="11"/>
      <c r="V2601" s="11"/>
      <c r="W2601" s="11"/>
      <c r="X2601" s="11"/>
      <c r="Y2601" s="11"/>
      <c r="Z2601" s="11"/>
      <c r="AA2601" s="11"/>
      <c r="AB2601" s="11"/>
      <c r="AC2601" s="11"/>
      <c r="AD2601" s="11"/>
      <c r="AE2601" s="11"/>
      <c r="AF2601" s="11"/>
      <c r="AG2601" s="11"/>
      <c r="AH2601" s="11"/>
      <c r="AI2601" s="11"/>
      <c r="AJ2601" s="11"/>
      <c r="AK2601" s="11"/>
      <c r="AL2601" s="11"/>
      <c r="AM2601" s="11"/>
      <c r="AN2601" s="11"/>
      <c r="AO2601" s="11"/>
      <c r="AP2601" s="11"/>
      <c r="AQ2601" s="11"/>
      <c r="AR2601" s="11"/>
      <c r="AS2601" s="11"/>
      <c r="AT2601" s="11"/>
      <c r="AU2601" s="11"/>
      <c r="AV2601" s="11"/>
      <c r="AW2601" s="11"/>
      <c r="AX2601" s="11"/>
      <c r="AY2601" s="11"/>
    </row>
    <row r="2602" spans="1:51" hidden="1" x14ac:dyDescent="0.2">
      <c r="A2602" s="6"/>
      <c r="E2602" s="2"/>
      <c r="F2602" s="3"/>
      <c r="G2602" s="3"/>
      <c r="P2602" s="8"/>
      <c r="Q2602" s="11"/>
      <c r="R2602" s="11"/>
      <c r="S2602" s="11"/>
      <c r="T2602" s="11"/>
      <c r="U2602" s="11"/>
      <c r="V2602" s="11"/>
      <c r="W2602" s="11"/>
      <c r="X2602" s="11"/>
      <c r="Y2602" s="11"/>
      <c r="Z2602" s="11"/>
      <c r="AA2602" s="11"/>
      <c r="AB2602" s="11"/>
      <c r="AC2602" s="11"/>
      <c r="AD2602" s="11"/>
      <c r="AE2602" s="11"/>
      <c r="AF2602" s="11"/>
      <c r="AG2602" s="11"/>
      <c r="AH2602" s="11"/>
      <c r="AI2602" s="11"/>
      <c r="AJ2602" s="11"/>
      <c r="AK2602" s="11"/>
      <c r="AL2602" s="11"/>
      <c r="AM2602" s="11"/>
      <c r="AN2602" s="11"/>
      <c r="AO2602" s="11"/>
      <c r="AP2602" s="11"/>
      <c r="AQ2602" s="11"/>
      <c r="AR2602" s="11"/>
      <c r="AS2602" s="11"/>
      <c r="AT2602" s="11"/>
      <c r="AU2602" s="11"/>
      <c r="AV2602" s="11"/>
      <c r="AW2602" s="11"/>
      <c r="AX2602" s="11"/>
      <c r="AY2602" s="11"/>
    </row>
    <row r="2603" spans="1:51" hidden="1" x14ac:dyDescent="0.2">
      <c r="A2603" s="6"/>
      <c r="E2603" s="2"/>
      <c r="F2603" s="3"/>
      <c r="G2603" s="3"/>
      <c r="P2603" s="8"/>
      <c r="Q2603" s="11"/>
      <c r="R2603" s="11"/>
      <c r="S2603" s="11"/>
      <c r="T2603" s="11"/>
      <c r="U2603" s="11"/>
      <c r="V2603" s="11"/>
      <c r="W2603" s="11"/>
      <c r="X2603" s="11"/>
      <c r="Y2603" s="11"/>
      <c r="Z2603" s="11"/>
      <c r="AA2603" s="11"/>
      <c r="AB2603" s="11"/>
      <c r="AC2603" s="11"/>
      <c r="AD2603" s="11"/>
      <c r="AE2603" s="11"/>
      <c r="AF2603" s="11"/>
      <c r="AG2603" s="11"/>
      <c r="AH2603" s="11"/>
      <c r="AI2603" s="11"/>
      <c r="AJ2603" s="11"/>
      <c r="AK2603" s="11"/>
      <c r="AL2603" s="11"/>
      <c r="AM2603" s="11"/>
      <c r="AN2603" s="11"/>
      <c r="AO2603" s="11"/>
      <c r="AP2603" s="11"/>
      <c r="AQ2603" s="11"/>
      <c r="AR2603" s="11"/>
      <c r="AS2603" s="11"/>
      <c r="AT2603" s="11"/>
      <c r="AU2603" s="11"/>
      <c r="AV2603" s="11"/>
      <c r="AW2603" s="11"/>
      <c r="AX2603" s="11"/>
      <c r="AY2603" s="11"/>
    </row>
    <row r="2604" spans="1:51" hidden="1" x14ac:dyDescent="0.2">
      <c r="A2604" s="6" t="s">
        <v>17</v>
      </c>
      <c r="B2604" t="s">
        <v>18</v>
      </c>
      <c r="C2604" t="s">
        <v>19</v>
      </c>
      <c r="D2604" t="s">
        <v>3233</v>
      </c>
      <c r="E2604" s="2">
        <v>262.8</v>
      </c>
      <c r="F2604" s="3">
        <f t="shared" ref="F2604:G2618" si="232">DATE(2025,10,20)</f>
        <v>45950</v>
      </c>
      <c r="G2604" s="3">
        <f t="shared" si="232"/>
        <v>45950</v>
      </c>
      <c r="H2604">
        <v>3031982959</v>
      </c>
      <c r="I2604" t="s">
        <v>21</v>
      </c>
      <c r="K2604" t="s">
        <v>22</v>
      </c>
      <c r="L2604" t="s">
        <v>23</v>
      </c>
      <c r="M2604" t="s">
        <v>24</v>
      </c>
      <c r="N2604" t="s">
        <v>24</v>
      </c>
      <c r="O2604" t="s">
        <v>25</v>
      </c>
      <c r="P2604" s="8" t="s">
        <v>3234</v>
      </c>
      <c r="Q2604" s="11"/>
      <c r="R2604" s="11"/>
      <c r="S2604" s="11"/>
      <c r="T2604" s="11"/>
      <c r="U2604" s="11"/>
      <c r="V2604" s="11"/>
      <c r="W2604" s="11"/>
      <c r="X2604" s="11"/>
      <c r="Y2604" s="11"/>
      <c r="Z2604" s="11"/>
      <c r="AA2604" s="11"/>
      <c r="AB2604" s="11"/>
      <c r="AC2604" s="11"/>
      <c r="AD2604" s="11"/>
      <c r="AE2604" s="11"/>
      <c r="AF2604" s="11"/>
      <c r="AG2604" s="11"/>
      <c r="AH2604" s="11"/>
      <c r="AI2604" s="11"/>
      <c r="AJ2604" s="11"/>
      <c r="AK2604" s="11"/>
      <c r="AL2604" s="11"/>
      <c r="AM2604" s="11"/>
      <c r="AN2604" s="11"/>
      <c r="AO2604" s="11"/>
      <c r="AP2604" s="11"/>
      <c r="AQ2604" s="11"/>
      <c r="AR2604" s="11"/>
      <c r="AS2604" s="11"/>
      <c r="AT2604" s="11"/>
      <c r="AU2604" s="11"/>
      <c r="AV2604" s="11"/>
      <c r="AW2604" s="11"/>
      <c r="AX2604" s="11"/>
      <c r="AY2604" s="11"/>
    </row>
    <row r="2605" spans="1:51" hidden="1" x14ac:dyDescent="0.2">
      <c r="A2605" s="6" t="s">
        <v>17</v>
      </c>
      <c r="B2605" t="s">
        <v>31</v>
      </c>
      <c r="C2605" t="s">
        <v>32</v>
      </c>
      <c r="D2605" t="s">
        <v>3235</v>
      </c>
      <c r="E2605" s="2">
        <v>51.99</v>
      </c>
      <c r="F2605" s="3">
        <f t="shared" si="232"/>
        <v>45950</v>
      </c>
      <c r="G2605" s="3">
        <f t="shared" si="232"/>
        <v>45950</v>
      </c>
      <c r="H2605">
        <v>3031982960</v>
      </c>
      <c r="I2605" t="s">
        <v>21</v>
      </c>
      <c r="K2605" t="s">
        <v>22</v>
      </c>
      <c r="L2605" t="s">
        <v>23</v>
      </c>
      <c r="M2605" t="s">
        <v>24</v>
      </c>
      <c r="N2605" t="s">
        <v>24</v>
      </c>
      <c r="O2605" t="s">
        <v>25</v>
      </c>
      <c r="P2605" s="8" t="s">
        <v>3236</v>
      </c>
      <c r="Q2605" s="11"/>
      <c r="R2605" s="11"/>
      <c r="S2605" s="11"/>
      <c r="T2605" s="11"/>
      <c r="U2605" s="11"/>
      <c r="V2605" s="11"/>
      <c r="W2605" s="11"/>
      <c r="X2605" s="11"/>
      <c r="Y2605" s="11"/>
      <c r="Z2605" s="11"/>
      <c r="AA2605" s="11"/>
      <c r="AB2605" s="11"/>
      <c r="AC2605" s="11"/>
      <c r="AD2605" s="11"/>
      <c r="AE2605" s="11"/>
      <c r="AF2605" s="11"/>
      <c r="AG2605" s="11"/>
      <c r="AH2605" s="11"/>
      <c r="AI2605" s="11"/>
      <c r="AJ2605" s="11"/>
      <c r="AK2605" s="11"/>
      <c r="AL2605" s="11"/>
      <c r="AM2605" s="11"/>
      <c r="AN2605" s="11"/>
      <c r="AO2605" s="11"/>
      <c r="AP2605" s="11"/>
      <c r="AQ2605" s="11"/>
      <c r="AR2605" s="11"/>
      <c r="AS2605" s="11"/>
      <c r="AT2605" s="11"/>
      <c r="AU2605" s="11"/>
      <c r="AV2605" s="11"/>
      <c r="AW2605" s="11"/>
      <c r="AX2605" s="11"/>
      <c r="AY2605" s="11"/>
    </row>
    <row r="2606" spans="1:51" hidden="1" x14ac:dyDescent="0.2">
      <c r="A2606" s="6" t="s">
        <v>17</v>
      </c>
      <c r="B2606" t="s">
        <v>35</v>
      </c>
      <c r="C2606" t="s">
        <v>35</v>
      </c>
      <c r="D2606" t="s">
        <v>3237</v>
      </c>
      <c r="E2606" s="2">
        <v>2.17</v>
      </c>
      <c r="F2606" s="3">
        <f t="shared" si="232"/>
        <v>45950</v>
      </c>
      <c r="G2606" s="3">
        <f t="shared" si="232"/>
        <v>45950</v>
      </c>
      <c r="H2606">
        <v>3031982961</v>
      </c>
      <c r="I2606" t="s">
        <v>21</v>
      </c>
      <c r="K2606" t="s">
        <v>22</v>
      </c>
      <c r="L2606" t="s">
        <v>23</v>
      </c>
      <c r="M2606" t="s">
        <v>24</v>
      </c>
      <c r="N2606" t="s">
        <v>24</v>
      </c>
      <c r="O2606" t="s">
        <v>25</v>
      </c>
      <c r="P2606" s="8" t="s">
        <v>3238</v>
      </c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  <c r="AA2606" s="11"/>
      <c r="AB2606" s="11"/>
      <c r="AC2606" s="11"/>
      <c r="AD2606" s="11"/>
      <c r="AE2606" s="11"/>
      <c r="AF2606" s="11"/>
      <c r="AG2606" s="11"/>
      <c r="AH2606" s="11"/>
      <c r="AI2606" s="11"/>
      <c r="AJ2606" s="11"/>
      <c r="AK2606" s="11"/>
      <c r="AL2606" s="11"/>
      <c r="AM2606" s="11"/>
      <c r="AN2606" s="11"/>
      <c r="AO2606" s="11"/>
      <c r="AP2606" s="11"/>
      <c r="AQ2606" s="11"/>
      <c r="AR2606" s="11"/>
      <c r="AS2606" s="11"/>
      <c r="AT2606" s="11"/>
      <c r="AU2606" s="11"/>
      <c r="AV2606" s="11"/>
      <c r="AW2606" s="11"/>
      <c r="AX2606" s="11"/>
      <c r="AY2606" s="11"/>
    </row>
    <row r="2607" spans="1:51" hidden="1" x14ac:dyDescent="0.2">
      <c r="A2607" s="6" t="s">
        <v>17</v>
      </c>
      <c r="B2607" t="s">
        <v>1048</v>
      </c>
      <c r="C2607" t="s">
        <v>1049</v>
      </c>
      <c r="D2607" t="s">
        <v>3239</v>
      </c>
      <c r="E2607" s="2">
        <v>642.29999999999995</v>
      </c>
      <c r="F2607" s="3">
        <f t="shared" si="232"/>
        <v>45950</v>
      </c>
      <c r="G2607" s="3">
        <f t="shared" si="232"/>
        <v>45950</v>
      </c>
      <c r="H2607">
        <v>3031982962</v>
      </c>
      <c r="I2607" t="s">
        <v>21</v>
      </c>
      <c r="K2607" t="s">
        <v>22</v>
      </c>
      <c r="L2607" t="s">
        <v>23</v>
      </c>
      <c r="M2607" t="s">
        <v>24</v>
      </c>
      <c r="N2607" t="s">
        <v>24</v>
      </c>
      <c r="O2607" t="s">
        <v>25</v>
      </c>
      <c r="P2607" s="8" t="s">
        <v>3240</v>
      </c>
      <c r="Q2607" s="11"/>
      <c r="R2607" s="11"/>
      <c r="S2607" s="11"/>
      <c r="T2607" s="11"/>
      <c r="U2607" s="11"/>
      <c r="V2607" s="11"/>
      <c r="W2607" s="11"/>
      <c r="X2607" s="11"/>
      <c r="Y2607" s="11"/>
      <c r="Z2607" s="11"/>
      <c r="AA2607" s="11"/>
      <c r="AB2607" s="11"/>
      <c r="AC2607" s="11"/>
      <c r="AD2607" s="11"/>
      <c r="AE2607" s="11"/>
      <c r="AF2607" s="11"/>
      <c r="AG2607" s="11"/>
      <c r="AH2607" s="11"/>
      <c r="AI2607" s="11"/>
      <c r="AJ2607" s="11"/>
      <c r="AK2607" s="11"/>
      <c r="AL2607" s="11"/>
      <c r="AM2607" s="11"/>
      <c r="AN2607" s="11"/>
      <c r="AO2607" s="11"/>
      <c r="AP2607" s="11"/>
      <c r="AQ2607" s="11"/>
      <c r="AR2607" s="11"/>
      <c r="AS2607" s="11"/>
      <c r="AT2607" s="11"/>
      <c r="AU2607" s="11"/>
      <c r="AV2607" s="11"/>
      <c r="AW2607" s="11"/>
      <c r="AX2607" s="11"/>
      <c r="AY2607" s="11"/>
    </row>
    <row r="2608" spans="1:51" hidden="1" x14ac:dyDescent="0.2">
      <c r="A2608" s="6" t="s">
        <v>17</v>
      </c>
      <c r="B2608" t="s">
        <v>1002</v>
      </c>
      <c r="C2608" t="s">
        <v>1003</v>
      </c>
      <c r="D2608" t="s">
        <v>3241</v>
      </c>
      <c r="E2608" s="2">
        <v>1404.2</v>
      </c>
      <c r="F2608" s="3">
        <f t="shared" si="232"/>
        <v>45950</v>
      </c>
      <c r="G2608" s="3">
        <f t="shared" si="232"/>
        <v>45950</v>
      </c>
      <c r="H2608">
        <v>3031982963</v>
      </c>
      <c r="I2608" t="s">
        <v>21</v>
      </c>
      <c r="K2608" t="s">
        <v>22</v>
      </c>
      <c r="L2608" t="s">
        <v>23</v>
      </c>
      <c r="M2608" t="s">
        <v>24</v>
      </c>
      <c r="N2608" t="s">
        <v>24</v>
      </c>
      <c r="O2608" t="s">
        <v>25</v>
      </c>
      <c r="P2608" s="8" t="s">
        <v>3242</v>
      </c>
      <c r="Q2608" s="11"/>
      <c r="R2608" s="11"/>
      <c r="S2608" s="11"/>
      <c r="T2608" s="11"/>
      <c r="U2608" s="11"/>
      <c r="V2608" s="11"/>
      <c r="W2608" s="11"/>
      <c r="X2608" s="11"/>
      <c r="Y2608" s="11"/>
      <c r="Z2608" s="11"/>
      <c r="AA2608" s="11"/>
      <c r="AB2608" s="11"/>
      <c r="AC2608" s="11"/>
      <c r="AD2608" s="11"/>
      <c r="AE2608" s="11"/>
      <c r="AF2608" s="11"/>
      <c r="AG2608" s="11"/>
      <c r="AH2608" s="11"/>
      <c r="AI2608" s="11"/>
      <c r="AJ2608" s="11"/>
      <c r="AK2608" s="11"/>
      <c r="AL2608" s="11"/>
      <c r="AM2608" s="11"/>
      <c r="AN2608" s="11"/>
      <c r="AO2608" s="11"/>
      <c r="AP2608" s="11"/>
      <c r="AQ2608" s="11"/>
      <c r="AR2608" s="11"/>
      <c r="AS2608" s="11"/>
      <c r="AT2608" s="11"/>
      <c r="AU2608" s="11"/>
      <c r="AV2608" s="11"/>
      <c r="AW2608" s="11"/>
      <c r="AX2608" s="11"/>
      <c r="AY2608" s="11"/>
    </row>
    <row r="2609" spans="1:51" hidden="1" x14ac:dyDescent="0.2">
      <c r="A2609" s="6" t="s">
        <v>17</v>
      </c>
      <c r="B2609" t="s">
        <v>155</v>
      </c>
      <c r="C2609" t="s">
        <v>156</v>
      </c>
      <c r="D2609" t="s">
        <v>3243</v>
      </c>
      <c r="E2609" s="2">
        <v>53.74</v>
      </c>
      <c r="F2609" s="3">
        <f t="shared" si="232"/>
        <v>45950</v>
      </c>
      <c r="G2609" s="3">
        <f t="shared" si="232"/>
        <v>45950</v>
      </c>
      <c r="H2609">
        <v>3031982964</v>
      </c>
      <c r="I2609" t="s">
        <v>21</v>
      </c>
      <c r="K2609" t="s">
        <v>22</v>
      </c>
      <c r="L2609" t="s">
        <v>23</v>
      </c>
      <c r="M2609" t="s">
        <v>24</v>
      </c>
      <c r="N2609" t="s">
        <v>24</v>
      </c>
      <c r="O2609" t="s">
        <v>25</v>
      </c>
      <c r="P2609" s="8" t="s">
        <v>3244</v>
      </c>
      <c r="Q2609" s="11"/>
      <c r="R2609" s="11"/>
      <c r="S2609" s="11"/>
      <c r="T2609" s="11"/>
      <c r="U2609" s="11"/>
      <c r="V2609" s="11"/>
      <c r="W2609" s="11"/>
      <c r="X2609" s="11"/>
      <c r="Y2609" s="11"/>
      <c r="Z2609" s="11"/>
      <c r="AA2609" s="11"/>
      <c r="AB2609" s="11"/>
      <c r="AC2609" s="11"/>
      <c r="AD2609" s="11"/>
      <c r="AE2609" s="11"/>
      <c r="AF2609" s="11"/>
      <c r="AG2609" s="11"/>
      <c r="AH2609" s="11"/>
      <c r="AI2609" s="11"/>
      <c r="AJ2609" s="11"/>
      <c r="AK2609" s="11"/>
      <c r="AL2609" s="11"/>
      <c r="AM2609" s="11"/>
      <c r="AN2609" s="11"/>
      <c r="AO2609" s="11"/>
      <c r="AP2609" s="11"/>
      <c r="AQ2609" s="11"/>
      <c r="AR2609" s="11"/>
      <c r="AS2609" s="11"/>
      <c r="AT2609" s="11"/>
      <c r="AU2609" s="11"/>
      <c r="AV2609" s="11"/>
      <c r="AW2609" s="11"/>
      <c r="AX2609" s="11"/>
      <c r="AY2609" s="11"/>
    </row>
    <row r="2610" spans="1:51" hidden="1" x14ac:dyDescent="0.2">
      <c r="A2610" s="6" t="s">
        <v>17</v>
      </c>
      <c r="B2610" t="s">
        <v>31</v>
      </c>
      <c r="C2610" t="s">
        <v>32</v>
      </c>
      <c r="D2610" t="s">
        <v>3245</v>
      </c>
      <c r="E2610" s="2">
        <v>27.99</v>
      </c>
      <c r="F2610" s="3">
        <f t="shared" si="232"/>
        <v>45950</v>
      </c>
      <c r="G2610" s="3">
        <f t="shared" si="232"/>
        <v>45950</v>
      </c>
      <c r="H2610">
        <v>3031982965</v>
      </c>
      <c r="I2610" t="s">
        <v>21</v>
      </c>
      <c r="K2610" t="s">
        <v>22</v>
      </c>
      <c r="L2610" t="s">
        <v>23</v>
      </c>
      <c r="M2610" t="s">
        <v>24</v>
      </c>
      <c r="N2610" t="s">
        <v>24</v>
      </c>
      <c r="O2610" t="s">
        <v>25</v>
      </c>
      <c r="P2610" s="8" t="s">
        <v>3246</v>
      </c>
      <c r="Q2610" s="11"/>
      <c r="R2610" s="11"/>
      <c r="S2610" s="11"/>
      <c r="T2610" s="11"/>
      <c r="U2610" s="11"/>
      <c r="V2610" s="11"/>
      <c r="W2610" s="11"/>
      <c r="X2610" s="11"/>
      <c r="Y2610" s="11"/>
      <c r="Z2610" s="11"/>
      <c r="AA2610" s="11"/>
      <c r="AB2610" s="11"/>
      <c r="AC2610" s="11"/>
      <c r="AD2610" s="11"/>
      <c r="AE2610" s="11"/>
      <c r="AF2610" s="11"/>
      <c r="AG2610" s="11"/>
      <c r="AH2610" s="11"/>
      <c r="AI2610" s="11"/>
      <c r="AJ2610" s="11"/>
      <c r="AK2610" s="11"/>
      <c r="AL2610" s="11"/>
      <c r="AM2610" s="11"/>
      <c r="AN2610" s="11"/>
      <c r="AO2610" s="11"/>
      <c r="AP2610" s="11"/>
      <c r="AQ2610" s="11"/>
      <c r="AR2610" s="11"/>
      <c r="AS2610" s="11"/>
      <c r="AT2610" s="11"/>
      <c r="AU2610" s="11"/>
      <c r="AV2610" s="11"/>
      <c r="AW2610" s="11"/>
      <c r="AX2610" s="11"/>
      <c r="AY2610" s="11"/>
    </row>
    <row r="2611" spans="1:51" hidden="1" x14ac:dyDescent="0.2">
      <c r="A2611" s="6" t="s">
        <v>17</v>
      </c>
      <c r="B2611" t="s">
        <v>1114</v>
      </c>
      <c r="C2611" t="s">
        <v>1115</v>
      </c>
      <c r="D2611" t="s">
        <v>3247</v>
      </c>
      <c r="E2611" s="2">
        <v>10299.69</v>
      </c>
      <c r="F2611" s="3">
        <f t="shared" si="232"/>
        <v>45950</v>
      </c>
      <c r="G2611" s="3">
        <f t="shared" si="232"/>
        <v>45950</v>
      </c>
      <c r="H2611">
        <v>3031982966</v>
      </c>
      <c r="I2611" t="s">
        <v>21</v>
      </c>
      <c r="K2611" t="s">
        <v>22</v>
      </c>
      <c r="L2611" t="s">
        <v>23</v>
      </c>
      <c r="M2611" t="s">
        <v>24</v>
      </c>
      <c r="N2611" t="s">
        <v>24</v>
      </c>
      <c r="O2611" t="s">
        <v>25</v>
      </c>
      <c r="P2611" s="8" t="s">
        <v>3248</v>
      </c>
      <c r="Q2611" s="11"/>
      <c r="R2611" s="11"/>
      <c r="S2611" s="11"/>
      <c r="T2611" s="11"/>
      <c r="U2611" s="11"/>
      <c r="V2611" s="11"/>
      <c r="W2611" s="11"/>
      <c r="X2611" s="11"/>
      <c r="Y2611" s="11"/>
      <c r="Z2611" s="11"/>
      <c r="AA2611" s="11"/>
      <c r="AB2611" s="11"/>
      <c r="AC2611" s="11"/>
      <c r="AD2611" s="11"/>
      <c r="AE2611" s="11"/>
      <c r="AF2611" s="11"/>
      <c r="AG2611" s="11"/>
      <c r="AH2611" s="11"/>
      <c r="AI2611" s="11"/>
      <c r="AJ2611" s="11"/>
      <c r="AK2611" s="11"/>
      <c r="AL2611" s="11"/>
      <c r="AM2611" s="11"/>
      <c r="AN2611" s="11"/>
      <c r="AO2611" s="11"/>
      <c r="AP2611" s="11"/>
      <c r="AQ2611" s="11"/>
      <c r="AR2611" s="11"/>
      <c r="AS2611" s="11"/>
      <c r="AT2611" s="11"/>
      <c r="AU2611" s="11"/>
      <c r="AV2611" s="11"/>
      <c r="AW2611" s="11"/>
      <c r="AX2611" s="11"/>
      <c r="AY2611" s="11"/>
    </row>
    <row r="2612" spans="1:51" hidden="1" x14ac:dyDescent="0.2">
      <c r="A2612" s="6" t="s">
        <v>17</v>
      </c>
      <c r="B2612" t="s">
        <v>1114</v>
      </c>
      <c r="C2612" t="s">
        <v>1115</v>
      </c>
      <c r="D2612" t="s">
        <v>3249</v>
      </c>
      <c r="E2612" s="2">
        <v>3601.78</v>
      </c>
      <c r="F2612" s="3">
        <f t="shared" si="232"/>
        <v>45950</v>
      </c>
      <c r="G2612" s="3">
        <f t="shared" si="232"/>
        <v>45950</v>
      </c>
      <c r="H2612">
        <v>3031982967</v>
      </c>
      <c r="I2612" t="s">
        <v>21</v>
      </c>
      <c r="K2612" t="s">
        <v>22</v>
      </c>
      <c r="L2612" t="s">
        <v>23</v>
      </c>
      <c r="M2612" t="s">
        <v>24</v>
      </c>
      <c r="N2612" t="s">
        <v>24</v>
      </c>
      <c r="O2612" t="s">
        <v>25</v>
      </c>
      <c r="P2612" s="8" t="s">
        <v>3250</v>
      </c>
      <c r="Q2612" s="11"/>
      <c r="R2612" s="11"/>
      <c r="S2612" s="11"/>
      <c r="T2612" s="11"/>
      <c r="U2612" s="11"/>
      <c r="V2612" s="11"/>
      <c r="W2612" s="11"/>
      <c r="X2612" s="11"/>
      <c r="Y2612" s="11"/>
      <c r="Z2612" s="11"/>
      <c r="AA2612" s="11"/>
      <c r="AB2612" s="11"/>
      <c r="AC2612" s="11"/>
      <c r="AD2612" s="11"/>
      <c r="AE2612" s="11"/>
      <c r="AF2612" s="11"/>
      <c r="AG2612" s="11"/>
      <c r="AH2612" s="11"/>
      <c r="AI2612" s="11"/>
      <c r="AJ2612" s="11"/>
      <c r="AK2612" s="11"/>
      <c r="AL2612" s="11"/>
      <c r="AM2612" s="11"/>
      <c r="AN2612" s="11"/>
      <c r="AO2612" s="11"/>
      <c r="AP2612" s="11"/>
      <c r="AQ2612" s="11"/>
      <c r="AR2612" s="11"/>
      <c r="AS2612" s="11"/>
      <c r="AT2612" s="11"/>
      <c r="AU2612" s="11"/>
      <c r="AV2612" s="11"/>
      <c r="AW2612" s="11"/>
      <c r="AX2612" s="11"/>
      <c r="AY2612" s="11"/>
    </row>
    <row r="2613" spans="1:51" hidden="1" x14ac:dyDescent="0.2">
      <c r="A2613" s="6" t="s">
        <v>17</v>
      </c>
      <c r="B2613" t="s">
        <v>825</v>
      </c>
      <c r="C2613" t="s">
        <v>826</v>
      </c>
      <c r="D2613" t="s">
        <v>3251</v>
      </c>
      <c r="E2613" s="2">
        <v>525.51</v>
      </c>
      <c r="F2613" s="3">
        <f t="shared" si="232"/>
        <v>45950</v>
      </c>
      <c r="G2613" s="3">
        <f t="shared" si="232"/>
        <v>45950</v>
      </c>
      <c r="H2613">
        <v>3031982968</v>
      </c>
      <c r="I2613" t="s">
        <v>21</v>
      </c>
      <c r="K2613" t="s">
        <v>22</v>
      </c>
      <c r="L2613" t="s">
        <v>23</v>
      </c>
      <c r="M2613" t="s">
        <v>24</v>
      </c>
      <c r="N2613" t="s">
        <v>24</v>
      </c>
      <c r="O2613" t="s">
        <v>25</v>
      </c>
      <c r="P2613" s="8" t="s">
        <v>3252</v>
      </c>
      <c r="Q2613" s="11"/>
      <c r="R2613" s="11"/>
      <c r="S2613" s="11"/>
      <c r="T2613" s="11"/>
      <c r="U2613" s="11"/>
      <c r="V2613" s="11"/>
      <c r="W2613" s="11"/>
      <c r="X2613" s="11"/>
      <c r="Y2613" s="11"/>
      <c r="Z2613" s="11"/>
      <c r="AA2613" s="11"/>
      <c r="AB2613" s="11"/>
      <c r="AC2613" s="11"/>
      <c r="AD2613" s="11"/>
      <c r="AE2613" s="11"/>
      <c r="AF2613" s="11"/>
      <c r="AG2613" s="11"/>
      <c r="AH2613" s="11"/>
      <c r="AI2613" s="11"/>
      <c r="AJ2613" s="11"/>
      <c r="AK2613" s="11"/>
      <c r="AL2613" s="11"/>
      <c r="AM2613" s="11"/>
      <c r="AN2613" s="11"/>
      <c r="AO2613" s="11"/>
      <c r="AP2613" s="11"/>
      <c r="AQ2613" s="11"/>
      <c r="AR2613" s="11"/>
      <c r="AS2613" s="11"/>
      <c r="AT2613" s="11"/>
      <c r="AU2613" s="11"/>
      <c r="AV2613" s="11"/>
      <c r="AW2613" s="11"/>
      <c r="AX2613" s="11"/>
      <c r="AY2613" s="11"/>
    </row>
    <row r="2614" spans="1:51" hidden="1" x14ac:dyDescent="0.2">
      <c r="A2614" s="6"/>
      <c r="E2614" s="2"/>
      <c r="F2614" s="3"/>
      <c r="G2614" s="3"/>
      <c r="P2614" s="8"/>
      <c r="Q2614" s="11"/>
      <c r="R2614" s="11"/>
      <c r="S2614" s="11"/>
      <c r="T2614" s="11"/>
      <c r="U2614" s="11"/>
      <c r="V2614" s="11"/>
      <c r="W2614" s="11"/>
      <c r="X2614" s="11"/>
      <c r="Y2614" s="11"/>
      <c r="Z2614" s="11"/>
      <c r="AA2614" s="11"/>
      <c r="AB2614" s="11"/>
      <c r="AC2614" s="11"/>
      <c r="AD2614" s="11"/>
      <c r="AE2614" s="11"/>
      <c r="AF2614" s="11"/>
      <c r="AG2614" s="11"/>
      <c r="AH2614" s="11"/>
      <c r="AI2614" s="11"/>
      <c r="AJ2614" s="11"/>
      <c r="AK2614" s="11"/>
      <c r="AL2614" s="11"/>
      <c r="AM2614" s="11"/>
      <c r="AN2614" s="11"/>
      <c r="AO2614" s="11"/>
      <c r="AP2614" s="11"/>
      <c r="AQ2614" s="11"/>
      <c r="AR2614" s="11"/>
      <c r="AS2614" s="11"/>
      <c r="AT2614" s="11"/>
      <c r="AU2614" s="11"/>
      <c r="AV2614" s="11"/>
      <c r="AW2614" s="11"/>
      <c r="AX2614" s="11"/>
      <c r="AY2614" s="11"/>
    </row>
    <row r="2615" spans="1:51" hidden="1" x14ac:dyDescent="0.2">
      <c r="A2615" s="6" t="s">
        <v>17</v>
      </c>
      <c r="B2615" t="s">
        <v>54</v>
      </c>
      <c r="C2615" t="s">
        <v>55</v>
      </c>
      <c r="D2615" t="s">
        <v>3253</v>
      </c>
      <c r="E2615" s="2">
        <v>4125</v>
      </c>
      <c r="F2615" s="3">
        <f t="shared" si="232"/>
        <v>45950</v>
      </c>
      <c r="G2615" s="3">
        <f t="shared" si="232"/>
        <v>45950</v>
      </c>
      <c r="H2615">
        <v>3031982970</v>
      </c>
      <c r="I2615" t="s">
        <v>21</v>
      </c>
      <c r="K2615" t="s">
        <v>22</v>
      </c>
      <c r="L2615" t="s">
        <v>23</v>
      </c>
      <c r="M2615" t="s">
        <v>24</v>
      </c>
      <c r="N2615" t="s">
        <v>24</v>
      </c>
      <c r="O2615" t="s">
        <v>25</v>
      </c>
      <c r="P2615" s="8" t="s">
        <v>3254</v>
      </c>
      <c r="Q2615" s="11"/>
      <c r="R2615" s="11"/>
      <c r="S2615" s="11"/>
      <c r="T2615" s="11"/>
      <c r="U2615" s="11"/>
      <c r="V2615" s="11"/>
      <c r="W2615" s="11"/>
      <c r="X2615" s="11"/>
      <c r="Y2615" s="11"/>
      <c r="Z2615" s="11"/>
      <c r="AA2615" s="11"/>
      <c r="AB2615" s="11"/>
      <c r="AC2615" s="11"/>
      <c r="AD2615" s="11"/>
      <c r="AE2615" s="11"/>
      <c r="AF2615" s="11"/>
      <c r="AG2615" s="11"/>
      <c r="AH2615" s="11"/>
      <c r="AI2615" s="11"/>
      <c r="AJ2615" s="11"/>
      <c r="AK2615" s="11"/>
      <c r="AL2615" s="11"/>
      <c r="AM2615" s="11"/>
      <c r="AN2615" s="11"/>
      <c r="AO2615" s="11"/>
      <c r="AP2615" s="11"/>
      <c r="AQ2615" s="11"/>
      <c r="AR2615" s="11"/>
      <c r="AS2615" s="11"/>
      <c r="AT2615" s="11"/>
      <c r="AU2615" s="11"/>
      <c r="AV2615" s="11"/>
      <c r="AW2615" s="11"/>
      <c r="AX2615" s="11"/>
      <c r="AY2615" s="11"/>
    </row>
    <row r="2616" spans="1:51" hidden="1" x14ac:dyDescent="0.2">
      <c r="A2616" s="6" t="s">
        <v>17</v>
      </c>
      <c r="B2616" t="s">
        <v>878</v>
      </c>
      <c r="C2616" t="s">
        <v>879</v>
      </c>
      <c r="D2616" t="s">
        <v>3255</v>
      </c>
      <c r="E2616" s="2">
        <v>742.12</v>
      </c>
      <c r="F2616" s="3">
        <f t="shared" si="232"/>
        <v>45950</v>
      </c>
      <c r="G2616" s="3">
        <f t="shared" si="232"/>
        <v>45950</v>
      </c>
      <c r="H2616">
        <v>3031982971</v>
      </c>
      <c r="I2616" t="s">
        <v>21</v>
      </c>
      <c r="K2616" t="s">
        <v>22</v>
      </c>
      <c r="L2616" t="s">
        <v>23</v>
      </c>
      <c r="M2616" t="s">
        <v>24</v>
      </c>
      <c r="N2616" t="s">
        <v>24</v>
      </c>
      <c r="O2616" t="s">
        <v>25</v>
      </c>
      <c r="P2616" s="8" t="s">
        <v>3256</v>
      </c>
      <c r="Q2616" s="11"/>
      <c r="R2616" s="11"/>
      <c r="S2616" s="11"/>
      <c r="T2616" s="11"/>
      <c r="U2616" s="11"/>
      <c r="V2616" s="11"/>
      <c r="W2616" s="11"/>
      <c r="X2616" s="11"/>
      <c r="Y2616" s="11"/>
      <c r="Z2616" s="11"/>
      <c r="AA2616" s="11"/>
      <c r="AB2616" s="11"/>
      <c r="AC2616" s="11"/>
      <c r="AD2616" s="11"/>
      <c r="AE2616" s="11"/>
      <c r="AF2616" s="11"/>
      <c r="AG2616" s="11"/>
      <c r="AH2616" s="11"/>
      <c r="AI2616" s="11"/>
      <c r="AJ2616" s="11"/>
      <c r="AK2616" s="11"/>
      <c r="AL2616" s="11"/>
      <c r="AM2616" s="11"/>
      <c r="AN2616" s="11"/>
      <c r="AO2616" s="11"/>
      <c r="AP2616" s="11"/>
      <c r="AQ2616" s="11"/>
      <c r="AR2616" s="11"/>
      <c r="AS2616" s="11"/>
      <c r="AT2616" s="11"/>
      <c r="AU2616" s="11"/>
      <c r="AV2616" s="11"/>
      <c r="AW2616" s="11"/>
      <c r="AX2616" s="11"/>
      <c r="AY2616" s="11"/>
    </row>
    <row r="2617" spans="1:51" hidden="1" x14ac:dyDescent="0.2">
      <c r="A2617" s="6" t="s">
        <v>17</v>
      </c>
      <c r="B2617" t="s">
        <v>589</v>
      </c>
      <c r="C2617" t="s">
        <v>590</v>
      </c>
      <c r="D2617" t="s">
        <v>3257</v>
      </c>
      <c r="E2617" s="2">
        <v>116.97</v>
      </c>
      <c r="F2617" s="3">
        <f t="shared" si="232"/>
        <v>45950</v>
      </c>
      <c r="G2617" s="3">
        <f t="shared" si="232"/>
        <v>45950</v>
      </c>
      <c r="H2617">
        <v>3031986489</v>
      </c>
      <c r="I2617" t="s">
        <v>192</v>
      </c>
      <c r="K2617" t="s">
        <v>22</v>
      </c>
      <c r="L2617" t="s">
        <v>23</v>
      </c>
      <c r="M2617" t="s">
        <v>24</v>
      </c>
      <c r="N2617" t="s">
        <v>24</v>
      </c>
      <c r="O2617" t="s">
        <v>25</v>
      </c>
      <c r="P2617" s="8" t="s">
        <v>3258</v>
      </c>
      <c r="Q2617" s="11"/>
      <c r="R2617" s="11"/>
      <c r="S2617" s="11"/>
      <c r="T2617" s="11"/>
      <c r="U2617" s="11"/>
      <c r="V2617" s="11"/>
      <c r="W2617" s="11"/>
      <c r="X2617" s="11"/>
      <c r="Y2617" s="11"/>
      <c r="Z2617" s="11"/>
      <c r="AA2617" s="11"/>
      <c r="AB2617" s="11"/>
      <c r="AC2617" s="11"/>
      <c r="AD2617" s="11"/>
      <c r="AE2617" s="11"/>
      <c r="AF2617" s="11"/>
      <c r="AG2617" s="11"/>
      <c r="AH2617" s="11"/>
      <c r="AI2617" s="11"/>
      <c r="AJ2617" s="11"/>
      <c r="AK2617" s="11"/>
      <c r="AL2617" s="11"/>
      <c r="AM2617" s="11"/>
      <c r="AN2617" s="11"/>
      <c r="AO2617" s="11"/>
      <c r="AP2617" s="11"/>
      <c r="AQ2617" s="11"/>
      <c r="AR2617" s="11"/>
      <c r="AS2617" s="11"/>
      <c r="AT2617" s="11"/>
      <c r="AU2617" s="11"/>
      <c r="AV2617" s="11"/>
      <c r="AW2617" s="11"/>
      <c r="AX2617" s="11"/>
      <c r="AY2617" s="11"/>
    </row>
    <row r="2618" spans="1:51" hidden="1" x14ac:dyDescent="0.2">
      <c r="A2618" s="6" t="s">
        <v>17</v>
      </c>
      <c r="B2618" t="s">
        <v>173</v>
      </c>
      <c r="C2618" t="s">
        <v>154</v>
      </c>
      <c r="D2618" t="s">
        <v>3259</v>
      </c>
      <c r="E2618" s="2">
        <v>61.16</v>
      </c>
      <c r="F2618" s="3">
        <f t="shared" si="232"/>
        <v>45950</v>
      </c>
      <c r="G2618" s="3">
        <f t="shared" si="232"/>
        <v>45950</v>
      </c>
      <c r="H2618">
        <v>3031986490</v>
      </c>
      <c r="I2618" t="s">
        <v>192</v>
      </c>
      <c r="K2618" t="s">
        <v>22</v>
      </c>
      <c r="L2618" t="s">
        <v>23</v>
      </c>
      <c r="M2618" t="s">
        <v>24</v>
      </c>
      <c r="N2618" t="s">
        <v>24</v>
      </c>
      <c r="O2618" t="s">
        <v>25</v>
      </c>
      <c r="P2618" s="8" t="s">
        <v>3260</v>
      </c>
      <c r="Q2618" s="11"/>
      <c r="R2618" s="11"/>
      <c r="S2618" s="11"/>
      <c r="T2618" s="11"/>
      <c r="U2618" s="11"/>
      <c r="V2618" s="11"/>
      <c r="W2618" s="11"/>
      <c r="X2618" s="11"/>
      <c r="Y2618" s="11"/>
      <c r="Z2618" s="11"/>
      <c r="AA2618" s="11"/>
      <c r="AB2618" s="11"/>
      <c r="AC2618" s="11"/>
      <c r="AD2618" s="11"/>
      <c r="AE2618" s="11"/>
      <c r="AF2618" s="11"/>
      <c r="AG2618" s="11"/>
      <c r="AH2618" s="11"/>
      <c r="AI2618" s="11"/>
      <c r="AJ2618" s="11"/>
      <c r="AK2618" s="11"/>
      <c r="AL2618" s="11"/>
      <c r="AM2618" s="11"/>
      <c r="AN2618" s="11"/>
      <c r="AO2618" s="11"/>
      <c r="AP2618" s="11"/>
      <c r="AQ2618" s="11"/>
      <c r="AR2618" s="11"/>
      <c r="AS2618" s="11"/>
      <c r="AT2618" s="11"/>
      <c r="AU2618" s="11"/>
      <c r="AV2618" s="11"/>
      <c r="AW2618" s="11"/>
      <c r="AX2618" s="11"/>
      <c r="AY2618" s="11"/>
    </row>
    <row r="2619" spans="1:51" hidden="1" x14ac:dyDescent="0.2">
      <c r="A2619" s="6"/>
      <c r="E2619" s="2"/>
      <c r="F2619" s="3"/>
      <c r="G2619" s="3"/>
      <c r="P2619" s="8"/>
      <c r="Q2619" s="11"/>
      <c r="R2619" s="11"/>
      <c r="S2619" s="11"/>
      <c r="T2619" s="11"/>
      <c r="U2619" s="11"/>
      <c r="V2619" s="11"/>
      <c r="W2619" s="11"/>
      <c r="X2619" s="11"/>
      <c r="Y2619" s="11"/>
      <c r="Z2619" s="11"/>
      <c r="AA2619" s="11"/>
      <c r="AB2619" s="11"/>
      <c r="AC2619" s="11"/>
      <c r="AD2619" s="11"/>
      <c r="AE2619" s="11"/>
      <c r="AF2619" s="11"/>
      <c r="AG2619" s="11"/>
      <c r="AH2619" s="11"/>
      <c r="AI2619" s="11"/>
      <c r="AJ2619" s="11"/>
      <c r="AK2619" s="11"/>
      <c r="AL2619" s="11"/>
      <c r="AM2619" s="11"/>
      <c r="AN2619" s="11"/>
      <c r="AO2619" s="11"/>
      <c r="AP2619" s="11"/>
      <c r="AQ2619" s="11"/>
      <c r="AR2619" s="11"/>
      <c r="AS2619" s="11"/>
      <c r="AT2619" s="11"/>
      <c r="AU2619" s="11"/>
      <c r="AV2619" s="11"/>
      <c r="AW2619" s="11"/>
      <c r="AX2619" s="11"/>
      <c r="AY2619" s="11"/>
    </row>
    <row r="2620" spans="1:51" hidden="1" x14ac:dyDescent="0.2">
      <c r="A2620" s="6" t="s">
        <v>17</v>
      </c>
      <c r="B2620" t="s">
        <v>565</v>
      </c>
      <c r="C2620" t="s">
        <v>566</v>
      </c>
      <c r="D2620" t="s">
        <v>3261</v>
      </c>
      <c r="E2620" s="2">
        <v>794.86</v>
      </c>
      <c r="F2620" s="3">
        <f>DATE(2025,10,21)</f>
        <v>45951</v>
      </c>
      <c r="G2620" s="3">
        <f>DATE(2025,10,21)</f>
        <v>45951</v>
      </c>
      <c r="H2620">
        <v>3041169773</v>
      </c>
      <c r="I2620" t="s">
        <v>21</v>
      </c>
      <c r="K2620" t="s">
        <v>22</v>
      </c>
      <c r="L2620" t="s">
        <v>23</v>
      </c>
      <c r="M2620" t="s">
        <v>24</v>
      </c>
      <c r="N2620" t="s">
        <v>24</v>
      </c>
      <c r="O2620" t="s">
        <v>25</v>
      </c>
      <c r="P2620" s="8" t="s">
        <v>3262</v>
      </c>
      <c r="Q2620" s="11"/>
      <c r="R2620" s="11"/>
      <c r="S2620" s="11"/>
      <c r="T2620" s="11"/>
      <c r="U2620" s="11"/>
      <c r="V2620" s="11"/>
      <c r="W2620" s="11"/>
      <c r="X2620" s="11"/>
      <c r="Y2620" s="11"/>
      <c r="Z2620" s="11"/>
      <c r="AA2620" s="11"/>
      <c r="AB2620" s="11"/>
      <c r="AC2620" s="11"/>
      <c r="AD2620" s="11"/>
      <c r="AE2620" s="11"/>
      <c r="AF2620" s="11"/>
      <c r="AG2620" s="11"/>
      <c r="AH2620" s="11"/>
      <c r="AI2620" s="11"/>
      <c r="AJ2620" s="11"/>
      <c r="AK2620" s="11"/>
      <c r="AL2620" s="11"/>
      <c r="AM2620" s="11"/>
      <c r="AN2620" s="11"/>
      <c r="AO2620" s="11"/>
      <c r="AP2620" s="11"/>
      <c r="AQ2620" s="11"/>
      <c r="AR2620" s="11"/>
      <c r="AS2620" s="11"/>
      <c r="AT2620" s="11"/>
      <c r="AU2620" s="11"/>
      <c r="AV2620" s="11"/>
      <c r="AW2620" s="11"/>
      <c r="AX2620" s="11"/>
      <c r="AY2620" s="11"/>
    </row>
    <row r="2621" spans="1:51" hidden="1" x14ac:dyDescent="0.2">
      <c r="A2621" s="6"/>
      <c r="E2621" s="2"/>
      <c r="F2621" s="3"/>
      <c r="G2621" s="3"/>
      <c r="P2621" s="8"/>
      <c r="Q2621" s="11"/>
      <c r="R2621" s="11"/>
      <c r="S2621" s="11"/>
      <c r="T2621" s="11"/>
      <c r="U2621" s="11"/>
      <c r="V2621" s="11"/>
      <c r="W2621" s="11"/>
      <c r="X2621" s="11"/>
      <c r="Y2621" s="11"/>
      <c r="Z2621" s="11"/>
      <c r="AA2621" s="11"/>
      <c r="AB2621" s="11"/>
      <c r="AC2621" s="11"/>
      <c r="AD2621" s="11"/>
      <c r="AE2621" s="11"/>
      <c r="AF2621" s="11"/>
      <c r="AG2621" s="11"/>
      <c r="AH2621" s="11"/>
      <c r="AI2621" s="11"/>
      <c r="AJ2621" s="11"/>
      <c r="AK2621" s="11"/>
      <c r="AL2621" s="11"/>
      <c r="AM2621" s="11"/>
      <c r="AN2621" s="11"/>
      <c r="AO2621" s="11"/>
      <c r="AP2621" s="11"/>
      <c r="AQ2621" s="11"/>
      <c r="AR2621" s="11"/>
      <c r="AS2621" s="11"/>
      <c r="AT2621" s="11"/>
      <c r="AU2621" s="11"/>
      <c r="AV2621" s="11"/>
      <c r="AW2621" s="11"/>
      <c r="AX2621" s="11"/>
      <c r="AY2621" s="11"/>
    </row>
    <row r="2622" spans="1:51" hidden="1" x14ac:dyDescent="0.2">
      <c r="A2622" s="6"/>
      <c r="E2622" s="2"/>
      <c r="F2622" s="3"/>
      <c r="G2622" s="3"/>
      <c r="P2622" s="8"/>
      <c r="Q2622" s="11"/>
      <c r="R2622" s="11"/>
      <c r="S2622" s="11"/>
      <c r="T2622" s="11"/>
      <c r="U2622" s="11"/>
      <c r="V2622" s="11"/>
      <c r="W2622" s="11"/>
      <c r="X2622" s="11"/>
      <c r="Y2622" s="11"/>
      <c r="Z2622" s="11"/>
      <c r="AA2622" s="11"/>
      <c r="AB2622" s="11"/>
      <c r="AC2622" s="11"/>
      <c r="AD2622" s="11"/>
      <c r="AE2622" s="11"/>
      <c r="AF2622" s="11"/>
      <c r="AG2622" s="11"/>
      <c r="AH2622" s="11"/>
      <c r="AI2622" s="11"/>
      <c r="AJ2622" s="11"/>
      <c r="AK2622" s="11"/>
      <c r="AL2622" s="11"/>
      <c r="AM2622" s="11"/>
      <c r="AN2622" s="11"/>
      <c r="AO2622" s="11"/>
      <c r="AP2622" s="11"/>
      <c r="AQ2622" s="11"/>
      <c r="AR2622" s="11"/>
      <c r="AS2622" s="11"/>
      <c r="AT2622" s="11"/>
      <c r="AU2622" s="11"/>
      <c r="AV2622" s="11"/>
      <c r="AW2622" s="11"/>
      <c r="AX2622" s="11"/>
      <c r="AY2622" s="11"/>
    </row>
    <row r="2623" spans="1:51" hidden="1" x14ac:dyDescent="0.2">
      <c r="A2623" s="6"/>
      <c r="E2623" s="2"/>
      <c r="F2623" s="3"/>
      <c r="G2623" s="3"/>
      <c r="P2623" s="8"/>
      <c r="Q2623" s="11"/>
      <c r="R2623" s="11"/>
      <c r="S2623" s="11"/>
      <c r="T2623" s="11"/>
      <c r="U2623" s="11"/>
      <c r="V2623" s="11"/>
      <c r="W2623" s="11"/>
      <c r="X2623" s="11"/>
      <c r="Y2623" s="11"/>
      <c r="Z2623" s="11"/>
      <c r="AA2623" s="11"/>
      <c r="AB2623" s="11"/>
      <c r="AC2623" s="11"/>
      <c r="AD2623" s="11"/>
      <c r="AE2623" s="11"/>
      <c r="AF2623" s="11"/>
      <c r="AG2623" s="11"/>
      <c r="AH2623" s="11"/>
      <c r="AI2623" s="11"/>
      <c r="AJ2623" s="11"/>
      <c r="AK2623" s="11"/>
      <c r="AL2623" s="11"/>
      <c r="AM2623" s="11"/>
      <c r="AN2623" s="11"/>
      <c r="AO2623" s="11"/>
      <c r="AP2623" s="11"/>
      <c r="AQ2623" s="11"/>
      <c r="AR2623" s="11"/>
      <c r="AS2623" s="11"/>
      <c r="AT2623" s="11"/>
      <c r="AU2623" s="11"/>
      <c r="AV2623" s="11"/>
      <c r="AW2623" s="11"/>
      <c r="AX2623" s="11"/>
      <c r="AY2623" s="11"/>
    </row>
    <row r="2624" spans="1:51" hidden="1" x14ac:dyDescent="0.2">
      <c r="A2624" s="6" t="s">
        <v>17</v>
      </c>
      <c r="B2624" t="s">
        <v>46</v>
      </c>
      <c r="C2624" t="s">
        <v>47</v>
      </c>
      <c r="D2624" t="s">
        <v>3263</v>
      </c>
      <c r="E2624" s="2">
        <v>142.55000000000001</v>
      </c>
      <c r="F2624" s="3">
        <f>DATE(2025,10,20)</f>
        <v>45950</v>
      </c>
      <c r="G2624" s="3">
        <f>DATE(2025,10,20)</f>
        <v>45950</v>
      </c>
      <c r="H2624">
        <v>3041196724</v>
      </c>
      <c r="I2624" t="s">
        <v>192</v>
      </c>
      <c r="K2624" t="s">
        <v>22</v>
      </c>
      <c r="L2624" t="s">
        <v>23</v>
      </c>
      <c r="M2624" t="s">
        <v>24</v>
      </c>
      <c r="N2624" t="s">
        <v>24</v>
      </c>
      <c r="O2624" t="s">
        <v>25</v>
      </c>
      <c r="P2624" s="8" t="s">
        <v>3264</v>
      </c>
      <c r="Q2624" s="11"/>
      <c r="R2624" s="11"/>
      <c r="S2624" s="11"/>
      <c r="T2624" s="11"/>
      <c r="U2624" s="11"/>
      <c r="V2624" s="11"/>
      <c r="W2624" s="11"/>
      <c r="X2624" s="11"/>
      <c r="Y2624" s="11"/>
      <c r="Z2624" s="11"/>
      <c r="AA2624" s="11"/>
      <c r="AB2624" s="11"/>
      <c r="AC2624" s="11"/>
      <c r="AD2624" s="11"/>
      <c r="AE2624" s="11"/>
      <c r="AF2624" s="11"/>
      <c r="AG2624" s="11"/>
      <c r="AH2624" s="11"/>
      <c r="AI2624" s="11"/>
      <c r="AJ2624" s="11"/>
      <c r="AK2624" s="11"/>
      <c r="AL2624" s="11"/>
      <c r="AM2624" s="11"/>
      <c r="AN2624" s="11"/>
      <c r="AO2624" s="11"/>
      <c r="AP2624" s="11"/>
      <c r="AQ2624" s="11"/>
      <c r="AR2624" s="11"/>
      <c r="AS2624" s="11"/>
      <c r="AT2624" s="11"/>
      <c r="AU2624" s="11"/>
      <c r="AV2624" s="11"/>
      <c r="AW2624" s="11"/>
      <c r="AX2624" s="11"/>
      <c r="AY2624" s="11"/>
    </row>
    <row r="2625" spans="1:51" hidden="1" x14ac:dyDescent="0.2">
      <c r="A2625" s="6" t="s">
        <v>17</v>
      </c>
      <c r="B2625" t="s">
        <v>287</v>
      </c>
      <c r="C2625" t="s">
        <v>288</v>
      </c>
      <c r="D2625" t="s">
        <v>3265</v>
      </c>
      <c r="E2625" s="2">
        <v>648</v>
      </c>
      <c r="F2625" s="3">
        <f>DATE(2025,10,22)</f>
        <v>45952</v>
      </c>
      <c r="G2625" s="3">
        <f>DATE(2025,10,22)</f>
        <v>45952</v>
      </c>
      <c r="H2625">
        <v>3052553489</v>
      </c>
      <c r="I2625" t="s">
        <v>21</v>
      </c>
      <c r="K2625" t="s">
        <v>22</v>
      </c>
      <c r="L2625" t="s">
        <v>23</v>
      </c>
      <c r="M2625" t="s">
        <v>24</v>
      </c>
      <c r="N2625" t="s">
        <v>24</v>
      </c>
      <c r="O2625" t="s">
        <v>25</v>
      </c>
      <c r="P2625" s="8" t="s">
        <v>3266</v>
      </c>
      <c r="Q2625" s="11"/>
      <c r="R2625" s="11"/>
      <c r="S2625" s="11"/>
      <c r="T2625" s="11"/>
      <c r="U2625" s="11"/>
      <c r="V2625" s="11"/>
      <c r="W2625" s="11"/>
      <c r="X2625" s="11"/>
      <c r="Y2625" s="11"/>
      <c r="Z2625" s="11"/>
      <c r="AA2625" s="11"/>
      <c r="AB2625" s="11"/>
      <c r="AC2625" s="11"/>
      <c r="AD2625" s="11"/>
      <c r="AE2625" s="11"/>
      <c r="AF2625" s="11"/>
      <c r="AG2625" s="11"/>
      <c r="AH2625" s="11"/>
      <c r="AI2625" s="11"/>
      <c r="AJ2625" s="11"/>
      <c r="AK2625" s="11"/>
      <c r="AL2625" s="11"/>
      <c r="AM2625" s="11"/>
      <c r="AN2625" s="11"/>
      <c r="AO2625" s="11"/>
      <c r="AP2625" s="11"/>
      <c r="AQ2625" s="11"/>
      <c r="AR2625" s="11"/>
      <c r="AS2625" s="11"/>
      <c r="AT2625" s="11"/>
      <c r="AU2625" s="11"/>
      <c r="AV2625" s="11"/>
      <c r="AW2625" s="11"/>
      <c r="AX2625" s="11"/>
      <c r="AY2625" s="11"/>
    </row>
    <row r="2626" spans="1:51" hidden="1" x14ac:dyDescent="0.2">
      <c r="A2626" s="6" t="s">
        <v>17</v>
      </c>
      <c r="B2626" t="s">
        <v>255</v>
      </c>
      <c r="C2626" t="s">
        <v>255</v>
      </c>
      <c r="D2626" t="s">
        <v>3267</v>
      </c>
      <c r="E2626" s="2">
        <v>126.62</v>
      </c>
      <c r="F2626" s="3">
        <f>DATE(2025,10,23)</f>
        <v>45953</v>
      </c>
      <c r="G2626" s="3">
        <f>DATE(2025,10,23)</f>
        <v>45953</v>
      </c>
      <c r="H2626">
        <v>3052553490</v>
      </c>
      <c r="I2626" t="s">
        <v>21</v>
      </c>
      <c r="K2626" t="s">
        <v>22</v>
      </c>
      <c r="L2626" t="s">
        <v>23</v>
      </c>
      <c r="M2626" t="s">
        <v>24</v>
      </c>
      <c r="N2626" t="s">
        <v>24</v>
      </c>
      <c r="O2626" t="s">
        <v>25</v>
      </c>
      <c r="P2626" s="8" t="s">
        <v>3268</v>
      </c>
      <c r="Q2626" s="11"/>
      <c r="R2626" s="11"/>
      <c r="S2626" s="11"/>
      <c r="T2626" s="11"/>
      <c r="U2626" s="11"/>
      <c r="V2626" s="11"/>
      <c r="W2626" s="11"/>
      <c r="X2626" s="11"/>
      <c r="Y2626" s="11"/>
      <c r="Z2626" s="11"/>
      <c r="AA2626" s="11"/>
      <c r="AB2626" s="11"/>
      <c r="AC2626" s="11"/>
      <c r="AD2626" s="11"/>
      <c r="AE2626" s="11"/>
      <c r="AF2626" s="11"/>
      <c r="AG2626" s="11"/>
      <c r="AH2626" s="11"/>
      <c r="AI2626" s="11"/>
      <c r="AJ2626" s="11"/>
      <c r="AK2626" s="11"/>
      <c r="AL2626" s="11"/>
      <c r="AM2626" s="11"/>
      <c r="AN2626" s="11"/>
      <c r="AO2626" s="11"/>
      <c r="AP2626" s="11"/>
      <c r="AQ2626" s="11"/>
      <c r="AR2626" s="11"/>
      <c r="AS2626" s="11"/>
      <c r="AT2626" s="11"/>
      <c r="AU2626" s="11"/>
      <c r="AV2626" s="11"/>
      <c r="AW2626" s="11"/>
      <c r="AX2626" s="11"/>
      <c r="AY2626" s="11"/>
    </row>
    <row r="2627" spans="1:51" hidden="1" x14ac:dyDescent="0.2">
      <c r="A2627" s="6" t="s">
        <v>17</v>
      </c>
      <c r="B2627" t="s">
        <v>90</v>
      </c>
      <c r="C2627" t="s">
        <v>91</v>
      </c>
      <c r="D2627" t="s">
        <v>3269</v>
      </c>
      <c r="E2627" s="2">
        <v>50</v>
      </c>
      <c r="F2627" s="3">
        <f>DATE(2025,10,21)</f>
        <v>45951</v>
      </c>
      <c r="G2627" s="3">
        <f>DATE(2025,10,21)</f>
        <v>45951</v>
      </c>
      <c r="H2627">
        <v>3052553491</v>
      </c>
      <c r="I2627" t="s">
        <v>21</v>
      </c>
      <c r="K2627" t="s">
        <v>22</v>
      </c>
      <c r="L2627" t="s">
        <v>23</v>
      </c>
      <c r="M2627" t="s">
        <v>24</v>
      </c>
      <c r="N2627" t="s">
        <v>24</v>
      </c>
      <c r="O2627" t="s">
        <v>25</v>
      </c>
      <c r="P2627" s="8" t="s">
        <v>3270</v>
      </c>
      <c r="Q2627" s="11"/>
      <c r="R2627" s="11"/>
      <c r="S2627" s="11"/>
      <c r="T2627" s="11"/>
      <c r="U2627" s="11"/>
      <c r="V2627" s="11"/>
      <c r="W2627" s="11"/>
      <c r="X2627" s="11"/>
      <c r="Y2627" s="11"/>
      <c r="Z2627" s="11"/>
      <c r="AA2627" s="11"/>
      <c r="AB2627" s="11"/>
      <c r="AC2627" s="11"/>
      <c r="AD2627" s="11"/>
      <c r="AE2627" s="11"/>
      <c r="AF2627" s="11"/>
      <c r="AG2627" s="11"/>
      <c r="AH2627" s="11"/>
      <c r="AI2627" s="11"/>
      <c r="AJ2627" s="11"/>
      <c r="AK2627" s="11"/>
      <c r="AL2627" s="11"/>
      <c r="AM2627" s="11"/>
      <c r="AN2627" s="11"/>
      <c r="AO2627" s="11"/>
      <c r="AP2627" s="11"/>
      <c r="AQ2627" s="11"/>
      <c r="AR2627" s="11"/>
      <c r="AS2627" s="11"/>
      <c r="AT2627" s="11"/>
      <c r="AU2627" s="11"/>
      <c r="AV2627" s="11"/>
      <c r="AW2627" s="11"/>
      <c r="AX2627" s="11"/>
      <c r="AY2627" s="11"/>
    </row>
    <row r="2628" spans="1:51" hidden="1" x14ac:dyDescent="0.2">
      <c r="A2628" s="6" t="s">
        <v>17</v>
      </c>
      <c r="B2628" t="s">
        <v>18</v>
      </c>
      <c r="C2628" t="s">
        <v>19</v>
      </c>
      <c r="D2628" t="s">
        <v>3271</v>
      </c>
      <c r="E2628" s="2">
        <v>0.35</v>
      </c>
      <c r="F2628" s="3">
        <f>DATE(2025,10,22)</f>
        <v>45952</v>
      </c>
      <c r="G2628" s="3">
        <f>DATE(2025,10,22)</f>
        <v>45952</v>
      </c>
      <c r="H2628">
        <v>3052553492</v>
      </c>
      <c r="I2628" t="s">
        <v>21</v>
      </c>
      <c r="K2628" t="s">
        <v>22</v>
      </c>
      <c r="L2628" t="s">
        <v>23</v>
      </c>
      <c r="M2628" t="s">
        <v>24</v>
      </c>
      <c r="N2628" t="s">
        <v>24</v>
      </c>
      <c r="O2628" t="s">
        <v>25</v>
      </c>
      <c r="P2628" s="8" t="s">
        <v>3272</v>
      </c>
      <c r="Q2628" s="11"/>
      <c r="R2628" s="11"/>
      <c r="S2628" s="11"/>
      <c r="T2628" s="11"/>
      <c r="U2628" s="11"/>
      <c r="V2628" s="11"/>
      <c r="W2628" s="11"/>
      <c r="X2628" s="11"/>
      <c r="Y2628" s="11"/>
      <c r="Z2628" s="11"/>
      <c r="AA2628" s="11"/>
      <c r="AB2628" s="11"/>
      <c r="AC2628" s="11"/>
      <c r="AD2628" s="11"/>
      <c r="AE2628" s="11"/>
      <c r="AF2628" s="11"/>
      <c r="AG2628" s="11"/>
      <c r="AH2628" s="11"/>
      <c r="AI2628" s="11"/>
      <c r="AJ2628" s="11"/>
      <c r="AK2628" s="11"/>
      <c r="AL2628" s="11"/>
      <c r="AM2628" s="11"/>
      <c r="AN2628" s="11"/>
      <c r="AO2628" s="11"/>
      <c r="AP2628" s="11"/>
      <c r="AQ2628" s="11"/>
      <c r="AR2628" s="11"/>
      <c r="AS2628" s="11"/>
      <c r="AT2628" s="11"/>
      <c r="AU2628" s="11"/>
      <c r="AV2628" s="11"/>
      <c r="AW2628" s="11"/>
      <c r="AX2628" s="11"/>
      <c r="AY2628" s="11"/>
    </row>
    <row r="2629" spans="1:51" hidden="1" x14ac:dyDescent="0.2">
      <c r="A2629" s="6"/>
      <c r="E2629" s="2"/>
      <c r="F2629" s="3"/>
      <c r="G2629" s="3"/>
      <c r="P2629" s="8"/>
      <c r="Q2629" s="11"/>
      <c r="R2629" s="11"/>
      <c r="S2629" s="11"/>
      <c r="T2629" s="11"/>
      <c r="U2629" s="11"/>
      <c r="V2629" s="11"/>
      <c r="W2629" s="11"/>
      <c r="X2629" s="11"/>
      <c r="Y2629" s="11"/>
      <c r="Z2629" s="11"/>
      <c r="AA2629" s="11"/>
      <c r="AB2629" s="11"/>
      <c r="AC2629" s="11"/>
      <c r="AD2629" s="11"/>
      <c r="AE2629" s="11"/>
      <c r="AF2629" s="11"/>
      <c r="AG2629" s="11"/>
      <c r="AH2629" s="11"/>
      <c r="AI2629" s="11"/>
      <c r="AJ2629" s="11"/>
      <c r="AK2629" s="11"/>
      <c r="AL2629" s="11"/>
      <c r="AM2629" s="11"/>
      <c r="AN2629" s="11"/>
      <c r="AO2629" s="11"/>
      <c r="AP2629" s="11"/>
      <c r="AQ2629" s="11"/>
      <c r="AR2629" s="11"/>
      <c r="AS2629" s="11"/>
      <c r="AT2629" s="11"/>
      <c r="AU2629" s="11"/>
      <c r="AV2629" s="11"/>
      <c r="AW2629" s="11"/>
      <c r="AX2629" s="11"/>
      <c r="AY2629" s="11"/>
    </row>
    <row r="2630" spans="1:51" hidden="1" x14ac:dyDescent="0.2">
      <c r="A2630" s="6"/>
      <c r="E2630" s="2"/>
      <c r="F2630" s="3"/>
      <c r="G2630" s="3"/>
      <c r="P2630" s="8"/>
      <c r="Q2630" s="11"/>
      <c r="R2630" s="11"/>
      <c r="S2630" s="11"/>
      <c r="T2630" s="11"/>
      <c r="U2630" s="11"/>
      <c r="V2630" s="11"/>
      <c r="W2630" s="11"/>
      <c r="X2630" s="11"/>
      <c r="Y2630" s="11"/>
      <c r="Z2630" s="11"/>
      <c r="AA2630" s="11"/>
      <c r="AB2630" s="11"/>
      <c r="AC2630" s="11"/>
      <c r="AD2630" s="11"/>
      <c r="AE2630" s="11"/>
      <c r="AF2630" s="11"/>
      <c r="AG2630" s="11"/>
      <c r="AH2630" s="11"/>
      <c r="AI2630" s="11"/>
      <c r="AJ2630" s="11"/>
      <c r="AK2630" s="11"/>
      <c r="AL2630" s="11"/>
      <c r="AM2630" s="11"/>
      <c r="AN2630" s="11"/>
      <c r="AO2630" s="11"/>
      <c r="AP2630" s="11"/>
      <c r="AQ2630" s="11"/>
      <c r="AR2630" s="11"/>
      <c r="AS2630" s="11"/>
      <c r="AT2630" s="11"/>
      <c r="AU2630" s="11"/>
      <c r="AV2630" s="11"/>
      <c r="AW2630" s="11"/>
      <c r="AX2630" s="11"/>
      <c r="AY2630" s="11"/>
    </row>
    <row r="2631" spans="1:51" hidden="1" x14ac:dyDescent="0.2">
      <c r="A2631" s="6"/>
      <c r="E2631" s="2"/>
      <c r="F2631" s="3"/>
      <c r="G2631" s="3"/>
      <c r="P2631" s="8"/>
      <c r="Q2631" s="11"/>
      <c r="R2631" s="11"/>
      <c r="S2631" s="11"/>
      <c r="T2631" s="11"/>
      <c r="U2631" s="11"/>
      <c r="V2631" s="11"/>
      <c r="W2631" s="11"/>
      <c r="X2631" s="11"/>
      <c r="Y2631" s="11"/>
      <c r="Z2631" s="11"/>
      <c r="AA2631" s="11"/>
      <c r="AB2631" s="11"/>
      <c r="AC2631" s="11"/>
      <c r="AD2631" s="11"/>
      <c r="AE2631" s="11"/>
      <c r="AF2631" s="11"/>
      <c r="AG2631" s="11"/>
      <c r="AH2631" s="11"/>
      <c r="AI2631" s="11"/>
      <c r="AJ2631" s="11"/>
      <c r="AK2631" s="11"/>
      <c r="AL2631" s="11"/>
      <c r="AM2631" s="11"/>
      <c r="AN2631" s="11"/>
      <c r="AO2631" s="11"/>
      <c r="AP2631" s="11"/>
      <c r="AQ2631" s="11"/>
      <c r="AR2631" s="11"/>
      <c r="AS2631" s="11"/>
      <c r="AT2631" s="11"/>
      <c r="AU2631" s="11"/>
      <c r="AV2631" s="11"/>
      <c r="AW2631" s="11"/>
      <c r="AX2631" s="11"/>
      <c r="AY2631" s="11"/>
    </row>
    <row r="2632" spans="1:51" hidden="1" x14ac:dyDescent="0.2">
      <c r="A2632" s="6"/>
      <c r="E2632" s="2"/>
      <c r="F2632" s="3"/>
      <c r="G2632" s="3"/>
      <c r="P2632" s="8"/>
      <c r="Q2632" s="11"/>
      <c r="R2632" s="11"/>
      <c r="S2632" s="11"/>
      <c r="T2632" s="11"/>
      <c r="U2632" s="11"/>
      <c r="V2632" s="11"/>
      <c r="W2632" s="11"/>
      <c r="X2632" s="11"/>
      <c r="Y2632" s="11"/>
      <c r="Z2632" s="11"/>
      <c r="AA2632" s="11"/>
      <c r="AB2632" s="11"/>
      <c r="AC2632" s="11"/>
      <c r="AD2632" s="11"/>
      <c r="AE2632" s="11"/>
      <c r="AF2632" s="11"/>
      <c r="AG2632" s="11"/>
      <c r="AH2632" s="11"/>
      <c r="AI2632" s="11"/>
      <c r="AJ2632" s="11"/>
      <c r="AK2632" s="11"/>
      <c r="AL2632" s="11"/>
      <c r="AM2632" s="11"/>
      <c r="AN2632" s="11"/>
      <c r="AO2632" s="11"/>
      <c r="AP2632" s="11"/>
      <c r="AQ2632" s="11"/>
      <c r="AR2632" s="11"/>
      <c r="AS2632" s="11"/>
      <c r="AT2632" s="11"/>
      <c r="AU2632" s="11"/>
      <c r="AV2632" s="11"/>
      <c r="AW2632" s="11"/>
      <c r="AX2632" s="11"/>
      <c r="AY2632" s="11"/>
    </row>
    <row r="2633" spans="1:51" hidden="1" x14ac:dyDescent="0.2">
      <c r="A2633" s="6"/>
      <c r="E2633" s="2"/>
      <c r="F2633" s="3"/>
      <c r="G2633" s="3"/>
      <c r="P2633" s="8"/>
      <c r="Q2633" s="11"/>
      <c r="R2633" s="11"/>
      <c r="S2633" s="11"/>
      <c r="T2633" s="11"/>
      <c r="U2633" s="11"/>
      <c r="V2633" s="11"/>
      <c r="W2633" s="11"/>
      <c r="X2633" s="11"/>
      <c r="Y2633" s="11"/>
      <c r="Z2633" s="11"/>
      <c r="AA2633" s="11"/>
      <c r="AB2633" s="11"/>
      <c r="AC2633" s="11"/>
      <c r="AD2633" s="11"/>
      <c r="AE2633" s="11"/>
      <c r="AF2633" s="11"/>
      <c r="AG2633" s="11"/>
      <c r="AH2633" s="11"/>
      <c r="AI2633" s="11"/>
      <c r="AJ2633" s="11"/>
      <c r="AK2633" s="11"/>
      <c r="AL2633" s="11"/>
      <c r="AM2633" s="11"/>
      <c r="AN2633" s="11"/>
      <c r="AO2633" s="11"/>
      <c r="AP2633" s="11"/>
      <c r="AQ2633" s="11"/>
      <c r="AR2633" s="11"/>
      <c r="AS2633" s="11"/>
      <c r="AT2633" s="11"/>
      <c r="AU2633" s="11"/>
      <c r="AV2633" s="11"/>
      <c r="AW2633" s="11"/>
      <c r="AX2633" s="11"/>
      <c r="AY2633" s="11"/>
    </row>
    <row r="2634" spans="1:51" hidden="1" x14ac:dyDescent="0.2">
      <c r="A2634" s="6"/>
      <c r="E2634" s="2"/>
      <c r="F2634" s="3"/>
      <c r="G2634" s="3"/>
      <c r="P2634" s="8"/>
      <c r="Q2634" s="11"/>
      <c r="R2634" s="11"/>
      <c r="S2634" s="11"/>
      <c r="T2634" s="11"/>
      <c r="U2634" s="11"/>
      <c r="V2634" s="11"/>
      <c r="W2634" s="11"/>
      <c r="X2634" s="11"/>
      <c r="Y2634" s="11"/>
      <c r="Z2634" s="11"/>
      <c r="AA2634" s="11"/>
      <c r="AB2634" s="11"/>
      <c r="AC2634" s="11"/>
      <c r="AD2634" s="11"/>
      <c r="AE2634" s="11"/>
      <c r="AF2634" s="11"/>
      <c r="AG2634" s="11"/>
      <c r="AH2634" s="11"/>
      <c r="AI2634" s="11"/>
      <c r="AJ2634" s="11"/>
      <c r="AK2634" s="11"/>
      <c r="AL2634" s="11"/>
      <c r="AM2634" s="11"/>
      <c r="AN2634" s="11"/>
      <c r="AO2634" s="11"/>
      <c r="AP2634" s="11"/>
      <c r="AQ2634" s="11"/>
      <c r="AR2634" s="11"/>
      <c r="AS2634" s="11"/>
      <c r="AT2634" s="11"/>
      <c r="AU2634" s="11"/>
      <c r="AV2634" s="11"/>
      <c r="AW2634" s="11"/>
      <c r="AX2634" s="11"/>
      <c r="AY2634" s="11"/>
    </row>
    <row r="2635" spans="1:51" hidden="1" x14ac:dyDescent="0.2">
      <c r="A2635" s="6"/>
      <c r="E2635" s="2"/>
      <c r="F2635" s="3"/>
      <c r="G2635" s="3"/>
      <c r="P2635" s="8"/>
      <c r="Q2635" s="11"/>
      <c r="R2635" s="11"/>
      <c r="S2635" s="11"/>
      <c r="T2635" s="11"/>
      <c r="U2635" s="11"/>
      <c r="V2635" s="11"/>
      <c r="W2635" s="11"/>
      <c r="X2635" s="11"/>
      <c r="Y2635" s="11"/>
      <c r="Z2635" s="11"/>
      <c r="AA2635" s="11"/>
      <c r="AB2635" s="11"/>
      <c r="AC2635" s="11"/>
      <c r="AD2635" s="11"/>
      <c r="AE2635" s="11"/>
      <c r="AF2635" s="11"/>
      <c r="AG2635" s="11"/>
      <c r="AH2635" s="11"/>
      <c r="AI2635" s="11"/>
      <c r="AJ2635" s="11"/>
      <c r="AK2635" s="11"/>
      <c r="AL2635" s="11"/>
      <c r="AM2635" s="11"/>
      <c r="AN2635" s="11"/>
      <c r="AO2635" s="11"/>
      <c r="AP2635" s="11"/>
      <c r="AQ2635" s="11"/>
      <c r="AR2635" s="11"/>
      <c r="AS2635" s="11"/>
      <c r="AT2635" s="11"/>
      <c r="AU2635" s="11"/>
      <c r="AV2635" s="11"/>
      <c r="AW2635" s="11"/>
      <c r="AX2635" s="11"/>
      <c r="AY2635" s="11"/>
    </row>
    <row r="2636" spans="1:51" hidden="1" x14ac:dyDescent="0.2">
      <c r="A2636" s="6" t="s">
        <v>17</v>
      </c>
      <c r="B2636" t="s">
        <v>46</v>
      </c>
      <c r="C2636" t="s">
        <v>47</v>
      </c>
      <c r="D2636" t="s">
        <v>3273</v>
      </c>
      <c r="E2636" s="2">
        <v>720</v>
      </c>
      <c r="F2636" s="3">
        <f>DATE(2025,10,24)</f>
        <v>45954</v>
      </c>
      <c r="G2636" s="3">
        <f>DATE(2025,10,24)</f>
        <v>45954</v>
      </c>
      <c r="H2636">
        <v>3061631531</v>
      </c>
      <c r="I2636" t="s">
        <v>21</v>
      </c>
      <c r="K2636" t="s">
        <v>22</v>
      </c>
      <c r="L2636" t="s">
        <v>23</v>
      </c>
      <c r="M2636" t="s">
        <v>24</v>
      </c>
      <c r="N2636" t="s">
        <v>24</v>
      </c>
      <c r="O2636" t="s">
        <v>25</v>
      </c>
      <c r="P2636" s="8" t="s">
        <v>3274</v>
      </c>
      <c r="Q2636" s="11"/>
      <c r="R2636" s="11"/>
      <c r="S2636" s="11"/>
      <c r="T2636" s="11"/>
      <c r="U2636" s="11"/>
      <c r="V2636" s="11"/>
      <c r="W2636" s="11"/>
      <c r="X2636" s="11"/>
      <c r="Y2636" s="11"/>
      <c r="Z2636" s="11"/>
      <c r="AA2636" s="11"/>
      <c r="AB2636" s="11"/>
      <c r="AC2636" s="11"/>
      <c r="AD2636" s="11"/>
      <c r="AE2636" s="11"/>
      <c r="AF2636" s="11"/>
      <c r="AG2636" s="11"/>
      <c r="AH2636" s="11"/>
      <c r="AI2636" s="11"/>
      <c r="AJ2636" s="11"/>
      <c r="AK2636" s="11"/>
      <c r="AL2636" s="11"/>
      <c r="AM2636" s="11"/>
      <c r="AN2636" s="11"/>
      <c r="AO2636" s="11"/>
      <c r="AP2636" s="11"/>
      <c r="AQ2636" s="11"/>
      <c r="AR2636" s="11"/>
      <c r="AS2636" s="11"/>
      <c r="AT2636" s="11"/>
      <c r="AU2636" s="11"/>
      <c r="AV2636" s="11"/>
      <c r="AW2636" s="11"/>
      <c r="AX2636" s="11"/>
      <c r="AY2636" s="11"/>
    </row>
    <row r="2637" spans="1:51" hidden="1" x14ac:dyDescent="0.2">
      <c r="A2637" s="6"/>
      <c r="E2637" s="2"/>
      <c r="F2637" s="3"/>
      <c r="G2637" s="3"/>
      <c r="P2637" s="8"/>
      <c r="Q2637" s="11"/>
      <c r="R2637" s="11"/>
      <c r="S2637" s="11"/>
      <c r="T2637" s="11"/>
      <c r="U2637" s="11"/>
      <c r="V2637" s="11"/>
      <c r="W2637" s="11"/>
      <c r="X2637" s="11"/>
      <c r="Y2637" s="11"/>
      <c r="Z2637" s="11"/>
      <c r="AA2637" s="11"/>
      <c r="AB2637" s="11"/>
      <c r="AC2637" s="11"/>
      <c r="AD2637" s="11"/>
      <c r="AE2637" s="11"/>
      <c r="AF2637" s="11"/>
      <c r="AG2637" s="11"/>
      <c r="AH2637" s="11"/>
      <c r="AI2637" s="11"/>
      <c r="AJ2637" s="11"/>
      <c r="AK2637" s="11"/>
      <c r="AL2637" s="11"/>
      <c r="AM2637" s="11"/>
      <c r="AN2637" s="11"/>
      <c r="AO2637" s="11"/>
      <c r="AP2637" s="11"/>
      <c r="AQ2637" s="11"/>
      <c r="AR2637" s="11"/>
      <c r="AS2637" s="11"/>
      <c r="AT2637" s="11"/>
      <c r="AU2637" s="11"/>
      <c r="AV2637" s="11"/>
      <c r="AW2637" s="11"/>
      <c r="AX2637" s="11"/>
      <c r="AY2637" s="11"/>
    </row>
    <row r="2638" spans="1:51" hidden="1" x14ac:dyDescent="0.2">
      <c r="A2638" s="6"/>
      <c r="E2638" s="2"/>
      <c r="F2638" s="3"/>
      <c r="G2638" s="3"/>
      <c r="P2638" s="8"/>
      <c r="Q2638" s="11"/>
      <c r="R2638" s="11"/>
      <c r="S2638" s="11"/>
      <c r="T2638" s="11"/>
      <c r="U2638" s="11"/>
      <c r="V2638" s="11"/>
      <c r="W2638" s="11"/>
      <c r="X2638" s="11"/>
      <c r="Y2638" s="11"/>
      <c r="Z2638" s="11"/>
      <c r="AA2638" s="11"/>
      <c r="AB2638" s="11"/>
      <c r="AC2638" s="11"/>
      <c r="AD2638" s="11"/>
      <c r="AE2638" s="11"/>
      <c r="AF2638" s="11"/>
      <c r="AG2638" s="11"/>
      <c r="AH2638" s="11"/>
      <c r="AI2638" s="11"/>
      <c r="AJ2638" s="11"/>
      <c r="AK2638" s="11"/>
      <c r="AL2638" s="11"/>
      <c r="AM2638" s="11"/>
      <c r="AN2638" s="11"/>
      <c r="AO2638" s="11"/>
      <c r="AP2638" s="11"/>
      <c r="AQ2638" s="11"/>
      <c r="AR2638" s="11"/>
      <c r="AS2638" s="11"/>
      <c r="AT2638" s="11"/>
      <c r="AU2638" s="11"/>
      <c r="AV2638" s="11"/>
      <c r="AW2638" s="11"/>
      <c r="AX2638" s="11"/>
      <c r="AY2638" s="11"/>
    </row>
    <row r="2639" spans="1:51" hidden="1" x14ac:dyDescent="0.2">
      <c r="A2639" s="6"/>
      <c r="E2639" s="2"/>
      <c r="F2639" s="3"/>
      <c r="G2639" s="3"/>
      <c r="P2639" s="8"/>
      <c r="Q2639" s="11"/>
      <c r="R2639" s="11"/>
      <c r="S2639" s="11"/>
      <c r="T2639" s="11"/>
      <c r="U2639" s="11"/>
      <c r="V2639" s="11"/>
      <c r="W2639" s="11"/>
      <c r="X2639" s="11"/>
      <c r="Y2639" s="11"/>
      <c r="Z2639" s="11"/>
      <c r="AA2639" s="11"/>
      <c r="AB2639" s="11"/>
      <c r="AC2639" s="11"/>
      <c r="AD2639" s="11"/>
      <c r="AE2639" s="11"/>
      <c r="AF2639" s="11"/>
      <c r="AG2639" s="11"/>
      <c r="AH2639" s="11"/>
      <c r="AI2639" s="11"/>
      <c r="AJ2639" s="11"/>
      <c r="AK2639" s="11"/>
      <c r="AL2639" s="11"/>
      <c r="AM2639" s="11"/>
      <c r="AN2639" s="11"/>
      <c r="AO2639" s="11"/>
      <c r="AP2639" s="11"/>
      <c r="AQ2639" s="11"/>
      <c r="AR2639" s="11"/>
      <c r="AS2639" s="11"/>
      <c r="AT2639" s="11"/>
      <c r="AU2639" s="11"/>
      <c r="AV2639" s="11"/>
      <c r="AW2639" s="11"/>
      <c r="AX2639" s="11"/>
      <c r="AY2639" s="11"/>
    </row>
    <row r="2640" spans="1:51" hidden="1" x14ac:dyDescent="0.2">
      <c r="A2640" s="6" t="s">
        <v>17</v>
      </c>
      <c r="B2640" t="s">
        <v>31</v>
      </c>
      <c r="C2640" t="s">
        <v>32</v>
      </c>
      <c r="D2640" t="s">
        <v>3275</v>
      </c>
      <c r="E2640" s="2">
        <v>70.78</v>
      </c>
      <c r="F2640" s="3">
        <f>DATE(2025,10,24)</f>
        <v>45954</v>
      </c>
      <c r="G2640" s="3">
        <f>DATE(2025,10,24)</f>
        <v>45954</v>
      </c>
      <c r="H2640">
        <v>3061631535</v>
      </c>
      <c r="I2640" t="s">
        <v>21</v>
      </c>
      <c r="K2640" t="s">
        <v>22</v>
      </c>
      <c r="L2640" t="s">
        <v>23</v>
      </c>
      <c r="M2640" t="s">
        <v>24</v>
      </c>
      <c r="N2640" t="s">
        <v>24</v>
      </c>
      <c r="O2640" t="s">
        <v>25</v>
      </c>
      <c r="P2640" s="8" t="s">
        <v>3276</v>
      </c>
      <c r="Q2640" s="11"/>
      <c r="R2640" s="11"/>
      <c r="S2640" s="11"/>
      <c r="T2640" s="11"/>
      <c r="U2640" s="11"/>
      <c r="V2640" s="11"/>
      <c r="W2640" s="11"/>
      <c r="X2640" s="11"/>
      <c r="Y2640" s="11"/>
      <c r="Z2640" s="11"/>
      <c r="AA2640" s="11"/>
      <c r="AB2640" s="11"/>
      <c r="AC2640" s="11"/>
      <c r="AD2640" s="11"/>
      <c r="AE2640" s="11"/>
      <c r="AF2640" s="11"/>
      <c r="AG2640" s="11"/>
      <c r="AH2640" s="11"/>
      <c r="AI2640" s="11"/>
      <c r="AJ2640" s="11"/>
      <c r="AK2640" s="11"/>
      <c r="AL2640" s="11"/>
      <c r="AM2640" s="11"/>
      <c r="AN2640" s="11"/>
      <c r="AO2640" s="11"/>
      <c r="AP2640" s="11"/>
      <c r="AQ2640" s="11"/>
      <c r="AR2640" s="11"/>
      <c r="AS2640" s="11"/>
      <c r="AT2640" s="11"/>
      <c r="AU2640" s="11"/>
      <c r="AV2640" s="11"/>
      <c r="AW2640" s="11"/>
      <c r="AX2640" s="11"/>
      <c r="AY2640" s="11"/>
    </row>
    <row r="2641" spans="1:51" hidden="1" x14ac:dyDescent="0.2">
      <c r="A2641" s="6"/>
      <c r="E2641" s="2"/>
      <c r="F2641" s="3"/>
      <c r="G2641" s="3"/>
      <c r="P2641" s="8"/>
      <c r="Q2641" s="11"/>
      <c r="R2641" s="11"/>
      <c r="S2641" s="11"/>
      <c r="T2641" s="11"/>
      <c r="U2641" s="11"/>
      <c r="V2641" s="11"/>
      <c r="W2641" s="11"/>
      <c r="X2641" s="11"/>
      <c r="Y2641" s="11"/>
      <c r="Z2641" s="11"/>
      <c r="AA2641" s="11"/>
      <c r="AB2641" s="11"/>
      <c r="AC2641" s="11"/>
      <c r="AD2641" s="11"/>
      <c r="AE2641" s="11"/>
      <c r="AF2641" s="11"/>
      <c r="AG2641" s="11"/>
      <c r="AH2641" s="11"/>
      <c r="AI2641" s="11"/>
      <c r="AJ2641" s="11"/>
      <c r="AK2641" s="11"/>
      <c r="AL2641" s="11"/>
      <c r="AM2641" s="11"/>
      <c r="AN2641" s="11"/>
      <c r="AO2641" s="11"/>
      <c r="AP2641" s="11"/>
      <c r="AQ2641" s="11"/>
      <c r="AR2641" s="11"/>
      <c r="AS2641" s="11"/>
      <c r="AT2641" s="11"/>
      <c r="AU2641" s="11"/>
      <c r="AV2641" s="11"/>
      <c r="AW2641" s="11"/>
      <c r="AX2641" s="11"/>
      <c r="AY2641" s="11"/>
    </row>
    <row r="2642" spans="1:51" hidden="1" x14ac:dyDescent="0.2">
      <c r="A2642" s="6"/>
      <c r="E2642" s="2"/>
      <c r="F2642" s="3"/>
      <c r="G2642" s="3"/>
      <c r="P2642" s="8"/>
      <c r="Q2642" s="11"/>
      <c r="R2642" s="11"/>
      <c r="S2642" s="11"/>
      <c r="T2642" s="11"/>
      <c r="U2642" s="11"/>
      <c r="V2642" s="11"/>
      <c r="W2642" s="11"/>
      <c r="X2642" s="11"/>
      <c r="Y2642" s="11"/>
      <c r="Z2642" s="11"/>
      <c r="AA2642" s="11"/>
      <c r="AB2642" s="11"/>
      <c r="AC2642" s="11"/>
      <c r="AD2642" s="11"/>
      <c r="AE2642" s="11"/>
      <c r="AF2642" s="11"/>
      <c r="AG2642" s="11"/>
      <c r="AH2642" s="11"/>
      <c r="AI2642" s="11"/>
      <c r="AJ2642" s="11"/>
      <c r="AK2642" s="11"/>
      <c r="AL2642" s="11"/>
      <c r="AM2642" s="11"/>
      <c r="AN2642" s="11"/>
      <c r="AO2642" s="11"/>
      <c r="AP2642" s="11"/>
      <c r="AQ2642" s="11"/>
      <c r="AR2642" s="11"/>
      <c r="AS2642" s="11"/>
      <c r="AT2642" s="11"/>
      <c r="AU2642" s="11"/>
      <c r="AV2642" s="11"/>
      <c r="AW2642" s="11"/>
      <c r="AX2642" s="11"/>
      <c r="AY2642" s="11"/>
    </row>
    <row r="2643" spans="1:51" hidden="1" x14ac:dyDescent="0.2">
      <c r="A2643" s="6" t="s">
        <v>17</v>
      </c>
      <c r="B2643" t="s">
        <v>35</v>
      </c>
      <c r="C2643" t="s">
        <v>35</v>
      </c>
      <c r="D2643" t="s">
        <v>3277</v>
      </c>
      <c r="E2643" s="2">
        <v>0.43</v>
      </c>
      <c r="F2643" s="3">
        <f t="shared" ref="F2643:G2649" si="233">DATE(2025,10,23)</f>
        <v>45953</v>
      </c>
      <c r="G2643" s="3">
        <f t="shared" si="233"/>
        <v>45953</v>
      </c>
      <c r="H2643">
        <v>3061631538</v>
      </c>
      <c r="I2643" t="s">
        <v>21</v>
      </c>
      <c r="K2643" t="s">
        <v>22</v>
      </c>
      <c r="L2643" t="s">
        <v>23</v>
      </c>
      <c r="M2643" t="s">
        <v>24</v>
      </c>
      <c r="N2643" t="s">
        <v>24</v>
      </c>
      <c r="O2643" t="s">
        <v>25</v>
      </c>
      <c r="P2643" s="8" t="s">
        <v>3278</v>
      </c>
      <c r="Q2643" s="11"/>
      <c r="R2643" s="11"/>
      <c r="S2643" s="11"/>
      <c r="T2643" s="11"/>
      <c r="U2643" s="11"/>
      <c r="V2643" s="11"/>
      <c r="W2643" s="11"/>
      <c r="X2643" s="11"/>
      <c r="Y2643" s="11"/>
      <c r="Z2643" s="11"/>
      <c r="AA2643" s="11"/>
      <c r="AB2643" s="11"/>
      <c r="AC2643" s="11"/>
      <c r="AD2643" s="11"/>
      <c r="AE2643" s="11"/>
      <c r="AF2643" s="11"/>
      <c r="AG2643" s="11"/>
      <c r="AH2643" s="11"/>
      <c r="AI2643" s="11"/>
      <c r="AJ2643" s="11"/>
      <c r="AK2643" s="11"/>
      <c r="AL2643" s="11"/>
      <c r="AM2643" s="11"/>
      <c r="AN2643" s="11"/>
      <c r="AO2643" s="11"/>
      <c r="AP2643" s="11"/>
      <c r="AQ2643" s="11"/>
      <c r="AR2643" s="11"/>
      <c r="AS2643" s="11"/>
      <c r="AT2643" s="11"/>
      <c r="AU2643" s="11"/>
      <c r="AV2643" s="11"/>
      <c r="AW2643" s="11"/>
      <c r="AX2643" s="11"/>
      <c r="AY2643" s="11"/>
    </row>
    <row r="2644" spans="1:51" hidden="1" x14ac:dyDescent="0.2">
      <c r="A2644" s="6"/>
      <c r="E2644" s="2"/>
      <c r="F2644" s="3"/>
      <c r="G2644" s="3"/>
      <c r="P2644" s="8"/>
      <c r="Q2644" s="11"/>
      <c r="R2644" s="11"/>
      <c r="S2644" s="11"/>
      <c r="T2644" s="11"/>
      <c r="U2644" s="11"/>
      <c r="V2644" s="11"/>
      <c r="W2644" s="11"/>
      <c r="X2644" s="11"/>
      <c r="Y2644" s="11"/>
      <c r="Z2644" s="11"/>
      <c r="AA2644" s="11"/>
      <c r="AB2644" s="11"/>
      <c r="AC2644" s="11"/>
      <c r="AD2644" s="11"/>
      <c r="AE2644" s="11"/>
      <c r="AF2644" s="11"/>
      <c r="AG2644" s="11"/>
      <c r="AH2644" s="11"/>
      <c r="AI2644" s="11"/>
      <c r="AJ2644" s="11"/>
      <c r="AK2644" s="11"/>
      <c r="AL2644" s="11"/>
      <c r="AM2644" s="11"/>
      <c r="AN2644" s="11"/>
      <c r="AO2644" s="11"/>
      <c r="AP2644" s="11"/>
      <c r="AQ2644" s="11"/>
      <c r="AR2644" s="11"/>
      <c r="AS2644" s="11"/>
      <c r="AT2644" s="11"/>
      <c r="AU2644" s="11"/>
      <c r="AV2644" s="11"/>
      <c r="AW2644" s="11"/>
      <c r="AX2644" s="11"/>
      <c r="AY2644" s="11"/>
    </row>
    <row r="2645" spans="1:51" hidden="1" x14ac:dyDescent="0.2">
      <c r="A2645" s="6"/>
      <c r="E2645" s="2"/>
      <c r="F2645" s="3"/>
      <c r="G2645" s="3"/>
      <c r="P2645" s="8"/>
      <c r="Q2645" s="11"/>
      <c r="R2645" s="11"/>
      <c r="S2645" s="11"/>
      <c r="T2645" s="11"/>
      <c r="U2645" s="11"/>
      <c r="V2645" s="11"/>
      <c r="W2645" s="11"/>
      <c r="X2645" s="11"/>
      <c r="Y2645" s="11"/>
      <c r="Z2645" s="11"/>
      <c r="AA2645" s="11"/>
      <c r="AB2645" s="11"/>
      <c r="AC2645" s="11"/>
      <c r="AD2645" s="11"/>
      <c r="AE2645" s="11"/>
      <c r="AF2645" s="11"/>
      <c r="AG2645" s="11"/>
      <c r="AH2645" s="11"/>
      <c r="AI2645" s="11"/>
      <c r="AJ2645" s="11"/>
      <c r="AK2645" s="11"/>
      <c r="AL2645" s="11"/>
      <c r="AM2645" s="11"/>
      <c r="AN2645" s="11"/>
      <c r="AO2645" s="11"/>
      <c r="AP2645" s="11"/>
      <c r="AQ2645" s="11"/>
      <c r="AR2645" s="11"/>
      <c r="AS2645" s="11"/>
      <c r="AT2645" s="11"/>
      <c r="AU2645" s="11"/>
      <c r="AV2645" s="11"/>
      <c r="AW2645" s="11"/>
      <c r="AX2645" s="11"/>
      <c r="AY2645" s="11"/>
    </row>
    <row r="2646" spans="1:51" hidden="1" x14ac:dyDescent="0.2">
      <c r="A2646" s="6"/>
      <c r="E2646" s="2"/>
      <c r="F2646" s="3"/>
      <c r="G2646" s="3"/>
      <c r="P2646" s="8"/>
      <c r="Q2646" s="11"/>
      <c r="R2646" s="11"/>
      <c r="S2646" s="11"/>
      <c r="T2646" s="11"/>
      <c r="U2646" s="11"/>
      <c r="V2646" s="11"/>
      <c r="W2646" s="11"/>
      <c r="X2646" s="11"/>
      <c r="Y2646" s="11"/>
      <c r="Z2646" s="11"/>
      <c r="AA2646" s="11"/>
      <c r="AB2646" s="11"/>
      <c r="AC2646" s="11"/>
      <c r="AD2646" s="11"/>
      <c r="AE2646" s="11"/>
      <c r="AF2646" s="11"/>
      <c r="AG2646" s="11"/>
      <c r="AH2646" s="11"/>
      <c r="AI2646" s="11"/>
      <c r="AJ2646" s="11"/>
      <c r="AK2646" s="11"/>
      <c r="AL2646" s="11"/>
      <c r="AM2646" s="11"/>
      <c r="AN2646" s="11"/>
      <c r="AO2646" s="11"/>
      <c r="AP2646" s="11"/>
      <c r="AQ2646" s="11"/>
      <c r="AR2646" s="11"/>
      <c r="AS2646" s="11"/>
      <c r="AT2646" s="11"/>
      <c r="AU2646" s="11"/>
      <c r="AV2646" s="11"/>
      <c r="AW2646" s="11"/>
      <c r="AX2646" s="11"/>
      <c r="AY2646" s="11"/>
    </row>
    <row r="2647" spans="1:51" hidden="1" x14ac:dyDescent="0.2">
      <c r="A2647" s="6"/>
      <c r="E2647" s="2"/>
      <c r="F2647" s="3"/>
      <c r="G2647" s="3"/>
      <c r="P2647" s="8"/>
      <c r="Q2647" s="11"/>
      <c r="R2647" s="11"/>
      <c r="S2647" s="11"/>
      <c r="T2647" s="11"/>
      <c r="U2647" s="11"/>
      <c r="V2647" s="11"/>
      <c r="W2647" s="11"/>
      <c r="X2647" s="11"/>
      <c r="Y2647" s="11"/>
      <c r="Z2647" s="11"/>
      <c r="AA2647" s="11"/>
      <c r="AB2647" s="11"/>
      <c r="AC2647" s="11"/>
      <c r="AD2647" s="11"/>
      <c r="AE2647" s="11"/>
      <c r="AF2647" s="11"/>
      <c r="AG2647" s="11"/>
      <c r="AH2647" s="11"/>
      <c r="AI2647" s="11"/>
      <c r="AJ2647" s="11"/>
      <c r="AK2647" s="11"/>
      <c r="AL2647" s="11"/>
      <c r="AM2647" s="11"/>
      <c r="AN2647" s="11"/>
      <c r="AO2647" s="11"/>
      <c r="AP2647" s="11"/>
      <c r="AQ2647" s="11"/>
      <c r="AR2647" s="11"/>
      <c r="AS2647" s="11"/>
      <c r="AT2647" s="11"/>
      <c r="AU2647" s="11"/>
      <c r="AV2647" s="11"/>
      <c r="AW2647" s="11"/>
      <c r="AX2647" s="11"/>
      <c r="AY2647" s="11"/>
    </row>
    <row r="2648" spans="1:51" hidden="1" x14ac:dyDescent="0.2">
      <c r="A2648" s="6"/>
      <c r="E2648" s="2"/>
      <c r="F2648" s="3"/>
      <c r="G2648" s="3"/>
      <c r="P2648" s="8"/>
      <c r="Q2648" s="11"/>
      <c r="R2648" s="11"/>
      <c r="S2648" s="11"/>
      <c r="T2648" s="11"/>
      <c r="U2648" s="11"/>
      <c r="V2648" s="11"/>
      <c r="W2648" s="11"/>
      <c r="X2648" s="11"/>
      <c r="Y2648" s="11"/>
      <c r="Z2648" s="11"/>
      <c r="AA2648" s="11"/>
      <c r="AB2648" s="11"/>
      <c r="AC2648" s="11"/>
      <c r="AD2648" s="11"/>
      <c r="AE2648" s="11"/>
      <c r="AF2648" s="11"/>
      <c r="AG2648" s="11"/>
      <c r="AH2648" s="11"/>
      <c r="AI2648" s="11"/>
      <c r="AJ2648" s="11"/>
      <c r="AK2648" s="11"/>
      <c r="AL2648" s="11"/>
      <c r="AM2648" s="11"/>
      <c r="AN2648" s="11"/>
      <c r="AO2648" s="11"/>
      <c r="AP2648" s="11"/>
      <c r="AQ2648" s="11"/>
      <c r="AR2648" s="11"/>
      <c r="AS2648" s="11"/>
      <c r="AT2648" s="11"/>
      <c r="AU2648" s="11"/>
      <c r="AV2648" s="11"/>
      <c r="AW2648" s="11"/>
      <c r="AX2648" s="11"/>
      <c r="AY2648" s="11"/>
    </row>
    <row r="2649" spans="1:51" hidden="1" x14ac:dyDescent="0.2">
      <c r="A2649" s="6" t="s">
        <v>17</v>
      </c>
      <c r="B2649" t="s">
        <v>18</v>
      </c>
      <c r="C2649" t="s">
        <v>19</v>
      </c>
      <c r="D2649" t="s">
        <v>3279</v>
      </c>
      <c r="E2649" s="2">
        <v>0.78</v>
      </c>
      <c r="F2649" s="3">
        <f t="shared" si="233"/>
        <v>45953</v>
      </c>
      <c r="G2649" s="3">
        <f t="shared" si="233"/>
        <v>45953</v>
      </c>
      <c r="H2649">
        <v>3061644183</v>
      </c>
      <c r="I2649" t="s">
        <v>192</v>
      </c>
      <c r="K2649" t="s">
        <v>22</v>
      </c>
      <c r="L2649" t="s">
        <v>23</v>
      </c>
      <c r="M2649" t="s">
        <v>24</v>
      </c>
      <c r="N2649" t="s">
        <v>24</v>
      </c>
      <c r="O2649" t="s">
        <v>25</v>
      </c>
      <c r="P2649" s="8" t="s">
        <v>3280</v>
      </c>
      <c r="Q2649" s="11"/>
      <c r="R2649" s="11"/>
      <c r="S2649" s="11"/>
      <c r="T2649" s="11"/>
      <c r="U2649" s="11"/>
      <c r="V2649" s="11"/>
      <c r="W2649" s="11"/>
      <c r="X2649" s="11"/>
      <c r="Y2649" s="11"/>
      <c r="Z2649" s="11"/>
      <c r="AA2649" s="11"/>
      <c r="AB2649" s="11"/>
      <c r="AC2649" s="11"/>
      <c r="AD2649" s="11"/>
      <c r="AE2649" s="11"/>
      <c r="AF2649" s="11"/>
      <c r="AG2649" s="11"/>
      <c r="AH2649" s="11"/>
      <c r="AI2649" s="11"/>
      <c r="AJ2649" s="11"/>
      <c r="AK2649" s="11"/>
      <c r="AL2649" s="11"/>
      <c r="AM2649" s="11"/>
      <c r="AN2649" s="11"/>
      <c r="AO2649" s="11"/>
      <c r="AP2649" s="11"/>
      <c r="AQ2649" s="11"/>
      <c r="AR2649" s="11"/>
      <c r="AS2649" s="11"/>
      <c r="AT2649" s="11"/>
      <c r="AU2649" s="11"/>
      <c r="AV2649" s="11"/>
      <c r="AW2649" s="11"/>
      <c r="AX2649" s="11"/>
      <c r="AY2649" s="11"/>
    </row>
    <row r="2650" spans="1:51" hidden="1" x14ac:dyDescent="0.2">
      <c r="A2650" s="6" t="s">
        <v>17</v>
      </c>
      <c r="B2650" t="s">
        <v>46</v>
      </c>
      <c r="C2650" t="s">
        <v>47</v>
      </c>
      <c r="D2650" t="s">
        <v>3281</v>
      </c>
      <c r="E2650" s="2">
        <v>75</v>
      </c>
      <c r="F2650" s="3">
        <f t="shared" ref="F2650:G2669" si="234">DATE(2025,10,24)</f>
        <v>45954</v>
      </c>
      <c r="G2650" s="3">
        <f t="shared" si="234"/>
        <v>45954</v>
      </c>
      <c r="H2650">
        <v>3061644184</v>
      </c>
      <c r="I2650" t="s">
        <v>192</v>
      </c>
      <c r="K2650" t="s">
        <v>22</v>
      </c>
      <c r="L2650" t="s">
        <v>23</v>
      </c>
      <c r="M2650" t="s">
        <v>24</v>
      </c>
      <c r="N2650" t="s">
        <v>24</v>
      </c>
      <c r="O2650" t="s">
        <v>25</v>
      </c>
      <c r="P2650" s="8" t="s">
        <v>3282</v>
      </c>
      <c r="Q2650" s="11"/>
      <c r="R2650" s="11"/>
      <c r="S2650" s="11"/>
      <c r="T2650" s="11"/>
      <c r="U2650" s="11"/>
      <c r="V2650" s="11"/>
      <c r="W2650" s="11"/>
      <c r="X2650" s="11"/>
      <c r="Y2650" s="11"/>
      <c r="Z2650" s="11"/>
      <c r="AA2650" s="11"/>
      <c r="AB2650" s="11"/>
      <c r="AC2650" s="11"/>
      <c r="AD2650" s="11"/>
      <c r="AE2650" s="11"/>
      <c r="AF2650" s="11"/>
      <c r="AG2650" s="11"/>
      <c r="AH2650" s="11"/>
      <c r="AI2650" s="11"/>
      <c r="AJ2650" s="11"/>
      <c r="AK2650" s="11"/>
      <c r="AL2650" s="11"/>
      <c r="AM2650" s="11"/>
      <c r="AN2650" s="11"/>
      <c r="AO2650" s="11"/>
      <c r="AP2650" s="11"/>
      <c r="AQ2650" s="11"/>
      <c r="AR2650" s="11"/>
      <c r="AS2650" s="11"/>
      <c r="AT2650" s="11"/>
      <c r="AU2650" s="11"/>
      <c r="AV2650" s="11"/>
      <c r="AW2650" s="11"/>
      <c r="AX2650" s="11"/>
      <c r="AY2650" s="11"/>
    </row>
    <row r="2651" spans="1:51" hidden="1" x14ac:dyDescent="0.2">
      <c r="A2651" s="6"/>
      <c r="E2651" s="2"/>
      <c r="F2651" s="3"/>
      <c r="G2651" s="3"/>
      <c r="P2651" s="8"/>
      <c r="Q2651" s="11"/>
      <c r="R2651" s="11"/>
      <c r="S2651" s="11"/>
      <c r="T2651" s="11"/>
      <c r="U2651" s="11"/>
      <c r="V2651" s="11"/>
      <c r="W2651" s="11"/>
      <c r="X2651" s="11"/>
      <c r="Y2651" s="11"/>
      <c r="Z2651" s="11"/>
      <c r="AA2651" s="11"/>
      <c r="AB2651" s="11"/>
      <c r="AC2651" s="11"/>
      <c r="AD2651" s="11"/>
      <c r="AE2651" s="11"/>
      <c r="AF2651" s="11"/>
      <c r="AG2651" s="11"/>
      <c r="AH2651" s="11"/>
      <c r="AI2651" s="11"/>
      <c r="AJ2651" s="11"/>
      <c r="AK2651" s="11"/>
      <c r="AL2651" s="11"/>
      <c r="AM2651" s="11"/>
      <c r="AN2651" s="11"/>
      <c r="AO2651" s="11"/>
      <c r="AP2651" s="11"/>
      <c r="AQ2651" s="11"/>
      <c r="AR2651" s="11"/>
      <c r="AS2651" s="11"/>
      <c r="AT2651" s="11"/>
      <c r="AU2651" s="11"/>
      <c r="AV2651" s="11"/>
      <c r="AW2651" s="11"/>
      <c r="AX2651" s="11"/>
      <c r="AY2651" s="11"/>
    </row>
    <row r="2652" spans="1:51" hidden="1" x14ac:dyDescent="0.2">
      <c r="A2652" s="6" t="s">
        <v>17</v>
      </c>
      <c r="B2652" t="s">
        <v>70</v>
      </c>
      <c r="C2652" t="s">
        <v>71</v>
      </c>
      <c r="D2652" t="s">
        <v>3283</v>
      </c>
      <c r="E2652" s="2">
        <v>1896</v>
      </c>
      <c r="F2652" s="3">
        <f t="shared" si="234"/>
        <v>45954</v>
      </c>
      <c r="G2652" s="3">
        <f t="shared" si="234"/>
        <v>45954</v>
      </c>
      <c r="H2652">
        <v>3067314016</v>
      </c>
      <c r="I2652" t="s">
        <v>21</v>
      </c>
      <c r="K2652" t="s">
        <v>22</v>
      </c>
      <c r="L2652" t="s">
        <v>23</v>
      </c>
      <c r="M2652" t="s">
        <v>24</v>
      </c>
      <c r="N2652" t="s">
        <v>24</v>
      </c>
      <c r="O2652" t="s">
        <v>25</v>
      </c>
      <c r="P2652" s="8" t="s">
        <v>3284</v>
      </c>
      <c r="Q2652" s="11"/>
      <c r="R2652" s="11"/>
      <c r="S2652" s="11"/>
      <c r="T2652" s="11"/>
      <c r="U2652" s="11"/>
      <c r="V2652" s="11"/>
      <c r="W2652" s="11"/>
      <c r="X2652" s="11"/>
      <c r="Y2652" s="11"/>
      <c r="Z2652" s="11"/>
      <c r="AA2652" s="11"/>
      <c r="AB2652" s="11"/>
      <c r="AC2652" s="11"/>
      <c r="AD2652" s="11"/>
      <c r="AE2652" s="11"/>
      <c r="AF2652" s="11"/>
      <c r="AG2652" s="11"/>
      <c r="AH2652" s="11"/>
      <c r="AI2652" s="11"/>
      <c r="AJ2652" s="11"/>
      <c r="AK2652" s="11"/>
      <c r="AL2652" s="11"/>
      <c r="AM2652" s="11"/>
      <c r="AN2652" s="11"/>
      <c r="AO2652" s="11"/>
      <c r="AP2652" s="11"/>
      <c r="AQ2652" s="11"/>
      <c r="AR2652" s="11"/>
      <c r="AS2652" s="11"/>
      <c r="AT2652" s="11"/>
      <c r="AU2652" s="11"/>
      <c r="AV2652" s="11"/>
      <c r="AW2652" s="11"/>
      <c r="AX2652" s="11"/>
      <c r="AY2652" s="11"/>
    </row>
    <row r="2653" spans="1:51" x14ac:dyDescent="0.2">
      <c r="A2653" s="6" t="s">
        <v>17</v>
      </c>
      <c r="B2653" t="s">
        <v>342</v>
      </c>
      <c r="C2653" t="s">
        <v>342</v>
      </c>
      <c r="D2653" t="s">
        <v>3285</v>
      </c>
      <c r="E2653" s="2">
        <v>1029.6400000000001</v>
      </c>
      <c r="F2653" s="3">
        <f t="shared" si="234"/>
        <v>45954</v>
      </c>
      <c r="G2653" s="3">
        <f t="shared" si="234"/>
        <v>45954</v>
      </c>
      <c r="H2653">
        <v>3067314017</v>
      </c>
      <c r="I2653" t="s">
        <v>21</v>
      </c>
      <c r="K2653" t="s">
        <v>22</v>
      </c>
      <c r="L2653" t="s">
        <v>23</v>
      </c>
      <c r="M2653" t="s">
        <v>24</v>
      </c>
      <c r="N2653" t="s">
        <v>24</v>
      </c>
      <c r="O2653" t="s">
        <v>25</v>
      </c>
      <c r="P2653" s="8" t="s">
        <v>3286</v>
      </c>
      <c r="Q2653" s="11"/>
      <c r="R2653" s="11"/>
      <c r="S2653" s="11"/>
      <c r="T2653" s="11"/>
      <c r="U2653" s="11"/>
      <c r="V2653" s="11"/>
      <c r="W2653" s="11"/>
      <c r="X2653" s="11"/>
      <c r="Y2653" s="11"/>
      <c r="Z2653" s="11"/>
      <c r="AA2653" s="11"/>
      <c r="AB2653" s="11"/>
      <c r="AC2653" s="11"/>
      <c r="AD2653" s="11"/>
      <c r="AE2653" s="11"/>
      <c r="AF2653" s="11"/>
      <c r="AG2653" s="11"/>
      <c r="AH2653" s="11"/>
      <c r="AI2653" s="11"/>
      <c r="AJ2653" s="11"/>
      <c r="AK2653" s="11"/>
      <c r="AL2653" s="11"/>
      <c r="AM2653" s="11"/>
      <c r="AN2653" s="11"/>
      <c r="AO2653" s="11"/>
      <c r="AP2653" s="11"/>
      <c r="AQ2653" s="11"/>
      <c r="AR2653" s="11"/>
      <c r="AS2653" s="11"/>
      <c r="AT2653" s="11"/>
      <c r="AU2653" s="11"/>
      <c r="AV2653" s="11"/>
      <c r="AW2653" s="11"/>
      <c r="AX2653" s="11"/>
      <c r="AY2653" s="11"/>
    </row>
    <row r="2654" spans="1:51" hidden="1" x14ac:dyDescent="0.2">
      <c r="A2654" s="6" t="s">
        <v>17</v>
      </c>
      <c r="B2654" t="s">
        <v>266</v>
      </c>
      <c r="C2654" t="s">
        <v>267</v>
      </c>
      <c r="D2654" t="s">
        <v>3287</v>
      </c>
      <c r="E2654" s="2">
        <v>261.36</v>
      </c>
      <c r="F2654" s="3">
        <f t="shared" si="234"/>
        <v>45954</v>
      </c>
      <c r="G2654" s="3">
        <f t="shared" si="234"/>
        <v>45954</v>
      </c>
      <c r="H2654">
        <v>3067314018</v>
      </c>
      <c r="I2654" t="s">
        <v>21</v>
      </c>
      <c r="K2654" t="s">
        <v>22</v>
      </c>
      <c r="L2654" t="s">
        <v>23</v>
      </c>
      <c r="M2654" t="s">
        <v>24</v>
      </c>
      <c r="N2654" t="s">
        <v>24</v>
      </c>
      <c r="O2654" t="s">
        <v>25</v>
      </c>
      <c r="P2654" s="8" t="s">
        <v>3288</v>
      </c>
      <c r="Q2654" s="11"/>
      <c r="R2654" s="11"/>
      <c r="S2654" s="11"/>
      <c r="T2654" s="11"/>
      <c r="U2654" s="11"/>
      <c r="V2654" s="11"/>
      <c r="W2654" s="11"/>
      <c r="X2654" s="11"/>
      <c r="Y2654" s="11"/>
      <c r="Z2654" s="11"/>
      <c r="AA2654" s="11"/>
      <c r="AB2654" s="11"/>
      <c r="AC2654" s="11"/>
      <c r="AD2654" s="11"/>
      <c r="AE2654" s="11"/>
      <c r="AF2654" s="11"/>
      <c r="AG2654" s="11"/>
      <c r="AH2654" s="11"/>
      <c r="AI2654" s="11"/>
      <c r="AJ2654" s="11"/>
      <c r="AK2654" s="11"/>
      <c r="AL2654" s="11"/>
      <c r="AM2654" s="11"/>
      <c r="AN2654" s="11"/>
      <c r="AO2654" s="11"/>
      <c r="AP2654" s="11"/>
      <c r="AQ2654" s="11"/>
      <c r="AR2654" s="11"/>
      <c r="AS2654" s="11"/>
      <c r="AT2654" s="11"/>
      <c r="AU2654" s="11"/>
      <c r="AV2654" s="11"/>
      <c r="AW2654" s="11"/>
      <c r="AX2654" s="11"/>
      <c r="AY2654" s="11"/>
    </row>
    <row r="2655" spans="1:51" hidden="1" x14ac:dyDescent="0.2">
      <c r="A2655" s="6" t="s">
        <v>17</v>
      </c>
      <c r="B2655" t="s">
        <v>589</v>
      </c>
      <c r="C2655" t="s">
        <v>590</v>
      </c>
      <c r="D2655" t="s">
        <v>3289</v>
      </c>
      <c r="E2655" s="2">
        <v>1208.83</v>
      </c>
      <c r="F2655" s="3">
        <f t="shared" si="234"/>
        <v>45954</v>
      </c>
      <c r="G2655" s="3">
        <f t="shared" si="234"/>
        <v>45954</v>
      </c>
      <c r="H2655">
        <v>3067314019</v>
      </c>
      <c r="I2655" t="s">
        <v>21</v>
      </c>
      <c r="K2655" t="s">
        <v>22</v>
      </c>
      <c r="L2655" t="s">
        <v>23</v>
      </c>
      <c r="M2655" t="s">
        <v>24</v>
      </c>
      <c r="N2655" t="s">
        <v>24</v>
      </c>
      <c r="O2655" t="s">
        <v>25</v>
      </c>
      <c r="P2655" s="8" t="s">
        <v>3290</v>
      </c>
      <c r="Q2655" s="11"/>
      <c r="R2655" s="11"/>
      <c r="S2655" s="11"/>
      <c r="T2655" s="11"/>
      <c r="U2655" s="11"/>
      <c r="V2655" s="11"/>
      <c r="W2655" s="11"/>
      <c r="X2655" s="11"/>
      <c r="Y2655" s="11"/>
      <c r="Z2655" s="11"/>
      <c r="AA2655" s="11"/>
      <c r="AB2655" s="11"/>
      <c r="AC2655" s="11"/>
      <c r="AD2655" s="11"/>
      <c r="AE2655" s="11"/>
      <c r="AF2655" s="11"/>
      <c r="AG2655" s="11"/>
      <c r="AH2655" s="11"/>
      <c r="AI2655" s="11"/>
      <c r="AJ2655" s="11"/>
      <c r="AK2655" s="11"/>
      <c r="AL2655" s="11"/>
      <c r="AM2655" s="11"/>
      <c r="AN2655" s="11"/>
      <c r="AO2655" s="11"/>
      <c r="AP2655" s="11"/>
      <c r="AQ2655" s="11"/>
      <c r="AR2655" s="11"/>
      <c r="AS2655" s="11"/>
      <c r="AT2655" s="11"/>
      <c r="AU2655" s="11"/>
      <c r="AV2655" s="11"/>
      <c r="AW2655" s="11"/>
      <c r="AX2655" s="11"/>
      <c r="AY2655" s="11"/>
    </row>
    <row r="2656" spans="1:51" x14ac:dyDescent="0.2">
      <c r="A2656" s="6" t="s">
        <v>17</v>
      </c>
      <c r="B2656" t="s">
        <v>342</v>
      </c>
      <c r="C2656" t="s">
        <v>342</v>
      </c>
      <c r="D2656" t="s">
        <v>3291</v>
      </c>
      <c r="E2656" s="2">
        <v>786.51</v>
      </c>
      <c r="F2656" s="3">
        <f t="shared" si="234"/>
        <v>45954</v>
      </c>
      <c r="G2656" s="3">
        <f t="shared" si="234"/>
        <v>45954</v>
      </c>
      <c r="H2656">
        <v>3067314020</v>
      </c>
      <c r="I2656" t="s">
        <v>21</v>
      </c>
      <c r="K2656" t="s">
        <v>22</v>
      </c>
      <c r="L2656" t="s">
        <v>23</v>
      </c>
      <c r="M2656" t="s">
        <v>24</v>
      </c>
      <c r="N2656" t="s">
        <v>24</v>
      </c>
      <c r="O2656" t="s">
        <v>25</v>
      </c>
      <c r="P2656" s="8" t="s">
        <v>3292</v>
      </c>
      <c r="Q2656" s="11"/>
      <c r="R2656" s="11"/>
      <c r="S2656" s="11"/>
      <c r="T2656" s="11"/>
      <c r="U2656" s="11"/>
      <c r="V2656" s="11"/>
      <c r="W2656" s="11"/>
      <c r="X2656" s="11"/>
      <c r="Y2656" s="11"/>
      <c r="Z2656" s="11"/>
      <c r="AA2656" s="11"/>
      <c r="AB2656" s="11"/>
      <c r="AC2656" s="11"/>
      <c r="AD2656" s="11"/>
      <c r="AE2656" s="11"/>
      <c r="AF2656" s="11"/>
      <c r="AG2656" s="11"/>
      <c r="AH2656" s="11"/>
      <c r="AI2656" s="11"/>
      <c r="AJ2656" s="11"/>
      <c r="AK2656" s="11"/>
      <c r="AL2656" s="11"/>
      <c r="AM2656" s="11"/>
      <c r="AN2656" s="11"/>
      <c r="AO2656" s="11"/>
      <c r="AP2656" s="11"/>
      <c r="AQ2656" s="11"/>
      <c r="AR2656" s="11"/>
      <c r="AS2656" s="11"/>
      <c r="AT2656" s="11"/>
      <c r="AU2656" s="11"/>
      <c r="AV2656" s="11"/>
      <c r="AW2656" s="11"/>
      <c r="AX2656" s="11"/>
      <c r="AY2656" s="11"/>
    </row>
    <row r="2657" spans="1:51" hidden="1" x14ac:dyDescent="0.2">
      <c r="A2657" s="6" t="s">
        <v>17</v>
      </c>
      <c r="B2657" t="s">
        <v>18</v>
      </c>
      <c r="C2657" t="s">
        <v>19</v>
      </c>
      <c r="D2657" t="s">
        <v>3293</v>
      </c>
      <c r="E2657" s="2">
        <v>304.2</v>
      </c>
      <c r="F2657" s="3">
        <f t="shared" si="234"/>
        <v>45954</v>
      </c>
      <c r="G2657" s="3">
        <f t="shared" si="234"/>
        <v>45954</v>
      </c>
      <c r="H2657">
        <v>3067314021</v>
      </c>
      <c r="I2657" t="s">
        <v>21</v>
      </c>
      <c r="K2657" t="s">
        <v>22</v>
      </c>
      <c r="L2657" t="s">
        <v>23</v>
      </c>
      <c r="M2657" t="s">
        <v>24</v>
      </c>
      <c r="N2657" t="s">
        <v>24</v>
      </c>
      <c r="O2657" t="s">
        <v>25</v>
      </c>
      <c r="P2657" s="8" t="s">
        <v>3294</v>
      </c>
      <c r="Q2657" s="11"/>
      <c r="R2657" s="11"/>
      <c r="S2657" s="11"/>
      <c r="T2657" s="11"/>
      <c r="U2657" s="11"/>
      <c r="V2657" s="11"/>
      <c r="W2657" s="11"/>
      <c r="X2657" s="11"/>
      <c r="Y2657" s="11"/>
      <c r="Z2657" s="11"/>
      <c r="AA2657" s="11"/>
      <c r="AB2657" s="11"/>
      <c r="AC2657" s="11"/>
      <c r="AD2657" s="11"/>
      <c r="AE2657" s="11"/>
      <c r="AF2657" s="11"/>
      <c r="AG2657" s="11"/>
      <c r="AH2657" s="11"/>
      <c r="AI2657" s="11"/>
      <c r="AJ2657" s="11"/>
      <c r="AK2657" s="11"/>
      <c r="AL2657" s="11"/>
      <c r="AM2657" s="11"/>
      <c r="AN2657" s="11"/>
      <c r="AO2657" s="11"/>
      <c r="AP2657" s="11"/>
      <c r="AQ2657" s="11"/>
      <c r="AR2657" s="11"/>
      <c r="AS2657" s="11"/>
      <c r="AT2657" s="11"/>
      <c r="AU2657" s="11"/>
      <c r="AV2657" s="11"/>
      <c r="AW2657" s="11"/>
      <c r="AX2657" s="11"/>
      <c r="AY2657" s="11"/>
    </row>
    <row r="2658" spans="1:51" hidden="1" x14ac:dyDescent="0.2">
      <c r="A2658" s="6" t="s">
        <v>17</v>
      </c>
      <c r="B2658" t="s">
        <v>35</v>
      </c>
      <c r="C2658" t="s">
        <v>35</v>
      </c>
      <c r="D2658" t="s">
        <v>3295</v>
      </c>
      <c r="E2658" s="2">
        <v>3.17</v>
      </c>
      <c r="F2658" s="3">
        <f t="shared" si="234"/>
        <v>45954</v>
      </c>
      <c r="G2658" s="3">
        <f t="shared" si="234"/>
        <v>45954</v>
      </c>
      <c r="H2658">
        <v>3067314022</v>
      </c>
      <c r="I2658" t="s">
        <v>21</v>
      </c>
      <c r="K2658" t="s">
        <v>22</v>
      </c>
      <c r="L2658" t="s">
        <v>23</v>
      </c>
      <c r="M2658" t="s">
        <v>24</v>
      </c>
      <c r="N2658" t="s">
        <v>24</v>
      </c>
      <c r="O2658" t="s">
        <v>25</v>
      </c>
      <c r="P2658" s="8" t="s">
        <v>3296</v>
      </c>
      <c r="Q2658" s="11"/>
      <c r="R2658" s="11"/>
      <c r="S2658" s="11"/>
      <c r="T2658" s="11"/>
      <c r="U2658" s="11"/>
      <c r="V2658" s="11"/>
      <c r="W2658" s="11"/>
      <c r="X2658" s="11"/>
      <c r="Y2658" s="11"/>
      <c r="Z2658" s="11"/>
      <c r="AA2658" s="11"/>
      <c r="AB2658" s="11"/>
      <c r="AC2658" s="11"/>
      <c r="AD2658" s="11"/>
      <c r="AE2658" s="11"/>
      <c r="AF2658" s="11"/>
      <c r="AG2658" s="11"/>
      <c r="AH2658" s="11"/>
      <c r="AI2658" s="11"/>
      <c r="AJ2658" s="11"/>
      <c r="AK2658" s="11"/>
      <c r="AL2658" s="11"/>
      <c r="AM2658" s="11"/>
      <c r="AN2658" s="11"/>
      <c r="AO2658" s="11"/>
      <c r="AP2658" s="11"/>
      <c r="AQ2658" s="11"/>
      <c r="AR2658" s="11"/>
      <c r="AS2658" s="11"/>
      <c r="AT2658" s="11"/>
      <c r="AU2658" s="11"/>
      <c r="AV2658" s="11"/>
      <c r="AW2658" s="11"/>
      <c r="AX2658" s="11"/>
      <c r="AY2658" s="11"/>
    </row>
    <row r="2659" spans="1:51" hidden="1" x14ac:dyDescent="0.2">
      <c r="A2659" s="6" t="s">
        <v>17</v>
      </c>
      <c r="B2659" t="s">
        <v>46</v>
      </c>
      <c r="C2659" t="s">
        <v>47</v>
      </c>
      <c r="D2659" t="s">
        <v>3297</v>
      </c>
      <c r="E2659" s="2">
        <v>234</v>
      </c>
      <c r="F2659" s="3">
        <f t="shared" si="234"/>
        <v>45954</v>
      </c>
      <c r="G2659" s="3">
        <f t="shared" si="234"/>
        <v>45954</v>
      </c>
      <c r="H2659">
        <v>3067314023</v>
      </c>
      <c r="I2659" t="s">
        <v>21</v>
      </c>
      <c r="K2659" t="s">
        <v>22</v>
      </c>
      <c r="L2659" t="s">
        <v>23</v>
      </c>
      <c r="M2659" t="s">
        <v>24</v>
      </c>
      <c r="N2659" t="s">
        <v>24</v>
      </c>
      <c r="O2659" t="s">
        <v>25</v>
      </c>
      <c r="P2659" s="8" t="s">
        <v>3298</v>
      </c>
      <c r="Q2659" s="11"/>
      <c r="R2659" s="11"/>
      <c r="S2659" s="11"/>
      <c r="T2659" s="11"/>
      <c r="U2659" s="11"/>
      <c r="V2659" s="11"/>
      <c r="W2659" s="11"/>
      <c r="X2659" s="11"/>
      <c r="Y2659" s="11"/>
      <c r="Z2659" s="11"/>
      <c r="AA2659" s="11"/>
      <c r="AB2659" s="11"/>
      <c r="AC2659" s="11"/>
      <c r="AD2659" s="11"/>
      <c r="AE2659" s="11"/>
      <c r="AF2659" s="11"/>
      <c r="AG2659" s="11"/>
      <c r="AH2659" s="11"/>
      <c r="AI2659" s="11"/>
      <c r="AJ2659" s="11"/>
      <c r="AK2659" s="11"/>
      <c r="AL2659" s="11"/>
      <c r="AM2659" s="11"/>
      <c r="AN2659" s="11"/>
      <c r="AO2659" s="11"/>
      <c r="AP2659" s="11"/>
      <c r="AQ2659" s="11"/>
      <c r="AR2659" s="11"/>
      <c r="AS2659" s="11"/>
      <c r="AT2659" s="11"/>
      <c r="AU2659" s="11"/>
      <c r="AV2659" s="11"/>
      <c r="AW2659" s="11"/>
      <c r="AX2659" s="11"/>
      <c r="AY2659" s="11"/>
    </row>
    <row r="2660" spans="1:51" hidden="1" x14ac:dyDescent="0.2">
      <c r="A2660" s="6" t="s">
        <v>17</v>
      </c>
      <c r="B2660" t="s">
        <v>287</v>
      </c>
      <c r="C2660" t="s">
        <v>288</v>
      </c>
      <c r="D2660" t="s">
        <v>3299</v>
      </c>
      <c r="E2660" s="2">
        <v>13676</v>
      </c>
      <c r="F2660" s="3">
        <f t="shared" si="234"/>
        <v>45954</v>
      </c>
      <c r="G2660" s="3">
        <f t="shared" si="234"/>
        <v>45954</v>
      </c>
      <c r="H2660">
        <v>3067314024</v>
      </c>
      <c r="I2660" t="s">
        <v>21</v>
      </c>
      <c r="K2660" t="s">
        <v>22</v>
      </c>
      <c r="L2660" t="s">
        <v>23</v>
      </c>
      <c r="M2660" t="s">
        <v>24</v>
      </c>
      <c r="N2660" t="s">
        <v>24</v>
      </c>
      <c r="O2660" t="s">
        <v>25</v>
      </c>
      <c r="P2660" s="8" t="s">
        <v>3300</v>
      </c>
      <c r="Q2660" s="11"/>
      <c r="R2660" s="11"/>
      <c r="S2660" s="11"/>
      <c r="T2660" s="11"/>
      <c r="U2660" s="11"/>
      <c r="V2660" s="11"/>
      <c r="W2660" s="11"/>
      <c r="X2660" s="11"/>
      <c r="Y2660" s="11"/>
      <c r="Z2660" s="11"/>
      <c r="AA2660" s="11"/>
      <c r="AB2660" s="11"/>
      <c r="AC2660" s="11"/>
      <c r="AD2660" s="11"/>
      <c r="AE2660" s="11"/>
      <c r="AF2660" s="11"/>
      <c r="AG2660" s="11"/>
      <c r="AH2660" s="11"/>
      <c r="AI2660" s="11"/>
      <c r="AJ2660" s="11"/>
      <c r="AK2660" s="11"/>
      <c r="AL2660" s="11"/>
      <c r="AM2660" s="11"/>
      <c r="AN2660" s="11"/>
      <c r="AO2660" s="11"/>
      <c r="AP2660" s="11"/>
      <c r="AQ2660" s="11"/>
      <c r="AR2660" s="11"/>
      <c r="AS2660" s="11"/>
      <c r="AT2660" s="11"/>
      <c r="AU2660" s="11"/>
      <c r="AV2660" s="11"/>
      <c r="AW2660" s="11"/>
      <c r="AX2660" s="11"/>
      <c r="AY2660" s="11"/>
    </row>
    <row r="2661" spans="1:51" hidden="1" x14ac:dyDescent="0.2">
      <c r="A2661" s="6" t="s">
        <v>17</v>
      </c>
      <c r="B2661" t="s">
        <v>878</v>
      </c>
      <c r="C2661" t="s">
        <v>879</v>
      </c>
      <c r="D2661" t="s">
        <v>3301</v>
      </c>
      <c r="E2661" s="2">
        <v>568.5</v>
      </c>
      <c r="F2661" s="3">
        <f t="shared" si="234"/>
        <v>45954</v>
      </c>
      <c r="G2661" s="3">
        <f t="shared" si="234"/>
        <v>45954</v>
      </c>
      <c r="H2661">
        <v>3067314025</v>
      </c>
      <c r="I2661" t="s">
        <v>21</v>
      </c>
      <c r="K2661" t="s">
        <v>22</v>
      </c>
      <c r="L2661" t="s">
        <v>23</v>
      </c>
      <c r="M2661" t="s">
        <v>24</v>
      </c>
      <c r="N2661" t="s">
        <v>24</v>
      </c>
      <c r="O2661" t="s">
        <v>25</v>
      </c>
      <c r="P2661" s="8" t="s">
        <v>3302</v>
      </c>
      <c r="Q2661" s="11"/>
      <c r="R2661" s="11"/>
      <c r="S2661" s="11"/>
      <c r="T2661" s="11"/>
      <c r="U2661" s="11"/>
      <c r="V2661" s="11"/>
      <c r="W2661" s="11"/>
      <c r="X2661" s="11"/>
      <c r="Y2661" s="11"/>
      <c r="Z2661" s="11"/>
      <c r="AA2661" s="11"/>
      <c r="AB2661" s="11"/>
      <c r="AC2661" s="11"/>
      <c r="AD2661" s="11"/>
      <c r="AE2661" s="11"/>
      <c r="AF2661" s="11"/>
      <c r="AG2661" s="11"/>
      <c r="AH2661" s="11"/>
      <c r="AI2661" s="11"/>
      <c r="AJ2661" s="11"/>
      <c r="AK2661" s="11"/>
      <c r="AL2661" s="11"/>
      <c r="AM2661" s="11"/>
      <c r="AN2661" s="11"/>
      <c r="AO2661" s="11"/>
      <c r="AP2661" s="11"/>
      <c r="AQ2661" s="11"/>
      <c r="AR2661" s="11"/>
      <c r="AS2661" s="11"/>
      <c r="AT2661" s="11"/>
      <c r="AU2661" s="11"/>
      <c r="AV2661" s="11"/>
      <c r="AW2661" s="11"/>
      <c r="AX2661" s="11"/>
      <c r="AY2661" s="11"/>
    </row>
    <row r="2662" spans="1:51" hidden="1" x14ac:dyDescent="0.2">
      <c r="A2662" s="6"/>
      <c r="E2662" s="2"/>
      <c r="F2662" s="3"/>
      <c r="G2662" s="3"/>
      <c r="P2662" s="8"/>
      <c r="Q2662" s="11"/>
      <c r="R2662" s="11"/>
      <c r="S2662" s="11"/>
      <c r="T2662" s="11"/>
      <c r="U2662" s="11"/>
      <c r="V2662" s="11"/>
      <c r="W2662" s="11"/>
      <c r="X2662" s="11"/>
      <c r="Y2662" s="11"/>
      <c r="Z2662" s="11"/>
      <c r="AA2662" s="11"/>
      <c r="AB2662" s="11"/>
      <c r="AC2662" s="11"/>
      <c r="AD2662" s="11"/>
      <c r="AE2662" s="11"/>
      <c r="AF2662" s="11"/>
      <c r="AG2662" s="11"/>
      <c r="AH2662" s="11"/>
      <c r="AI2662" s="11"/>
      <c r="AJ2662" s="11"/>
      <c r="AK2662" s="11"/>
      <c r="AL2662" s="11"/>
      <c r="AM2662" s="11"/>
      <c r="AN2662" s="11"/>
      <c r="AO2662" s="11"/>
      <c r="AP2662" s="11"/>
      <c r="AQ2662" s="11"/>
      <c r="AR2662" s="11"/>
      <c r="AS2662" s="11"/>
      <c r="AT2662" s="11"/>
      <c r="AU2662" s="11"/>
      <c r="AV2662" s="11"/>
      <c r="AW2662" s="11"/>
      <c r="AX2662" s="11"/>
      <c r="AY2662" s="11"/>
    </row>
    <row r="2663" spans="1:51" hidden="1" x14ac:dyDescent="0.2">
      <c r="A2663" s="6" t="s">
        <v>17</v>
      </c>
      <c r="B2663" t="s">
        <v>60</v>
      </c>
      <c r="C2663" t="s">
        <v>61</v>
      </c>
      <c r="D2663" t="s">
        <v>3303</v>
      </c>
      <c r="E2663" s="2">
        <v>129.38</v>
      </c>
      <c r="F2663" s="3">
        <f t="shared" si="234"/>
        <v>45954</v>
      </c>
      <c r="G2663" s="3">
        <f t="shared" si="234"/>
        <v>45954</v>
      </c>
      <c r="H2663">
        <v>3067314027</v>
      </c>
      <c r="I2663" t="s">
        <v>21</v>
      </c>
      <c r="K2663" t="s">
        <v>22</v>
      </c>
      <c r="L2663" t="s">
        <v>23</v>
      </c>
      <c r="M2663" t="s">
        <v>24</v>
      </c>
      <c r="N2663" t="s">
        <v>24</v>
      </c>
      <c r="O2663" t="s">
        <v>25</v>
      </c>
      <c r="P2663" s="8" t="s">
        <v>3304</v>
      </c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  <c r="AA2663" s="11"/>
      <c r="AB2663" s="11"/>
      <c r="AC2663" s="11"/>
      <c r="AD2663" s="11"/>
      <c r="AE2663" s="11"/>
      <c r="AF2663" s="11"/>
      <c r="AG2663" s="11"/>
      <c r="AH2663" s="11"/>
      <c r="AI2663" s="11"/>
      <c r="AJ2663" s="11"/>
      <c r="AK2663" s="11"/>
      <c r="AL2663" s="11"/>
      <c r="AM2663" s="11"/>
      <c r="AN2663" s="11"/>
      <c r="AO2663" s="11"/>
      <c r="AP2663" s="11"/>
      <c r="AQ2663" s="11"/>
      <c r="AR2663" s="11"/>
      <c r="AS2663" s="11"/>
      <c r="AT2663" s="11"/>
      <c r="AU2663" s="11"/>
      <c r="AV2663" s="11"/>
      <c r="AW2663" s="11"/>
      <c r="AX2663" s="11"/>
      <c r="AY2663" s="11"/>
    </row>
    <row r="2664" spans="1:51" hidden="1" x14ac:dyDescent="0.2">
      <c r="A2664" s="6" t="s">
        <v>17</v>
      </c>
      <c r="B2664" t="s">
        <v>18</v>
      </c>
      <c r="C2664" t="s">
        <v>19</v>
      </c>
      <c r="D2664" t="s">
        <v>3305</v>
      </c>
      <c r="E2664" s="2">
        <v>0.88</v>
      </c>
      <c r="F2664" s="3">
        <f t="shared" si="234"/>
        <v>45954</v>
      </c>
      <c r="G2664" s="3">
        <f t="shared" si="234"/>
        <v>45954</v>
      </c>
      <c r="H2664">
        <v>3067315603</v>
      </c>
      <c r="I2664" t="s">
        <v>192</v>
      </c>
      <c r="K2664" t="s">
        <v>22</v>
      </c>
      <c r="L2664" t="s">
        <v>23</v>
      </c>
      <c r="M2664" t="s">
        <v>24</v>
      </c>
      <c r="N2664" t="s">
        <v>24</v>
      </c>
      <c r="O2664" t="s">
        <v>25</v>
      </c>
      <c r="P2664" s="8" t="s">
        <v>3306</v>
      </c>
      <c r="Q2664" s="11"/>
      <c r="R2664" s="11"/>
      <c r="S2664" s="11"/>
      <c r="T2664" s="11"/>
      <c r="U2664" s="11"/>
      <c r="V2664" s="11"/>
      <c r="W2664" s="11"/>
      <c r="X2664" s="11"/>
      <c r="Y2664" s="11"/>
      <c r="Z2664" s="11"/>
      <c r="AA2664" s="11"/>
      <c r="AB2664" s="11"/>
      <c r="AC2664" s="11"/>
      <c r="AD2664" s="11"/>
      <c r="AE2664" s="11"/>
      <c r="AF2664" s="11"/>
      <c r="AG2664" s="11"/>
      <c r="AH2664" s="11"/>
      <c r="AI2664" s="11"/>
      <c r="AJ2664" s="11"/>
      <c r="AK2664" s="11"/>
      <c r="AL2664" s="11"/>
      <c r="AM2664" s="11"/>
      <c r="AN2664" s="11"/>
      <c r="AO2664" s="11"/>
      <c r="AP2664" s="11"/>
      <c r="AQ2664" s="11"/>
      <c r="AR2664" s="11"/>
      <c r="AS2664" s="11"/>
      <c r="AT2664" s="11"/>
      <c r="AU2664" s="11"/>
      <c r="AV2664" s="11"/>
      <c r="AW2664" s="11"/>
      <c r="AX2664" s="11"/>
      <c r="AY2664" s="11"/>
    </row>
    <row r="2665" spans="1:51" hidden="1" x14ac:dyDescent="0.2">
      <c r="A2665" s="6"/>
      <c r="E2665" s="2"/>
      <c r="F2665" s="3"/>
      <c r="G2665" s="3"/>
      <c r="P2665" s="8"/>
      <c r="Q2665" s="11"/>
      <c r="R2665" s="11"/>
      <c r="S2665" s="11"/>
      <c r="T2665" s="11"/>
      <c r="U2665" s="11"/>
      <c r="V2665" s="11"/>
      <c r="W2665" s="11"/>
      <c r="X2665" s="11"/>
      <c r="Y2665" s="11"/>
      <c r="Z2665" s="11"/>
      <c r="AA2665" s="11"/>
      <c r="AB2665" s="11"/>
      <c r="AC2665" s="11"/>
      <c r="AD2665" s="11"/>
      <c r="AE2665" s="11"/>
      <c r="AF2665" s="11"/>
      <c r="AG2665" s="11"/>
      <c r="AH2665" s="11"/>
      <c r="AI2665" s="11"/>
      <c r="AJ2665" s="11"/>
      <c r="AK2665" s="11"/>
      <c r="AL2665" s="11"/>
      <c r="AM2665" s="11"/>
      <c r="AN2665" s="11"/>
      <c r="AO2665" s="11"/>
      <c r="AP2665" s="11"/>
      <c r="AQ2665" s="11"/>
      <c r="AR2665" s="11"/>
      <c r="AS2665" s="11"/>
      <c r="AT2665" s="11"/>
      <c r="AU2665" s="11"/>
      <c r="AV2665" s="11"/>
      <c r="AW2665" s="11"/>
      <c r="AX2665" s="11"/>
      <c r="AY2665" s="11"/>
    </row>
    <row r="2666" spans="1:51" hidden="1" x14ac:dyDescent="0.2">
      <c r="A2666" s="6"/>
      <c r="E2666" s="2"/>
      <c r="F2666" s="3"/>
      <c r="G2666" s="3"/>
      <c r="P2666" s="8"/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  <c r="AA2666" s="11"/>
      <c r="AB2666" s="11"/>
      <c r="AC2666" s="11"/>
      <c r="AD2666" s="11"/>
      <c r="AE2666" s="11"/>
      <c r="AF2666" s="11"/>
      <c r="AG2666" s="11"/>
      <c r="AH2666" s="11"/>
      <c r="AI2666" s="11"/>
      <c r="AJ2666" s="11"/>
      <c r="AK2666" s="11"/>
      <c r="AL2666" s="11"/>
      <c r="AM2666" s="11"/>
      <c r="AN2666" s="11"/>
      <c r="AO2666" s="11"/>
      <c r="AP2666" s="11"/>
      <c r="AQ2666" s="11"/>
      <c r="AR2666" s="11"/>
      <c r="AS2666" s="11"/>
      <c r="AT2666" s="11"/>
      <c r="AU2666" s="11"/>
      <c r="AV2666" s="11"/>
      <c r="AW2666" s="11"/>
      <c r="AX2666" s="11"/>
      <c r="AY2666" s="11"/>
    </row>
    <row r="2667" spans="1:51" hidden="1" x14ac:dyDescent="0.2">
      <c r="A2667" s="6"/>
      <c r="E2667" s="2"/>
      <c r="F2667" s="3"/>
      <c r="G2667" s="3"/>
      <c r="P2667" s="8"/>
      <c r="Q2667" s="11"/>
      <c r="R2667" s="11"/>
      <c r="S2667" s="11"/>
      <c r="T2667" s="11"/>
      <c r="U2667" s="11"/>
      <c r="V2667" s="11"/>
      <c r="W2667" s="11"/>
      <c r="X2667" s="11"/>
      <c r="Y2667" s="11"/>
      <c r="Z2667" s="11"/>
      <c r="AA2667" s="11"/>
      <c r="AB2667" s="11"/>
      <c r="AC2667" s="11"/>
      <c r="AD2667" s="11"/>
      <c r="AE2667" s="11"/>
      <c r="AF2667" s="11"/>
      <c r="AG2667" s="11"/>
      <c r="AH2667" s="11"/>
      <c r="AI2667" s="11"/>
      <c r="AJ2667" s="11"/>
      <c r="AK2667" s="11"/>
      <c r="AL2667" s="11"/>
      <c r="AM2667" s="11"/>
      <c r="AN2667" s="11"/>
      <c r="AO2667" s="11"/>
      <c r="AP2667" s="11"/>
      <c r="AQ2667" s="11"/>
      <c r="AR2667" s="11"/>
      <c r="AS2667" s="11"/>
      <c r="AT2667" s="11"/>
      <c r="AU2667" s="11"/>
      <c r="AV2667" s="11"/>
      <c r="AW2667" s="11"/>
      <c r="AX2667" s="11"/>
      <c r="AY2667" s="11"/>
    </row>
    <row r="2668" spans="1:51" hidden="1" x14ac:dyDescent="0.2">
      <c r="A2668" s="6"/>
      <c r="E2668" s="2"/>
      <c r="F2668" s="3"/>
      <c r="G2668" s="3"/>
      <c r="P2668" s="8"/>
      <c r="Q2668" s="11"/>
      <c r="R2668" s="11"/>
      <c r="S2668" s="11"/>
      <c r="T2668" s="11"/>
      <c r="U2668" s="11"/>
      <c r="V2668" s="11"/>
      <c r="W2668" s="11"/>
      <c r="X2668" s="11"/>
      <c r="Y2668" s="11"/>
      <c r="Z2668" s="11"/>
      <c r="AA2668" s="11"/>
      <c r="AB2668" s="11"/>
      <c r="AC2668" s="11"/>
      <c r="AD2668" s="11"/>
      <c r="AE2668" s="11"/>
      <c r="AF2668" s="11"/>
      <c r="AG2668" s="11"/>
      <c r="AH2668" s="11"/>
      <c r="AI2668" s="11"/>
      <c r="AJ2668" s="11"/>
      <c r="AK2668" s="11"/>
      <c r="AL2668" s="11"/>
      <c r="AM2668" s="11"/>
      <c r="AN2668" s="11"/>
      <c r="AO2668" s="11"/>
      <c r="AP2668" s="11"/>
      <c r="AQ2668" s="11"/>
      <c r="AR2668" s="11"/>
      <c r="AS2668" s="11"/>
      <c r="AT2668" s="11"/>
      <c r="AU2668" s="11"/>
      <c r="AV2668" s="11"/>
      <c r="AW2668" s="11"/>
      <c r="AX2668" s="11"/>
      <c r="AY2668" s="11"/>
    </row>
    <row r="2669" spans="1:51" hidden="1" x14ac:dyDescent="0.2">
      <c r="A2669" s="6" t="s">
        <v>17</v>
      </c>
      <c r="B2669" t="s">
        <v>118</v>
      </c>
      <c r="C2669" t="s">
        <v>119</v>
      </c>
      <c r="D2669" t="s">
        <v>3307</v>
      </c>
      <c r="E2669" s="2">
        <v>104.29</v>
      </c>
      <c r="F2669" s="3">
        <f t="shared" si="234"/>
        <v>45954</v>
      </c>
      <c r="G2669" s="3">
        <f t="shared" si="234"/>
        <v>45954</v>
      </c>
      <c r="H2669">
        <v>3067315608</v>
      </c>
      <c r="I2669" t="s">
        <v>192</v>
      </c>
      <c r="K2669" t="s">
        <v>22</v>
      </c>
      <c r="L2669" t="s">
        <v>23</v>
      </c>
      <c r="M2669" t="s">
        <v>24</v>
      </c>
      <c r="N2669" t="s">
        <v>24</v>
      </c>
      <c r="O2669" t="s">
        <v>25</v>
      </c>
      <c r="P2669" s="8" t="s">
        <v>3308</v>
      </c>
      <c r="Q2669" s="11"/>
      <c r="R2669" s="11"/>
      <c r="S2669" s="11"/>
      <c r="T2669" s="11"/>
      <c r="U2669" s="11"/>
      <c r="V2669" s="11"/>
      <c r="W2669" s="11"/>
      <c r="X2669" s="11"/>
      <c r="Y2669" s="11"/>
      <c r="Z2669" s="11"/>
      <c r="AA2669" s="11"/>
      <c r="AB2669" s="11"/>
      <c r="AC2669" s="11"/>
      <c r="AD2669" s="11"/>
      <c r="AE2669" s="11"/>
      <c r="AF2669" s="11"/>
      <c r="AG2669" s="11"/>
      <c r="AH2669" s="11"/>
      <c r="AI2669" s="11"/>
      <c r="AJ2669" s="11"/>
      <c r="AK2669" s="11"/>
      <c r="AL2669" s="11"/>
      <c r="AM2669" s="11"/>
      <c r="AN2669" s="11"/>
      <c r="AO2669" s="11"/>
      <c r="AP2669" s="11"/>
      <c r="AQ2669" s="11"/>
      <c r="AR2669" s="11"/>
      <c r="AS2669" s="11"/>
      <c r="AT2669" s="11"/>
      <c r="AU2669" s="11"/>
      <c r="AV2669" s="11"/>
      <c r="AW2669" s="11"/>
      <c r="AX2669" s="11"/>
      <c r="AY2669" s="11"/>
    </row>
    <row r="2670" spans="1:51" hidden="1" x14ac:dyDescent="0.2">
      <c r="A2670" s="6" t="s">
        <v>17</v>
      </c>
      <c r="B2670" t="s">
        <v>1918</v>
      </c>
      <c r="C2670" t="s">
        <v>1919</v>
      </c>
      <c r="D2670" t="s">
        <v>3309</v>
      </c>
      <c r="E2670" s="2">
        <v>21164</v>
      </c>
      <c r="F2670" s="3">
        <f t="shared" ref="F2670:G2685" si="235">DATE(2025,10,27)</f>
        <v>45957</v>
      </c>
      <c r="G2670" s="3">
        <f t="shared" si="235"/>
        <v>45957</v>
      </c>
      <c r="H2670">
        <v>3078554288</v>
      </c>
      <c r="I2670" t="s">
        <v>21</v>
      </c>
      <c r="K2670" t="s">
        <v>22</v>
      </c>
      <c r="L2670" t="s">
        <v>23</v>
      </c>
      <c r="M2670" t="s">
        <v>24</v>
      </c>
      <c r="N2670" t="s">
        <v>24</v>
      </c>
      <c r="O2670" t="s">
        <v>25</v>
      </c>
      <c r="P2670" s="8" t="s">
        <v>3310</v>
      </c>
      <c r="Q2670" s="11"/>
      <c r="R2670" s="11"/>
      <c r="S2670" s="11"/>
      <c r="T2670" s="11"/>
      <c r="U2670" s="11"/>
      <c r="V2670" s="11"/>
      <c r="W2670" s="11"/>
      <c r="X2670" s="11"/>
      <c r="Y2670" s="11"/>
      <c r="Z2670" s="11"/>
      <c r="AA2670" s="11"/>
      <c r="AB2670" s="11"/>
      <c r="AC2670" s="11"/>
      <c r="AD2670" s="11"/>
      <c r="AE2670" s="11"/>
      <c r="AF2670" s="11"/>
      <c r="AG2670" s="11"/>
      <c r="AH2670" s="11"/>
      <c r="AI2670" s="11"/>
      <c r="AJ2670" s="11"/>
      <c r="AK2670" s="11"/>
      <c r="AL2670" s="11"/>
      <c r="AM2670" s="11"/>
      <c r="AN2670" s="11"/>
      <c r="AO2670" s="11"/>
      <c r="AP2670" s="11"/>
      <c r="AQ2670" s="11"/>
      <c r="AR2670" s="11"/>
      <c r="AS2670" s="11"/>
      <c r="AT2670" s="11"/>
      <c r="AU2670" s="11"/>
      <c r="AV2670" s="11"/>
      <c r="AW2670" s="11"/>
      <c r="AX2670" s="11"/>
      <c r="AY2670" s="11"/>
    </row>
    <row r="2671" spans="1:51" hidden="1" x14ac:dyDescent="0.2">
      <c r="A2671" s="6" t="s">
        <v>17</v>
      </c>
      <c r="B2671" t="s">
        <v>309</v>
      </c>
      <c r="C2671" t="s">
        <v>310</v>
      </c>
      <c r="D2671" t="s">
        <v>3311</v>
      </c>
      <c r="E2671" s="2">
        <v>2803.96</v>
      </c>
      <c r="F2671" s="3">
        <f t="shared" si="235"/>
        <v>45957</v>
      </c>
      <c r="G2671" s="3">
        <f t="shared" si="235"/>
        <v>45957</v>
      </c>
      <c r="H2671">
        <v>3078554289</v>
      </c>
      <c r="I2671" t="s">
        <v>21</v>
      </c>
      <c r="K2671" t="s">
        <v>22</v>
      </c>
      <c r="L2671" t="s">
        <v>23</v>
      </c>
      <c r="M2671" t="s">
        <v>24</v>
      </c>
      <c r="N2671" t="s">
        <v>24</v>
      </c>
      <c r="O2671" t="s">
        <v>25</v>
      </c>
      <c r="P2671" s="8" t="s">
        <v>3312</v>
      </c>
      <c r="Q2671" s="11"/>
      <c r="R2671" s="11"/>
      <c r="S2671" s="11"/>
      <c r="T2671" s="11"/>
      <c r="U2671" s="11"/>
      <c r="V2671" s="11"/>
      <c r="W2671" s="11"/>
      <c r="X2671" s="11"/>
      <c r="Y2671" s="11"/>
      <c r="Z2671" s="11"/>
      <c r="AA2671" s="11"/>
      <c r="AB2671" s="11"/>
      <c r="AC2671" s="11"/>
      <c r="AD2671" s="11"/>
      <c r="AE2671" s="11"/>
      <c r="AF2671" s="11"/>
      <c r="AG2671" s="11"/>
      <c r="AH2671" s="11"/>
      <c r="AI2671" s="11"/>
      <c r="AJ2671" s="11"/>
      <c r="AK2671" s="11"/>
      <c r="AL2671" s="11"/>
      <c r="AM2671" s="11"/>
      <c r="AN2671" s="11"/>
      <c r="AO2671" s="11"/>
      <c r="AP2671" s="11"/>
      <c r="AQ2671" s="11"/>
      <c r="AR2671" s="11"/>
      <c r="AS2671" s="11"/>
      <c r="AT2671" s="11"/>
      <c r="AU2671" s="11"/>
      <c r="AV2671" s="11"/>
      <c r="AW2671" s="11"/>
      <c r="AX2671" s="11"/>
      <c r="AY2671" s="11"/>
    </row>
    <row r="2672" spans="1:51" hidden="1" x14ac:dyDescent="0.2">
      <c r="A2672" s="6" t="s">
        <v>17</v>
      </c>
      <c r="B2672" t="s">
        <v>1002</v>
      </c>
      <c r="C2672" t="s">
        <v>1003</v>
      </c>
      <c r="D2672" t="s">
        <v>3313</v>
      </c>
      <c r="E2672" s="2">
        <v>608.17999999999995</v>
      </c>
      <c r="F2672" s="3">
        <f t="shared" si="235"/>
        <v>45957</v>
      </c>
      <c r="G2672" s="3">
        <f t="shared" si="235"/>
        <v>45957</v>
      </c>
      <c r="H2672">
        <v>3078554290</v>
      </c>
      <c r="I2672" t="s">
        <v>21</v>
      </c>
      <c r="K2672" t="s">
        <v>22</v>
      </c>
      <c r="L2672" t="s">
        <v>23</v>
      </c>
      <c r="M2672" t="s">
        <v>24</v>
      </c>
      <c r="N2672" t="s">
        <v>24</v>
      </c>
      <c r="O2672" t="s">
        <v>25</v>
      </c>
      <c r="P2672" s="8" t="s">
        <v>3314</v>
      </c>
      <c r="Q2672" s="11"/>
      <c r="R2672" s="11"/>
      <c r="S2672" s="11"/>
      <c r="T2672" s="11"/>
      <c r="U2672" s="11"/>
      <c r="V2672" s="11"/>
      <c r="W2672" s="11"/>
      <c r="X2672" s="11"/>
      <c r="Y2672" s="11"/>
      <c r="Z2672" s="11"/>
      <c r="AA2672" s="11"/>
      <c r="AB2672" s="11"/>
      <c r="AC2672" s="11"/>
      <c r="AD2672" s="11"/>
      <c r="AE2672" s="11"/>
      <c r="AF2672" s="11"/>
      <c r="AG2672" s="11"/>
      <c r="AH2672" s="11"/>
      <c r="AI2672" s="11"/>
      <c r="AJ2672" s="11"/>
      <c r="AK2672" s="11"/>
      <c r="AL2672" s="11"/>
      <c r="AM2672" s="11"/>
      <c r="AN2672" s="11"/>
      <c r="AO2672" s="11"/>
      <c r="AP2672" s="11"/>
      <c r="AQ2672" s="11"/>
      <c r="AR2672" s="11"/>
      <c r="AS2672" s="11"/>
      <c r="AT2672" s="11"/>
      <c r="AU2672" s="11"/>
      <c r="AV2672" s="11"/>
      <c r="AW2672" s="11"/>
      <c r="AX2672" s="11"/>
      <c r="AY2672" s="11"/>
    </row>
    <row r="2673" spans="1:51" hidden="1" x14ac:dyDescent="0.2">
      <c r="A2673" s="6" t="s">
        <v>17</v>
      </c>
      <c r="B2673" t="s">
        <v>173</v>
      </c>
      <c r="C2673" t="s">
        <v>154</v>
      </c>
      <c r="D2673" t="s">
        <v>3315</v>
      </c>
      <c r="E2673" s="2">
        <v>56.74</v>
      </c>
      <c r="F2673" s="3">
        <f t="shared" si="235"/>
        <v>45957</v>
      </c>
      <c r="G2673" s="3">
        <f t="shared" si="235"/>
        <v>45957</v>
      </c>
      <c r="H2673">
        <v>3078555689</v>
      </c>
      <c r="I2673" t="s">
        <v>192</v>
      </c>
      <c r="K2673" t="s">
        <v>22</v>
      </c>
      <c r="L2673" t="s">
        <v>23</v>
      </c>
      <c r="M2673" t="s">
        <v>24</v>
      </c>
      <c r="N2673" t="s">
        <v>24</v>
      </c>
      <c r="O2673" t="s">
        <v>25</v>
      </c>
      <c r="P2673" s="8" t="s">
        <v>3316</v>
      </c>
      <c r="Q2673" s="11"/>
      <c r="R2673" s="11"/>
      <c r="S2673" s="11"/>
      <c r="T2673" s="11"/>
      <c r="U2673" s="11"/>
      <c r="V2673" s="11"/>
      <c r="W2673" s="11"/>
      <c r="X2673" s="11"/>
      <c r="Y2673" s="11"/>
      <c r="Z2673" s="11"/>
      <c r="AA2673" s="11"/>
      <c r="AB2673" s="11"/>
      <c r="AC2673" s="11"/>
      <c r="AD2673" s="11"/>
      <c r="AE2673" s="11"/>
      <c r="AF2673" s="11"/>
      <c r="AG2673" s="11"/>
      <c r="AH2673" s="11"/>
      <c r="AI2673" s="11"/>
      <c r="AJ2673" s="11"/>
      <c r="AK2673" s="11"/>
      <c r="AL2673" s="11"/>
      <c r="AM2673" s="11"/>
      <c r="AN2673" s="11"/>
      <c r="AO2673" s="11"/>
      <c r="AP2673" s="11"/>
      <c r="AQ2673" s="11"/>
      <c r="AR2673" s="11"/>
      <c r="AS2673" s="11"/>
      <c r="AT2673" s="11"/>
      <c r="AU2673" s="11"/>
      <c r="AV2673" s="11"/>
      <c r="AW2673" s="11"/>
      <c r="AX2673" s="11"/>
      <c r="AY2673" s="11"/>
    </row>
    <row r="2674" spans="1:51" hidden="1" x14ac:dyDescent="0.2">
      <c r="A2674" s="6" t="s">
        <v>17</v>
      </c>
      <c r="B2674" t="s">
        <v>173</v>
      </c>
      <c r="C2674" t="s">
        <v>154</v>
      </c>
      <c r="D2674" t="s">
        <v>3317</v>
      </c>
      <c r="E2674" s="2">
        <v>76.37</v>
      </c>
      <c r="F2674" s="3">
        <f t="shared" si="235"/>
        <v>45957</v>
      </c>
      <c r="G2674" s="3">
        <f t="shared" si="235"/>
        <v>45957</v>
      </c>
      <c r="H2674">
        <v>3078555690</v>
      </c>
      <c r="I2674" t="s">
        <v>192</v>
      </c>
      <c r="K2674" t="s">
        <v>22</v>
      </c>
      <c r="L2674" t="s">
        <v>23</v>
      </c>
      <c r="M2674" t="s">
        <v>24</v>
      </c>
      <c r="N2674" t="s">
        <v>24</v>
      </c>
      <c r="O2674" t="s">
        <v>25</v>
      </c>
      <c r="P2674" s="8" t="s">
        <v>3318</v>
      </c>
      <c r="Q2674" s="11"/>
      <c r="R2674" s="11"/>
      <c r="S2674" s="11"/>
      <c r="T2674" s="11"/>
      <c r="U2674" s="11"/>
      <c r="V2674" s="11"/>
      <c r="W2674" s="11"/>
      <c r="X2674" s="11"/>
      <c r="Y2674" s="11"/>
      <c r="Z2674" s="11"/>
      <c r="AA2674" s="11"/>
      <c r="AB2674" s="11"/>
      <c r="AC2674" s="11"/>
      <c r="AD2674" s="11"/>
      <c r="AE2674" s="11"/>
      <c r="AF2674" s="11"/>
      <c r="AG2674" s="11"/>
      <c r="AH2674" s="11"/>
      <c r="AI2674" s="11"/>
      <c r="AJ2674" s="11"/>
      <c r="AK2674" s="11"/>
      <c r="AL2674" s="11"/>
      <c r="AM2674" s="11"/>
      <c r="AN2674" s="11"/>
      <c r="AO2674" s="11"/>
      <c r="AP2674" s="11"/>
      <c r="AQ2674" s="11"/>
      <c r="AR2674" s="11"/>
      <c r="AS2674" s="11"/>
      <c r="AT2674" s="11"/>
      <c r="AU2674" s="11"/>
      <c r="AV2674" s="11"/>
      <c r="AW2674" s="11"/>
      <c r="AX2674" s="11"/>
      <c r="AY2674" s="11"/>
    </row>
    <row r="2675" spans="1:51" hidden="1" x14ac:dyDescent="0.2">
      <c r="A2675" s="6" t="s">
        <v>17</v>
      </c>
      <c r="B2675" t="s">
        <v>244</v>
      </c>
      <c r="C2675" t="s">
        <v>245</v>
      </c>
      <c r="D2675" t="s">
        <v>3319</v>
      </c>
      <c r="E2675" s="2">
        <v>1200</v>
      </c>
      <c r="F2675" s="3">
        <f t="shared" si="235"/>
        <v>45957</v>
      </c>
      <c r="G2675" s="3">
        <f t="shared" si="235"/>
        <v>45957</v>
      </c>
      <c r="H2675">
        <v>3087484812</v>
      </c>
      <c r="I2675" t="s">
        <v>21</v>
      </c>
      <c r="K2675" t="s">
        <v>22</v>
      </c>
      <c r="L2675" t="s">
        <v>23</v>
      </c>
      <c r="M2675" t="s">
        <v>24</v>
      </c>
      <c r="N2675" t="s">
        <v>24</v>
      </c>
      <c r="O2675" t="s">
        <v>25</v>
      </c>
      <c r="P2675" s="8" t="s">
        <v>3320</v>
      </c>
      <c r="Q2675" s="11"/>
      <c r="R2675" s="11"/>
      <c r="S2675" s="11"/>
      <c r="T2675" s="11"/>
      <c r="U2675" s="11"/>
      <c r="V2675" s="11"/>
      <c r="W2675" s="11"/>
      <c r="X2675" s="11"/>
      <c r="Y2675" s="11"/>
      <c r="Z2675" s="11"/>
      <c r="AA2675" s="11"/>
      <c r="AB2675" s="11"/>
      <c r="AC2675" s="11"/>
      <c r="AD2675" s="11"/>
      <c r="AE2675" s="11"/>
      <c r="AF2675" s="11"/>
      <c r="AG2675" s="11"/>
      <c r="AH2675" s="11"/>
      <c r="AI2675" s="11"/>
      <c r="AJ2675" s="11"/>
      <c r="AK2675" s="11"/>
      <c r="AL2675" s="11"/>
      <c r="AM2675" s="11"/>
      <c r="AN2675" s="11"/>
      <c r="AO2675" s="11"/>
      <c r="AP2675" s="11"/>
      <c r="AQ2675" s="11"/>
      <c r="AR2675" s="11"/>
      <c r="AS2675" s="11"/>
      <c r="AT2675" s="11"/>
      <c r="AU2675" s="11"/>
      <c r="AV2675" s="11"/>
      <c r="AW2675" s="11"/>
      <c r="AX2675" s="11"/>
      <c r="AY2675" s="11"/>
    </row>
    <row r="2676" spans="1:51" hidden="1" x14ac:dyDescent="0.2">
      <c r="A2676" s="6" t="s">
        <v>17</v>
      </c>
      <c r="B2676" t="s">
        <v>50</v>
      </c>
      <c r="C2676" t="s">
        <v>51</v>
      </c>
      <c r="D2676" t="s">
        <v>3321</v>
      </c>
      <c r="E2676" s="2">
        <v>372.82</v>
      </c>
      <c r="F2676" s="3">
        <f t="shared" si="235"/>
        <v>45957</v>
      </c>
      <c r="G2676" s="3">
        <f t="shared" si="235"/>
        <v>45957</v>
      </c>
      <c r="H2676">
        <v>3087484813</v>
      </c>
      <c r="I2676" t="s">
        <v>21</v>
      </c>
      <c r="K2676" t="s">
        <v>22</v>
      </c>
      <c r="L2676" t="s">
        <v>23</v>
      </c>
      <c r="M2676" t="s">
        <v>24</v>
      </c>
      <c r="N2676" t="s">
        <v>24</v>
      </c>
      <c r="O2676" t="s">
        <v>25</v>
      </c>
      <c r="P2676" s="8" t="s">
        <v>3322</v>
      </c>
      <c r="Q2676" s="11"/>
      <c r="R2676" s="11"/>
      <c r="S2676" s="11"/>
      <c r="T2676" s="11"/>
      <c r="U2676" s="11"/>
      <c r="V2676" s="11"/>
      <c r="W2676" s="11"/>
      <c r="X2676" s="11"/>
      <c r="Y2676" s="11"/>
      <c r="Z2676" s="11"/>
      <c r="AA2676" s="11"/>
      <c r="AB2676" s="11"/>
      <c r="AC2676" s="11"/>
      <c r="AD2676" s="11"/>
      <c r="AE2676" s="11"/>
      <c r="AF2676" s="11"/>
      <c r="AG2676" s="11"/>
      <c r="AH2676" s="11"/>
      <c r="AI2676" s="11"/>
      <c r="AJ2676" s="11"/>
      <c r="AK2676" s="11"/>
      <c r="AL2676" s="11"/>
      <c r="AM2676" s="11"/>
      <c r="AN2676" s="11"/>
      <c r="AO2676" s="11"/>
      <c r="AP2676" s="11"/>
      <c r="AQ2676" s="11"/>
      <c r="AR2676" s="11"/>
      <c r="AS2676" s="11"/>
      <c r="AT2676" s="11"/>
      <c r="AU2676" s="11"/>
      <c r="AV2676" s="11"/>
      <c r="AW2676" s="11"/>
      <c r="AX2676" s="11"/>
      <c r="AY2676" s="11"/>
    </row>
    <row r="2677" spans="1:51" hidden="1" x14ac:dyDescent="0.2">
      <c r="A2677" s="6" t="s">
        <v>17</v>
      </c>
      <c r="B2677" t="s">
        <v>329</v>
      </c>
      <c r="C2677" t="s">
        <v>330</v>
      </c>
      <c r="D2677" t="s">
        <v>3323</v>
      </c>
      <c r="E2677" s="2">
        <v>443.52</v>
      </c>
      <c r="F2677" s="3">
        <f t="shared" si="235"/>
        <v>45957</v>
      </c>
      <c r="G2677" s="3">
        <f t="shared" si="235"/>
        <v>45957</v>
      </c>
      <c r="H2677">
        <v>3087484814</v>
      </c>
      <c r="I2677" t="s">
        <v>21</v>
      </c>
      <c r="K2677" t="s">
        <v>22</v>
      </c>
      <c r="L2677" t="s">
        <v>23</v>
      </c>
      <c r="M2677" t="s">
        <v>24</v>
      </c>
      <c r="N2677" t="s">
        <v>24</v>
      </c>
      <c r="O2677" t="s">
        <v>25</v>
      </c>
      <c r="P2677" s="8" t="s">
        <v>3324</v>
      </c>
      <c r="Q2677" s="11"/>
      <c r="R2677" s="11"/>
      <c r="S2677" s="11"/>
      <c r="T2677" s="11"/>
      <c r="U2677" s="11"/>
      <c r="V2677" s="11"/>
      <c r="W2677" s="11"/>
      <c r="X2677" s="11"/>
      <c r="Y2677" s="11"/>
      <c r="Z2677" s="11"/>
      <c r="AA2677" s="11"/>
      <c r="AB2677" s="11"/>
      <c r="AC2677" s="11"/>
      <c r="AD2677" s="11"/>
      <c r="AE2677" s="11"/>
      <c r="AF2677" s="11"/>
      <c r="AG2677" s="11"/>
      <c r="AH2677" s="11"/>
      <c r="AI2677" s="11"/>
      <c r="AJ2677" s="11"/>
      <c r="AK2677" s="11"/>
      <c r="AL2677" s="11"/>
      <c r="AM2677" s="11"/>
      <c r="AN2677" s="11"/>
      <c r="AO2677" s="11"/>
      <c r="AP2677" s="11"/>
      <c r="AQ2677" s="11"/>
      <c r="AR2677" s="11"/>
      <c r="AS2677" s="11"/>
      <c r="AT2677" s="11"/>
      <c r="AU2677" s="11"/>
      <c r="AV2677" s="11"/>
      <c r="AW2677" s="11"/>
      <c r="AX2677" s="11"/>
      <c r="AY2677" s="11"/>
    </row>
    <row r="2678" spans="1:51" hidden="1" x14ac:dyDescent="0.2">
      <c r="A2678" s="6" t="s">
        <v>17</v>
      </c>
      <c r="B2678" t="s">
        <v>18</v>
      </c>
      <c r="C2678" t="s">
        <v>19</v>
      </c>
      <c r="D2678" t="s">
        <v>3325</v>
      </c>
      <c r="E2678" s="2">
        <v>432.36</v>
      </c>
      <c r="F2678" s="3">
        <f t="shared" si="235"/>
        <v>45957</v>
      </c>
      <c r="G2678" s="3">
        <f t="shared" si="235"/>
        <v>45957</v>
      </c>
      <c r="H2678">
        <v>3087484815</v>
      </c>
      <c r="I2678" t="s">
        <v>21</v>
      </c>
      <c r="K2678" t="s">
        <v>22</v>
      </c>
      <c r="L2678" t="s">
        <v>23</v>
      </c>
      <c r="M2678" t="s">
        <v>24</v>
      </c>
      <c r="N2678" t="s">
        <v>24</v>
      </c>
      <c r="O2678" t="s">
        <v>25</v>
      </c>
      <c r="P2678" s="8" t="s">
        <v>3326</v>
      </c>
      <c r="Q2678" s="11"/>
      <c r="R2678" s="11"/>
      <c r="S2678" s="11"/>
      <c r="T2678" s="11"/>
      <c r="U2678" s="11"/>
      <c r="V2678" s="11"/>
      <c r="W2678" s="11"/>
      <c r="X2678" s="11"/>
      <c r="Y2678" s="11"/>
      <c r="Z2678" s="11"/>
      <c r="AA2678" s="11"/>
      <c r="AB2678" s="11"/>
      <c r="AC2678" s="11"/>
      <c r="AD2678" s="11"/>
      <c r="AE2678" s="11"/>
      <c r="AF2678" s="11"/>
      <c r="AG2678" s="11"/>
      <c r="AH2678" s="11"/>
      <c r="AI2678" s="11"/>
      <c r="AJ2678" s="11"/>
      <c r="AK2678" s="11"/>
      <c r="AL2678" s="11"/>
      <c r="AM2678" s="11"/>
      <c r="AN2678" s="11"/>
      <c r="AO2678" s="11"/>
      <c r="AP2678" s="11"/>
      <c r="AQ2678" s="11"/>
      <c r="AR2678" s="11"/>
      <c r="AS2678" s="11"/>
      <c r="AT2678" s="11"/>
      <c r="AU2678" s="11"/>
      <c r="AV2678" s="11"/>
      <c r="AW2678" s="11"/>
      <c r="AX2678" s="11"/>
      <c r="AY2678" s="11"/>
    </row>
    <row r="2679" spans="1:51" hidden="1" x14ac:dyDescent="0.2">
      <c r="A2679" s="6" t="s">
        <v>17</v>
      </c>
      <c r="B2679" t="s">
        <v>825</v>
      </c>
      <c r="C2679" t="s">
        <v>826</v>
      </c>
      <c r="D2679" t="s">
        <v>3327</v>
      </c>
      <c r="E2679" s="2">
        <v>2448.27</v>
      </c>
      <c r="F2679" s="3">
        <f t="shared" si="235"/>
        <v>45957</v>
      </c>
      <c r="G2679" s="3">
        <f t="shared" si="235"/>
        <v>45957</v>
      </c>
      <c r="H2679">
        <v>3087484816</v>
      </c>
      <c r="I2679" t="s">
        <v>21</v>
      </c>
      <c r="K2679" t="s">
        <v>22</v>
      </c>
      <c r="L2679" t="s">
        <v>23</v>
      </c>
      <c r="M2679" t="s">
        <v>24</v>
      </c>
      <c r="N2679" t="s">
        <v>24</v>
      </c>
      <c r="O2679" t="s">
        <v>25</v>
      </c>
      <c r="P2679" s="8" t="s">
        <v>3328</v>
      </c>
      <c r="Q2679" s="11"/>
      <c r="R2679" s="11"/>
      <c r="S2679" s="11"/>
      <c r="T2679" s="11"/>
      <c r="U2679" s="11"/>
      <c r="V2679" s="11"/>
      <c r="W2679" s="11"/>
      <c r="X2679" s="11"/>
      <c r="Y2679" s="11"/>
      <c r="Z2679" s="11"/>
      <c r="AA2679" s="11"/>
      <c r="AB2679" s="11"/>
      <c r="AC2679" s="11"/>
      <c r="AD2679" s="11"/>
      <c r="AE2679" s="11"/>
      <c r="AF2679" s="11"/>
      <c r="AG2679" s="11"/>
      <c r="AH2679" s="11"/>
      <c r="AI2679" s="11"/>
      <c r="AJ2679" s="11"/>
      <c r="AK2679" s="11"/>
      <c r="AL2679" s="11"/>
      <c r="AM2679" s="11"/>
      <c r="AN2679" s="11"/>
      <c r="AO2679" s="11"/>
      <c r="AP2679" s="11"/>
      <c r="AQ2679" s="11"/>
      <c r="AR2679" s="11"/>
      <c r="AS2679" s="11"/>
      <c r="AT2679" s="11"/>
      <c r="AU2679" s="11"/>
      <c r="AV2679" s="11"/>
      <c r="AW2679" s="11"/>
      <c r="AX2679" s="11"/>
      <c r="AY2679" s="11"/>
    </row>
    <row r="2680" spans="1:51" hidden="1" x14ac:dyDescent="0.2">
      <c r="A2680" s="6" t="s">
        <v>17</v>
      </c>
      <c r="B2680" t="s">
        <v>118</v>
      </c>
      <c r="C2680" t="s">
        <v>119</v>
      </c>
      <c r="D2680" t="s">
        <v>3329</v>
      </c>
      <c r="E2680" s="2">
        <v>11281.39</v>
      </c>
      <c r="F2680" s="3">
        <f t="shared" si="235"/>
        <v>45957</v>
      </c>
      <c r="G2680" s="3">
        <f t="shared" si="235"/>
        <v>45957</v>
      </c>
      <c r="H2680">
        <v>3087484817</v>
      </c>
      <c r="I2680" t="s">
        <v>21</v>
      </c>
      <c r="K2680" t="s">
        <v>22</v>
      </c>
      <c r="L2680" t="s">
        <v>23</v>
      </c>
      <c r="M2680" t="s">
        <v>24</v>
      </c>
      <c r="N2680" t="s">
        <v>24</v>
      </c>
      <c r="O2680" t="s">
        <v>25</v>
      </c>
      <c r="P2680" s="8" t="s">
        <v>3330</v>
      </c>
      <c r="Q2680" s="11"/>
      <c r="R2680" s="11"/>
      <c r="S2680" s="11"/>
      <c r="T2680" s="11"/>
      <c r="U2680" s="11"/>
      <c r="V2680" s="11"/>
      <c r="W2680" s="11"/>
      <c r="X2680" s="11"/>
      <c r="Y2680" s="11"/>
      <c r="Z2680" s="11"/>
      <c r="AA2680" s="11"/>
      <c r="AB2680" s="11"/>
      <c r="AC2680" s="11"/>
      <c r="AD2680" s="11"/>
      <c r="AE2680" s="11"/>
      <c r="AF2680" s="11"/>
      <c r="AG2680" s="11"/>
      <c r="AH2680" s="11"/>
      <c r="AI2680" s="11"/>
      <c r="AJ2680" s="11"/>
      <c r="AK2680" s="11"/>
      <c r="AL2680" s="11"/>
      <c r="AM2680" s="11"/>
      <c r="AN2680" s="11"/>
      <c r="AO2680" s="11"/>
      <c r="AP2680" s="11"/>
      <c r="AQ2680" s="11"/>
      <c r="AR2680" s="11"/>
      <c r="AS2680" s="11"/>
      <c r="AT2680" s="11"/>
      <c r="AU2680" s="11"/>
      <c r="AV2680" s="11"/>
      <c r="AW2680" s="11"/>
      <c r="AX2680" s="11"/>
      <c r="AY2680" s="11"/>
    </row>
    <row r="2681" spans="1:51" hidden="1" x14ac:dyDescent="0.2">
      <c r="A2681" s="6"/>
      <c r="E2681" s="2"/>
      <c r="F2681" s="3"/>
      <c r="G2681" s="3"/>
      <c r="P2681" s="8"/>
      <c r="Q2681" s="11"/>
      <c r="R2681" s="11"/>
      <c r="S2681" s="11"/>
      <c r="T2681" s="11"/>
      <c r="U2681" s="11"/>
      <c r="V2681" s="11"/>
      <c r="W2681" s="11"/>
      <c r="X2681" s="11"/>
      <c r="Y2681" s="11"/>
      <c r="Z2681" s="11"/>
      <c r="AA2681" s="11"/>
      <c r="AB2681" s="11"/>
      <c r="AC2681" s="11"/>
      <c r="AD2681" s="11"/>
      <c r="AE2681" s="11"/>
      <c r="AF2681" s="11"/>
      <c r="AG2681" s="11"/>
      <c r="AH2681" s="11"/>
      <c r="AI2681" s="11"/>
      <c r="AJ2681" s="11"/>
      <c r="AK2681" s="11"/>
      <c r="AL2681" s="11"/>
      <c r="AM2681" s="11"/>
      <c r="AN2681" s="11"/>
      <c r="AO2681" s="11"/>
      <c r="AP2681" s="11"/>
      <c r="AQ2681" s="11"/>
      <c r="AR2681" s="11"/>
      <c r="AS2681" s="11"/>
      <c r="AT2681" s="11"/>
      <c r="AU2681" s="11"/>
      <c r="AV2681" s="11"/>
      <c r="AW2681" s="11"/>
      <c r="AX2681" s="11"/>
      <c r="AY2681" s="11"/>
    </row>
    <row r="2682" spans="1:51" hidden="1" x14ac:dyDescent="0.2">
      <c r="A2682" s="6" t="s">
        <v>17</v>
      </c>
      <c r="B2682" t="s">
        <v>825</v>
      </c>
      <c r="C2682" t="s">
        <v>826</v>
      </c>
      <c r="D2682" t="s">
        <v>3331</v>
      </c>
      <c r="E2682" s="2">
        <v>168.38</v>
      </c>
      <c r="F2682" s="3">
        <f t="shared" si="235"/>
        <v>45957</v>
      </c>
      <c r="G2682" s="3">
        <f t="shared" si="235"/>
        <v>45957</v>
      </c>
      <c r="H2682">
        <v>3087484819</v>
      </c>
      <c r="I2682" t="s">
        <v>21</v>
      </c>
      <c r="K2682" t="s">
        <v>22</v>
      </c>
      <c r="L2682" t="s">
        <v>23</v>
      </c>
      <c r="M2682" t="s">
        <v>24</v>
      </c>
      <c r="N2682" t="s">
        <v>24</v>
      </c>
      <c r="O2682" t="s">
        <v>25</v>
      </c>
      <c r="P2682" s="8" t="s">
        <v>3332</v>
      </c>
      <c r="Q2682" s="11"/>
      <c r="R2682" s="11"/>
      <c r="S2682" s="11"/>
      <c r="T2682" s="11"/>
      <c r="U2682" s="11"/>
      <c r="V2682" s="11"/>
      <c r="W2682" s="11"/>
      <c r="X2682" s="11"/>
      <c r="Y2682" s="11"/>
      <c r="Z2682" s="11"/>
      <c r="AA2682" s="11"/>
      <c r="AB2682" s="11"/>
      <c r="AC2682" s="11"/>
      <c r="AD2682" s="11"/>
      <c r="AE2682" s="11"/>
      <c r="AF2682" s="11"/>
      <c r="AG2682" s="11"/>
      <c r="AH2682" s="11"/>
      <c r="AI2682" s="11"/>
      <c r="AJ2682" s="11"/>
      <c r="AK2682" s="11"/>
      <c r="AL2682" s="11"/>
      <c r="AM2682" s="11"/>
      <c r="AN2682" s="11"/>
      <c r="AO2682" s="11"/>
      <c r="AP2682" s="11"/>
      <c r="AQ2682" s="11"/>
      <c r="AR2682" s="11"/>
      <c r="AS2682" s="11"/>
      <c r="AT2682" s="11"/>
      <c r="AU2682" s="11"/>
      <c r="AV2682" s="11"/>
      <c r="AW2682" s="11"/>
      <c r="AX2682" s="11"/>
      <c r="AY2682" s="11"/>
    </row>
    <row r="2683" spans="1:51" hidden="1" x14ac:dyDescent="0.2">
      <c r="A2683" s="6" t="s">
        <v>17</v>
      </c>
      <c r="B2683" t="s">
        <v>589</v>
      </c>
      <c r="C2683" t="s">
        <v>590</v>
      </c>
      <c r="D2683" t="s">
        <v>3333</v>
      </c>
      <c r="E2683" s="2">
        <v>159.09</v>
      </c>
      <c r="F2683" s="3">
        <f t="shared" si="235"/>
        <v>45957</v>
      </c>
      <c r="G2683" s="3">
        <f t="shared" si="235"/>
        <v>45957</v>
      </c>
      <c r="H2683">
        <v>3087484820</v>
      </c>
      <c r="I2683" t="s">
        <v>21</v>
      </c>
      <c r="K2683" t="s">
        <v>22</v>
      </c>
      <c r="L2683" t="s">
        <v>23</v>
      </c>
      <c r="M2683" t="s">
        <v>24</v>
      </c>
      <c r="N2683" t="s">
        <v>24</v>
      </c>
      <c r="O2683" t="s">
        <v>25</v>
      </c>
      <c r="P2683" s="8" t="s">
        <v>3334</v>
      </c>
      <c r="Q2683" s="11"/>
      <c r="R2683" s="11"/>
      <c r="S2683" s="11"/>
      <c r="T2683" s="11"/>
      <c r="U2683" s="11"/>
      <c r="V2683" s="11"/>
      <c r="W2683" s="11"/>
      <c r="X2683" s="11"/>
      <c r="Y2683" s="11"/>
      <c r="Z2683" s="11"/>
      <c r="AA2683" s="11"/>
      <c r="AB2683" s="11"/>
      <c r="AC2683" s="11"/>
      <c r="AD2683" s="11"/>
      <c r="AE2683" s="11"/>
      <c r="AF2683" s="11"/>
      <c r="AG2683" s="11"/>
      <c r="AH2683" s="11"/>
      <c r="AI2683" s="11"/>
      <c r="AJ2683" s="11"/>
      <c r="AK2683" s="11"/>
      <c r="AL2683" s="11"/>
      <c r="AM2683" s="11"/>
      <c r="AN2683" s="11"/>
      <c r="AO2683" s="11"/>
      <c r="AP2683" s="11"/>
      <c r="AQ2683" s="11"/>
      <c r="AR2683" s="11"/>
      <c r="AS2683" s="11"/>
      <c r="AT2683" s="11"/>
      <c r="AU2683" s="11"/>
      <c r="AV2683" s="11"/>
      <c r="AW2683" s="11"/>
      <c r="AX2683" s="11"/>
      <c r="AY2683" s="11"/>
    </row>
    <row r="2684" spans="1:51" hidden="1" x14ac:dyDescent="0.2">
      <c r="A2684" s="6"/>
      <c r="E2684" s="2"/>
      <c r="F2684" s="3"/>
      <c r="G2684" s="3"/>
      <c r="P2684" s="8"/>
      <c r="Q2684" s="11"/>
      <c r="R2684" s="11"/>
      <c r="S2684" s="11"/>
      <c r="T2684" s="11"/>
      <c r="U2684" s="11"/>
      <c r="V2684" s="11"/>
      <c r="W2684" s="11"/>
      <c r="X2684" s="11"/>
      <c r="Y2684" s="11"/>
      <c r="Z2684" s="11"/>
      <c r="AA2684" s="11"/>
      <c r="AB2684" s="11"/>
      <c r="AC2684" s="11"/>
      <c r="AD2684" s="11"/>
      <c r="AE2684" s="11"/>
      <c r="AF2684" s="11"/>
      <c r="AG2684" s="11"/>
      <c r="AH2684" s="11"/>
      <c r="AI2684" s="11"/>
      <c r="AJ2684" s="11"/>
      <c r="AK2684" s="11"/>
      <c r="AL2684" s="11"/>
      <c r="AM2684" s="11"/>
      <c r="AN2684" s="11"/>
      <c r="AO2684" s="11"/>
      <c r="AP2684" s="11"/>
      <c r="AQ2684" s="11"/>
      <c r="AR2684" s="11"/>
      <c r="AS2684" s="11"/>
      <c r="AT2684" s="11"/>
      <c r="AU2684" s="11"/>
      <c r="AV2684" s="11"/>
      <c r="AW2684" s="11"/>
      <c r="AX2684" s="11"/>
      <c r="AY2684" s="11"/>
    </row>
    <row r="2685" spans="1:51" hidden="1" x14ac:dyDescent="0.2">
      <c r="A2685" s="6" t="s">
        <v>17</v>
      </c>
      <c r="B2685" t="s">
        <v>589</v>
      </c>
      <c r="C2685" t="s">
        <v>590</v>
      </c>
      <c r="D2685" t="s">
        <v>3335</v>
      </c>
      <c r="E2685" s="2">
        <v>90.14</v>
      </c>
      <c r="F2685" s="3">
        <f t="shared" si="235"/>
        <v>45957</v>
      </c>
      <c r="G2685" s="3">
        <f t="shared" si="235"/>
        <v>45957</v>
      </c>
      <c r="H2685">
        <v>3087484822</v>
      </c>
      <c r="I2685" t="s">
        <v>21</v>
      </c>
      <c r="K2685" t="s">
        <v>22</v>
      </c>
      <c r="L2685" t="s">
        <v>23</v>
      </c>
      <c r="M2685" t="s">
        <v>24</v>
      </c>
      <c r="N2685" t="s">
        <v>24</v>
      </c>
      <c r="O2685" t="s">
        <v>25</v>
      </c>
      <c r="P2685" s="8" t="s">
        <v>3336</v>
      </c>
      <c r="Q2685" s="11"/>
      <c r="R2685" s="11"/>
      <c r="S2685" s="11"/>
      <c r="T2685" s="11"/>
      <c r="U2685" s="11"/>
      <c r="V2685" s="11"/>
      <c r="W2685" s="11"/>
      <c r="X2685" s="11"/>
      <c r="Y2685" s="11"/>
      <c r="Z2685" s="11"/>
      <c r="AA2685" s="11"/>
      <c r="AB2685" s="11"/>
      <c r="AC2685" s="11"/>
      <c r="AD2685" s="11"/>
      <c r="AE2685" s="11"/>
      <c r="AF2685" s="11"/>
      <c r="AG2685" s="11"/>
      <c r="AH2685" s="11"/>
      <c r="AI2685" s="11"/>
      <c r="AJ2685" s="11"/>
      <c r="AK2685" s="11"/>
      <c r="AL2685" s="11"/>
      <c r="AM2685" s="11"/>
      <c r="AN2685" s="11"/>
      <c r="AO2685" s="11"/>
      <c r="AP2685" s="11"/>
      <c r="AQ2685" s="11"/>
      <c r="AR2685" s="11"/>
      <c r="AS2685" s="11"/>
      <c r="AT2685" s="11"/>
      <c r="AU2685" s="11"/>
      <c r="AV2685" s="11"/>
      <c r="AW2685" s="11"/>
      <c r="AX2685" s="11"/>
      <c r="AY2685" s="11"/>
    </row>
    <row r="2686" spans="1:51" hidden="1" x14ac:dyDescent="0.2">
      <c r="A2686" s="6"/>
      <c r="E2686" s="2"/>
      <c r="F2686" s="3"/>
      <c r="G2686" s="3"/>
      <c r="P2686" s="8"/>
      <c r="Q2686" s="11"/>
      <c r="R2686" s="11"/>
      <c r="S2686" s="11"/>
      <c r="T2686" s="11"/>
      <c r="U2686" s="11"/>
      <c r="V2686" s="11"/>
      <c r="W2686" s="11"/>
      <c r="X2686" s="11"/>
      <c r="Y2686" s="11"/>
      <c r="Z2686" s="11"/>
      <c r="AA2686" s="11"/>
      <c r="AB2686" s="11"/>
      <c r="AC2686" s="11"/>
      <c r="AD2686" s="11"/>
      <c r="AE2686" s="11"/>
      <c r="AF2686" s="11"/>
      <c r="AG2686" s="11"/>
      <c r="AH2686" s="11"/>
      <c r="AI2686" s="11"/>
      <c r="AJ2686" s="11"/>
      <c r="AK2686" s="11"/>
      <c r="AL2686" s="11"/>
      <c r="AM2686" s="11"/>
      <c r="AN2686" s="11"/>
      <c r="AO2686" s="11"/>
      <c r="AP2686" s="11"/>
      <c r="AQ2686" s="11"/>
      <c r="AR2686" s="11"/>
      <c r="AS2686" s="11"/>
      <c r="AT2686" s="11"/>
      <c r="AU2686" s="11"/>
      <c r="AV2686" s="11"/>
      <c r="AW2686" s="11"/>
      <c r="AX2686" s="11"/>
      <c r="AY2686" s="11"/>
    </row>
    <row r="2687" spans="1:51" hidden="1" x14ac:dyDescent="0.2">
      <c r="A2687" s="6"/>
      <c r="E2687" s="2"/>
      <c r="F2687" s="3"/>
      <c r="G2687" s="3"/>
      <c r="P2687" s="8"/>
      <c r="Q2687" s="11"/>
      <c r="R2687" s="11"/>
      <c r="S2687" s="11"/>
      <c r="T2687" s="11"/>
      <c r="U2687" s="11"/>
      <c r="V2687" s="11"/>
      <c r="W2687" s="11"/>
      <c r="X2687" s="11"/>
      <c r="Y2687" s="11"/>
      <c r="Z2687" s="11"/>
      <c r="AA2687" s="11"/>
      <c r="AB2687" s="11"/>
      <c r="AC2687" s="11"/>
      <c r="AD2687" s="11"/>
      <c r="AE2687" s="11"/>
      <c r="AF2687" s="11"/>
      <c r="AG2687" s="11"/>
      <c r="AH2687" s="11"/>
      <c r="AI2687" s="11"/>
      <c r="AJ2687" s="11"/>
      <c r="AK2687" s="11"/>
      <c r="AL2687" s="11"/>
      <c r="AM2687" s="11"/>
      <c r="AN2687" s="11"/>
      <c r="AO2687" s="11"/>
      <c r="AP2687" s="11"/>
      <c r="AQ2687" s="11"/>
      <c r="AR2687" s="11"/>
      <c r="AS2687" s="11"/>
      <c r="AT2687" s="11"/>
      <c r="AU2687" s="11"/>
      <c r="AV2687" s="11"/>
      <c r="AW2687" s="11"/>
      <c r="AX2687" s="11"/>
      <c r="AY2687" s="11"/>
    </row>
    <row r="2688" spans="1:51" hidden="1" x14ac:dyDescent="0.2">
      <c r="A2688" s="6"/>
      <c r="E2688" s="2"/>
      <c r="F2688" s="3"/>
      <c r="G2688" s="3"/>
      <c r="P2688" s="8"/>
      <c r="Q2688" s="11"/>
      <c r="R2688" s="11"/>
      <c r="S2688" s="11"/>
      <c r="T2688" s="11"/>
      <c r="U2688" s="11"/>
      <c r="V2688" s="11"/>
      <c r="W2688" s="11"/>
      <c r="X2688" s="11"/>
      <c r="Y2688" s="11"/>
      <c r="Z2688" s="11"/>
      <c r="AA2688" s="11"/>
      <c r="AB2688" s="11"/>
      <c r="AC2688" s="11"/>
      <c r="AD2688" s="11"/>
      <c r="AE2688" s="11"/>
      <c r="AF2688" s="11"/>
      <c r="AG2688" s="11"/>
      <c r="AH2688" s="11"/>
      <c r="AI2688" s="11"/>
      <c r="AJ2688" s="11"/>
      <c r="AK2688" s="11"/>
      <c r="AL2688" s="11"/>
      <c r="AM2688" s="11"/>
      <c r="AN2688" s="11"/>
      <c r="AO2688" s="11"/>
      <c r="AP2688" s="11"/>
      <c r="AQ2688" s="11"/>
      <c r="AR2688" s="11"/>
      <c r="AS2688" s="11"/>
      <c r="AT2688" s="11"/>
      <c r="AU2688" s="11"/>
      <c r="AV2688" s="11"/>
      <c r="AW2688" s="11"/>
      <c r="AX2688" s="11"/>
      <c r="AY2688" s="11"/>
    </row>
    <row r="2689" spans="1:51" hidden="1" x14ac:dyDescent="0.2">
      <c r="A2689" s="6"/>
      <c r="E2689" s="2"/>
      <c r="F2689" s="3"/>
      <c r="G2689" s="3"/>
      <c r="P2689" s="8"/>
      <c r="Q2689" s="11"/>
      <c r="R2689" s="11"/>
      <c r="S2689" s="11"/>
      <c r="T2689" s="11"/>
      <c r="U2689" s="11"/>
      <c r="V2689" s="11"/>
      <c r="W2689" s="11"/>
      <c r="X2689" s="11"/>
      <c r="Y2689" s="11"/>
      <c r="Z2689" s="11"/>
      <c r="AA2689" s="11"/>
      <c r="AB2689" s="11"/>
      <c r="AC2689" s="11"/>
      <c r="AD2689" s="11"/>
      <c r="AE2689" s="11"/>
      <c r="AF2689" s="11"/>
      <c r="AG2689" s="11"/>
      <c r="AH2689" s="11"/>
      <c r="AI2689" s="11"/>
      <c r="AJ2689" s="11"/>
      <c r="AK2689" s="11"/>
      <c r="AL2689" s="11"/>
      <c r="AM2689" s="11"/>
      <c r="AN2689" s="11"/>
      <c r="AO2689" s="11"/>
      <c r="AP2689" s="11"/>
      <c r="AQ2689" s="11"/>
      <c r="AR2689" s="11"/>
      <c r="AS2689" s="11"/>
      <c r="AT2689" s="11"/>
      <c r="AU2689" s="11"/>
      <c r="AV2689" s="11"/>
      <c r="AW2689" s="11"/>
      <c r="AX2689" s="11"/>
      <c r="AY2689" s="11"/>
    </row>
    <row r="2690" spans="1:51" hidden="1" x14ac:dyDescent="0.2">
      <c r="A2690" s="6"/>
      <c r="E2690" s="2"/>
      <c r="F2690" s="3"/>
      <c r="G2690" s="3"/>
      <c r="P2690" s="8"/>
      <c r="Q2690" s="11"/>
      <c r="R2690" s="11"/>
      <c r="S2690" s="11"/>
      <c r="T2690" s="11"/>
      <c r="U2690" s="11"/>
      <c r="V2690" s="11"/>
      <c r="W2690" s="11"/>
      <c r="X2690" s="11"/>
      <c r="Y2690" s="11"/>
      <c r="Z2690" s="11"/>
      <c r="AA2690" s="11"/>
      <c r="AB2690" s="11"/>
      <c r="AC2690" s="11"/>
      <c r="AD2690" s="11"/>
      <c r="AE2690" s="11"/>
      <c r="AF2690" s="11"/>
      <c r="AG2690" s="11"/>
      <c r="AH2690" s="11"/>
      <c r="AI2690" s="11"/>
      <c r="AJ2690" s="11"/>
      <c r="AK2690" s="11"/>
      <c r="AL2690" s="11"/>
      <c r="AM2690" s="11"/>
      <c r="AN2690" s="11"/>
      <c r="AO2690" s="11"/>
      <c r="AP2690" s="11"/>
      <c r="AQ2690" s="11"/>
      <c r="AR2690" s="11"/>
      <c r="AS2690" s="11"/>
      <c r="AT2690" s="11"/>
      <c r="AU2690" s="11"/>
      <c r="AV2690" s="11"/>
      <c r="AW2690" s="11"/>
      <c r="AX2690" s="11"/>
      <c r="AY2690" s="11"/>
    </row>
    <row r="2691" spans="1:51" hidden="1" x14ac:dyDescent="0.2">
      <c r="A2691" s="6" t="s">
        <v>17</v>
      </c>
      <c r="B2691" t="s">
        <v>244</v>
      </c>
      <c r="C2691" t="s">
        <v>245</v>
      </c>
      <c r="D2691" t="s">
        <v>3337</v>
      </c>
      <c r="E2691" s="2">
        <v>629.04</v>
      </c>
      <c r="F2691" s="3">
        <f>DATE(2025,10,30)</f>
        <v>45960</v>
      </c>
      <c r="G2691" s="3">
        <f>DATE(2025,10,30)</f>
        <v>45960</v>
      </c>
      <c r="H2691">
        <v>3098933954</v>
      </c>
      <c r="I2691" t="s">
        <v>21</v>
      </c>
      <c r="K2691" t="s">
        <v>22</v>
      </c>
      <c r="L2691" t="s">
        <v>23</v>
      </c>
      <c r="M2691" t="s">
        <v>24</v>
      </c>
      <c r="N2691" t="s">
        <v>24</v>
      </c>
      <c r="O2691" t="s">
        <v>25</v>
      </c>
      <c r="P2691" s="8" t="s">
        <v>3338</v>
      </c>
      <c r="Q2691" s="11"/>
      <c r="R2691" s="11"/>
      <c r="S2691" s="11"/>
      <c r="T2691" s="11"/>
      <c r="U2691" s="11"/>
      <c r="V2691" s="11"/>
      <c r="W2691" s="11"/>
      <c r="X2691" s="11"/>
      <c r="Y2691" s="11"/>
      <c r="Z2691" s="11"/>
      <c r="AA2691" s="11"/>
      <c r="AB2691" s="11"/>
      <c r="AC2691" s="11"/>
      <c r="AD2691" s="11"/>
      <c r="AE2691" s="11"/>
      <c r="AF2691" s="11"/>
      <c r="AG2691" s="11"/>
      <c r="AH2691" s="11"/>
      <c r="AI2691" s="11"/>
      <c r="AJ2691" s="11"/>
      <c r="AK2691" s="11"/>
      <c r="AL2691" s="11"/>
      <c r="AM2691" s="11"/>
      <c r="AN2691" s="11"/>
      <c r="AO2691" s="11"/>
      <c r="AP2691" s="11"/>
      <c r="AQ2691" s="11"/>
      <c r="AR2691" s="11"/>
      <c r="AS2691" s="11"/>
      <c r="AT2691" s="11"/>
      <c r="AU2691" s="11"/>
      <c r="AV2691" s="11"/>
      <c r="AW2691" s="11"/>
      <c r="AX2691" s="11"/>
      <c r="AY2691" s="11"/>
    </row>
    <row r="2692" spans="1:51" hidden="1" x14ac:dyDescent="0.2">
      <c r="A2692" s="6"/>
      <c r="E2692" s="2"/>
      <c r="F2692" s="3"/>
      <c r="G2692" s="3"/>
      <c r="P2692" s="8"/>
      <c r="Q2692" s="11"/>
      <c r="R2692" s="11"/>
      <c r="S2692" s="11"/>
      <c r="T2692" s="11"/>
      <c r="U2692" s="11"/>
      <c r="V2692" s="11"/>
      <c r="W2692" s="11"/>
      <c r="X2692" s="11"/>
      <c r="Y2692" s="11"/>
      <c r="Z2692" s="11"/>
      <c r="AA2692" s="11"/>
      <c r="AB2692" s="11"/>
      <c r="AC2692" s="11"/>
      <c r="AD2692" s="11"/>
      <c r="AE2692" s="11"/>
      <c r="AF2692" s="11"/>
      <c r="AG2692" s="11"/>
      <c r="AH2692" s="11"/>
      <c r="AI2692" s="11"/>
      <c r="AJ2692" s="11"/>
      <c r="AK2692" s="11"/>
      <c r="AL2692" s="11"/>
      <c r="AM2692" s="11"/>
      <c r="AN2692" s="11"/>
      <c r="AO2692" s="11"/>
      <c r="AP2692" s="11"/>
      <c r="AQ2692" s="11"/>
      <c r="AR2692" s="11"/>
      <c r="AS2692" s="11"/>
      <c r="AT2692" s="11"/>
      <c r="AU2692" s="11"/>
      <c r="AV2692" s="11"/>
      <c r="AW2692" s="11"/>
      <c r="AX2692" s="11"/>
      <c r="AY2692" s="11"/>
    </row>
    <row r="2693" spans="1:51" hidden="1" x14ac:dyDescent="0.2">
      <c r="A2693" s="6" t="s">
        <v>17</v>
      </c>
      <c r="B2693" t="s">
        <v>1002</v>
      </c>
      <c r="C2693" t="s">
        <v>1003</v>
      </c>
      <c r="D2693" t="s">
        <v>3339</v>
      </c>
      <c r="E2693" s="2">
        <v>1877</v>
      </c>
      <c r="F2693" s="3">
        <f>DATE(2025,10,30)</f>
        <v>45960</v>
      </c>
      <c r="G2693" s="3">
        <f>DATE(2025,10,30)</f>
        <v>45960</v>
      </c>
      <c r="H2693">
        <v>3098934196</v>
      </c>
      <c r="I2693" t="s">
        <v>21</v>
      </c>
      <c r="K2693" t="s">
        <v>22</v>
      </c>
      <c r="L2693" t="s">
        <v>23</v>
      </c>
      <c r="M2693" t="s">
        <v>24</v>
      </c>
      <c r="N2693" t="s">
        <v>24</v>
      </c>
      <c r="O2693" t="s">
        <v>25</v>
      </c>
      <c r="P2693" s="8" t="s">
        <v>3340</v>
      </c>
      <c r="Q2693" s="11"/>
      <c r="R2693" s="11"/>
      <c r="S2693" s="11"/>
      <c r="T2693" s="11"/>
      <c r="U2693" s="11"/>
      <c r="V2693" s="11"/>
      <c r="W2693" s="11"/>
      <c r="X2693" s="11"/>
      <c r="Y2693" s="11"/>
      <c r="Z2693" s="11"/>
      <c r="AA2693" s="11"/>
      <c r="AB2693" s="11"/>
      <c r="AC2693" s="11"/>
      <c r="AD2693" s="11"/>
      <c r="AE2693" s="11"/>
      <c r="AF2693" s="11"/>
      <c r="AG2693" s="11"/>
      <c r="AH2693" s="11"/>
      <c r="AI2693" s="11"/>
      <c r="AJ2693" s="11"/>
      <c r="AK2693" s="11"/>
      <c r="AL2693" s="11"/>
      <c r="AM2693" s="11"/>
      <c r="AN2693" s="11"/>
      <c r="AO2693" s="11"/>
      <c r="AP2693" s="11"/>
      <c r="AQ2693" s="11"/>
      <c r="AR2693" s="11"/>
      <c r="AS2693" s="11"/>
      <c r="AT2693" s="11"/>
      <c r="AU2693" s="11"/>
      <c r="AV2693" s="11"/>
      <c r="AW2693" s="11"/>
      <c r="AX2693" s="11"/>
      <c r="AY2693" s="11"/>
    </row>
    <row r="2694" spans="1:51" hidden="1" x14ac:dyDescent="0.2">
      <c r="A2694" s="6" t="s">
        <v>17</v>
      </c>
      <c r="B2694" t="s">
        <v>35</v>
      </c>
      <c r="C2694" t="s">
        <v>35</v>
      </c>
      <c r="D2694" t="s">
        <v>3341</v>
      </c>
      <c r="E2694" s="2">
        <v>1.27</v>
      </c>
      <c r="F2694" s="3">
        <f>DATE(2025,10,28)</f>
        <v>45958</v>
      </c>
      <c r="G2694" s="3">
        <f>DATE(2025,10,28)</f>
        <v>45958</v>
      </c>
      <c r="H2694">
        <v>3098934197</v>
      </c>
      <c r="I2694" t="s">
        <v>21</v>
      </c>
      <c r="K2694" t="s">
        <v>22</v>
      </c>
      <c r="L2694" t="s">
        <v>23</v>
      </c>
      <c r="M2694" t="s">
        <v>24</v>
      </c>
      <c r="N2694" t="s">
        <v>24</v>
      </c>
      <c r="O2694" t="s">
        <v>25</v>
      </c>
      <c r="P2694" s="8" t="s">
        <v>3342</v>
      </c>
      <c r="Q2694" s="11"/>
      <c r="R2694" s="11"/>
      <c r="S2694" s="11"/>
      <c r="T2694" s="11"/>
      <c r="U2694" s="11"/>
      <c r="V2694" s="11"/>
      <c r="W2694" s="11"/>
      <c r="X2694" s="11"/>
      <c r="Y2694" s="11"/>
      <c r="Z2694" s="11"/>
      <c r="AA2694" s="11"/>
      <c r="AB2694" s="11"/>
      <c r="AC2694" s="11"/>
      <c r="AD2694" s="11"/>
      <c r="AE2694" s="11"/>
      <c r="AF2694" s="11"/>
      <c r="AG2694" s="11"/>
      <c r="AH2694" s="11"/>
      <c r="AI2694" s="11"/>
      <c r="AJ2694" s="11"/>
      <c r="AK2694" s="11"/>
      <c r="AL2694" s="11"/>
      <c r="AM2694" s="11"/>
      <c r="AN2694" s="11"/>
      <c r="AO2694" s="11"/>
      <c r="AP2694" s="11"/>
      <c r="AQ2694" s="11"/>
      <c r="AR2694" s="11"/>
      <c r="AS2694" s="11"/>
      <c r="AT2694" s="11"/>
      <c r="AU2694" s="11"/>
      <c r="AV2694" s="11"/>
      <c r="AW2694" s="11"/>
      <c r="AX2694" s="11"/>
      <c r="AY2694" s="11"/>
    </row>
    <row r="2695" spans="1:51" hidden="1" x14ac:dyDescent="0.2">
      <c r="A2695" s="6"/>
      <c r="E2695" s="2"/>
      <c r="F2695" s="3"/>
      <c r="G2695" s="3"/>
      <c r="P2695" s="8"/>
      <c r="Q2695" s="11"/>
      <c r="R2695" s="11"/>
      <c r="S2695" s="11"/>
      <c r="T2695" s="11"/>
      <c r="U2695" s="11"/>
      <c r="V2695" s="11"/>
      <c r="W2695" s="11"/>
      <c r="X2695" s="11"/>
      <c r="Y2695" s="11"/>
      <c r="Z2695" s="11"/>
      <c r="AA2695" s="11"/>
      <c r="AB2695" s="11"/>
      <c r="AC2695" s="11"/>
      <c r="AD2695" s="11"/>
      <c r="AE2695" s="11"/>
      <c r="AF2695" s="11"/>
      <c r="AG2695" s="11"/>
      <c r="AH2695" s="11"/>
      <c r="AI2695" s="11"/>
      <c r="AJ2695" s="11"/>
      <c r="AK2695" s="11"/>
      <c r="AL2695" s="11"/>
      <c r="AM2695" s="11"/>
      <c r="AN2695" s="11"/>
      <c r="AO2695" s="11"/>
      <c r="AP2695" s="11"/>
      <c r="AQ2695" s="11"/>
      <c r="AR2695" s="11"/>
      <c r="AS2695" s="11"/>
      <c r="AT2695" s="11"/>
      <c r="AU2695" s="11"/>
      <c r="AV2695" s="11"/>
      <c r="AW2695" s="11"/>
      <c r="AX2695" s="11"/>
      <c r="AY2695" s="11"/>
    </row>
    <row r="2696" spans="1:51" hidden="1" x14ac:dyDescent="0.2">
      <c r="A2696" s="6" t="s">
        <v>17</v>
      </c>
      <c r="B2696" t="s">
        <v>1048</v>
      </c>
      <c r="C2696" t="s">
        <v>1049</v>
      </c>
      <c r="D2696" t="s">
        <v>3343</v>
      </c>
      <c r="E2696" s="2">
        <v>1513.41</v>
      </c>
      <c r="F2696" s="3">
        <f>DATE(2025,10,30)</f>
        <v>45960</v>
      </c>
      <c r="G2696" s="3">
        <f>DATE(2025,10,30)</f>
        <v>45960</v>
      </c>
      <c r="H2696">
        <v>3098934199</v>
      </c>
      <c r="I2696" t="s">
        <v>21</v>
      </c>
      <c r="K2696" t="s">
        <v>22</v>
      </c>
      <c r="L2696" t="s">
        <v>23</v>
      </c>
      <c r="M2696" t="s">
        <v>24</v>
      </c>
      <c r="N2696" t="s">
        <v>24</v>
      </c>
      <c r="O2696" t="s">
        <v>25</v>
      </c>
      <c r="P2696" s="8" t="s">
        <v>3344</v>
      </c>
      <c r="Q2696" s="11"/>
      <c r="R2696" s="11"/>
      <c r="S2696" s="11"/>
      <c r="T2696" s="11"/>
      <c r="U2696" s="11"/>
      <c r="V2696" s="11"/>
      <c r="W2696" s="11"/>
      <c r="X2696" s="11"/>
      <c r="Y2696" s="11"/>
      <c r="Z2696" s="11"/>
      <c r="AA2696" s="11"/>
      <c r="AB2696" s="11"/>
      <c r="AC2696" s="11"/>
      <c r="AD2696" s="11"/>
      <c r="AE2696" s="11"/>
      <c r="AF2696" s="11"/>
      <c r="AG2696" s="11"/>
      <c r="AH2696" s="11"/>
      <c r="AI2696" s="11"/>
      <c r="AJ2696" s="11"/>
      <c r="AK2696" s="11"/>
      <c r="AL2696" s="11"/>
      <c r="AM2696" s="11"/>
      <c r="AN2696" s="11"/>
      <c r="AO2696" s="11"/>
      <c r="AP2696" s="11"/>
      <c r="AQ2696" s="11"/>
      <c r="AR2696" s="11"/>
      <c r="AS2696" s="11"/>
      <c r="AT2696" s="11"/>
      <c r="AU2696" s="11"/>
      <c r="AV2696" s="11"/>
      <c r="AW2696" s="11"/>
      <c r="AX2696" s="11"/>
      <c r="AY2696" s="11"/>
    </row>
    <row r="2697" spans="1:51" x14ac:dyDescent="0.2">
      <c r="A2697" s="6" t="s">
        <v>17</v>
      </c>
      <c r="B2697" t="s">
        <v>342</v>
      </c>
      <c r="C2697" t="s">
        <v>342</v>
      </c>
      <c r="D2697" t="s">
        <v>3345</v>
      </c>
      <c r="E2697" s="2">
        <v>150</v>
      </c>
      <c r="F2697" s="3">
        <f>DATE(2025,10,29)</f>
        <v>45959</v>
      </c>
      <c r="G2697" s="3">
        <f>DATE(2025,10,29)</f>
        <v>45959</v>
      </c>
      <c r="H2697">
        <v>3098934200</v>
      </c>
      <c r="I2697" t="s">
        <v>21</v>
      </c>
      <c r="K2697" t="s">
        <v>22</v>
      </c>
      <c r="L2697" t="s">
        <v>23</v>
      </c>
      <c r="M2697" t="s">
        <v>24</v>
      </c>
      <c r="N2697" t="s">
        <v>24</v>
      </c>
      <c r="O2697" t="s">
        <v>25</v>
      </c>
      <c r="P2697" s="8" t="s">
        <v>3346</v>
      </c>
      <c r="Q2697" s="11"/>
      <c r="R2697" s="11"/>
      <c r="S2697" s="11"/>
      <c r="T2697" s="11"/>
      <c r="U2697" s="11"/>
      <c r="V2697" s="11"/>
      <c r="W2697" s="11"/>
      <c r="X2697" s="11"/>
      <c r="Y2697" s="11"/>
      <c r="Z2697" s="11"/>
      <c r="AA2697" s="11"/>
      <c r="AB2697" s="11"/>
      <c r="AC2697" s="11"/>
      <c r="AD2697" s="11"/>
      <c r="AE2697" s="11"/>
      <c r="AF2697" s="11"/>
      <c r="AG2697" s="11"/>
      <c r="AH2697" s="11"/>
      <c r="AI2697" s="11"/>
      <c r="AJ2697" s="11"/>
      <c r="AK2697" s="11"/>
      <c r="AL2697" s="11"/>
      <c r="AM2697" s="11"/>
      <c r="AN2697" s="11"/>
      <c r="AO2697" s="11"/>
      <c r="AP2697" s="11"/>
      <c r="AQ2697" s="11"/>
      <c r="AR2697" s="11"/>
      <c r="AS2697" s="11"/>
      <c r="AT2697" s="11"/>
      <c r="AU2697" s="11"/>
      <c r="AV2697" s="11"/>
      <c r="AW2697" s="11"/>
      <c r="AX2697" s="11"/>
      <c r="AY2697" s="11"/>
    </row>
    <row r="2698" spans="1:51" hidden="1" x14ac:dyDescent="0.2">
      <c r="A2698" s="6"/>
      <c r="E2698" s="2"/>
      <c r="F2698" s="3"/>
      <c r="G2698" s="3"/>
      <c r="P2698" s="8"/>
      <c r="Q2698" s="11"/>
      <c r="R2698" s="11"/>
      <c r="S2698" s="11"/>
      <c r="T2698" s="11"/>
      <c r="U2698" s="11"/>
      <c r="V2698" s="11"/>
      <c r="W2698" s="11"/>
      <c r="X2698" s="11"/>
      <c r="Y2698" s="11"/>
      <c r="Z2698" s="11"/>
      <c r="AA2698" s="11"/>
      <c r="AB2698" s="11"/>
      <c r="AC2698" s="11"/>
      <c r="AD2698" s="11"/>
      <c r="AE2698" s="11"/>
      <c r="AF2698" s="11"/>
      <c r="AG2698" s="11"/>
      <c r="AH2698" s="11"/>
      <c r="AI2698" s="11"/>
      <c r="AJ2698" s="11"/>
      <c r="AK2698" s="11"/>
      <c r="AL2698" s="11"/>
      <c r="AM2698" s="11"/>
      <c r="AN2698" s="11"/>
      <c r="AO2698" s="11"/>
      <c r="AP2698" s="11"/>
      <c r="AQ2698" s="11"/>
      <c r="AR2698" s="11"/>
      <c r="AS2698" s="11"/>
      <c r="AT2698" s="11"/>
      <c r="AU2698" s="11"/>
      <c r="AV2698" s="11"/>
      <c r="AW2698" s="11"/>
      <c r="AX2698" s="11"/>
      <c r="AY2698" s="11"/>
    </row>
    <row r="2699" spans="1:51" hidden="1" x14ac:dyDescent="0.2">
      <c r="A2699" s="6"/>
      <c r="E2699" s="2"/>
      <c r="F2699" s="3"/>
      <c r="G2699" s="3"/>
      <c r="P2699" s="8"/>
      <c r="Q2699" s="11"/>
      <c r="R2699" s="11"/>
      <c r="S2699" s="11"/>
      <c r="T2699" s="11"/>
      <c r="U2699" s="11"/>
      <c r="V2699" s="11"/>
      <c r="W2699" s="11"/>
      <c r="X2699" s="11"/>
      <c r="Y2699" s="11"/>
      <c r="Z2699" s="11"/>
      <c r="AA2699" s="11"/>
      <c r="AB2699" s="11"/>
      <c r="AC2699" s="11"/>
      <c r="AD2699" s="11"/>
      <c r="AE2699" s="11"/>
      <c r="AF2699" s="11"/>
      <c r="AG2699" s="11"/>
      <c r="AH2699" s="11"/>
      <c r="AI2699" s="11"/>
      <c r="AJ2699" s="11"/>
      <c r="AK2699" s="11"/>
      <c r="AL2699" s="11"/>
      <c r="AM2699" s="11"/>
      <c r="AN2699" s="11"/>
      <c r="AO2699" s="11"/>
      <c r="AP2699" s="11"/>
      <c r="AQ2699" s="11"/>
      <c r="AR2699" s="11"/>
      <c r="AS2699" s="11"/>
      <c r="AT2699" s="11"/>
      <c r="AU2699" s="11"/>
      <c r="AV2699" s="11"/>
      <c r="AW2699" s="11"/>
      <c r="AX2699" s="11"/>
      <c r="AY2699" s="11"/>
    </row>
    <row r="2700" spans="1:51" hidden="1" x14ac:dyDescent="0.2">
      <c r="A2700" s="6" t="s">
        <v>17</v>
      </c>
      <c r="B2700" t="s">
        <v>309</v>
      </c>
      <c r="C2700" t="s">
        <v>310</v>
      </c>
      <c r="D2700" t="s">
        <v>3347</v>
      </c>
      <c r="E2700" s="2">
        <v>3289.42</v>
      </c>
      <c r="F2700" s="3">
        <f>DATE(2025,10,30)</f>
        <v>45960</v>
      </c>
      <c r="G2700" s="3">
        <f>DATE(2025,10,30)</f>
        <v>45960</v>
      </c>
      <c r="H2700">
        <v>3098934214</v>
      </c>
      <c r="I2700" t="s">
        <v>21</v>
      </c>
      <c r="K2700" t="s">
        <v>22</v>
      </c>
      <c r="L2700" t="s">
        <v>23</v>
      </c>
      <c r="M2700" t="s">
        <v>24</v>
      </c>
      <c r="N2700" t="s">
        <v>24</v>
      </c>
      <c r="O2700" t="s">
        <v>25</v>
      </c>
      <c r="P2700" s="8" t="s">
        <v>3348</v>
      </c>
      <c r="Q2700" s="11"/>
      <c r="R2700" s="11"/>
      <c r="S2700" s="11"/>
      <c r="T2700" s="11"/>
      <c r="U2700" s="11"/>
      <c r="V2700" s="11"/>
      <c r="W2700" s="11"/>
      <c r="X2700" s="11"/>
      <c r="Y2700" s="11"/>
      <c r="Z2700" s="11"/>
      <c r="AA2700" s="11"/>
      <c r="AB2700" s="11"/>
      <c r="AC2700" s="11"/>
      <c r="AD2700" s="11"/>
      <c r="AE2700" s="11"/>
      <c r="AF2700" s="11"/>
      <c r="AG2700" s="11"/>
      <c r="AH2700" s="11"/>
      <c r="AI2700" s="11"/>
      <c r="AJ2700" s="11"/>
      <c r="AK2700" s="11"/>
      <c r="AL2700" s="11"/>
      <c r="AM2700" s="11"/>
      <c r="AN2700" s="11"/>
      <c r="AO2700" s="11"/>
      <c r="AP2700" s="11"/>
      <c r="AQ2700" s="11"/>
      <c r="AR2700" s="11"/>
      <c r="AS2700" s="11"/>
      <c r="AT2700" s="11"/>
      <c r="AU2700" s="11"/>
      <c r="AV2700" s="11"/>
      <c r="AW2700" s="11"/>
      <c r="AX2700" s="11"/>
      <c r="AY2700" s="11"/>
    </row>
    <row r="2701" spans="1:51" hidden="1" x14ac:dyDescent="0.2">
      <c r="A2701" s="6" t="s">
        <v>17</v>
      </c>
      <c r="B2701" t="s">
        <v>309</v>
      </c>
      <c r="C2701" t="s">
        <v>310</v>
      </c>
      <c r="D2701" t="s">
        <v>3349</v>
      </c>
      <c r="E2701" s="2">
        <v>1492.53</v>
      </c>
      <c r="F2701" s="3">
        <f>DATE(2025,10,30)</f>
        <v>45960</v>
      </c>
      <c r="G2701" s="3">
        <f>DATE(2025,10,30)</f>
        <v>45960</v>
      </c>
      <c r="H2701">
        <v>3098934217</v>
      </c>
      <c r="I2701" t="s">
        <v>21</v>
      </c>
      <c r="K2701" t="s">
        <v>22</v>
      </c>
      <c r="L2701" t="s">
        <v>23</v>
      </c>
      <c r="M2701" t="s">
        <v>24</v>
      </c>
      <c r="N2701" t="s">
        <v>24</v>
      </c>
      <c r="O2701" t="s">
        <v>25</v>
      </c>
      <c r="P2701" s="8" t="s">
        <v>3350</v>
      </c>
      <c r="Q2701" s="11"/>
      <c r="R2701" s="11"/>
      <c r="S2701" s="11"/>
      <c r="T2701" s="11"/>
      <c r="U2701" s="11"/>
      <c r="V2701" s="11"/>
      <c r="W2701" s="11"/>
      <c r="X2701" s="11"/>
      <c r="Y2701" s="11"/>
      <c r="Z2701" s="11"/>
      <c r="AA2701" s="11"/>
      <c r="AB2701" s="11"/>
      <c r="AC2701" s="11"/>
      <c r="AD2701" s="11"/>
      <c r="AE2701" s="11"/>
      <c r="AF2701" s="11"/>
      <c r="AG2701" s="11"/>
      <c r="AH2701" s="11"/>
      <c r="AI2701" s="11"/>
      <c r="AJ2701" s="11"/>
      <c r="AK2701" s="11"/>
      <c r="AL2701" s="11"/>
      <c r="AM2701" s="11"/>
      <c r="AN2701" s="11"/>
      <c r="AO2701" s="11"/>
      <c r="AP2701" s="11"/>
      <c r="AQ2701" s="11"/>
      <c r="AR2701" s="11"/>
      <c r="AS2701" s="11"/>
      <c r="AT2701" s="11"/>
      <c r="AU2701" s="11"/>
      <c r="AV2701" s="11"/>
      <c r="AW2701" s="11"/>
      <c r="AX2701" s="11"/>
      <c r="AY2701" s="11"/>
    </row>
    <row r="2702" spans="1:51" hidden="1" x14ac:dyDescent="0.2">
      <c r="A2702" s="6"/>
      <c r="E2702" s="2"/>
      <c r="F2702" s="3"/>
      <c r="G2702" s="3"/>
      <c r="P2702" s="8"/>
      <c r="Q2702" s="11"/>
      <c r="R2702" s="11"/>
      <c r="S2702" s="11"/>
      <c r="T2702" s="11"/>
      <c r="U2702" s="11"/>
      <c r="V2702" s="11"/>
      <c r="W2702" s="11"/>
      <c r="X2702" s="11"/>
      <c r="Y2702" s="11"/>
      <c r="Z2702" s="11"/>
      <c r="AA2702" s="11"/>
      <c r="AB2702" s="11"/>
      <c r="AC2702" s="11"/>
      <c r="AD2702" s="11"/>
      <c r="AE2702" s="11"/>
      <c r="AF2702" s="11"/>
      <c r="AG2702" s="11"/>
      <c r="AH2702" s="11"/>
      <c r="AI2702" s="11"/>
      <c r="AJ2702" s="11"/>
      <c r="AK2702" s="11"/>
      <c r="AL2702" s="11"/>
      <c r="AM2702" s="11"/>
      <c r="AN2702" s="11"/>
      <c r="AO2702" s="11"/>
      <c r="AP2702" s="11"/>
      <c r="AQ2702" s="11"/>
      <c r="AR2702" s="11"/>
      <c r="AS2702" s="11"/>
      <c r="AT2702" s="11"/>
      <c r="AU2702" s="11"/>
      <c r="AV2702" s="11"/>
      <c r="AW2702" s="11"/>
      <c r="AX2702" s="11"/>
      <c r="AY2702" s="11"/>
    </row>
    <row r="2703" spans="1:51" hidden="1" x14ac:dyDescent="0.2">
      <c r="A2703" s="6"/>
      <c r="E2703" s="2"/>
      <c r="F2703" s="3"/>
      <c r="G2703" s="3"/>
      <c r="P2703" s="8"/>
      <c r="Q2703" s="11"/>
      <c r="R2703" s="11"/>
      <c r="S2703" s="11"/>
      <c r="T2703" s="11"/>
      <c r="U2703" s="11"/>
      <c r="V2703" s="11"/>
      <c r="W2703" s="11"/>
      <c r="X2703" s="11"/>
      <c r="Y2703" s="11"/>
      <c r="Z2703" s="11"/>
      <c r="AA2703" s="11"/>
      <c r="AB2703" s="11"/>
      <c r="AC2703" s="11"/>
      <c r="AD2703" s="11"/>
      <c r="AE2703" s="11"/>
      <c r="AF2703" s="11"/>
      <c r="AG2703" s="11"/>
      <c r="AH2703" s="11"/>
      <c r="AI2703" s="11"/>
      <c r="AJ2703" s="11"/>
      <c r="AK2703" s="11"/>
      <c r="AL2703" s="11"/>
      <c r="AM2703" s="11"/>
      <c r="AN2703" s="11"/>
      <c r="AO2703" s="11"/>
      <c r="AP2703" s="11"/>
      <c r="AQ2703" s="11"/>
      <c r="AR2703" s="11"/>
      <c r="AS2703" s="11"/>
      <c r="AT2703" s="11"/>
      <c r="AU2703" s="11"/>
      <c r="AV2703" s="11"/>
      <c r="AW2703" s="11"/>
      <c r="AX2703" s="11"/>
      <c r="AY2703" s="11"/>
    </row>
    <row r="2704" spans="1:51" hidden="1" x14ac:dyDescent="0.2">
      <c r="A2704" s="6"/>
      <c r="E2704" s="2"/>
      <c r="F2704" s="3"/>
      <c r="G2704" s="3"/>
      <c r="P2704" s="8"/>
      <c r="Q2704" s="11"/>
      <c r="R2704" s="11"/>
      <c r="S2704" s="11"/>
      <c r="T2704" s="11"/>
      <c r="U2704" s="11"/>
      <c r="V2704" s="11"/>
      <c r="W2704" s="11"/>
      <c r="X2704" s="11"/>
      <c r="Y2704" s="11"/>
      <c r="Z2704" s="11"/>
      <c r="AA2704" s="11"/>
      <c r="AB2704" s="11"/>
      <c r="AC2704" s="11"/>
      <c r="AD2704" s="11"/>
      <c r="AE2704" s="11"/>
      <c r="AF2704" s="11"/>
      <c r="AG2704" s="11"/>
      <c r="AH2704" s="11"/>
      <c r="AI2704" s="11"/>
      <c r="AJ2704" s="11"/>
      <c r="AK2704" s="11"/>
      <c r="AL2704" s="11"/>
      <c r="AM2704" s="11"/>
      <c r="AN2704" s="11"/>
      <c r="AO2704" s="11"/>
      <c r="AP2704" s="11"/>
      <c r="AQ2704" s="11"/>
      <c r="AR2704" s="11"/>
      <c r="AS2704" s="11"/>
      <c r="AT2704" s="11"/>
      <c r="AU2704" s="11"/>
      <c r="AV2704" s="11"/>
      <c r="AW2704" s="11"/>
      <c r="AX2704" s="11"/>
      <c r="AY2704" s="11"/>
    </row>
    <row r="2705" spans="1:51" hidden="1" x14ac:dyDescent="0.2">
      <c r="A2705" s="6"/>
      <c r="E2705" s="2"/>
      <c r="F2705" s="3"/>
      <c r="G2705" s="3"/>
      <c r="P2705" s="8"/>
      <c r="Q2705" s="11"/>
      <c r="R2705" s="11"/>
      <c r="S2705" s="11"/>
      <c r="T2705" s="11"/>
      <c r="U2705" s="11"/>
      <c r="V2705" s="11"/>
      <c r="W2705" s="11"/>
      <c r="X2705" s="11"/>
      <c r="Y2705" s="11"/>
      <c r="Z2705" s="11"/>
      <c r="AA2705" s="11"/>
      <c r="AB2705" s="11"/>
      <c r="AC2705" s="11"/>
      <c r="AD2705" s="11"/>
      <c r="AE2705" s="11"/>
      <c r="AF2705" s="11"/>
      <c r="AG2705" s="11"/>
      <c r="AH2705" s="11"/>
      <c r="AI2705" s="11"/>
      <c r="AJ2705" s="11"/>
      <c r="AK2705" s="11"/>
      <c r="AL2705" s="11"/>
      <c r="AM2705" s="11"/>
      <c r="AN2705" s="11"/>
      <c r="AO2705" s="11"/>
      <c r="AP2705" s="11"/>
      <c r="AQ2705" s="11"/>
      <c r="AR2705" s="11"/>
      <c r="AS2705" s="11"/>
      <c r="AT2705" s="11"/>
      <c r="AU2705" s="11"/>
      <c r="AV2705" s="11"/>
      <c r="AW2705" s="11"/>
      <c r="AX2705" s="11"/>
      <c r="AY2705" s="11"/>
    </row>
    <row r="2706" spans="1:51" hidden="1" x14ac:dyDescent="0.2">
      <c r="A2706" s="6"/>
      <c r="E2706" s="2"/>
      <c r="F2706" s="3"/>
      <c r="G2706" s="3"/>
      <c r="P2706" s="8"/>
      <c r="Q2706" s="11"/>
      <c r="R2706" s="11"/>
      <c r="S2706" s="11"/>
      <c r="T2706" s="11"/>
      <c r="U2706" s="11"/>
      <c r="V2706" s="11"/>
      <c r="W2706" s="11"/>
      <c r="X2706" s="11"/>
      <c r="Y2706" s="11"/>
      <c r="Z2706" s="11"/>
      <c r="AA2706" s="11"/>
      <c r="AB2706" s="11"/>
      <c r="AC2706" s="11"/>
      <c r="AD2706" s="11"/>
      <c r="AE2706" s="11"/>
      <c r="AF2706" s="11"/>
      <c r="AG2706" s="11"/>
      <c r="AH2706" s="11"/>
      <c r="AI2706" s="11"/>
      <c r="AJ2706" s="11"/>
      <c r="AK2706" s="11"/>
      <c r="AL2706" s="11"/>
      <c r="AM2706" s="11"/>
      <c r="AN2706" s="11"/>
      <c r="AO2706" s="11"/>
      <c r="AP2706" s="11"/>
      <c r="AQ2706" s="11"/>
      <c r="AR2706" s="11"/>
      <c r="AS2706" s="11"/>
      <c r="AT2706" s="11"/>
      <c r="AU2706" s="11"/>
      <c r="AV2706" s="11"/>
      <c r="AW2706" s="11"/>
      <c r="AX2706" s="11"/>
      <c r="AY2706" s="11"/>
    </row>
    <row r="2707" spans="1:51" hidden="1" x14ac:dyDescent="0.2">
      <c r="A2707" s="6" t="s">
        <v>17</v>
      </c>
      <c r="B2707" t="s">
        <v>18</v>
      </c>
      <c r="C2707" t="s">
        <v>19</v>
      </c>
      <c r="D2707" t="s">
        <v>3351</v>
      </c>
      <c r="E2707" s="2">
        <v>2.13</v>
      </c>
      <c r="F2707" s="3">
        <f t="shared" ref="F2707:G2707" si="236">DATE(2025,10,29)</f>
        <v>45959</v>
      </c>
      <c r="G2707" s="3">
        <f t="shared" si="236"/>
        <v>45959</v>
      </c>
      <c r="H2707">
        <v>3098991938</v>
      </c>
      <c r="I2707" t="s">
        <v>192</v>
      </c>
      <c r="K2707" t="s">
        <v>22</v>
      </c>
      <c r="L2707" t="s">
        <v>23</v>
      </c>
      <c r="M2707" t="s">
        <v>24</v>
      </c>
      <c r="N2707" t="s">
        <v>24</v>
      </c>
      <c r="O2707" t="s">
        <v>25</v>
      </c>
      <c r="P2707" s="8" t="s">
        <v>3352</v>
      </c>
      <c r="Q2707" s="11"/>
      <c r="R2707" s="11"/>
      <c r="S2707" s="11"/>
      <c r="T2707" s="11"/>
      <c r="U2707" s="11"/>
      <c r="V2707" s="11"/>
      <c r="W2707" s="11"/>
      <c r="X2707" s="11"/>
      <c r="Y2707" s="11"/>
      <c r="Z2707" s="11"/>
      <c r="AA2707" s="11"/>
      <c r="AB2707" s="11"/>
      <c r="AC2707" s="11"/>
      <c r="AD2707" s="11"/>
      <c r="AE2707" s="11"/>
      <c r="AF2707" s="11"/>
      <c r="AG2707" s="11"/>
      <c r="AH2707" s="11"/>
      <c r="AI2707" s="11"/>
      <c r="AJ2707" s="11"/>
      <c r="AK2707" s="11"/>
      <c r="AL2707" s="11"/>
      <c r="AM2707" s="11"/>
      <c r="AN2707" s="11"/>
      <c r="AO2707" s="11"/>
      <c r="AP2707" s="11"/>
      <c r="AQ2707" s="11"/>
      <c r="AR2707" s="11"/>
      <c r="AS2707" s="11"/>
      <c r="AT2707" s="11"/>
      <c r="AU2707" s="11"/>
      <c r="AV2707" s="11"/>
      <c r="AW2707" s="11"/>
      <c r="AX2707" s="11"/>
      <c r="AY2707" s="11"/>
    </row>
    <row r="2708" spans="1:51" hidden="1" x14ac:dyDescent="0.2">
      <c r="A2708" s="6"/>
      <c r="E2708" s="2"/>
      <c r="F2708" s="3"/>
      <c r="G2708" s="3"/>
      <c r="P2708" s="8"/>
      <c r="Q2708" s="11"/>
      <c r="R2708" s="11"/>
      <c r="S2708" s="11"/>
      <c r="T2708" s="11"/>
      <c r="U2708" s="11"/>
      <c r="V2708" s="11"/>
      <c r="W2708" s="11"/>
      <c r="X2708" s="11"/>
      <c r="Y2708" s="11"/>
      <c r="Z2708" s="11"/>
      <c r="AA2708" s="11"/>
      <c r="AB2708" s="11"/>
      <c r="AC2708" s="11"/>
      <c r="AD2708" s="11"/>
      <c r="AE2708" s="11"/>
      <c r="AF2708" s="11"/>
      <c r="AG2708" s="11"/>
      <c r="AH2708" s="11"/>
      <c r="AI2708" s="11"/>
      <c r="AJ2708" s="11"/>
      <c r="AK2708" s="11"/>
      <c r="AL2708" s="11"/>
      <c r="AM2708" s="11"/>
      <c r="AN2708" s="11"/>
      <c r="AO2708" s="11"/>
      <c r="AP2708" s="11"/>
      <c r="AQ2708" s="11"/>
      <c r="AR2708" s="11"/>
      <c r="AS2708" s="11"/>
      <c r="AT2708" s="11"/>
      <c r="AU2708" s="11"/>
      <c r="AV2708" s="11"/>
      <c r="AW2708" s="11"/>
      <c r="AX2708" s="11"/>
      <c r="AY2708" s="11"/>
    </row>
    <row r="2709" spans="1:51" hidden="1" x14ac:dyDescent="0.2">
      <c r="A2709" s="6"/>
      <c r="E2709" s="2"/>
      <c r="F2709" s="3"/>
      <c r="G2709" s="3"/>
      <c r="P2709" s="8"/>
      <c r="Q2709" s="11"/>
      <c r="R2709" s="11"/>
      <c r="S2709" s="11"/>
      <c r="T2709" s="11"/>
      <c r="U2709" s="11"/>
      <c r="V2709" s="11"/>
      <c r="W2709" s="11"/>
      <c r="X2709" s="11"/>
      <c r="Y2709" s="11"/>
      <c r="Z2709" s="11"/>
      <c r="AA2709" s="11"/>
      <c r="AB2709" s="11"/>
      <c r="AC2709" s="11"/>
      <c r="AD2709" s="11"/>
      <c r="AE2709" s="11"/>
      <c r="AF2709" s="11"/>
      <c r="AG2709" s="11"/>
      <c r="AH2709" s="11"/>
      <c r="AI2709" s="11"/>
      <c r="AJ2709" s="11"/>
      <c r="AK2709" s="11"/>
      <c r="AL2709" s="11"/>
      <c r="AM2709" s="11"/>
      <c r="AN2709" s="11"/>
      <c r="AO2709" s="11"/>
      <c r="AP2709" s="11"/>
      <c r="AQ2709" s="11"/>
      <c r="AR2709" s="11"/>
      <c r="AS2709" s="11"/>
      <c r="AT2709" s="11"/>
      <c r="AU2709" s="11"/>
      <c r="AV2709" s="11"/>
      <c r="AW2709" s="11"/>
      <c r="AX2709" s="11"/>
      <c r="AY2709" s="11"/>
    </row>
    <row r="2710" spans="1:51" x14ac:dyDescent="0.2">
      <c r="A2710" s="6"/>
      <c r="E2710" s="2"/>
      <c r="F2710" s="3"/>
      <c r="G2710" s="3"/>
      <c r="P2710" s="8"/>
      <c r="Q2710" s="11"/>
      <c r="R2710" s="11"/>
      <c r="S2710" s="11"/>
      <c r="T2710" s="11"/>
      <c r="U2710" s="11"/>
      <c r="V2710" s="11"/>
      <c r="W2710" s="11"/>
      <c r="X2710" s="11"/>
      <c r="Y2710" s="11"/>
      <c r="Z2710" s="11"/>
      <c r="AA2710" s="11"/>
      <c r="AB2710" s="11"/>
      <c r="AC2710" s="11"/>
      <c r="AD2710" s="11"/>
      <c r="AE2710" s="11"/>
      <c r="AF2710" s="11"/>
      <c r="AG2710" s="11"/>
      <c r="AH2710" s="11"/>
      <c r="AI2710" s="11"/>
      <c r="AJ2710" s="11"/>
      <c r="AK2710" s="11"/>
      <c r="AL2710" s="11"/>
      <c r="AM2710" s="11"/>
      <c r="AN2710" s="11"/>
      <c r="AO2710" s="11"/>
      <c r="AP2710" s="11"/>
      <c r="AQ2710" s="11"/>
      <c r="AR2710" s="11"/>
      <c r="AS2710" s="11"/>
      <c r="AT2710" s="11"/>
      <c r="AU2710" s="11"/>
      <c r="AV2710" s="11"/>
      <c r="AW2710" s="11"/>
      <c r="AX2710" s="11"/>
      <c r="AY2710" s="11"/>
    </row>
    <row r="2711" spans="1:51" hidden="1" x14ac:dyDescent="0.2">
      <c r="A2711" s="6"/>
      <c r="E2711" s="2"/>
      <c r="F2711" s="3"/>
      <c r="G2711" s="3"/>
      <c r="P2711" s="8"/>
      <c r="Q2711" s="11"/>
      <c r="R2711" s="11"/>
      <c r="S2711" s="11"/>
      <c r="T2711" s="11"/>
      <c r="U2711" s="11"/>
      <c r="V2711" s="11"/>
      <c r="W2711" s="11"/>
      <c r="X2711" s="11"/>
      <c r="Y2711" s="11"/>
      <c r="Z2711" s="11"/>
      <c r="AA2711" s="11"/>
      <c r="AB2711" s="11"/>
      <c r="AC2711" s="11"/>
      <c r="AD2711" s="11"/>
      <c r="AE2711" s="11"/>
      <c r="AF2711" s="11"/>
      <c r="AG2711" s="11"/>
      <c r="AH2711" s="11"/>
      <c r="AI2711" s="11"/>
      <c r="AJ2711" s="11"/>
      <c r="AK2711" s="11"/>
      <c r="AL2711" s="11"/>
      <c r="AM2711" s="11"/>
      <c r="AN2711" s="11"/>
      <c r="AO2711" s="11"/>
      <c r="AP2711" s="11"/>
      <c r="AQ2711" s="11"/>
      <c r="AR2711" s="11"/>
      <c r="AS2711" s="11"/>
      <c r="AT2711" s="11"/>
      <c r="AU2711" s="11"/>
      <c r="AV2711" s="11"/>
      <c r="AW2711" s="11"/>
      <c r="AX2711" s="11"/>
      <c r="AY2711" s="11"/>
    </row>
    <row r="2712" spans="1:51" hidden="1" x14ac:dyDescent="0.2">
      <c r="A2712" s="6" t="s">
        <v>17</v>
      </c>
      <c r="B2712" t="s">
        <v>50</v>
      </c>
      <c r="C2712" t="s">
        <v>51</v>
      </c>
      <c r="D2712" t="s">
        <v>3353</v>
      </c>
      <c r="E2712" s="2">
        <v>995.65</v>
      </c>
      <c r="F2712" s="3">
        <f>DATE(2025,10,31)</f>
        <v>45961</v>
      </c>
      <c r="G2712" s="3">
        <f>DATE(2025,10,31)</f>
        <v>45961</v>
      </c>
      <c r="H2712">
        <v>3108179765</v>
      </c>
      <c r="I2712" t="s">
        <v>21</v>
      </c>
      <c r="K2712" t="s">
        <v>22</v>
      </c>
      <c r="L2712" t="s">
        <v>23</v>
      </c>
      <c r="M2712" t="s">
        <v>24</v>
      </c>
      <c r="N2712" t="s">
        <v>24</v>
      </c>
      <c r="O2712" t="s">
        <v>25</v>
      </c>
      <c r="P2712" s="8" t="s">
        <v>3354</v>
      </c>
      <c r="Q2712" s="11"/>
      <c r="R2712" s="11"/>
      <c r="S2712" s="11"/>
      <c r="T2712" s="11"/>
      <c r="U2712" s="11"/>
      <c r="V2712" s="11"/>
      <c r="W2712" s="11"/>
      <c r="X2712" s="11"/>
      <c r="Y2712" s="11"/>
      <c r="Z2712" s="11"/>
      <c r="AA2712" s="11"/>
      <c r="AB2712" s="11"/>
      <c r="AC2712" s="11"/>
      <c r="AD2712" s="11"/>
      <c r="AE2712" s="11"/>
      <c r="AF2712" s="11"/>
      <c r="AG2712" s="11"/>
      <c r="AH2712" s="11"/>
      <c r="AI2712" s="11"/>
      <c r="AJ2712" s="11"/>
      <c r="AK2712" s="11"/>
      <c r="AL2712" s="11"/>
      <c r="AM2712" s="11"/>
      <c r="AN2712" s="11"/>
      <c r="AO2712" s="11"/>
      <c r="AP2712" s="11"/>
      <c r="AQ2712" s="11"/>
      <c r="AR2712" s="11"/>
      <c r="AS2712" s="11"/>
      <c r="AT2712" s="11"/>
      <c r="AU2712" s="11"/>
      <c r="AV2712" s="11"/>
      <c r="AW2712" s="11"/>
      <c r="AX2712" s="11"/>
      <c r="AY2712" s="11"/>
    </row>
    <row r="2713" spans="1:51" hidden="1" x14ac:dyDescent="0.2">
      <c r="A2713" s="6"/>
      <c r="E2713" s="2"/>
      <c r="F2713" s="3"/>
      <c r="G2713" s="3"/>
      <c r="P2713" s="8"/>
      <c r="Q2713" s="11"/>
      <c r="R2713" s="11"/>
      <c r="S2713" s="11"/>
      <c r="T2713" s="11"/>
      <c r="U2713" s="11"/>
      <c r="V2713" s="11"/>
      <c r="W2713" s="11"/>
      <c r="X2713" s="11"/>
      <c r="Y2713" s="11"/>
      <c r="Z2713" s="11"/>
      <c r="AA2713" s="11"/>
      <c r="AB2713" s="11"/>
      <c r="AC2713" s="11"/>
      <c r="AD2713" s="11"/>
      <c r="AE2713" s="11"/>
      <c r="AF2713" s="11"/>
      <c r="AG2713" s="11"/>
      <c r="AH2713" s="11"/>
      <c r="AI2713" s="11"/>
      <c r="AJ2713" s="11"/>
      <c r="AK2713" s="11"/>
      <c r="AL2713" s="11"/>
      <c r="AM2713" s="11"/>
      <c r="AN2713" s="11"/>
      <c r="AO2713" s="11"/>
      <c r="AP2713" s="11"/>
      <c r="AQ2713" s="11"/>
      <c r="AR2713" s="11"/>
      <c r="AS2713" s="11"/>
      <c r="AT2713" s="11"/>
      <c r="AU2713" s="11"/>
      <c r="AV2713" s="11"/>
      <c r="AW2713" s="11"/>
      <c r="AX2713" s="11"/>
      <c r="AY2713" s="11"/>
    </row>
    <row r="2714" spans="1:51" hidden="1" x14ac:dyDescent="0.2">
      <c r="A2714" s="6" t="s">
        <v>17</v>
      </c>
      <c r="B2714" t="s">
        <v>118</v>
      </c>
      <c r="C2714" t="s">
        <v>119</v>
      </c>
      <c r="D2714" t="s">
        <v>3355</v>
      </c>
      <c r="E2714" s="2">
        <v>973.67</v>
      </c>
      <c r="F2714" s="3">
        <f>DATE(2025,10,31)</f>
        <v>45961</v>
      </c>
      <c r="G2714" s="3">
        <f>DATE(2025,10,31)</f>
        <v>45961</v>
      </c>
      <c r="H2714">
        <v>3108179767</v>
      </c>
      <c r="I2714" t="s">
        <v>21</v>
      </c>
      <c r="K2714" t="s">
        <v>22</v>
      </c>
      <c r="L2714" t="s">
        <v>23</v>
      </c>
      <c r="M2714" t="s">
        <v>24</v>
      </c>
      <c r="N2714" t="s">
        <v>24</v>
      </c>
      <c r="O2714" t="s">
        <v>25</v>
      </c>
      <c r="P2714" s="8" t="s">
        <v>3356</v>
      </c>
      <c r="Q2714" s="11"/>
      <c r="R2714" s="11"/>
      <c r="S2714" s="11"/>
      <c r="T2714" s="11"/>
      <c r="U2714" s="11"/>
      <c r="V2714" s="11"/>
      <c r="W2714" s="11"/>
      <c r="X2714" s="11"/>
      <c r="Y2714" s="11"/>
      <c r="Z2714" s="11"/>
      <c r="AA2714" s="11"/>
      <c r="AB2714" s="11"/>
      <c r="AC2714" s="11"/>
      <c r="AD2714" s="11"/>
      <c r="AE2714" s="11"/>
      <c r="AF2714" s="11"/>
      <c r="AG2714" s="11"/>
      <c r="AH2714" s="11"/>
      <c r="AI2714" s="11"/>
      <c r="AJ2714" s="11"/>
      <c r="AK2714" s="11"/>
      <c r="AL2714" s="11"/>
      <c r="AM2714" s="11"/>
      <c r="AN2714" s="11"/>
      <c r="AO2714" s="11"/>
      <c r="AP2714" s="11"/>
      <c r="AQ2714" s="11"/>
      <c r="AR2714" s="11"/>
      <c r="AS2714" s="11"/>
      <c r="AT2714" s="11"/>
      <c r="AU2714" s="11"/>
      <c r="AV2714" s="11"/>
      <c r="AW2714" s="11"/>
      <c r="AX2714" s="11"/>
      <c r="AY2714" s="11"/>
    </row>
    <row r="2715" spans="1:51" hidden="1" x14ac:dyDescent="0.2">
      <c r="A2715" s="6" t="s">
        <v>17</v>
      </c>
      <c r="B2715" t="s">
        <v>118</v>
      </c>
      <c r="C2715" t="s">
        <v>119</v>
      </c>
      <c r="D2715" t="s">
        <v>3357</v>
      </c>
      <c r="E2715" s="2">
        <v>344.4</v>
      </c>
      <c r="F2715" s="3">
        <f>DATE(2025,10,31)</f>
        <v>45961</v>
      </c>
      <c r="G2715" s="3">
        <f>DATE(2025,10,31)</f>
        <v>45961</v>
      </c>
      <c r="H2715">
        <v>3108179768</v>
      </c>
      <c r="I2715" t="s">
        <v>21</v>
      </c>
      <c r="K2715" t="s">
        <v>22</v>
      </c>
      <c r="L2715" t="s">
        <v>23</v>
      </c>
      <c r="M2715" t="s">
        <v>24</v>
      </c>
      <c r="N2715" t="s">
        <v>24</v>
      </c>
      <c r="O2715" t="s">
        <v>25</v>
      </c>
      <c r="P2715" s="8" t="s">
        <v>3358</v>
      </c>
      <c r="Q2715" s="11"/>
      <c r="R2715" s="11"/>
      <c r="S2715" s="11"/>
      <c r="T2715" s="11"/>
      <c r="U2715" s="11"/>
      <c r="V2715" s="11"/>
      <c r="W2715" s="11"/>
      <c r="X2715" s="11"/>
      <c r="Y2715" s="11"/>
      <c r="Z2715" s="11"/>
      <c r="AA2715" s="11"/>
      <c r="AB2715" s="11"/>
      <c r="AC2715" s="11"/>
      <c r="AD2715" s="11"/>
      <c r="AE2715" s="11"/>
      <c r="AF2715" s="11"/>
      <c r="AG2715" s="11"/>
      <c r="AH2715" s="11"/>
      <c r="AI2715" s="11"/>
      <c r="AJ2715" s="11"/>
      <c r="AK2715" s="11"/>
      <c r="AL2715" s="11"/>
      <c r="AM2715" s="11"/>
      <c r="AN2715" s="11"/>
      <c r="AO2715" s="11"/>
      <c r="AP2715" s="11"/>
      <c r="AQ2715" s="11"/>
      <c r="AR2715" s="11"/>
      <c r="AS2715" s="11"/>
      <c r="AT2715" s="11"/>
      <c r="AU2715" s="11"/>
      <c r="AV2715" s="11"/>
      <c r="AW2715" s="11"/>
      <c r="AX2715" s="11"/>
      <c r="AY2715" s="11"/>
    </row>
    <row r="2716" spans="1:51" hidden="1" x14ac:dyDescent="0.2">
      <c r="A2716" s="6"/>
      <c r="E2716" s="2"/>
      <c r="F2716" s="3"/>
      <c r="G2716" s="3"/>
      <c r="P2716" s="8"/>
      <c r="Q2716" s="11"/>
      <c r="R2716" s="11"/>
      <c r="S2716" s="11"/>
      <c r="T2716" s="11"/>
      <c r="U2716" s="11"/>
      <c r="V2716" s="11"/>
      <c r="W2716" s="11"/>
      <c r="X2716" s="11"/>
      <c r="Y2716" s="11"/>
      <c r="Z2716" s="11"/>
      <c r="AA2716" s="11"/>
      <c r="AB2716" s="11"/>
      <c r="AC2716" s="11"/>
      <c r="AD2716" s="11"/>
      <c r="AE2716" s="11"/>
      <c r="AF2716" s="11"/>
      <c r="AG2716" s="11"/>
      <c r="AH2716" s="11"/>
      <c r="AI2716" s="11"/>
      <c r="AJ2716" s="11"/>
      <c r="AK2716" s="11"/>
      <c r="AL2716" s="11"/>
      <c r="AM2716" s="11"/>
      <c r="AN2716" s="11"/>
      <c r="AO2716" s="11"/>
      <c r="AP2716" s="11"/>
      <c r="AQ2716" s="11"/>
      <c r="AR2716" s="11"/>
      <c r="AS2716" s="11"/>
      <c r="AT2716" s="11"/>
      <c r="AU2716" s="11"/>
      <c r="AV2716" s="11"/>
      <c r="AW2716" s="11"/>
      <c r="AX2716" s="11"/>
      <c r="AY2716" s="11"/>
    </row>
    <row r="2717" spans="1:51" hidden="1" x14ac:dyDescent="0.2">
      <c r="A2717" s="6" t="s">
        <v>17</v>
      </c>
      <c r="B2717" t="s">
        <v>565</v>
      </c>
      <c r="C2717" t="s">
        <v>566</v>
      </c>
      <c r="D2717" t="s">
        <v>3359</v>
      </c>
      <c r="E2717" s="2">
        <v>1442.77</v>
      </c>
      <c r="F2717" s="3">
        <f>DATE(2025,10,31)</f>
        <v>45961</v>
      </c>
      <c r="G2717" s="3">
        <f>DATE(2025,10,31)</f>
        <v>45961</v>
      </c>
      <c r="H2717">
        <v>3108179770</v>
      </c>
      <c r="I2717" t="s">
        <v>21</v>
      </c>
      <c r="K2717" t="s">
        <v>22</v>
      </c>
      <c r="L2717" t="s">
        <v>23</v>
      </c>
      <c r="M2717" t="s">
        <v>24</v>
      </c>
      <c r="N2717" t="s">
        <v>24</v>
      </c>
      <c r="O2717" t="s">
        <v>25</v>
      </c>
      <c r="P2717" s="8" t="s">
        <v>3360</v>
      </c>
      <c r="Q2717" s="11"/>
      <c r="R2717" s="11"/>
      <c r="S2717" s="11"/>
      <c r="T2717" s="11"/>
      <c r="U2717" s="11"/>
      <c r="V2717" s="11"/>
      <c r="W2717" s="11"/>
      <c r="X2717" s="11"/>
      <c r="Y2717" s="11"/>
      <c r="Z2717" s="11"/>
      <c r="AA2717" s="11"/>
      <c r="AB2717" s="11"/>
      <c r="AC2717" s="11"/>
      <c r="AD2717" s="11"/>
      <c r="AE2717" s="11"/>
      <c r="AF2717" s="11"/>
      <c r="AG2717" s="11"/>
      <c r="AH2717" s="11"/>
      <c r="AI2717" s="11"/>
      <c r="AJ2717" s="11"/>
      <c r="AK2717" s="11"/>
      <c r="AL2717" s="11"/>
      <c r="AM2717" s="11"/>
      <c r="AN2717" s="11"/>
      <c r="AO2717" s="11"/>
      <c r="AP2717" s="11"/>
      <c r="AQ2717" s="11"/>
      <c r="AR2717" s="11"/>
      <c r="AS2717" s="11"/>
      <c r="AT2717" s="11"/>
      <c r="AU2717" s="11"/>
      <c r="AV2717" s="11"/>
      <c r="AW2717" s="11"/>
      <c r="AX2717" s="11"/>
      <c r="AY2717" s="11"/>
    </row>
    <row r="2718" spans="1:51" x14ac:dyDescent="0.2">
      <c r="A2718" s="6" t="s">
        <v>17</v>
      </c>
      <c r="B2718" t="s">
        <v>342</v>
      </c>
      <c r="C2718" t="s">
        <v>342</v>
      </c>
      <c r="D2718" t="s">
        <v>3361</v>
      </c>
      <c r="E2718" s="2">
        <v>155.03</v>
      </c>
      <c r="F2718" s="3">
        <f>DATE(2025,10,30)</f>
        <v>45960</v>
      </c>
      <c r="G2718" s="3">
        <f>DATE(2025,10,30)</f>
        <v>45960</v>
      </c>
      <c r="H2718">
        <v>3108184495</v>
      </c>
      <c r="I2718" t="s">
        <v>192</v>
      </c>
      <c r="K2718" t="s">
        <v>22</v>
      </c>
      <c r="L2718" t="s">
        <v>23</v>
      </c>
      <c r="M2718" t="s">
        <v>24</v>
      </c>
      <c r="N2718" t="s">
        <v>24</v>
      </c>
      <c r="O2718" t="s">
        <v>25</v>
      </c>
      <c r="P2718" s="8" t="s">
        <v>3362</v>
      </c>
      <c r="Q2718" s="11"/>
      <c r="R2718" s="11"/>
      <c r="S2718" s="11"/>
      <c r="T2718" s="11"/>
      <c r="U2718" s="11"/>
      <c r="V2718" s="11"/>
      <c r="W2718" s="11"/>
      <c r="X2718" s="11"/>
      <c r="Y2718" s="11"/>
      <c r="Z2718" s="11"/>
      <c r="AA2718" s="11"/>
      <c r="AB2718" s="11"/>
      <c r="AC2718" s="11"/>
      <c r="AD2718" s="11"/>
      <c r="AE2718" s="11"/>
      <c r="AF2718" s="11"/>
      <c r="AG2718" s="11"/>
      <c r="AH2718" s="11"/>
      <c r="AI2718" s="11"/>
      <c r="AJ2718" s="11"/>
      <c r="AK2718" s="11"/>
      <c r="AL2718" s="11"/>
      <c r="AM2718" s="11"/>
      <c r="AN2718" s="11"/>
      <c r="AO2718" s="11"/>
      <c r="AP2718" s="11"/>
      <c r="AQ2718" s="11"/>
      <c r="AR2718" s="11"/>
      <c r="AS2718" s="11"/>
      <c r="AT2718" s="11"/>
      <c r="AU2718" s="11"/>
      <c r="AV2718" s="11"/>
      <c r="AW2718" s="11"/>
      <c r="AX2718" s="11"/>
      <c r="AY2718" s="11"/>
    </row>
    <row r="2719" spans="1:51" hidden="1" x14ac:dyDescent="0.2">
      <c r="A2719" s="6"/>
      <c r="E2719" s="2"/>
      <c r="F2719" s="3"/>
      <c r="G2719" s="3"/>
      <c r="P2719" s="8"/>
      <c r="Q2719" s="11"/>
      <c r="R2719" s="11"/>
      <c r="S2719" s="11"/>
      <c r="T2719" s="11"/>
      <c r="U2719" s="11"/>
      <c r="V2719" s="11"/>
      <c r="W2719" s="11"/>
      <c r="X2719" s="11"/>
      <c r="Y2719" s="11"/>
      <c r="Z2719" s="11"/>
      <c r="AA2719" s="11"/>
      <c r="AB2719" s="11"/>
      <c r="AC2719" s="11"/>
      <c r="AD2719" s="11"/>
      <c r="AE2719" s="11"/>
      <c r="AF2719" s="11"/>
      <c r="AG2719" s="11"/>
      <c r="AH2719" s="11"/>
      <c r="AI2719" s="11"/>
      <c r="AJ2719" s="11"/>
      <c r="AK2719" s="11"/>
      <c r="AL2719" s="11"/>
      <c r="AM2719" s="11"/>
      <c r="AN2719" s="11"/>
      <c r="AO2719" s="11"/>
      <c r="AP2719" s="11"/>
      <c r="AQ2719" s="11"/>
      <c r="AR2719" s="11"/>
      <c r="AS2719" s="11"/>
      <c r="AT2719" s="11"/>
      <c r="AU2719" s="11"/>
      <c r="AV2719" s="11"/>
      <c r="AW2719" s="11"/>
      <c r="AX2719" s="11"/>
      <c r="AY2719" s="11"/>
    </row>
    <row r="2720" spans="1:51" hidden="1" x14ac:dyDescent="0.2">
      <c r="A2720" s="6"/>
      <c r="E2720" s="2"/>
      <c r="F2720" s="3"/>
      <c r="G2720" s="3"/>
      <c r="P2720" s="8"/>
      <c r="Q2720" s="11"/>
      <c r="R2720" s="11"/>
      <c r="S2720" s="11"/>
      <c r="T2720" s="11"/>
      <c r="U2720" s="11"/>
      <c r="V2720" s="11"/>
      <c r="W2720" s="11"/>
      <c r="X2720" s="11"/>
      <c r="Y2720" s="11"/>
      <c r="Z2720" s="11"/>
      <c r="AA2720" s="11"/>
      <c r="AB2720" s="11"/>
      <c r="AC2720" s="11"/>
      <c r="AD2720" s="11"/>
      <c r="AE2720" s="11"/>
      <c r="AF2720" s="11"/>
      <c r="AG2720" s="11"/>
      <c r="AH2720" s="11"/>
      <c r="AI2720" s="11"/>
      <c r="AJ2720" s="11"/>
      <c r="AK2720" s="11"/>
      <c r="AL2720" s="11"/>
      <c r="AM2720" s="11"/>
      <c r="AN2720" s="11"/>
      <c r="AO2720" s="11"/>
      <c r="AP2720" s="11"/>
      <c r="AQ2720" s="11"/>
      <c r="AR2720" s="11"/>
      <c r="AS2720" s="11"/>
      <c r="AT2720" s="11"/>
      <c r="AU2720" s="11"/>
      <c r="AV2720" s="11"/>
      <c r="AW2720" s="11"/>
      <c r="AX2720" s="11"/>
      <c r="AY2720" s="11"/>
    </row>
    <row r="2721" spans="1:51" hidden="1" x14ac:dyDescent="0.2">
      <c r="A2721" s="6"/>
      <c r="E2721" s="2"/>
      <c r="F2721" s="3"/>
      <c r="G2721" s="3"/>
      <c r="P2721" s="8"/>
      <c r="Q2721" s="11"/>
      <c r="R2721" s="11"/>
      <c r="S2721" s="11"/>
      <c r="T2721" s="11"/>
      <c r="U2721" s="11"/>
      <c r="V2721" s="11"/>
      <c r="W2721" s="11"/>
      <c r="X2721" s="11"/>
      <c r="Y2721" s="11"/>
      <c r="Z2721" s="11"/>
      <c r="AA2721" s="11"/>
      <c r="AB2721" s="11"/>
      <c r="AC2721" s="11"/>
      <c r="AD2721" s="11"/>
      <c r="AE2721" s="11"/>
      <c r="AF2721" s="11"/>
      <c r="AG2721" s="11"/>
      <c r="AH2721" s="11"/>
      <c r="AI2721" s="11"/>
      <c r="AJ2721" s="11"/>
      <c r="AK2721" s="11"/>
      <c r="AL2721" s="11"/>
      <c r="AM2721" s="11"/>
      <c r="AN2721" s="11"/>
      <c r="AO2721" s="11"/>
      <c r="AP2721" s="11"/>
      <c r="AQ2721" s="11"/>
      <c r="AR2721" s="11"/>
      <c r="AS2721" s="11"/>
      <c r="AT2721" s="11"/>
      <c r="AU2721" s="11"/>
      <c r="AV2721" s="11"/>
      <c r="AW2721" s="11"/>
      <c r="AX2721" s="11"/>
      <c r="AY2721" s="11"/>
    </row>
    <row r="2722" spans="1:51" hidden="1" x14ac:dyDescent="0.2">
      <c r="A2722" s="6" t="s">
        <v>17</v>
      </c>
      <c r="B2722" t="s">
        <v>27</v>
      </c>
      <c r="C2722" t="s">
        <v>28</v>
      </c>
      <c r="D2722" t="s">
        <v>3363</v>
      </c>
      <c r="E2722" s="2">
        <v>1313.46</v>
      </c>
      <c r="F2722" s="3">
        <f>DATE(2025,11,1)</f>
        <v>45962</v>
      </c>
      <c r="G2722" s="3">
        <f>DATE(2025,11,1)</f>
        <v>45962</v>
      </c>
      <c r="H2722">
        <v>3114432001</v>
      </c>
      <c r="I2722" t="s">
        <v>21</v>
      </c>
      <c r="K2722" t="s">
        <v>22</v>
      </c>
      <c r="L2722" t="s">
        <v>23</v>
      </c>
      <c r="M2722" t="s">
        <v>24</v>
      </c>
      <c r="N2722" t="s">
        <v>24</v>
      </c>
      <c r="O2722" t="s">
        <v>25</v>
      </c>
      <c r="P2722" s="8" t="s">
        <v>3364</v>
      </c>
      <c r="Q2722" s="11"/>
      <c r="R2722" s="11"/>
      <c r="S2722" s="11"/>
      <c r="T2722" s="11"/>
      <c r="U2722" s="11"/>
      <c r="V2722" s="11"/>
      <c r="W2722" s="11"/>
      <c r="X2722" s="11"/>
      <c r="Y2722" s="11"/>
      <c r="Z2722" s="11"/>
      <c r="AA2722" s="11"/>
      <c r="AB2722" s="11"/>
      <c r="AC2722" s="11"/>
      <c r="AD2722" s="11"/>
      <c r="AE2722" s="11"/>
      <c r="AF2722" s="11"/>
      <c r="AG2722" s="11"/>
      <c r="AH2722" s="11"/>
      <c r="AI2722" s="11"/>
      <c r="AJ2722" s="11"/>
      <c r="AK2722" s="11"/>
      <c r="AL2722" s="11"/>
      <c r="AM2722" s="11"/>
      <c r="AN2722" s="11"/>
      <c r="AO2722" s="11"/>
      <c r="AP2722" s="11"/>
      <c r="AQ2722" s="11"/>
      <c r="AR2722" s="11"/>
      <c r="AS2722" s="11"/>
      <c r="AT2722" s="11"/>
      <c r="AU2722" s="11"/>
      <c r="AV2722" s="11"/>
      <c r="AW2722" s="11"/>
      <c r="AX2722" s="11"/>
      <c r="AY2722" s="11"/>
    </row>
    <row r="2723" spans="1:51" hidden="1" x14ac:dyDescent="0.2">
      <c r="A2723" s="6" t="s">
        <v>17</v>
      </c>
      <c r="B2723" t="s">
        <v>35</v>
      </c>
      <c r="C2723" t="s">
        <v>35</v>
      </c>
      <c r="D2723" t="s">
        <v>3365</v>
      </c>
      <c r="E2723" s="2">
        <v>0.27</v>
      </c>
      <c r="F2723" s="3">
        <f>DATE(2025,11,1)</f>
        <v>45962</v>
      </c>
      <c r="G2723" s="3">
        <f>DATE(2025,11,1)</f>
        <v>45962</v>
      </c>
      <c r="H2723">
        <v>3114432002</v>
      </c>
      <c r="I2723" t="s">
        <v>21</v>
      </c>
      <c r="K2723" t="s">
        <v>22</v>
      </c>
      <c r="L2723" t="s">
        <v>23</v>
      </c>
      <c r="M2723" t="s">
        <v>24</v>
      </c>
      <c r="N2723" t="s">
        <v>24</v>
      </c>
      <c r="O2723" t="s">
        <v>25</v>
      </c>
      <c r="P2723" s="8" t="s">
        <v>3366</v>
      </c>
      <c r="Q2723" s="11"/>
      <c r="R2723" s="11"/>
      <c r="S2723" s="11"/>
      <c r="T2723" s="11"/>
      <c r="U2723" s="11"/>
      <c r="V2723" s="11"/>
      <c r="W2723" s="11"/>
      <c r="X2723" s="11"/>
      <c r="Y2723" s="11"/>
      <c r="Z2723" s="11"/>
      <c r="AA2723" s="11"/>
      <c r="AB2723" s="11"/>
      <c r="AC2723" s="11"/>
      <c r="AD2723" s="11"/>
      <c r="AE2723" s="11"/>
      <c r="AF2723" s="11"/>
      <c r="AG2723" s="11"/>
      <c r="AH2723" s="11"/>
      <c r="AI2723" s="11"/>
      <c r="AJ2723" s="11"/>
      <c r="AK2723" s="11"/>
      <c r="AL2723" s="11"/>
      <c r="AM2723" s="11"/>
      <c r="AN2723" s="11"/>
      <c r="AO2723" s="11"/>
      <c r="AP2723" s="11"/>
      <c r="AQ2723" s="11"/>
      <c r="AR2723" s="11"/>
      <c r="AS2723" s="11"/>
      <c r="AT2723" s="11"/>
      <c r="AU2723" s="11"/>
      <c r="AV2723" s="11"/>
      <c r="AW2723" s="11"/>
      <c r="AX2723" s="11"/>
      <c r="AY2723" s="11"/>
    </row>
    <row r="2724" spans="1:51" x14ac:dyDescent="0.2">
      <c r="A2724" s="6" t="s">
        <v>17</v>
      </c>
      <c r="B2724" t="s">
        <v>342</v>
      </c>
      <c r="C2724" t="s">
        <v>342</v>
      </c>
      <c r="D2724" t="s">
        <v>359</v>
      </c>
      <c r="E2724" s="2">
        <v>2708.91</v>
      </c>
      <c r="F2724" s="3">
        <f>DATE(2025,10,31)</f>
        <v>45961</v>
      </c>
      <c r="G2724" s="3">
        <f>DATE(2025,10,31)</f>
        <v>45961</v>
      </c>
      <c r="H2724">
        <v>3114432003</v>
      </c>
      <c r="I2724" t="s">
        <v>21</v>
      </c>
      <c r="K2724" t="s">
        <v>22</v>
      </c>
      <c r="L2724" t="s">
        <v>23</v>
      </c>
      <c r="M2724" t="s">
        <v>24</v>
      </c>
      <c r="N2724" t="s">
        <v>25</v>
      </c>
      <c r="O2724" t="s">
        <v>25</v>
      </c>
      <c r="P2724" s="8" t="s">
        <v>3367</v>
      </c>
      <c r="Q2724" s="11"/>
      <c r="R2724" s="11"/>
      <c r="S2724" s="11"/>
      <c r="T2724" s="11"/>
      <c r="U2724" s="11"/>
      <c r="V2724" s="11"/>
      <c r="W2724" s="11"/>
      <c r="X2724" s="11"/>
      <c r="Y2724" s="11"/>
      <c r="Z2724" s="11"/>
      <c r="AA2724" s="11"/>
      <c r="AB2724" s="11"/>
      <c r="AC2724" s="11"/>
      <c r="AD2724" s="11"/>
      <c r="AE2724" s="11"/>
      <c r="AF2724" s="11"/>
      <c r="AG2724" s="11"/>
      <c r="AH2724" s="11"/>
      <c r="AI2724" s="11"/>
      <c r="AJ2724" s="11"/>
      <c r="AK2724" s="11"/>
      <c r="AL2724" s="11"/>
      <c r="AM2724" s="11"/>
      <c r="AN2724" s="11"/>
      <c r="AO2724" s="11"/>
      <c r="AP2724" s="11"/>
      <c r="AQ2724" s="11"/>
      <c r="AR2724" s="11"/>
      <c r="AS2724" s="11"/>
      <c r="AT2724" s="11"/>
      <c r="AU2724" s="11"/>
      <c r="AV2724" s="11"/>
      <c r="AW2724" s="11"/>
      <c r="AX2724" s="11"/>
      <c r="AY2724" s="11"/>
    </row>
    <row r="2725" spans="1:51" hidden="1" x14ac:dyDescent="0.2">
      <c r="A2725" s="6" t="s">
        <v>17</v>
      </c>
      <c r="B2725" t="s">
        <v>35</v>
      </c>
      <c r="C2725" t="s">
        <v>35</v>
      </c>
      <c r="D2725" t="s">
        <v>3368</v>
      </c>
      <c r="E2725" s="2">
        <v>12.92</v>
      </c>
      <c r="F2725" s="3">
        <f>DATE(2025,11,1)</f>
        <v>45962</v>
      </c>
      <c r="G2725" s="3">
        <f>DATE(2025,11,1)</f>
        <v>45962</v>
      </c>
      <c r="H2725">
        <v>3114432004</v>
      </c>
      <c r="I2725" t="s">
        <v>21</v>
      </c>
      <c r="K2725" t="s">
        <v>22</v>
      </c>
      <c r="L2725" t="s">
        <v>23</v>
      </c>
      <c r="M2725" t="s">
        <v>24</v>
      </c>
      <c r="N2725" t="s">
        <v>24</v>
      </c>
      <c r="O2725" t="s">
        <v>25</v>
      </c>
      <c r="P2725" s="8" t="s">
        <v>3369</v>
      </c>
      <c r="Q2725" s="11"/>
      <c r="R2725" s="11"/>
      <c r="S2725" s="11"/>
      <c r="T2725" s="11"/>
      <c r="U2725" s="11"/>
      <c r="V2725" s="11"/>
      <c r="W2725" s="11"/>
      <c r="X2725" s="11"/>
      <c r="Y2725" s="11"/>
      <c r="Z2725" s="11"/>
      <c r="AA2725" s="11"/>
      <c r="AB2725" s="11"/>
      <c r="AC2725" s="11"/>
      <c r="AD2725" s="11"/>
      <c r="AE2725" s="11"/>
      <c r="AF2725" s="11"/>
      <c r="AG2725" s="11"/>
      <c r="AH2725" s="11"/>
      <c r="AI2725" s="11"/>
      <c r="AJ2725" s="11"/>
      <c r="AK2725" s="11"/>
      <c r="AL2725" s="11"/>
      <c r="AM2725" s="11"/>
      <c r="AN2725" s="11"/>
      <c r="AO2725" s="11"/>
      <c r="AP2725" s="11"/>
      <c r="AQ2725" s="11"/>
      <c r="AR2725" s="11"/>
      <c r="AS2725" s="11"/>
      <c r="AT2725" s="11"/>
      <c r="AU2725" s="11"/>
      <c r="AV2725" s="11"/>
      <c r="AW2725" s="11"/>
      <c r="AX2725" s="11"/>
      <c r="AY2725" s="11"/>
    </row>
    <row r="2726" spans="1:51" hidden="1" x14ac:dyDescent="0.2">
      <c r="A2726" s="6"/>
      <c r="E2726" s="2"/>
      <c r="F2726" s="3"/>
      <c r="G2726" s="3"/>
      <c r="P2726" s="8"/>
      <c r="Q2726" s="11"/>
      <c r="R2726" s="11"/>
      <c r="S2726" s="11"/>
      <c r="T2726" s="11"/>
      <c r="U2726" s="11"/>
      <c r="V2726" s="11"/>
      <c r="W2726" s="11"/>
      <c r="X2726" s="11"/>
      <c r="Y2726" s="11"/>
      <c r="Z2726" s="11"/>
      <c r="AA2726" s="11"/>
      <c r="AB2726" s="11"/>
      <c r="AC2726" s="11"/>
      <c r="AD2726" s="11"/>
      <c r="AE2726" s="11"/>
      <c r="AF2726" s="11"/>
      <c r="AG2726" s="11"/>
      <c r="AH2726" s="11"/>
      <c r="AI2726" s="11"/>
      <c r="AJ2726" s="11"/>
      <c r="AK2726" s="11"/>
      <c r="AL2726" s="11"/>
      <c r="AM2726" s="11"/>
      <c r="AN2726" s="11"/>
      <c r="AO2726" s="11"/>
      <c r="AP2726" s="11"/>
      <c r="AQ2726" s="11"/>
      <c r="AR2726" s="11"/>
      <c r="AS2726" s="11"/>
      <c r="AT2726" s="11"/>
      <c r="AU2726" s="11"/>
      <c r="AV2726" s="11"/>
      <c r="AW2726" s="11"/>
      <c r="AX2726" s="11"/>
      <c r="AY2726" s="11"/>
    </row>
    <row r="2727" spans="1:51" hidden="1" x14ac:dyDescent="0.2">
      <c r="A2727" s="6"/>
      <c r="E2727" s="2"/>
      <c r="F2727" s="3"/>
      <c r="G2727" s="3"/>
      <c r="P2727" s="8"/>
      <c r="Q2727" s="11"/>
      <c r="R2727" s="11"/>
      <c r="S2727" s="11"/>
      <c r="T2727" s="11"/>
      <c r="U2727" s="11"/>
      <c r="V2727" s="11"/>
      <c r="W2727" s="11"/>
      <c r="X2727" s="11"/>
      <c r="Y2727" s="11"/>
      <c r="Z2727" s="11"/>
      <c r="AA2727" s="11"/>
      <c r="AB2727" s="11"/>
      <c r="AC2727" s="11"/>
      <c r="AD2727" s="11"/>
      <c r="AE2727" s="11"/>
      <c r="AF2727" s="11"/>
      <c r="AG2727" s="11"/>
      <c r="AH2727" s="11"/>
      <c r="AI2727" s="11"/>
      <c r="AJ2727" s="11"/>
      <c r="AK2727" s="11"/>
      <c r="AL2727" s="11"/>
      <c r="AM2727" s="11"/>
      <c r="AN2727" s="11"/>
      <c r="AO2727" s="11"/>
      <c r="AP2727" s="11"/>
      <c r="AQ2727" s="11"/>
      <c r="AR2727" s="11"/>
      <c r="AS2727" s="11"/>
      <c r="AT2727" s="11"/>
      <c r="AU2727" s="11"/>
      <c r="AV2727" s="11"/>
      <c r="AW2727" s="11"/>
      <c r="AX2727" s="11"/>
      <c r="AY2727" s="11"/>
    </row>
    <row r="2728" spans="1:51" hidden="1" x14ac:dyDescent="0.2">
      <c r="A2728" s="6"/>
      <c r="E2728" s="2"/>
      <c r="F2728" s="3"/>
      <c r="G2728" s="3"/>
      <c r="P2728" s="8"/>
      <c r="Q2728" s="11"/>
      <c r="R2728" s="11"/>
      <c r="S2728" s="11"/>
      <c r="T2728" s="11"/>
      <c r="U2728" s="11"/>
      <c r="V2728" s="11"/>
      <c r="W2728" s="11"/>
      <c r="X2728" s="11"/>
      <c r="Y2728" s="11"/>
      <c r="Z2728" s="11"/>
      <c r="AA2728" s="11"/>
      <c r="AB2728" s="11"/>
      <c r="AC2728" s="11"/>
      <c r="AD2728" s="11"/>
      <c r="AE2728" s="11"/>
      <c r="AF2728" s="11"/>
      <c r="AG2728" s="11"/>
      <c r="AH2728" s="11"/>
      <c r="AI2728" s="11"/>
      <c r="AJ2728" s="11"/>
      <c r="AK2728" s="11"/>
      <c r="AL2728" s="11"/>
      <c r="AM2728" s="11"/>
      <c r="AN2728" s="11"/>
      <c r="AO2728" s="11"/>
      <c r="AP2728" s="11"/>
      <c r="AQ2728" s="11"/>
      <c r="AR2728" s="11"/>
      <c r="AS2728" s="11"/>
      <c r="AT2728" s="11"/>
      <c r="AU2728" s="11"/>
      <c r="AV2728" s="11"/>
      <c r="AW2728" s="11"/>
      <c r="AX2728" s="11"/>
      <c r="AY2728" s="11"/>
    </row>
    <row r="2729" spans="1:51" x14ac:dyDescent="0.2">
      <c r="A2729" s="6" t="s">
        <v>17</v>
      </c>
      <c r="B2729" t="s">
        <v>342</v>
      </c>
      <c r="C2729" t="s">
        <v>342</v>
      </c>
      <c r="D2729" t="s">
        <v>3370</v>
      </c>
      <c r="E2729" s="2">
        <v>5.45</v>
      </c>
      <c r="F2729" s="3">
        <f t="shared" ref="F2729:G2729" si="237">DATE(2025,10,31)</f>
        <v>45961</v>
      </c>
      <c r="G2729" s="3">
        <f t="shared" si="237"/>
        <v>45961</v>
      </c>
      <c r="H2729">
        <v>3114432970</v>
      </c>
      <c r="I2729" t="s">
        <v>192</v>
      </c>
      <c r="K2729" t="s">
        <v>22</v>
      </c>
      <c r="L2729" t="s">
        <v>23</v>
      </c>
      <c r="M2729" t="s">
        <v>24</v>
      </c>
      <c r="N2729" t="s">
        <v>24</v>
      </c>
      <c r="O2729" t="s">
        <v>25</v>
      </c>
      <c r="P2729" s="8" t="s">
        <v>3371</v>
      </c>
      <c r="Q2729" s="11"/>
      <c r="R2729" s="11"/>
      <c r="S2729" s="11"/>
      <c r="T2729" s="11"/>
      <c r="U2729" s="11"/>
      <c r="V2729" s="11"/>
      <c r="W2729" s="11"/>
      <c r="X2729" s="11"/>
      <c r="Y2729" s="11"/>
      <c r="Z2729" s="11"/>
      <c r="AA2729" s="11"/>
      <c r="AB2729" s="11"/>
      <c r="AC2729" s="11"/>
      <c r="AD2729" s="11"/>
      <c r="AE2729" s="11"/>
      <c r="AF2729" s="11"/>
      <c r="AG2729" s="11"/>
      <c r="AH2729" s="11"/>
      <c r="AI2729" s="11"/>
      <c r="AJ2729" s="11"/>
      <c r="AK2729" s="11"/>
      <c r="AL2729" s="11"/>
      <c r="AM2729" s="11"/>
      <c r="AN2729" s="11"/>
      <c r="AO2729" s="11"/>
      <c r="AP2729" s="11"/>
      <c r="AQ2729" s="11"/>
      <c r="AR2729" s="11"/>
      <c r="AS2729" s="11"/>
      <c r="AT2729" s="11"/>
      <c r="AU2729" s="11"/>
      <c r="AV2729" s="11"/>
      <c r="AW2729" s="11"/>
      <c r="AX2729" s="11"/>
      <c r="AY2729" s="11"/>
    </row>
    <row r="2730" spans="1:51" hidden="1" x14ac:dyDescent="0.2">
      <c r="A2730" s="6" t="s">
        <v>17</v>
      </c>
      <c r="B2730" t="s">
        <v>244</v>
      </c>
      <c r="C2730" t="s">
        <v>245</v>
      </c>
      <c r="D2730" t="s">
        <v>3372</v>
      </c>
      <c r="E2730" s="2">
        <v>87.2</v>
      </c>
      <c r="F2730" s="3">
        <f t="shared" ref="F2730:G2737" si="238">DATE(2025,11,3)</f>
        <v>45964</v>
      </c>
      <c r="G2730" s="3">
        <f t="shared" si="238"/>
        <v>45964</v>
      </c>
      <c r="H2730">
        <v>3126961312</v>
      </c>
      <c r="I2730" t="s">
        <v>21</v>
      </c>
      <c r="K2730" t="s">
        <v>22</v>
      </c>
      <c r="L2730" t="s">
        <v>23</v>
      </c>
      <c r="M2730" t="s">
        <v>24</v>
      </c>
      <c r="N2730" t="s">
        <v>24</v>
      </c>
      <c r="O2730" t="s">
        <v>25</v>
      </c>
      <c r="P2730" s="8" t="s">
        <v>3373</v>
      </c>
      <c r="Q2730" s="11"/>
      <c r="R2730" s="11"/>
      <c r="S2730" s="11"/>
      <c r="T2730" s="11"/>
      <c r="U2730" s="11"/>
      <c r="V2730" s="11"/>
      <c r="W2730" s="11"/>
      <c r="X2730" s="11"/>
      <c r="Y2730" s="11"/>
      <c r="Z2730" s="11"/>
      <c r="AA2730" s="11"/>
      <c r="AB2730" s="11"/>
      <c r="AC2730" s="11"/>
      <c r="AD2730" s="11"/>
      <c r="AE2730" s="11"/>
      <c r="AF2730" s="11"/>
      <c r="AG2730" s="11"/>
      <c r="AH2730" s="11"/>
      <c r="AI2730" s="11"/>
      <c r="AJ2730" s="11"/>
      <c r="AK2730" s="11"/>
      <c r="AL2730" s="11"/>
      <c r="AM2730" s="11"/>
      <c r="AN2730" s="11"/>
      <c r="AO2730" s="11"/>
      <c r="AP2730" s="11"/>
      <c r="AQ2730" s="11"/>
      <c r="AR2730" s="11"/>
      <c r="AS2730" s="11"/>
      <c r="AT2730" s="11"/>
      <c r="AU2730" s="11"/>
      <c r="AV2730" s="11"/>
      <c r="AW2730" s="11"/>
      <c r="AX2730" s="11"/>
      <c r="AY2730" s="11"/>
    </row>
    <row r="2731" spans="1:51" hidden="1" x14ac:dyDescent="0.2">
      <c r="A2731" s="6" t="s">
        <v>17</v>
      </c>
      <c r="B2731" t="s">
        <v>42</v>
      </c>
      <c r="C2731" t="s">
        <v>43</v>
      </c>
      <c r="D2731" t="s">
        <v>3374</v>
      </c>
      <c r="E2731" s="2">
        <v>102.16</v>
      </c>
      <c r="F2731" s="3">
        <f t="shared" si="238"/>
        <v>45964</v>
      </c>
      <c r="G2731" s="3">
        <f t="shared" si="238"/>
        <v>45964</v>
      </c>
      <c r="H2731">
        <v>3126961355</v>
      </c>
      <c r="I2731" t="s">
        <v>21</v>
      </c>
      <c r="K2731" t="s">
        <v>22</v>
      </c>
      <c r="L2731" t="s">
        <v>23</v>
      </c>
      <c r="M2731" t="s">
        <v>24</v>
      </c>
      <c r="N2731" t="s">
        <v>24</v>
      </c>
      <c r="O2731" t="s">
        <v>25</v>
      </c>
      <c r="P2731" s="8" t="s">
        <v>3375</v>
      </c>
      <c r="Q2731" s="11"/>
      <c r="R2731" s="11"/>
      <c r="S2731" s="11"/>
      <c r="T2731" s="11"/>
      <c r="U2731" s="11"/>
      <c r="V2731" s="11"/>
      <c r="W2731" s="11"/>
      <c r="X2731" s="11"/>
      <c r="Y2731" s="11"/>
      <c r="Z2731" s="11"/>
      <c r="AA2731" s="11"/>
      <c r="AB2731" s="11"/>
      <c r="AC2731" s="11"/>
      <c r="AD2731" s="11"/>
      <c r="AE2731" s="11"/>
      <c r="AF2731" s="11"/>
      <c r="AG2731" s="11"/>
      <c r="AH2731" s="11"/>
      <c r="AI2731" s="11"/>
      <c r="AJ2731" s="11"/>
      <c r="AK2731" s="11"/>
      <c r="AL2731" s="11"/>
      <c r="AM2731" s="11"/>
      <c r="AN2731" s="11"/>
      <c r="AO2731" s="11"/>
      <c r="AP2731" s="11"/>
      <c r="AQ2731" s="11"/>
      <c r="AR2731" s="11"/>
      <c r="AS2731" s="11"/>
      <c r="AT2731" s="11"/>
      <c r="AU2731" s="11"/>
      <c r="AV2731" s="11"/>
      <c r="AW2731" s="11"/>
      <c r="AX2731" s="11"/>
      <c r="AY2731" s="11"/>
    </row>
    <row r="2732" spans="1:51" hidden="1" x14ac:dyDescent="0.2">
      <c r="A2732" s="6" t="s">
        <v>17</v>
      </c>
      <c r="B2732" t="s">
        <v>118</v>
      </c>
      <c r="C2732" t="s">
        <v>119</v>
      </c>
      <c r="D2732" t="s">
        <v>3376</v>
      </c>
      <c r="E2732" s="2">
        <v>21.48</v>
      </c>
      <c r="F2732" s="3">
        <f t="shared" si="238"/>
        <v>45964</v>
      </c>
      <c r="G2732" s="3">
        <f t="shared" si="238"/>
        <v>45964</v>
      </c>
      <c r="H2732">
        <v>3126963106</v>
      </c>
      <c r="I2732" t="s">
        <v>192</v>
      </c>
      <c r="K2732" t="s">
        <v>22</v>
      </c>
      <c r="L2732" t="s">
        <v>23</v>
      </c>
      <c r="M2732" t="s">
        <v>24</v>
      </c>
      <c r="N2732" t="s">
        <v>24</v>
      </c>
      <c r="O2732" t="s">
        <v>25</v>
      </c>
      <c r="P2732" s="8" t="s">
        <v>3377</v>
      </c>
      <c r="Q2732" s="11"/>
      <c r="R2732" s="11"/>
      <c r="S2732" s="11"/>
      <c r="T2732" s="11"/>
      <c r="U2732" s="11"/>
      <c r="V2732" s="11"/>
      <c r="W2732" s="11"/>
      <c r="X2732" s="11"/>
      <c r="Y2732" s="11"/>
      <c r="Z2732" s="11"/>
      <c r="AA2732" s="11"/>
      <c r="AB2732" s="11"/>
      <c r="AC2732" s="11"/>
      <c r="AD2732" s="11"/>
      <c r="AE2732" s="11"/>
      <c r="AF2732" s="11"/>
      <c r="AG2732" s="11"/>
      <c r="AH2732" s="11"/>
      <c r="AI2732" s="11"/>
      <c r="AJ2732" s="11"/>
      <c r="AK2732" s="11"/>
      <c r="AL2732" s="11"/>
      <c r="AM2732" s="11"/>
      <c r="AN2732" s="11"/>
      <c r="AO2732" s="11"/>
      <c r="AP2732" s="11"/>
      <c r="AQ2732" s="11"/>
      <c r="AR2732" s="11"/>
      <c r="AS2732" s="11"/>
      <c r="AT2732" s="11"/>
      <c r="AU2732" s="11"/>
      <c r="AV2732" s="11"/>
      <c r="AW2732" s="11"/>
      <c r="AX2732" s="11"/>
      <c r="AY2732" s="11"/>
    </row>
    <row r="2733" spans="1:51" hidden="1" x14ac:dyDescent="0.2">
      <c r="A2733" s="6" t="s">
        <v>17</v>
      </c>
      <c r="B2733" t="s">
        <v>589</v>
      </c>
      <c r="C2733" t="s">
        <v>590</v>
      </c>
      <c r="D2733" t="s">
        <v>3378</v>
      </c>
      <c r="E2733" s="2">
        <v>55.03</v>
      </c>
      <c r="F2733" s="3">
        <f t="shared" si="238"/>
        <v>45964</v>
      </c>
      <c r="G2733" s="3">
        <f t="shared" si="238"/>
        <v>45964</v>
      </c>
      <c r="H2733">
        <v>3126963107</v>
      </c>
      <c r="I2733" t="s">
        <v>192</v>
      </c>
      <c r="K2733" t="s">
        <v>22</v>
      </c>
      <c r="L2733" t="s">
        <v>23</v>
      </c>
      <c r="M2733" t="s">
        <v>24</v>
      </c>
      <c r="N2733" t="s">
        <v>24</v>
      </c>
      <c r="O2733" t="s">
        <v>25</v>
      </c>
      <c r="P2733" s="8" t="s">
        <v>3379</v>
      </c>
      <c r="Q2733" s="11"/>
      <c r="R2733" s="11"/>
      <c r="S2733" s="11"/>
      <c r="T2733" s="11"/>
      <c r="U2733" s="11"/>
      <c r="V2733" s="11"/>
      <c r="W2733" s="11"/>
      <c r="X2733" s="11"/>
      <c r="Y2733" s="11"/>
      <c r="Z2733" s="11"/>
      <c r="AA2733" s="11"/>
      <c r="AB2733" s="11"/>
      <c r="AC2733" s="11"/>
      <c r="AD2733" s="11"/>
      <c r="AE2733" s="11"/>
      <c r="AF2733" s="11"/>
      <c r="AG2733" s="11"/>
      <c r="AH2733" s="11"/>
      <c r="AI2733" s="11"/>
      <c r="AJ2733" s="11"/>
      <c r="AK2733" s="11"/>
      <c r="AL2733" s="11"/>
      <c r="AM2733" s="11"/>
      <c r="AN2733" s="11"/>
      <c r="AO2733" s="11"/>
      <c r="AP2733" s="11"/>
      <c r="AQ2733" s="11"/>
      <c r="AR2733" s="11"/>
      <c r="AS2733" s="11"/>
      <c r="AT2733" s="11"/>
      <c r="AU2733" s="11"/>
      <c r="AV2733" s="11"/>
      <c r="AW2733" s="11"/>
      <c r="AX2733" s="11"/>
      <c r="AY2733" s="11"/>
    </row>
    <row r="2734" spans="1:51" hidden="1" x14ac:dyDescent="0.2">
      <c r="A2734" s="6" t="s">
        <v>17</v>
      </c>
      <c r="B2734" t="s">
        <v>155</v>
      </c>
      <c r="C2734" t="s">
        <v>156</v>
      </c>
      <c r="D2734" t="s">
        <v>3380</v>
      </c>
      <c r="E2734" s="2">
        <v>89.54</v>
      </c>
      <c r="F2734" s="3">
        <f t="shared" si="238"/>
        <v>45964</v>
      </c>
      <c r="G2734" s="3">
        <f t="shared" si="238"/>
        <v>45964</v>
      </c>
      <c r="H2734">
        <v>3126963108</v>
      </c>
      <c r="I2734" t="s">
        <v>192</v>
      </c>
      <c r="K2734" t="s">
        <v>22</v>
      </c>
      <c r="L2734" t="s">
        <v>23</v>
      </c>
      <c r="M2734" t="s">
        <v>24</v>
      </c>
      <c r="N2734" t="s">
        <v>24</v>
      </c>
      <c r="O2734" t="s">
        <v>25</v>
      </c>
      <c r="P2734" s="8" t="s">
        <v>3381</v>
      </c>
      <c r="Q2734" s="11"/>
      <c r="R2734" s="11"/>
      <c r="S2734" s="11"/>
      <c r="T2734" s="11"/>
      <c r="U2734" s="11"/>
      <c r="V2734" s="11"/>
      <c r="W2734" s="11"/>
      <c r="X2734" s="11"/>
      <c r="Y2734" s="11"/>
      <c r="Z2734" s="11"/>
      <c r="AA2734" s="11"/>
      <c r="AB2734" s="11"/>
      <c r="AC2734" s="11"/>
      <c r="AD2734" s="11"/>
      <c r="AE2734" s="11"/>
      <c r="AF2734" s="11"/>
      <c r="AG2734" s="11"/>
      <c r="AH2734" s="11"/>
      <c r="AI2734" s="11"/>
      <c r="AJ2734" s="11"/>
      <c r="AK2734" s="11"/>
      <c r="AL2734" s="11"/>
      <c r="AM2734" s="11"/>
      <c r="AN2734" s="11"/>
      <c r="AO2734" s="11"/>
      <c r="AP2734" s="11"/>
      <c r="AQ2734" s="11"/>
      <c r="AR2734" s="11"/>
      <c r="AS2734" s="11"/>
      <c r="AT2734" s="11"/>
      <c r="AU2734" s="11"/>
      <c r="AV2734" s="11"/>
      <c r="AW2734" s="11"/>
      <c r="AX2734" s="11"/>
      <c r="AY2734" s="11"/>
    </row>
    <row r="2735" spans="1:51" hidden="1" x14ac:dyDescent="0.2">
      <c r="A2735" s="6"/>
      <c r="E2735" s="2"/>
      <c r="F2735" s="3"/>
      <c r="G2735" s="3"/>
      <c r="P2735" s="8"/>
      <c r="Q2735" s="11"/>
      <c r="R2735" s="11"/>
      <c r="S2735" s="11"/>
      <c r="T2735" s="11"/>
      <c r="U2735" s="11"/>
      <c r="V2735" s="11"/>
      <c r="W2735" s="11"/>
      <c r="X2735" s="11"/>
      <c r="Y2735" s="11"/>
      <c r="Z2735" s="11"/>
      <c r="AA2735" s="11"/>
      <c r="AB2735" s="11"/>
      <c r="AC2735" s="11"/>
      <c r="AD2735" s="11"/>
      <c r="AE2735" s="11"/>
      <c r="AF2735" s="11"/>
      <c r="AG2735" s="11"/>
      <c r="AH2735" s="11"/>
      <c r="AI2735" s="11"/>
      <c r="AJ2735" s="11"/>
      <c r="AK2735" s="11"/>
      <c r="AL2735" s="11"/>
      <c r="AM2735" s="11"/>
      <c r="AN2735" s="11"/>
      <c r="AO2735" s="11"/>
      <c r="AP2735" s="11"/>
      <c r="AQ2735" s="11"/>
      <c r="AR2735" s="11"/>
      <c r="AS2735" s="11"/>
      <c r="AT2735" s="11"/>
      <c r="AU2735" s="11"/>
      <c r="AV2735" s="11"/>
      <c r="AW2735" s="11"/>
      <c r="AX2735" s="11"/>
      <c r="AY2735" s="11"/>
    </row>
    <row r="2736" spans="1:51" hidden="1" x14ac:dyDescent="0.2">
      <c r="A2736" s="6"/>
      <c r="E2736" s="2"/>
      <c r="F2736" s="3"/>
      <c r="G2736" s="3"/>
      <c r="P2736" s="8"/>
      <c r="Q2736" s="11"/>
      <c r="R2736" s="11"/>
      <c r="S2736" s="11"/>
      <c r="T2736" s="11"/>
      <c r="U2736" s="11"/>
      <c r="V2736" s="11"/>
      <c r="W2736" s="11"/>
      <c r="X2736" s="11"/>
      <c r="Y2736" s="11"/>
      <c r="Z2736" s="11"/>
      <c r="AA2736" s="11"/>
      <c r="AB2736" s="11"/>
      <c r="AC2736" s="11"/>
      <c r="AD2736" s="11"/>
      <c r="AE2736" s="11"/>
      <c r="AF2736" s="11"/>
      <c r="AG2736" s="11"/>
      <c r="AH2736" s="11"/>
      <c r="AI2736" s="11"/>
      <c r="AJ2736" s="11"/>
      <c r="AK2736" s="11"/>
      <c r="AL2736" s="11"/>
      <c r="AM2736" s="11"/>
      <c r="AN2736" s="11"/>
      <c r="AO2736" s="11"/>
      <c r="AP2736" s="11"/>
      <c r="AQ2736" s="11"/>
      <c r="AR2736" s="11"/>
      <c r="AS2736" s="11"/>
      <c r="AT2736" s="11"/>
      <c r="AU2736" s="11"/>
      <c r="AV2736" s="11"/>
      <c r="AW2736" s="11"/>
      <c r="AX2736" s="11"/>
      <c r="AY2736" s="11"/>
    </row>
    <row r="2737" spans="1:51" hidden="1" x14ac:dyDescent="0.2">
      <c r="A2737" s="6" t="s">
        <v>17</v>
      </c>
      <c r="B2737" t="s">
        <v>46</v>
      </c>
      <c r="C2737" t="s">
        <v>47</v>
      </c>
      <c r="D2737" t="s">
        <v>3382</v>
      </c>
      <c r="E2737" s="2">
        <v>234</v>
      </c>
      <c r="F2737" s="3">
        <f t="shared" si="238"/>
        <v>45964</v>
      </c>
      <c r="G2737" s="3">
        <f t="shared" si="238"/>
        <v>45964</v>
      </c>
      <c r="H2737">
        <v>3135849594</v>
      </c>
      <c r="I2737" t="s">
        <v>21</v>
      </c>
      <c r="K2737" t="s">
        <v>22</v>
      </c>
      <c r="L2737" t="s">
        <v>23</v>
      </c>
      <c r="M2737" t="s">
        <v>24</v>
      </c>
      <c r="N2737" t="s">
        <v>24</v>
      </c>
      <c r="O2737" t="s">
        <v>25</v>
      </c>
      <c r="P2737" s="8" t="s">
        <v>3383</v>
      </c>
      <c r="Q2737" s="11"/>
      <c r="R2737" s="11"/>
      <c r="S2737" s="11"/>
      <c r="T2737" s="11"/>
      <c r="U2737" s="11"/>
      <c r="V2737" s="11"/>
      <c r="W2737" s="11"/>
      <c r="X2737" s="11"/>
      <c r="Y2737" s="11"/>
      <c r="Z2737" s="11"/>
      <c r="AA2737" s="11"/>
      <c r="AB2737" s="11"/>
      <c r="AC2737" s="11"/>
      <c r="AD2737" s="11"/>
      <c r="AE2737" s="11"/>
      <c r="AF2737" s="11"/>
      <c r="AG2737" s="11"/>
      <c r="AH2737" s="11"/>
      <c r="AI2737" s="11"/>
      <c r="AJ2737" s="11"/>
      <c r="AK2737" s="11"/>
      <c r="AL2737" s="11"/>
      <c r="AM2737" s="11"/>
      <c r="AN2737" s="11"/>
      <c r="AO2737" s="11"/>
      <c r="AP2737" s="11"/>
      <c r="AQ2737" s="11"/>
      <c r="AR2737" s="11"/>
      <c r="AS2737" s="11"/>
      <c r="AT2737" s="11"/>
      <c r="AU2737" s="11"/>
      <c r="AV2737" s="11"/>
      <c r="AW2737" s="11"/>
      <c r="AX2737" s="11"/>
      <c r="AY2737" s="11"/>
    </row>
    <row r="2738" spans="1:51" hidden="1" x14ac:dyDescent="0.2">
      <c r="A2738" s="6" t="s">
        <v>17</v>
      </c>
      <c r="B2738" t="s">
        <v>27</v>
      </c>
      <c r="C2738" t="s">
        <v>28</v>
      </c>
      <c r="D2738" t="s">
        <v>3384</v>
      </c>
      <c r="E2738" s="2">
        <v>3829.92</v>
      </c>
      <c r="F2738" s="3">
        <f>DATE(2025,11,4)</f>
        <v>45965</v>
      </c>
      <c r="G2738" s="3">
        <f>DATE(2025,11,4)</f>
        <v>45965</v>
      </c>
      <c r="H2738">
        <v>3135849595</v>
      </c>
      <c r="I2738" t="s">
        <v>21</v>
      </c>
      <c r="K2738" t="s">
        <v>22</v>
      </c>
      <c r="L2738" t="s">
        <v>23</v>
      </c>
      <c r="M2738" t="s">
        <v>24</v>
      </c>
      <c r="N2738" t="s">
        <v>24</v>
      </c>
      <c r="O2738" t="s">
        <v>25</v>
      </c>
      <c r="P2738" s="8" t="s">
        <v>3385</v>
      </c>
      <c r="Q2738" s="11"/>
      <c r="R2738" s="11"/>
      <c r="S2738" s="11"/>
      <c r="T2738" s="11"/>
      <c r="U2738" s="11"/>
      <c r="V2738" s="11"/>
      <c r="W2738" s="11"/>
      <c r="X2738" s="11"/>
      <c r="Y2738" s="11"/>
      <c r="Z2738" s="11"/>
      <c r="AA2738" s="11"/>
      <c r="AB2738" s="11"/>
      <c r="AC2738" s="11"/>
      <c r="AD2738" s="11"/>
      <c r="AE2738" s="11"/>
      <c r="AF2738" s="11"/>
      <c r="AG2738" s="11"/>
      <c r="AH2738" s="11"/>
      <c r="AI2738" s="11"/>
      <c r="AJ2738" s="11"/>
      <c r="AK2738" s="11"/>
      <c r="AL2738" s="11"/>
      <c r="AM2738" s="11"/>
      <c r="AN2738" s="11"/>
      <c r="AO2738" s="11"/>
      <c r="AP2738" s="11"/>
      <c r="AQ2738" s="11"/>
      <c r="AR2738" s="11"/>
      <c r="AS2738" s="11"/>
      <c r="AT2738" s="11"/>
      <c r="AU2738" s="11"/>
      <c r="AV2738" s="11"/>
      <c r="AW2738" s="11"/>
      <c r="AX2738" s="11"/>
      <c r="AY2738" s="11"/>
    </row>
    <row r="2739" spans="1:51" hidden="1" x14ac:dyDescent="0.2">
      <c r="A2739" s="6" t="s">
        <v>17</v>
      </c>
      <c r="B2739" t="s">
        <v>244</v>
      </c>
      <c r="C2739" t="s">
        <v>245</v>
      </c>
      <c r="D2739" t="s">
        <v>3386</v>
      </c>
      <c r="E2739" s="2">
        <v>2880</v>
      </c>
      <c r="F2739" s="3">
        <f>DATE(2025,11,3)</f>
        <v>45964</v>
      </c>
      <c r="G2739" s="3">
        <f>DATE(2025,11,3)</f>
        <v>45964</v>
      </c>
      <c r="H2739">
        <v>3135849596</v>
      </c>
      <c r="I2739" t="s">
        <v>21</v>
      </c>
      <c r="K2739" t="s">
        <v>22</v>
      </c>
      <c r="L2739" t="s">
        <v>23</v>
      </c>
      <c r="M2739" t="s">
        <v>24</v>
      </c>
      <c r="N2739" t="s">
        <v>24</v>
      </c>
      <c r="O2739" t="s">
        <v>25</v>
      </c>
      <c r="P2739" s="8" t="s">
        <v>3387</v>
      </c>
      <c r="Q2739" s="11"/>
      <c r="R2739" s="11"/>
      <c r="S2739" s="11"/>
      <c r="T2739" s="11"/>
      <c r="U2739" s="11"/>
      <c r="V2739" s="11"/>
      <c r="W2739" s="11"/>
      <c r="X2739" s="11"/>
      <c r="Y2739" s="11"/>
      <c r="Z2739" s="11"/>
      <c r="AA2739" s="11"/>
      <c r="AB2739" s="11"/>
      <c r="AC2739" s="11"/>
      <c r="AD2739" s="11"/>
      <c r="AE2739" s="11"/>
      <c r="AF2739" s="11"/>
      <c r="AG2739" s="11"/>
      <c r="AH2739" s="11"/>
      <c r="AI2739" s="11"/>
      <c r="AJ2739" s="11"/>
      <c r="AK2739" s="11"/>
      <c r="AL2739" s="11"/>
      <c r="AM2739" s="11"/>
      <c r="AN2739" s="11"/>
      <c r="AO2739" s="11"/>
      <c r="AP2739" s="11"/>
      <c r="AQ2739" s="11"/>
      <c r="AR2739" s="11"/>
      <c r="AS2739" s="11"/>
      <c r="AT2739" s="11"/>
      <c r="AU2739" s="11"/>
      <c r="AV2739" s="11"/>
      <c r="AW2739" s="11"/>
      <c r="AX2739" s="11"/>
      <c r="AY2739" s="11"/>
    </row>
    <row r="2740" spans="1:51" hidden="1" x14ac:dyDescent="0.2">
      <c r="A2740" s="6" t="s">
        <v>17</v>
      </c>
      <c r="B2740" t="s">
        <v>42</v>
      </c>
      <c r="C2740" t="s">
        <v>43</v>
      </c>
      <c r="D2740" t="s">
        <v>3388</v>
      </c>
      <c r="E2740" s="2">
        <v>89</v>
      </c>
      <c r="F2740" s="3">
        <f>DATE(2025,11,4)</f>
        <v>45965</v>
      </c>
      <c r="G2740" s="3">
        <f>DATE(2025,11,4)</f>
        <v>45965</v>
      </c>
      <c r="H2740">
        <v>3135849597</v>
      </c>
      <c r="I2740" t="s">
        <v>21</v>
      </c>
      <c r="K2740" t="s">
        <v>22</v>
      </c>
      <c r="L2740" t="s">
        <v>23</v>
      </c>
      <c r="M2740" t="s">
        <v>24</v>
      </c>
      <c r="N2740" t="s">
        <v>24</v>
      </c>
      <c r="O2740" t="s">
        <v>25</v>
      </c>
      <c r="P2740" s="8" t="s">
        <v>3389</v>
      </c>
      <c r="Q2740" s="11"/>
      <c r="R2740" s="11"/>
      <c r="S2740" s="11"/>
      <c r="T2740" s="11"/>
      <c r="U2740" s="11"/>
      <c r="V2740" s="11"/>
      <c r="W2740" s="11"/>
      <c r="X2740" s="11"/>
      <c r="Y2740" s="11"/>
      <c r="Z2740" s="11"/>
      <c r="AA2740" s="11"/>
      <c r="AB2740" s="11"/>
      <c r="AC2740" s="11"/>
      <c r="AD2740" s="11"/>
      <c r="AE2740" s="11"/>
      <c r="AF2740" s="11"/>
      <c r="AG2740" s="11"/>
      <c r="AH2740" s="11"/>
      <c r="AI2740" s="11"/>
      <c r="AJ2740" s="11"/>
      <c r="AK2740" s="11"/>
      <c r="AL2740" s="11"/>
      <c r="AM2740" s="11"/>
      <c r="AN2740" s="11"/>
      <c r="AO2740" s="11"/>
      <c r="AP2740" s="11"/>
      <c r="AQ2740" s="11"/>
      <c r="AR2740" s="11"/>
      <c r="AS2740" s="11"/>
      <c r="AT2740" s="11"/>
      <c r="AU2740" s="11"/>
      <c r="AV2740" s="11"/>
      <c r="AW2740" s="11"/>
      <c r="AX2740" s="11"/>
      <c r="AY2740" s="11"/>
    </row>
    <row r="2741" spans="1:51" hidden="1" x14ac:dyDescent="0.2">
      <c r="A2741" s="6"/>
      <c r="E2741" s="2"/>
      <c r="F2741" s="3"/>
      <c r="G2741" s="3"/>
      <c r="P2741" s="8"/>
      <c r="Q2741" s="11"/>
      <c r="R2741" s="11"/>
      <c r="S2741" s="11"/>
      <c r="T2741" s="11"/>
      <c r="U2741" s="11"/>
      <c r="V2741" s="11"/>
      <c r="W2741" s="11"/>
      <c r="X2741" s="11"/>
      <c r="Y2741" s="11"/>
      <c r="Z2741" s="11"/>
      <c r="AA2741" s="11"/>
      <c r="AB2741" s="11"/>
      <c r="AC2741" s="11"/>
      <c r="AD2741" s="11"/>
      <c r="AE2741" s="11"/>
      <c r="AF2741" s="11"/>
      <c r="AG2741" s="11"/>
      <c r="AH2741" s="11"/>
      <c r="AI2741" s="11"/>
      <c r="AJ2741" s="11"/>
      <c r="AK2741" s="11"/>
      <c r="AL2741" s="11"/>
      <c r="AM2741" s="11"/>
      <c r="AN2741" s="11"/>
      <c r="AO2741" s="11"/>
      <c r="AP2741" s="11"/>
      <c r="AQ2741" s="11"/>
      <c r="AR2741" s="11"/>
      <c r="AS2741" s="11"/>
      <c r="AT2741" s="11"/>
      <c r="AU2741" s="11"/>
      <c r="AV2741" s="11"/>
      <c r="AW2741" s="11"/>
      <c r="AX2741" s="11"/>
      <c r="AY2741" s="11"/>
    </row>
    <row r="2742" spans="1:51" hidden="1" x14ac:dyDescent="0.2">
      <c r="A2742" s="6"/>
      <c r="E2742" s="2"/>
      <c r="F2742" s="3"/>
      <c r="G2742" s="3"/>
      <c r="P2742" s="8"/>
      <c r="Q2742" s="11"/>
      <c r="R2742" s="11"/>
      <c r="S2742" s="11"/>
      <c r="T2742" s="11"/>
      <c r="U2742" s="11"/>
      <c r="V2742" s="11"/>
      <c r="W2742" s="11"/>
      <c r="X2742" s="11"/>
      <c r="Y2742" s="11"/>
      <c r="Z2742" s="11"/>
      <c r="AA2742" s="11"/>
      <c r="AB2742" s="11"/>
      <c r="AC2742" s="11"/>
      <c r="AD2742" s="11"/>
      <c r="AE2742" s="11"/>
      <c r="AF2742" s="11"/>
      <c r="AG2742" s="11"/>
      <c r="AH2742" s="11"/>
      <c r="AI2742" s="11"/>
      <c r="AJ2742" s="11"/>
      <c r="AK2742" s="11"/>
      <c r="AL2742" s="11"/>
      <c r="AM2742" s="11"/>
      <c r="AN2742" s="11"/>
      <c r="AO2742" s="11"/>
      <c r="AP2742" s="11"/>
      <c r="AQ2742" s="11"/>
      <c r="AR2742" s="11"/>
      <c r="AS2742" s="11"/>
      <c r="AT2742" s="11"/>
      <c r="AU2742" s="11"/>
      <c r="AV2742" s="11"/>
      <c r="AW2742" s="11"/>
      <c r="AX2742" s="11"/>
      <c r="AY2742" s="11"/>
    </row>
    <row r="2743" spans="1:51" hidden="1" x14ac:dyDescent="0.2">
      <c r="A2743" s="6" t="s">
        <v>17</v>
      </c>
      <c r="B2743" t="s">
        <v>244</v>
      </c>
      <c r="C2743" t="s">
        <v>245</v>
      </c>
      <c r="D2743" t="s">
        <v>3390</v>
      </c>
      <c r="E2743" s="2">
        <v>2679.9</v>
      </c>
      <c r="F2743" s="3">
        <f t="shared" ref="F2743:G2761" si="239">DATE(2025,11,3)</f>
        <v>45964</v>
      </c>
      <c r="G2743" s="3">
        <f t="shared" si="239"/>
        <v>45964</v>
      </c>
      <c r="H2743">
        <v>3135849600</v>
      </c>
      <c r="I2743" t="s">
        <v>21</v>
      </c>
      <c r="K2743" t="s">
        <v>22</v>
      </c>
      <c r="L2743" t="s">
        <v>23</v>
      </c>
      <c r="M2743" t="s">
        <v>24</v>
      </c>
      <c r="N2743" t="s">
        <v>24</v>
      </c>
      <c r="O2743" t="s">
        <v>25</v>
      </c>
      <c r="P2743" s="8" t="s">
        <v>3391</v>
      </c>
      <c r="Q2743" s="11"/>
      <c r="R2743" s="11"/>
      <c r="S2743" s="11"/>
      <c r="T2743" s="11"/>
      <c r="U2743" s="11"/>
      <c r="V2743" s="11"/>
      <c r="W2743" s="11"/>
      <c r="X2743" s="11"/>
      <c r="Y2743" s="11"/>
      <c r="Z2743" s="11"/>
      <c r="AA2743" s="11"/>
      <c r="AB2743" s="11"/>
      <c r="AC2743" s="11"/>
      <c r="AD2743" s="11"/>
      <c r="AE2743" s="11"/>
      <c r="AF2743" s="11"/>
      <c r="AG2743" s="11"/>
      <c r="AH2743" s="11"/>
      <c r="AI2743" s="11"/>
      <c r="AJ2743" s="11"/>
      <c r="AK2743" s="11"/>
      <c r="AL2743" s="11"/>
      <c r="AM2743" s="11"/>
      <c r="AN2743" s="11"/>
      <c r="AO2743" s="11"/>
      <c r="AP2743" s="11"/>
      <c r="AQ2743" s="11"/>
      <c r="AR2743" s="11"/>
      <c r="AS2743" s="11"/>
      <c r="AT2743" s="11"/>
      <c r="AU2743" s="11"/>
      <c r="AV2743" s="11"/>
      <c r="AW2743" s="11"/>
      <c r="AX2743" s="11"/>
      <c r="AY2743" s="11"/>
    </row>
    <row r="2744" spans="1:51" hidden="1" x14ac:dyDescent="0.2">
      <c r="A2744" s="6" t="s">
        <v>17</v>
      </c>
      <c r="B2744" t="s">
        <v>18</v>
      </c>
      <c r="C2744" t="s">
        <v>19</v>
      </c>
      <c r="D2744" t="s">
        <v>3392</v>
      </c>
      <c r="E2744" s="2">
        <v>454.68</v>
      </c>
      <c r="F2744" s="3">
        <f t="shared" si="239"/>
        <v>45964</v>
      </c>
      <c r="G2744" s="3">
        <f t="shared" si="239"/>
        <v>45964</v>
      </c>
      <c r="H2744">
        <v>3135849601</v>
      </c>
      <c r="I2744" t="s">
        <v>21</v>
      </c>
      <c r="K2744" t="s">
        <v>22</v>
      </c>
      <c r="L2744" t="s">
        <v>23</v>
      </c>
      <c r="M2744" t="s">
        <v>24</v>
      </c>
      <c r="N2744" t="s">
        <v>24</v>
      </c>
      <c r="O2744" t="s">
        <v>25</v>
      </c>
      <c r="P2744" s="8" t="s">
        <v>3393</v>
      </c>
      <c r="Q2744" s="11"/>
      <c r="R2744" s="11"/>
      <c r="S2744" s="11"/>
      <c r="T2744" s="11"/>
      <c r="U2744" s="11"/>
      <c r="V2744" s="11"/>
      <c r="W2744" s="11"/>
      <c r="X2744" s="11"/>
      <c r="Y2744" s="11"/>
      <c r="Z2744" s="11"/>
      <c r="AA2744" s="11"/>
      <c r="AB2744" s="11"/>
      <c r="AC2744" s="11"/>
      <c r="AD2744" s="11"/>
      <c r="AE2744" s="11"/>
      <c r="AF2744" s="11"/>
      <c r="AG2744" s="11"/>
      <c r="AH2744" s="11"/>
      <c r="AI2744" s="11"/>
      <c r="AJ2744" s="11"/>
      <c r="AK2744" s="11"/>
      <c r="AL2744" s="11"/>
      <c r="AM2744" s="11"/>
      <c r="AN2744" s="11"/>
      <c r="AO2744" s="11"/>
      <c r="AP2744" s="11"/>
      <c r="AQ2744" s="11"/>
      <c r="AR2744" s="11"/>
      <c r="AS2744" s="11"/>
      <c r="AT2744" s="11"/>
      <c r="AU2744" s="11"/>
      <c r="AV2744" s="11"/>
      <c r="AW2744" s="11"/>
      <c r="AX2744" s="11"/>
      <c r="AY2744" s="11"/>
    </row>
    <row r="2745" spans="1:51" hidden="1" x14ac:dyDescent="0.2">
      <c r="A2745" s="6"/>
      <c r="E2745" s="2"/>
      <c r="F2745" s="3"/>
      <c r="G2745" s="3"/>
      <c r="P2745" s="8"/>
      <c r="Q2745" s="11"/>
      <c r="R2745" s="11"/>
      <c r="S2745" s="11"/>
      <c r="T2745" s="11"/>
      <c r="U2745" s="11"/>
      <c r="V2745" s="11"/>
      <c r="W2745" s="11"/>
      <c r="X2745" s="11"/>
      <c r="Y2745" s="11"/>
      <c r="Z2745" s="11"/>
      <c r="AA2745" s="11"/>
      <c r="AB2745" s="11"/>
      <c r="AC2745" s="11"/>
      <c r="AD2745" s="11"/>
      <c r="AE2745" s="11"/>
      <c r="AF2745" s="11"/>
      <c r="AG2745" s="11"/>
      <c r="AH2745" s="11"/>
      <c r="AI2745" s="11"/>
      <c r="AJ2745" s="11"/>
      <c r="AK2745" s="11"/>
      <c r="AL2745" s="11"/>
      <c r="AM2745" s="11"/>
      <c r="AN2745" s="11"/>
      <c r="AO2745" s="11"/>
      <c r="AP2745" s="11"/>
      <c r="AQ2745" s="11"/>
      <c r="AR2745" s="11"/>
      <c r="AS2745" s="11"/>
      <c r="AT2745" s="11"/>
      <c r="AU2745" s="11"/>
      <c r="AV2745" s="11"/>
      <c r="AW2745" s="11"/>
      <c r="AX2745" s="11"/>
      <c r="AY2745" s="11"/>
    </row>
    <row r="2746" spans="1:51" hidden="1" x14ac:dyDescent="0.2">
      <c r="A2746" s="6" t="s">
        <v>17</v>
      </c>
      <c r="B2746" t="s">
        <v>825</v>
      </c>
      <c r="C2746" t="s">
        <v>826</v>
      </c>
      <c r="D2746" t="s">
        <v>3394</v>
      </c>
      <c r="E2746" s="2">
        <v>222.49</v>
      </c>
      <c r="F2746" s="3">
        <f t="shared" si="239"/>
        <v>45964</v>
      </c>
      <c r="G2746" s="3">
        <f t="shared" si="239"/>
        <v>45964</v>
      </c>
      <c r="H2746">
        <v>3135849603</v>
      </c>
      <c r="I2746" t="s">
        <v>21</v>
      </c>
      <c r="K2746" t="s">
        <v>22</v>
      </c>
      <c r="L2746" t="s">
        <v>23</v>
      </c>
      <c r="M2746" t="s">
        <v>24</v>
      </c>
      <c r="N2746" t="s">
        <v>24</v>
      </c>
      <c r="O2746" t="s">
        <v>25</v>
      </c>
      <c r="P2746" s="8" t="s">
        <v>3395</v>
      </c>
      <c r="Q2746" s="11"/>
      <c r="R2746" s="11"/>
      <c r="S2746" s="11"/>
      <c r="T2746" s="11"/>
      <c r="U2746" s="11"/>
      <c r="V2746" s="11"/>
      <c r="W2746" s="11"/>
      <c r="X2746" s="11"/>
      <c r="Y2746" s="11"/>
      <c r="Z2746" s="11"/>
      <c r="AA2746" s="11"/>
      <c r="AB2746" s="11"/>
      <c r="AC2746" s="11"/>
      <c r="AD2746" s="11"/>
      <c r="AE2746" s="11"/>
      <c r="AF2746" s="11"/>
      <c r="AG2746" s="11"/>
      <c r="AH2746" s="11"/>
      <c r="AI2746" s="11"/>
      <c r="AJ2746" s="11"/>
      <c r="AK2746" s="11"/>
      <c r="AL2746" s="11"/>
      <c r="AM2746" s="11"/>
      <c r="AN2746" s="11"/>
      <c r="AO2746" s="11"/>
      <c r="AP2746" s="11"/>
      <c r="AQ2746" s="11"/>
      <c r="AR2746" s="11"/>
      <c r="AS2746" s="11"/>
      <c r="AT2746" s="11"/>
      <c r="AU2746" s="11"/>
      <c r="AV2746" s="11"/>
      <c r="AW2746" s="11"/>
      <c r="AX2746" s="11"/>
      <c r="AY2746" s="11"/>
    </row>
    <row r="2747" spans="1:51" hidden="1" x14ac:dyDescent="0.2">
      <c r="A2747" s="6" t="s">
        <v>17</v>
      </c>
      <c r="B2747" t="s">
        <v>244</v>
      </c>
      <c r="C2747" t="s">
        <v>245</v>
      </c>
      <c r="D2747" t="s">
        <v>3396</v>
      </c>
      <c r="E2747" s="2">
        <v>2730</v>
      </c>
      <c r="F2747" s="3">
        <f t="shared" si="239"/>
        <v>45964</v>
      </c>
      <c r="G2747" s="3">
        <f t="shared" si="239"/>
        <v>45964</v>
      </c>
      <c r="H2747">
        <v>3135849604</v>
      </c>
      <c r="I2747" t="s">
        <v>21</v>
      </c>
      <c r="K2747" t="s">
        <v>22</v>
      </c>
      <c r="L2747" t="s">
        <v>23</v>
      </c>
      <c r="M2747" t="s">
        <v>24</v>
      </c>
      <c r="N2747" t="s">
        <v>24</v>
      </c>
      <c r="O2747" t="s">
        <v>25</v>
      </c>
      <c r="P2747" s="8" t="s">
        <v>3397</v>
      </c>
      <c r="Q2747" s="11"/>
      <c r="R2747" s="11"/>
      <c r="S2747" s="11"/>
      <c r="T2747" s="11"/>
      <c r="U2747" s="11"/>
      <c r="V2747" s="11"/>
      <c r="W2747" s="11"/>
      <c r="X2747" s="11"/>
      <c r="Y2747" s="11"/>
      <c r="Z2747" s="11"/>
      <c r="AA2747" s="11"/>
      <c r="AB2747" s="11"/>
      <c r="AC2747" s="11"/>
      <c r="AD2747" s="11"/>
      <c r="AE2747" s="11"/>
      <c r="AF2747" s="11"/>
      <c r="AG2747" s="11"/>
      <c r="AH2747" s="11"/>
      <c r="AI2747" s="11"/>
      <c r="AJ2747" s="11"/>
      <c r="AK2747" s="11"/>
      <c r="AL2747" s="11"/>
      <c r="AM2747" s="11"/>
      <c r="AN2747" s="11"/>
      <c r="AO2747" s="11"/>
      <c r="AP2747" s="11"/>
      <c r="AQ2747" s="11"/>
      <c r="AR2747" s="11"/>
      <c r="AS2747" s="11"/>
      <c r="AT2747" s="11"/>
      <c r="AU2747" s="11"/>
      <c r="AV2747" s="11"/>
      <c r="AW2747" s="11"/>
      <c r="AX2747" s="11"/>
      <c r="AY2747" s="11"/>
    </row>
    <row r="2748" spans="1:51" hidden="1" x14ac:dyDescent="0.2">
      <c r="A2748" s="6" t="s">
        <v>17</v>
      </c>
      <c r="B2748" t="s">
        <v>42</v>
      </c>
      <c r="C2748" t="s">
        <v>43</v>
      </c>
      <c r="D2748" t="s">
        <v>3398</v>
      </c>
      <c r="E2748" s="2">
        <v>133.30000000000001</v>
      </c>
      <c r="F2748" s="3">
        <f t="shared" si="239"/>
        <v>45964</v>
      </c>
      <c r="G2748" s="3">
        <f t="shared" si="239"/>
        <v>45964</v>
      </c>
      <c r="H2748">
        <v>3135849605</v>
      </c>
      <c r="I2748" t="s">
        <v>21</v>
      </c>
      <c r="K2748" t="s">
        <v>22</v>
      </c>
      <c r="L2748" t="s">
        <v>23</v>
      </c>
      <c r="M2748" t="s">
        <v>24</v>
      </c>
      <c r="N2748" t="s">
        <v>24</v>
      </c>
      <c r="O2748" t="s">
        <v>25</v>
      </c>
      <c r="P2748" s="8" t="s">
        <v>3399</v>
      </c>
      <c r="Q2748" s="11"/>
      <c r="R2748" s="11"/>
      <c r="S2748" s="11"/>
      <c r="T2748" s="11"/>
      <c r="U2748" s="11"/>
      <c r="V2748" s="11"/>
      <c r="W2748" s="11"/>
      <c r="X2748" s="11"/>
      <c r="Y2748" s="11"/>
      <c r="Z2748" s="11"/>
      <c r="AA2748" s="11"/>
      <c r="AB2748" s="11"/>
      <c r="AC2748" s="11"/>
      <c r="AD2748" s="11"/>
      <c r="AE2748" s="11"/>
      <c r="AF2748" s="11"/>
      <c r="AG2748" s="11"/>
      <c r="AH2748" s="11"/>
      <c r="AI2748" s="11"/>
      <c r="AJ2748" s="11"/>
      <c r="AK2748" s="11"/>
      <c r="AL2748" s="11"/>
      <c r="AM2748" s="11"/>
      <c r="AN2748" s="11"/>
      <c r="AO2748" s="11"/>
      <c r="AP2748" s="11"/>
      <c r="AQ2748" s="11"/>
      <c r="AR2748" s="11"/>
      <c r="AS2748" s="11"/>
      <c r="AT2748" s="11"/>
      <c r="AU2748" s="11"/>
      <c r="AV2748" s="11"/>
      <c r="AW2748" s="11"/>
      <c r="AX2748" s="11"/>
      <c r="AY2748" s="11"/>
    </row>
    <row r="2749" spans="1:51" hidden="1" x14ac:dyDescent="0.2">
      <c r="A2749" s="6" t="s">
        <v>17</v>
      </c>
      <c r="B2749" t="s">
        <v>244</v>
      </c>
      <c r="C2749" t="s">
        <v>245</v>
      </c>
      <c r="D2749" t="s">
        <v>3400</v>
      </c>
      <c r="E2749" s="2">
        <v>68</v>
      </c>
      <c r="F2749" s="3">
        <f t="shared" si="239"/>
        <v>45964</v>
      </c>
      <c r="G2749" s="3">
        <f t="shared" si="239"/>
        <v>45964</v>
      </c>
      <c r="H2749">
        <v>3135849606</v>
      </c>
      <c r="I2749" t="s">
        <v>21</v>
      </c>
      <c r="K2749" t="s">
        <v>22</v>
      </c>
      <c r="L2749" t="s">
        <v>23</v>
      </c>
      <c r="M2749" t="s">
        <v>24</v>
      </c>
      <c r="N2749" t="s">
        <v>24</v>
      </c>
      <c r="O2749" t="s">
        <v>25</v>
      </c>
      <c r="P2749" s="8" t="s">
        <v>3401</v>
      </c>
      <c r="Q2749" s="11"/>
      <c r="R2749" s="11"/>
      <c r="S2749" s="11"/>
      <c r="T2749" s="11"/>
      <c r="U2749" s="11"/>
      <c r="V2749" s="11"/>
      <c r="W2749" s="11"/>
      <c r="X2749" s="11"/>
      <c r="Y2749" s="11"/>
      <c r="Z2749" s="11"/>
      <c r="AA2749" s="11"/>
      <c r="AB2749" s="11"/>
      <c r="AC2749" s="11"/>
      <c r="AD2749" s="11"/>
      <c r="AE2749" s="11"/>
      <c r="AF2749" s="11"/>
      <c r="AG2749" s="11"/>
      <c r="AH2749" s="11"/>
      <c r="AI2749" s="11"/>
      <c r="AJ2749" s="11"/>
      <c r="AK2749" s="11"/>
      <c r="AL2749" s="11"/>
      <c r="AM2749" s="11"/>
      <c r="AN2749" s="11"/>
      <c r="AO2749" s="11"/>
      <c r="AP2749" s="11"/>
      <c r="AQ2749" s="11"/>
      <c r="AR2749" s="11"/>
      <c r="AS2749" s="11"/>
      <c r="AT2749" s="11"/>
      <c r="AU2749" s="11"/>
      <c r="AV2749" s="11"/>
      <c r="AW2749" s="11"/>
      <c r="AX2749" s="11"/>
      <c r="AY2749" s="11"/>
    </row>
    <row r="2750" spans="1:51" hidden="1" x14ac:dyDescent="0.2">
      <c r="A2750" s="6" t="s">
        <v>17</v>
      </c>
      <c r="B2750" t="s">
        <v>54</v>
      </c>
      <c r="C2750" t="s">
        <v>55</v>
      </c>
      <c r="D2750" t="s">
        <v>3402</v>
      </c>
      <c r="E2750" s="2">
        <v>2134</v>
      </c>
      <c r="F2750" s="3">
        <f t="shared" si="239"/>
        <v>45964</v>
      </c>
      <c r="G2750" s="3">
        <f t="shared" si="239"/>
        <v>45964</v>
      </c>
      <c r="H2750">
        <v>3135849607</v>
      </c>
      <c r="I2750" t="s">
        <v>21</v>
      </c>
      <c r="K2750" t="s">
        <v>22</v>
      </c>
      <c r="L2750" t="s">
        <v>23</v>
      </c>
      <c r="M2750" t="s">
        <v>24</v>
      </c>
      <c r="N2750" t="s">
        <v>24</v>
      </c>
      <c r="O2750" t="s">
        <v>25</v>
      </c>
      <c r="P2750" s="8" t="s">
        <v>3403</v>
      </c>
      <c r="Q2750" s="11"/>
      <c r="R2750" s="11"/>
      <c r="S2750" s="11"/>
      <c r="T2750" s="11"/>
      <c r="U2750" s="11"/>
      <c r="V2750" s="11"/>
      <c r="W2750" s="11"/>
      <c r="X2750" s="11"/>
      <c r="Y2750" s="11"/>
      <c r="Z2750" s="11"/>
      <c r="AA2750" s="11"/>
      <c r="AB2750" s="11"/>
      <c r="AC2750" s="11"/>
      <c r="AD2750" s="11"/>
      <c r="AE2750" s="11"/>
      <c r="AF2750" s="11"/>
      <c r="AG2750" s="11"/>
      <c r="AH2750" s="11"/>
      <c r="AI2750" s="11"/>
      <c r="AJ2750" s="11"/>
      <c r="AK2750" s="11"/>
      <c r="AL2750" s="11"/>
      <c r="AM2750" s="11"/>
      <c r="AN2750" s="11"/>
      <c r="AO2750" s="11"/>
      <c r="AP2750" s="11"/>
      <c r="AQ2750" s="11"/>
      <c r="AR2750" s="11"/>
      <c r="AS2750" s="11"/>
      <c r="AT2750" s="11"/>
      <c r="AU2750" s="11"/>
      <c r="AV2750" s="11"/>
      <c r="AW2750" s="11"/>
      <c r="AX2750" s="11"/>
      <c r="AY2750" s="11"/>
    </row>
    <row r="2751" spans="1:51" hidden="1" x14ac:dyDescent="0.2">
      <c r="A2751" s="6" t="s">
        <v>17</v>
      </c>
      <c r="B2751" t="s">
        <v>155</v>
      </c>
      <c r="C2751" t="s">
        <v>156</v>
      </c>
      <c r="D2751" t="s">
        <v>3404</v>
      </c>
      <c r="E2751" s="2">
        <v>8808.83</v>
      </c>
      <c r="F2751" s="3">
        <f t="shared" si="239"/>
        <v>45964</v>
      </c>
      <c r="G2751" s="3">
        <f t="shared" si="239"/>
        <v>45964</v>
      </c>
      <c r="H2751">
        <v>3135849608</v>
      </c>
      <c r="I2751" t="s">
        <v>21</v>
      </c>
      <c r="K2751" t="s">
        <v>22</v>
      </c>
      <c r="L2751" t="s">
        <v>23</v>
      </c>
      <c r="M2751" t="s">
        <v>24</v>
      </c>
      <c r="N2751" t="s">
        <v>24</v>
      </c>
      <c r="O2751" t="s">
        <v>25</v>
      </c>
      <c r="P2751" s="8" t="s">
        <v>3405</v>
      </c>
      <c r="Q2751" s="11"/>
      <c r="R2751" s="11"/>
      <c r="S2751" s="11"/>
      <c r="T2751" s="11"/>
      <c r="U2751" s="11"/>
      <c r="V2751" s="11"/>
      <c r="W2751" s="11"/>
      <c r="X2751" s="11"/>
      <c r="Y2751" s="11"/>
      <c r="Z2751" s="11"/>
      <c r="AA2751" s="11"/>
      <c r="AB2751" s="11"/>
      <c r="AC2751" s="11"/>
      <c r="AD2751" s="11"/>
      <c r="AE2751" s="11"/>
      <c r="AF2751" s="11"/>
      <c r="AG2751" s="11"/>
      <c r="AH2751" s="11"/>
      <c r="AI2751" s="11"/>
      <c r="AJ2751" s="11"/>
      <c r="AK2751" s="11"/>
      <c r="AL2751" s="11"/>
      <c r="AM2751" s="11"/>
      <c r="AN2751" s="11"/>
      <c r="AO2751" s="11"/>
      <c r="AP2751" s="11"/>
      <c r="AQ2751" s="11"/>
      <c r="AR2751" s="11"/>
      <c r="AS2751" s="11"/>
      <c r="AT2751" s="11"/>
      <c r="AU2751" s="11"/>
      <c r="AV2751" s="11"/>
      <c r="AW2751" s="11"/>
      <c r="AX2751" s="11"/>
      <c r="AY2751" s="11"/>
    </row>
    <row r="2752" spans="1:51" hidden="1" x14ac:dyDescent="0.2">
      <c r="A2752" s="6"/>
      <c r="E2752" s="2"/>
      <c r="F2752" s="3"/>
      <c r="G2752" s="3"/>
      <c r="P2752" s="8"/>
      <c r="Q2752" s="11"/>
      <c r="R2752" s="11"/>
      <c r="S2752" s="11"/>
      <c r="T2752" s="11"/>
      <c r="U2752" s="11"/>
      <c r="V2752" s="11"/>
      <c r="W2752" s="11"/>
      <c r="X2752" s="11"/>
      <c r="Y2752" s="11"/>
      <c r="Z2752" s="11"/>
      <c r="AA2752" s="11"/>
      <c r="AB2752" s="11"/>
      <c r="AC2752" s="11"/>
      <c r="AD2752" s="11"/>
      <c r="AE2752" s="11"/>
      <c r="AF2752" s="11"/>
      <c r="AG2752" s="11"/>
      <c r="AH2752" s="11"/>
      <c r="AI2752" s="11"/>
      <c r="AJ2752" s="11"/>
      <c r="AK2752" s="11"/>
      <c r="AL2752" s="11"/>
      <c r="AM2752" s="11"/>
      <c r="AN2752" s="11"/>
      <c r="AO2752" s="11"/>
      <c r="AP2752" s="11"/>
      <c r="AQ2752" s="11"/>
      <c r="AR2752" s="11"/>
      <c r="AS2752" s="11"/>
      <c r="AT2752" s="11"/>
      <c r="AU2752" s="11"/>
      <c r="AV2752" s="11"/>
      <c r="AW2752" s="11"/>
      <c r="AX2752" s="11"/>
      <c r="AY2752" s="11"/>
    </row>
    <row r="2753" spans="1:51" hidden="1" x14ac:dyDescent="0.2">
      <c r="A2753" s="6" t="s">
        <v>17</v>
      </c>
      <c r="B2753" t="s">
        <v>18</v>
      </c>
      <c r="C2753" t="s">
        <v>19</v>
      </c>
      <c r="D2753" t="s">
        <v>3406</v>
      </c>
      <c r="E2753" s="2">
        <v>1.29</v>
      </c>
      <c r="F2753" s="3">
        <f t="shared" si="239"/>
        <v>45964</v>
      </c>
      <c r="G2753" s="3">
        <f t="shared" si="239"/>
        <v>45964</v>
      </c>
      <c r="H2753">
        <v>3135860726</v>
      </c>
      <c r="I2753" t="s">
        <v>192</v>
      </c>
      <c r="K2753" t="s">
        <v>22</v>
      </c>
      <c r="L2753" t="s">
        <v>23</v>
      </c>
      <c r="M2753" t="s">
        <v>24</v>
      </c>
      <c r="N2753" t="s">
        <v>24</v>
      </c>
      <c r="O2753" t="s">
        <v>25</v>
      </c>
      <c r="P2753" s="8" t="s">
        <v>3407</v>
      </c>
      <c r="Q2753" s="11"/>
      <c r="R2753" s="11"/>
      <c r="S2753" s="11"/>
      <c r="T2753" s="11"/>
      <c r="U2753" s="11"/>
      <c r="V2753" s="11"/>
      <c r="W2753" s="11"/>
      <c r="X2753" s="11"/>
      <c r="Y2753" s="11"/>
      <c r="Z2753" s="11"/>
      <c r="AA2753" s="11"/>
      <c r="AB2753" s="11"/>
      <c r="AC2753" s="11"/>
      <c r="AD2753" s="11"/>
      <c r="AE2753" s="11"/>
      <c r="AF2753" s="11"/>
      <c r="AG2753" s="11"/>
      <c r="AH2753" s="11"/>
      <c r="AI2753" s="11"/>
      <c r="AJ2753" s="11"/>
      <c r="AK2753" s="11"/>
      <c r="AL2753" s="11"/>
      <c r="AM2753" s="11"/>
      <c r="AN2753" s="11"/>
      <c r="AO2753" s="11"/>
      <c r="AP2753" s="11"/>
      <c r="AQ2753" s="11"/>
      <c r="AR2753" s="11"/>
      <c r="AS2753" s="11"/>
      <c r="AT2753" s="11"/>
      <c r="AU2753" s="11"/>
      <c r="AV2753" s="11"/>
      <c r="AW2753" s="11"/>
      <c r="AX2753" s="11"/>
      <c r="AY2753" s="11"/>
    </row>
    <row r="2754" spans="1:51" hidden="1" x14ac:dyDescent="0.2">
      <c r="A2754" s="6"/>
      <c r="E2754" s="2"/>
      <c r="F2754" s="3"/>
      <c r="G2754" s="3"/>
      <c r="P2754" s="8"/>
      <c r="Q2754" s="11"/>
      <c r="R2754" s="11"/>
      <c r="S2754" s="11"/>
      <c r="T2754" s="11"/>
      <c r="U2754" s="11"/>
      <c r="V2754" s="11"/>
      <c r="W2754" s="11"/>
      <c r="X2754" s="11"/>
      <c r="Y2754" s="11"/>
      <c r="Z2754" s="11"/>
      <c r="AA2754" s="11"/>
      <c r="AB2754" s="11"/>
      <c r="AC2754" s="11"/>
      <c r="AD2754" s="11"/>
      <c r="AE2754" s="11"/>
      <c r="AF2754" s="11"/>
      <c r="AG2754" s="11"/>
      <c r="AH2754" s="11"/>
      <c r="AI2754" s="11"/>
      <c r="AJ2754" s="11"/>
      <c r="AK2754" s="11"/>
      <c r="AL2754" s="11"/>
      <c r="AM2754" s="11"/>
      <c r="AN2754" s="11"/>
      <c r="AO2754" s="11"/>
      <c r="AP2754" s="11"/>
      <c r="AQ2754" s="11"/>
      <c r="AR2754" s="11"/>
      <c r="AS2754" s="11"/>
      <c r="AT2754" s="11"/>
      <c r="AU2754" s="11"/>
      <c r="AV2754" s="11"/>
      <c r="AW2754" s="11"/>
      <c r="AX2754" s="11"/>
      <c r="AY2754" s="11"/>
    </row>
    <row r="2755" spans="1:51" hidden="1" x14ac:dyDescent="0.2">
      <c r="A2755" s="6"/>
      <c r="E2755" s="2"/>
      <c r="F2755" s="3"/>
      <c r="G2755" s="3"/>
      <c r="P2755" s="8"/>
      <c r="Q2755" s="11"/>
      <c r="R2755" s="11"/>
      <c r="S2755" s="11"/>
      <c r="T2755" s="11"/>
      <c r="U2755" s="11"/>
      <c r="V2755" s="11"/>
      <c r="W2755" s="11"/>
      <c r="X2755" s="11"/>
      <c r="Y2755" s="11"/>
      <c r="Z2755" s="11"/>
      <c r="AA2755" s="11"/>
      <c r="AB2755" s="11"/>
      <c r="AC2755" s="11"/>
      <c r="AD2755" s="11"/>
      <c r="AE2755" s="11"/>
      <c r="AF2755" s="11"/>
      <c r="AG2755" s="11"/>
      <c r="AH2755" s="11"/>
      <c r="AI2755" s="11"/>
      <c r="AJ2755" s="11"/>
      <c r="AK2755" s="11"/>
      <c r="AL2755" s="11"/>
      <c r="AM2755" s="11"/>
      <c r="AN2755" s="11"/>
      <c r="AO2755" s="11"/>
      <c r="AP2755" s="11"/>
      <c r="AQ2755" s="11"/>
      <c r="AR2755" s="11"/>
      <c r="AS2755" s="11"/>
      <c r="AT2755" s="11"/>
      <c r="AU2755" s="11"/>
      <c r="AV2755" s="11"/>
      <c r="AW2755" s="11"/>
      <c r="AX2755" s="11"/>
      <c r="AY2755" s="11"/>
    </row>
    <row r="2756" spans="1:51" x14ac:dyDescent="0.2">
      <c r="A2756" s="6" t="s">
        <v>17</v>
      </c>
      <c r="B2756" t="s">
        <v>342</v>
      </c>
      <c r="C2756" t="s">
        <v>342</v>
      </c>
      <c r="D2756" t="s">
        <v>3408</v>
      </c>
      <c r="E2756" s="2">
        <v>6.36</v>
      </c>
      <c r="F2756" s="3">
        <f t="shared" si="239"/>
        <v>45964</v>
      </c>
      <c r="G2756" s="3">
        <f t="shared" si="239"/>
        <v>45964</v>
      </c>
      <c r="H2756">
        <v>3135860729</v>
      </c>
      <c r="I2756" t="s">
        <v>192</v>
      </c>
      <c r="K2756" t="s">
        <v>22</v>
      </c>
      <c r="L2756" t="s">
        <v>23</v>
      </c>
      <c r="M2756" t="s">
        <v>24</v>
      </c>
      <c r="N2756" t="s">
        <v>24</v>
      </c>
      <c r="O2756" t="s">
        <v>25</v>
      </c>
      <c r="P2756" s="8" t="s">
        <v>3409</v>
      </c>
      <c r="Q2756" s="11"/>
      <c r="R2756" s="11"/>
      <c r="S2756" s="11"/>
      <c r="T2756" s="11"/>
      <c r="U2756" s="11"/>
      <c r="V2756" s="11"/>
      <c r="W2756" s="11"/>
      <c r="X2756" s="11"/>
      <c r="Y2756" s="11"/>
      <c r="Z2756" s="11"/>
      <c r="AA2756" s="11"/>
      <c r="AB2756" s="11"/>
      <c r="AC2756" s="11"/>
      <c r="AD2756" s="11"/>
      <c r="AE2756" s="11"/>
      <c r="AF2756" s="11"/>
      <c r="AG2756" s="11"/>
      <c r="AH2756" s="11"/>
      <c r="AI2756" s="11"/>
      <c r="AJ2756" s="11"/>
      <c r="AK2756" s="11"/>
      <c r="AL2756" s="11"/>
      <c r="AM2756" s="11"/>
      <c r="AN2756" s="11"/>
      <c r="AO2756" s="11"/>
      <c r="AP2756" s="11"/>
      <c r="AQ2756" s="11"/>
      <c r="AR2756" s="11"/>
      <c r="AS2756" s="11"/>
      <c r="AT2756" s="11"/>
      <c r="AU2756" s="11"/>
      <c r="AV2756" s="11"/>
      <c r="AW2756" s="11"/>
      <c r="AX2756" s="11"/>
      <c r="AY2756" s="11"/>
    </row>
    <row r="2757" spans="1:51" hidden="1" x14ac:dyDescent="0.2">
      <c r="A2757" s="6"/>
      <c r="E2757" s="2"/>
      <c r="F2757" s="3"/>
      <c r="G2757" s="3"/>
      <c r="P2757" s="8"/>
      <c r="Q2757" s="11"/>
      <c r="R2757" s="11"/>
      <c r="S2757" s="11"/>
      <c r="T2757" s="11"/>
      <c r="U2757" s="11"/>
      <c r="V2757" s="11"/>
      <c r="W2757" s="11"/>
      <c r="X2757" s="11"/>
      <c r="Y2757" s="11"/>
      <c r="Z2757" s="11"/>
      <c r="AA2757" s="11"/>
      <c r="AB2757" s="11"/>
      <c r="AC2757" s="11"/>
      <c r="AD2757" s="11"/>
      <c r="AE2757" s="11"/>
      <c r="AF2757" s="11"/>
      <c r="AG2757" s="11"/>
      <c r="AH2757" s="11"/>
      <c r="AI2757" s="11"/>
      <c r="AJ2757" s="11"/>
      <c r="AK2757" s="11"/>
      <c r="AL2757" s="11"/>
      <c r="AM2757" s="11"/>
      <c r="AN2757" s="11"/>
      <c r="AO2757" s="11"/>
      <c r="AP2757" s="11"/>
      <c r="AQ2757" s="11"/>
      <c r="AR2757" s="11"/>
      <c r="AS2757" s="11"/>
      <c r="AT2757" s="11"/>
      <c r="AU2757" s="11"/>
      <c r="AV2757" s="11"/>
      <c r="AW2757" s="11"/>
      <c r="AX2757" s="11"/>
      <c r="AY2757" s="11"/>
    </row>
    <row r="2758" spans="1:51" hidden="1" x14ac:dyDescent="0.2">
      <c r="A2758" s="6"/>
      <c r="E2758" s="2"/>
      <c r="F2758" s="3"/>
      <c r="G2758" s="3"/>
      <c r="P2758" s="8"/>
      <c r="Q2758" s="11"/>
      <c r="R2758" s="11"/>
      <c r="S2758" s="11"/>
      <c r="T2758" s="11"/>
      <c r="U2758" s="11"/>
      <c r="V2758" s="11"/>
      <c r="W2758" s="11"/>
      <c r="X2758" s="11"/>
      <c r="Y2758" s="11"/>
      <c r="Z2758" s="11"/>
      <c r="AA2758" s="11"/>
      <c r="AB2758" s="11"/>
      <c r="AC2758" s="11"/>
      <c r="AD2758" s="11"/>
      <c r="AE2758" s="11"/>
      <c r="AF2758" s="11"/>
      <c r="AG2758" s="11"/>
      <c r="AH2758" s="11"/>
      <c r="AI2758" s="11"/>
      <c r="AJ2758" s="11"/>
      <c r="AK2758" s="11"/>
      <c r="AL2758" s="11"/>
      <c r="AM2758" s="11"/>
      <c r="AN2758" s="11"/>
      <c r="AO2758" s="11"/>
      <c r="AP2758" s="11"/>
      <c r="AQ2758" s="11"/>
      <c r="AR2758" s="11"/>
      <c r="AS2758" s="11"/>
      <c r="AT2758" s="11"/>
      <c r="AU2758" s="11"/>
      <c r="AV2758" s="11"/>
      <c r="AW2758" s="11"/>
      <c r="AX2758" s="11"/>
      <c r="AY2758" s="11"/>
    </row>
    <row r="2759" spans="1:51" hidden="1" x14ac:dyDescent="0.2">
      <c r="A2759" s="6" t="s">
        <v>17</v>
      </c>
      <c r="B2759" t="s">
        <v>35</v>
      </c>
      <c r="C2759" t="s">
        <v>35</v>
      </c>
      <c r="D2759" t="s">
        <v>204</v>
      </c>
      <c r="E2759" s="2">
        <v>12</v>
      </c>
      <c r="F2759" s="3">
        <f t="shared" si="239"/>
        <v>45964</v>
      </c>
      <c r="G2759" s="3">
        <f t="shared" si="239"/>
        <v>45964</v>
      </c>
      <c r="H2759">
        <v>3135860732</v>
      </c>
      <c r="I2759" t="s">
        <v>192</v>
      </c>
      <c r="K2759" t="s">
        <v>22</v>
      </c>
      <c r="L2759" t="s">
        <v>23</v>
      </c>
      <c r="M2759" t="s">
        <v>24</v>
      </c>
      <c r="N2759" t="s">
        <v>24</v>
      </c>
      <c r="O2759" t="s">
        <v>25</v>
      </c>
      <c r="P2759" s="8" t="s">
        <v>3410</v>
      </c>
      <c r="Q2759" s="11"/>
      <c r="R2759" s="11"/>
      <c r="S2759" s="11"/>
      <c r="T2759" s="11"/>
      <c r="U2759" s="11"/>
      <c r="V2759" s="11"/>
      <c r="W2759" s="11"/>
      <c r="X2759" s="11"/>
      <c r="Y2759" s="11"/>
      <c r="Z2759" s="11"/>
      <c r="AA2759" s="11"/>
      <c r="AB2759" s="11"/>
      <c r="AC2759" s="11"/>
      <c r="AD2759" s="11"/>
      <c r="AE2759" s="11"/>
      <c r="AF2759" s="11"/>
      <c r="AG2759" s="11"/>
      <c r="AH2759" s="11"/>
      <c r="AI2759" s="11"/>
      <c r="AJ2759" s="11"/>
      <c r="AK2759" s="11"/>
      <c r="AL2759" s="11"/>
      <c r="AM2759" s="11"/>
      <c r="AN2759" s="11"/>
      <c r="AO2759" s="11"/>
      <c r="AP2759" s="11"/>
      <c r="AQ2759" s="11"/>
      <c r="AR2759" s="11"/>
      <c r="AS2759" s="11"/>
      <c r="AT2759" s="11"/>
      <c r="AU2759" s="11"/>
      <c r="AV2759" s="11"/>
      <c r="AW2759" s="11"/>
      <c r="AX2759" s="11"/>
      <c r="AY2759" s="11"/>
    </row>
    <row r="2760" spans="1:51" hidden="1" x14ac:dyDescent="0.2">
      <c r="A2760" s="6"/>
      <c r="E2760" s="2"/>
      <c r="F2760" s="3"/>
      <c r="G2760" s="3"/>
      <c r="P2760" s="8"/>
      <c r="Q2760" s="11"/>
      <c r="R2760" s="11"/>
      <c r="S2760" s="11"/>
      <c r="T2760" s="11"/>
      <c r="U2760" s="11"/>
      <c r="V2760" s="11"/>
      <c r="W2760" s="11"/>
      <c r="X2760" s="11"/>
      <c r="Y2760" s="11"/>
      <c r="Z2760" s="11"/>
      <c r="AA2760" s="11"/>
      <c r="AB2760" s="11"/>
      <c r="AC2760" s="11"/>
      <c r="AD2760" s="11"/>
      <c r="AE2760" s="11"/>
      <c r="AF2760" s="11"/>
      <c r="AG2760" s="11"/>
      <c r="AH2760" s="11"/>
      <c r="AI2760" s="11"/>
      <c r="AJ2760" s="11"/>
      <c r="AK2760" s="11"/>
      <c r="AL2760" s="11"/>
      <c r="AM2760" s="11"/>
      <c r="AN2760" s="11"/>
      <c r="AO2760" s="11"/>
      <c r="AP2760" s="11"/>
      <c r="AQ2760" s="11"/>
      <c r="AR2760" s="11"/>
      <c r="AS2760" s="11"/>
      <c r="AT2760" s="11"/>
      <c r="AU2760" s="11"/>
      <c r="AV2760" s="11"/>
      <c r="AW2760" s="11"/>
      <c r="AX2760" s="11"/>
      <c r="AY2760" s="11"/>
    </row>
    <row r="2761" spans="1:51" x14ac:dyDescent="0.2">
      <c r="A2761" s="6" t="s">
        <v>17</v>
      </c>
      <c r="B2761" t="s">
        <v>342</v>
      </c>
      <c r="C2761" t="s">
        <v>342</v>
      </c>
      <c r="D2761" t="s">
        <v>3411</v>
      </c>
      <c r="E2761" s="2">
        <v>5.7</v>
      </c>
      <c r="F2761" s="3">
        <f t="shared" si="239"/>
        <v>45964</v>
      </c>
      <c r="G2761" s="3">
        <f t="shared" si="239"/>
        <v>45964</v>
      </c>
      <c r="H2761">
        <v>3135860734</v>
      </c>
      <c r="I2761" t="s">
        <v>192</v>
      </c>
      <c r="K2761" t="s">
        <v>22</v>
      </c>
      <c r="L2761" t="s">
        <v>23</v>
      </c>
      <c r="M2761" t="s">
        <v>24</v>
      </c>
      <c r="N2761" t="s">
        <v>24</v>
      </c>
      <c r="O2761" t="s">
        <v>25</v>
      </c>
      <c r="P2761" s="8" t="s">
        <v>3412</v>
      </c>
      <c r="Q2761" s="11"/>
      <c r="R2761" s="11"/>
      <c r="S2761" s="11"/>
      <c r="T2761" s="11"/>
      <c r="U2761" s="11"/>
      <c r="V2761" s="11"/>
      <c r="W2761" s="11"/>
      <c r="X2761" s="11"/>
      <c r="Y2761" s="11"/>
      <c r="Z2761" s="11"/>
      <c r="AA2761" s="11"/>
      <c r="AB2761" s="11"/>
      <c r="AC2761" s="11"/>
      <c r="AD2761" s="11"/>
      <c r="AE2761" s="11"/>
      <c r="AF2761" s="11"/>
      <c r="AG2761" s="11"/>
      <c r="AH2761" s="11"/>
      <c r="AI2761" s="11"/>
      <c r="AJ2761" s="11"/>
      <c r="AK2761" s="11"/>
      <c r="AL2761" s="11"/>
      <c r="AM2761" s="11"/>
      <c r="AN2761" s="11"/>
      <c r="AO2761" s="11"/>
      <c r="AP2761" s="11"/>
      <c r="AQ2761" s="11"/>
      <c r="AR2761" s="11"/>
      <c r="AS2761" s="11"/>
      <c r="AT2761" s="11"/>
      <c r="AU2761" s="11"/>
      <c r="AV2761" s="11"/>
      <c r="AW2761" s="11"/>
      <c r="AX2761" s="11"/>
      <c r="AY2761" s="11"/>
    </row>
    <row r="2762" spans="1:51" hidden="1" x14ac:dyDescent="0.2">
      <c r="A2762" s="6"/>
      <c r="E2762" s="2"/>
      <c r="F2762" s="3"/>
      <c r="G2762" s="3"/>
      <c r="P2762" s="8"/>
      <c r="Q2762" s="11"/>
      <c r="R2762" s="11"/>
      <c r="S2762" s="11"/>
      <c r="T2762" s="11"/>
      <c r="U2762" s="11"/>
      <c r="V2762" s="11"/>
      <c r="W2762" s="11"/>
      <c r="X2762" s="11"/>
      <c r="Y2762" s="11"/>
      <c r="Z2762" s="11"/>
      <c r="AA2762" s="11"/>
      <c r="AB2762" s="11"/>
      <c r="AC2762" s="11"/>
      <c r="AD2762" s="11"/>
      <c r="AE2762" s="11"/>
      <c r="AF2762" s="11"/>
      <c r="AG2762" s="11"/>
      <c r="AH2762" s="11"/>
      <c r="AI2762" s="11"/>
      <c r="AJ2762" s="11"/>
      <c r="AK2762" s="11"/>
      <c r="AL2762" s="11"/>
      <c r="AM2762" s="11"/>
      <c r="AN2762" s="11"/>
      <c r="AO2762" s="11"/>
      <c r="AP2762" s="11"/>
      <c r="AQ2762" s="11"/>
      <c r="AR2762" s="11"/>
      <c r="AS2762" s="11"/>
      <c r="AT2762" s="11"/>
      <c r="AU2762" s="11"/>
      <c r="AV2762" s="11"/>
      <c r="AW2762" s="11"/>
      <c r="AX2762" s="11"/>
      <c r="AY2762" s="11"/>
    </row>
    <row r="2763" spans="1:51" hidden="1" x14ac:dyDescent="0.2">
      <c r="A2763" s="6"/>
      <c r="E2763" s="2"/>
      <c r="F2763" s="3"/>
      <c r="G2763" s="3"/>
      <c r="P2763" s="8"/>
      <c r="Q2763" s="11"/>
      <c r="R2763" s="11"/>
      <c r="S2763" s="11"/>
      <c r="T2763" s="11"/>
      <c r="U2763" s="11"/>
      <c r="V2763" s="11"/>
      <c r="W2763" s="11"/>
      <c r="X2763" s="11"/>
      <c r="Y2763" s="11"/>
      <c r="Z2763" s="11"/>
      <c r="AA2763" s="11"/>
      <c r="AB2763" s="11"/>
      <c r="AC2763" s="11"/>
      <c r="AD2763" s="11"/>
      <c r="AE2763" s="11"/>
      <c r="AF2763" s="11"/>
      <c r="AG2763" s="11"/>
      <c r="AH2763" s="11"/>
      <c r="AI2763" s="11"/>
      <c r="AJ2763" s="11"/>
      <c r="AK2763" s="11"/>
      <c r="AL2763" s="11"/>
      <c r="AM2763" s="11"/>
      <c r="AN2763" s="11"/>
      <c r="AO2763" s="11"/>
      <c r="AP2763" s="11"/>
      <c r="AQ2763" s="11"/>
      <c r="AR2763" s="11"/>
      <c r="AS2763" s="11"/>
      <c r="AT2763" s="11"/>
      <c r="AU2763" s="11"/>
      <c r="AV2763" s="11"/>
      <c r="AW2763" s="11"/>
      <c r="AX2763" s="11"/>
      <c r="AY2763" s="11"/>
    </row>
    <row r="2764" spans="1:51" hidden="1" x14ac:dyDescent="0.2">
      <c r="A2764" s="6"/>
      <c r="E2764" s="2"/>
      <c r="F2764" s="3"/>
      <c r="G2764" s="3"/>
      <c r="P2764" s="8"/>
      <c r="Q2764" s="11"/>
      <c r="R2764" s="11"/>
      <c r="S2764" s="11"/>
      <c r="T2764" s="11"/>
      <c r="U2764" s="11"/>
      <c r="V2764" s="11"/>
      <c r="W2764" s="11"/>
      <c r="X2764" s="11"/>
      <c r="Y2764" s="11"/>
      <c r="Z2764" s="11"/>
      <c r="AA2764" s="11"/>
      <c r="AB2764" s="11"/>
      <c r="AC2764" s="11"/>
      <c r="AD2764" s="11"/>
      <c r="AE2764" s="11"/>
      <c r="AF2764" s="11"/>
      <c r="AG2764" s="11"/>
      <c r="AH2764" s="11"/>
      <c r="AI2764" s="11"/>
      <c r="AJ2764" s="11"/>
      <c r="AK2764" s="11"/>
      <c r="AL2764" s="11"/>
      <c r="AM2764" s="11"/>
      <c r="AN2764" s="11"/>
      <c r="AO2764" s="11"/>
      <c r="AP2764" s="11"/>
      <c r="AQ2764" s="11"/>
      <c r="AR2764" s="11"/>
      <c r="AS2764" s="11"/>
      <c r="AT2764" s="11"/>
      <c r="AU2764" s="11"/>
      <c r="AV2764" s="11"/>
      <c r="AW2764" s="11"/>
      <c r="AX2764" s="11"/>
      <c r="AY2764" s="11"/>
    </row>
    <row r="2765" spans="1:51" hidden="1" x14ac:dyDescent="0.2">
      <c r="A2765" s="6" t="s">
        <v>17</v>
      </c>
      <c r="B2765" t="s">
        <v>456</v>
      </c>
      <c r="C2765" t="s">
        <v>457</v>
      </c>
      <c r="D2765" t="s">
        <v>3413</v>
      </c>
      <c r="E2765" s="2">
        <v>20</v>
      </c>
      <c r="F2765" s="3">
        <f>DATE(2025,11,6)</f>
        <v>45967</v>
      </c>
      <c r="G2765" s="3">
        <f>DATE(2025,11,6)</f>
        <v>45967</v>
      </c>
      <c r="H2765">
        <v>3147378917</v>
      </c>
      <c r="I2765" t="s">
        <v>21</v>
      </c>
      <c r="K2765" t="s">
        <v>22</v>
      </c>
      <c r="L2765" t="s">
        <v>23</v>
      </c>
      <c r="M2765" t="s">
        <v>24</v>
      </c>
      <c r="N2765" t="s">
        <v>24</v>
      </c>
      <c r="O2765" t="s">
        <v>25</v>
      </c>
      <c r="P2765" s="8" t="s">
        <v>3414</v>
      </c>
      <c r="Q2765" s="11"/>
      <c r="R2765" s="11"/>
      <c r="S2765" s="11"/>
      <c r="T2765" s="11"/>
      <c r="U2765" s="11"/>
      <c r="V2765" s="11"/>
      <c r="W2765" s="11"/>
      <c r="X2765" s="11"/>
      <c r="Y2765" s="11"/>
      <c r="Z2765" s="11"/>
      <c r="AA2765" s="11"/>
      <c r="AB2765" s="11"/>
      <c r="AC2765" s="11"/>
      <c r="AD2765" s="11"/>
      <c r="AE2765" s="11"/>
      <c r="AF2765" s="11"/>
      <c r="AG2765" s="11"/>
      <c r="AH2765" s="11"/>
      <c r="AI2765" s="11"/>
      <c r="AJ2765" s="11"/>
      <c r="AK2765" s="11"/>
      <c r="AL2765" s="11"/>
      <c r="AM2765" s="11"/>
      <c r="AN2765" s="11"/>
      <c r="AO2765" s="11"/>
      <c r="AP2765" s="11"/>
      <c r="AQ2765" s="11"/>
      <c r="AR2765" s="11"/>
      <c r="AS2765" s="11"/>
      <c r="AT2765" s="11"/>
      <c r="AU2765" s="11"/>
      <c r="AV2765" s="11"/>
      <c r="AW2765" s="11"/>
      <c r="AX2765" s="11"/>
      <c r="AY2765" s="11"/>
    </row>
    <row r="2766" spans="1:51" hidden="1" x14ac:dyDescent="0.2">
      <c r="A2766" s="6" t="s">
        <v>17</v>
      </c>
      <c r="B2766" t="s">
        <v>50</v>
      </c>
      <c r="C2766" t="s">
        <v>51</v>
      </c>
      <c r="D2766" t="s">
        <v>3415</v>
      </c>
      <c r="E2766" s="2">
        <v>986.4</v>
      </c>
      <c r="F2766" s="3">
        <f>DATE(2025,11,4)</f>
        <v>45965</v>
      </c>
      <c r="G2766" s="3">
        <f>DATE(2025,11,4)</f>
        <v>45965</v>
      </c>
      <c r="H2766">
        <v>3147378918</v>
      </c>
      <c r="I2766" t="s">
        <v>21</v>
      </c>
      <c r="K2766" t="s">
        <v>22</v>
      </c>
      <c r="L2766" t="s">
        <v>23</v>
      </c>
      <c r="M2766" t="s">
        <v>24</v>
      </c>
      <c r="N2766" t="s">
        <v>24</v>
      </c>
      <c r="O2766" t="s">
        <v>25</v>
      </c>
      <c r="P2766" s="8" t="s">
        <v>3416</v>
      </c>
      <c r="Q2766" s="11"/>
      <c r="R2766" s="11"/>
      <c r="S2766" s="11"/>
      <c r="T2766" s="11"/>
      <c r="U2766" s="11"/>
      <c r="V2766" s="11"/>
      <c r="W2766" s="11"/>
      <c r="X2766" s="11"/>
      <c r="Y2766" s="11"/>
      <c r="Z2766" s="11"/>
      <c r="AA2766" s="11"/>
      <c r="AB2766" s="11"/>
      <c r="AC2766" s="11"/>
      <c r="AD2766" s="11"/>
      <c r="AE2766" s="11"/>
      <c r="AF2766" s="11"/>
      <c r="AG2766" s="11"/>
      <c r="AH2766" s="11"/>
      <c r="AI2766" s="11"/>
      <c r="AJ2766" s="11"/>
      <c r="AK2766" s="11"/>
      <c r="AL2766" s="11"/>
      <c r="AM2766" s="11"/>
      <c r="AN2766" s="11"/>
      <c r="AO2766" s="11"/>
      <c r="AP2766" s="11"/>
      <c r="AQ2766" s="11"/>
      <c r="AR2766" s="11"/>
      <c r="AS2766" s="11"/>
      <c r="AT2766" s="11"/>
      <c r="AU2766" s="11"/>
      <c r="AV2766" s="11"/>
      <c r="AW2766" s="11"/>
      <c r="AX2766" s="11"/>
      <c r="AY2766" s="11"/>
    </row>
    <row r="2767" spans="1:51" hidden="1" x14ac:dyDescent="0.2">
      <c r="A2767" s="6"/>
      <c r="E2767" s="2"/>
      <c r="F2767" s="3"/>
      <c r="G2767" s="3"/>
      <c r="P2767" s="8"/>
      <c r="Q2767" s="11"/>
      <c r="R2767" s="11"/>
      <c r="S2767" s="11"/>
      <c r="T2767" s="11"/>
      <c r="U2767" s="11"/>
      <c r="V2767" s="11"/>
      <c r="W2767" s="11"/>
      <c r="X2767" s="11"/>
      <c r="Y2767" s="11"/>
      <c r="Z2767" s="11"/>
      <c r="AA2767" s="11"/>
      <c r="AB2767" s="11"/>
      <c r="AC2767" s="11"/>
      <c r="AD2767" s="11"/>
      <c r="AE2767" s="11"/>
      <c r="AF2767" s="11"/>
      <c r="AG2767" s="11"/>
      <c r="AH2767" s="11"/>
      <c r="AI2767" s="11"/>
      <c r="AJ2767" s="11"/>
      <c r="AK2767" s="11"/>
      <c r="AL2767" s="11"/>
      <c r="AM2767" s="11"/>
      <c r="AN2767" s="11"/>
      <c r="AO2767" s="11"/>
      <c r="AP2767" s="11"/>
      <c r="AQ2767" s="11"/>
      <c r="AR2767" s="11"/>
      <c r="AS2767" s="11"/>
      <c r="AT2767" s="11"/>
      <c r="AU2767" s="11"/>
      <c r="AV2767" s="11"/>
      <c r="AW2767" s="11"/>
      <c r="AX2767" s="11"/>
      <c r="AY2767" s="11"/>
    </row>
    <row r="2768" spans="1:51" hidden="1" x14ac:dyDescent="0.2">
      <c r="A2768" s="6" t="s">
        <v>17</v>
      </c>
      <c r="B2768" t="s">
        <v>90</v>
      </c>
      <c r="C2768" t="s">
        <v>91</v>
      </c>
      <c r="D2768" t="s">
        <v>3417</v>
      </c>
      <c r="E2768" s="2">
        <v>4696.9399999999996</v>
      </c>
      <c r="F2768" s="3">
        <f t="shared" ref="F2768:G2770" si="240">DATE(2025,11,5)</f>
        <v>45966</v>
      </c>
      <c r="G2768" s="3">
        <f t="shared" si="240"/>
        <v>45966</v>
      </c>
      <c r="H2768">
        <v>3147378920</v>
      </c>
      <c r="I2768" t="s">
        <v>21</v>
      </c>
      <c r="K2768" t="s">
        <v>22</v>
      </c>
      <c r="L2768" t="s">
        <v>23</v>
      </c>
      <c r="M2768" t="s">
        <v>24</v>
      </c>
      <c r="N2768" t="s">
        <v>24</v>
      </c>
      <c r="O2768" t="s">
        <v>25</v>
      </c>
      <c r="P2768" s="8" t="s">
        <v>3418</v>
      </c>
      <c r="Q2768" s="11"/>
      <c r="R2768" s="11"/>
      <c r="S2768" s="11"/>
      <c r="T2768" s="11"/>
      <c r="U2768" s="11"/>
      <c r="V2768" s="11"/>
      <c r="W2768" s="11"/>
      <c r="X2768" s="11"/>
      <c r="Y2768" s="11"/>
      <c r="Z2768" s="11"/>
      <c r="AA2768" s="11"/>
      <c r="AB2768" s="11"/>
      <c r="AC2768" s="11"/>
      <c r="AD2768" s="11"/>
      <c r="AE2768" s="11"/>
      <c r="AF2768" s="11"/>
      <c r="AG2768" s="11"/>
      <c r="AH2768" s="11"/>
      <c r="AI2768" s="11"/>
      <c r="AJ2768" s="11"/>
      <c r="AK2768" s="11"/>
      <c r="AL2768" s="11"/>
      <c r="AM2768" s="11"/>
      <c r="AN2768" s="11"/>
      <c r="AO2768" s="11"/>
      <c r="AP2768" s="11"/>
      <c r="AQ2768" s="11"/>
      <c r="AR2768" s="11"/>
      <c r="AS2768" s="11"/>
      <c r="AT2768" s="11"/>
      <c r="AU2768" s="11"/>
      <c r="AV2768" s="11"/>
      <c r="AW2768" s="11"/>
      <c r="AX2768" s="11"/>
      <c r="AY2768" s="11"/>
    </row>
    <row r="2769" spans="1:51" hidden="1" x14ac:dyDescent="0.2">
      <c r="A2769" s="6" t="s">
        <v>17</v>
      </c>
      <c r="B2769" t="s">
        <v>565</v>
      </c>
      <c r="C2769" t="s">
        <v>566</v>
      </c>
      <c r="D2769" t="s">
        <v>3419</v>
      </c>
      <c r="E2769" s="2">
        <v>596.62</v>
      </c>
      <c r="F2769" s="3">
        <f t="shared" si="240"/>
        <v>45966</v>
      </c>
      <c r="G2769" s="3">
        <f t="shared" si="240"/>
        <v>45966</v>
      </c>
      <c r="H2769">
        <v>3147378921</v>
      </c>
      <c r="I2769" t="s">
        <v>21</v>
      </c>
      <c r="K2769" t="s">
        <v>22</v>
      </c>
      <c r="L2769" t="s">
        <v>23</v>
      </c>
      <c r="M2769" t="s">
        <v>24</v>
      </c>
      <c r="N2769" t="s">
        <v>24</v>
      </c>
      <c r="O2769" t="s">
        <v>25</v>
      </c>
      <c r="P2769" s="8" t="s">
        <v>3420</v>
      </c>
      <c r="Q2769" s="11"/>
      <c r="R2769" s="11"/>
      <c r="S2769" s="11"/>
      <c r="T2769" s="11"/>
      <c r="U2769" s="11"/>
      <c r="V2769" s="11"/>
      <c r="W2769" s="11"/>
      <c r="X2769" s="11"/>
      <c r="Y2769" s="11"/>
      <c r="Z2769" s="11"/>
      <c r="AA2769" s="11"/>
      <c r="AB2769" s="11"/>
      <c r="AC2769" s="11"/>
      <c r="AD2769" s="11"/>
      <c r="AE2769" s="11"/>
      <c r="AF2769" s="11"/>
      <c r="AG2769" s="11"/>
      <c r="AH2769" s="11"/>
      <c r="AI2769" s="11"/>
      <c r="AJ2769" s="11"/>
      <c r="AK2769" s="11"/>
      <c r="AL2769" s="11"/>
      <c r="AM2769" s="11"/>
      <c r="AN2769" s="11"/>
      <c r="AO2769" s="11"/>
      <c r="AP2769" s="11"/>
      <c r="AQ2769" s="11"/>
      <c r="AR2769" s="11"/>
      <c r="AS2769" s="11"/>
      <c r="AT2769" s="11"/>
      <c r="AU2769" s="11"/>
      <c r="AV2769" s="11"/>
      <c r="AW2769" s="11"/>
      <c r="AX2769" s="11"/>
      <c r="AY2769" s="11"/>
    </row>
    <row r="2770" spans="1:51" hidden="1" x14ac:dyDescent="0.2">
      <c r="A2770" s="6" t="s">
        <v>17</v>
      </c>
      <c r="B2770" t="s">
        <v>90</v>
      </c>
      <c r="C2770" t="s">
        <v>91</v>
      </c>
      <c r="D2770" t="s">
        <v>3421</v>
      </c>
      <c r="E2770" s="2">
        <v>28848.39</v>
      </c>
      <c r="F2770" s="3">
        <f t="shared" si="240"/>
        <v>45966</v>
      </c>
      <c r="G2770" s="3">
        <f t="shared" si="240"/>
        <v>45966</v>
      </c>
      <c r="H2770">
        <v>3147378922</v>
      </c>
      <c r="I2770" t="s">
        <v>21</v>
      </c>
      <c r="K2770" t="s">
        <v>22</v>
      </c>
      <c r="L2770" t="s">
        <v>23</v>
      </c>
      <c r="M2770" t="s">
        <v>24</v>
      </c>
      <c r="N2770" t="s">
        <v>24</v>
      </c>
      <c r="O2770" t="s">
        <v>25</v>
      </c>
      <c r="P2770" s="8" t="s">
        <v>3422</v>
      </c>
      <c r="Q2770" s="11"/>
      <c r="R2770" s="11"/>
      <c r="S2770" s="11"/>
      <c r="T2770" s="11"/>
      <c r="U2770" s="11"/>
      <c r="V2770" s="11"/>
      <c r="W2770" s="11"/>
      <c r="X2770" s="11"/>
      <c r="Y2770" s="11"/>
      <c r="Z2770" s="11"/>
      <c r="AA2770" s="11"/>
      <c r="AB2770" s="11"/>
      <c r="AC2770" s="11"/>
      <c r="AD2770" s="11"/>
      <c r="AE2770" s="11"/>
      <c r="AF2770" s="11"/>
      <c r="AG2770" s="11"/>
      <c r="AH2770" s="11"/>
      <c r="AI2770" s="11"/>
      <c r="AJ2770" s="11"/>
      <c r="AK2770" s="11"/>
      <c r="AL2770" s="11"/>
      <c r="AM2770" s="11"/>
      <c r="AN2770" s="11"/>
      <c r="AO2770" s="11"/>
      <c r="AP2770" s="11"/>
      <c r="AQ2770" s="11"/>
      <c r="AR2770" s="11"/>
      <c r="AS2770" s="11"/>
      <c r="AT2770" s="11"/>
      <c r="AU2770" s="11"/>
      <c r="AV2770" s="11"/>
      <c r="AW2770" s="11"/>
      <c r="AX2770" s="11"/>
      <c r="AY2770" s="11"/>
    </row>
    <row r="2771" spans="1:51" hidden="1" x14ac:dyDescent="0.2">
      <c r="A2771" s="6"/>
      <c r="E2771" s="2"/>
      <c r="F2771" s="3"/>
      <c r="G2771" s="3"/>
      <c r="P2771" s="8"/>
      <c r="Q2771" s="11"/>
      <c r="R2771" s="11"/>
      <c r="S2771" s="11"/>
      <c r="T2771" s="11"/>
      <c r="U2771" s="11"/>
      <c r="V2771" s="11"/>
      <c r="W2771" s="11"/>
      <c r="X2771" s="11"/>
      <c r="Y2771" s="11"/>
      <c r="Z2771" s="11"/>
      <c r="AA2771" s="11"/>
      <c r="AB2771" s="11"/>
      <c r="AC2771" s="11"/>
      <c r="AD2771" s="11"/>
      <c r="AE2771" s="11"/>
      <c r="AF2771" s="11"/>
      <c r="AG2771" s="11"/>
      <c r="AH2771" s="11"/>
      <c r="AI2771" s="11"/>
      <c r="AJ2771" s="11"/>
      <c r="AK2771" s="11"/>
      <c r="AL2771" s="11"/>
      <c r="AM2771" s="11"/>
      <c r="AN2771" s="11"/>
      <c r="AO2771" s="11"/>
      <c r="AP2771" s="11"/>
      <c r="AQ2771" s="11"/>
      <c r="AR2771" s="11"/>
      <c r="AS2771" s="11"/>
      <c r="AT2771" s="11"/>
      <c r="AU2771" s="11"/>
      <c r="AV2771" s="11"/>
      <c r="AW2771" s="11"/>
      <c r="AX2771" s="11"/>
      <c r="AY2771" s="11"/>
    </row>
    <row r="2772" spans="1:51" hidden="1" x14ac:dyDescent="0.2">
      <c r="A2772" s="6"/>
      <c r="E2772" s="2"/>
      <c r="F2772" s="3"/>
      <c r="G2772" s="3"/>
      <c r="P2772" s="8"/>
      <c r="Q2772" s="11"/>
      <c r="R2772" s="11"/>
      <c r="S2772" s="11"/>
      <c r="T2772" s="11"/>
      <c r="U2772" s="11"/>
      <c r="V2772" s="11"/>
      <c r="W2772" s="11"/>
      <c r="X2772" s="11"/>
      <c r="Y2772" s="11"/>
      <c r="Z2772" s="11"/>
      <c r="AA2772" s="11"/>
      <c r="AB2772" s="11"/>
      <c r="AC2772" s="11"/>
      <c r="AD2772" s="11"/>
      <c r="AE2772" s="11"/>
      <c r="AF2772" s="11"/>
      <c r="AG2772" s="11"/>
      <c r="AH2772" s="11"/>
      <c r="AI2772" s="11"/>
      <c r="AJ2772" s="11"/>
      <c r="AK2772" s="11"/>
      <c r="AL2772" s="11"/>
      <c r="AM2772" s="11"/>
      <c r="AN2772" s="11"/>
      <c r="AO2772" s="11"/>
      <c r="AP2772" s="11"/>
      <c r="AQ2772" s="11"/>
      <c r="AR2772" s="11"/>
      <c r="AS2772" s="11"/>
      <c r="AT2772" s="11"/>
      <c r="AU2772" s="11"/>
      <c r="AV2772" s="11"/>
      <c r="AW2772" s="11"/>
      <c r="AX2772" s="11"/>
      <c r="AY2772" s="11"/>
    </row>
    <row r="2773" spans="1:51" hidden="1" x14ac:dyDescent="0.2">
      <c r="A2773" s="6"/>
      <c r="E2773" s="2"/>
      <c r="F2773" s="3"/>
      <c r="G2773" s="3"/>
      <c r="P2773" s="8"/>
      <c r="Q2773" s="11"/>
      <c r="R2773" s="11"/>
      <c r="S2773" s="11"/>
      <c r="T2773" s="11"/>
      <c r="U2773" s="11"/>
      <c r="V2773" s="11"/>
      <c r="W2773" s="11"/>
      <c r="X2773" s="11"/>
      <c r="Y2773" s="11"/>
      <c r="Z2773" s="11"/>
      <c r="AA2773" s="11"/>
      <c r="AB2773" s="11"/>
      <c r="AC2773" s="11"/>
      <c r="AD2773" s="11"/>
      <c r="AE2773" s="11"/>
      <c r="AF2773" s="11"/>
      <c r="AG2773" s="11"/>
      <c r="AH2773" s="11"/>
      <c r="AI2773" s="11"/>
      <c r="AJ2773" s="11"/>
      <c r="AK2773" s="11"/>
      <c r="AL2773" s="11"/>
      <c r="AM2773" s="11"/>
      <c r="AN2773" s="11"/>
      <c r="AO2773" s="11"/>
      <c r="AP2773" s="11"/>
      <c r="AQ2773" s="11"/>
      <c r="AR2773" s="11"/>
      <c r="AS2773" s="11"/>
      <c r="AT2773" s="11"/>
      <c r="AU2773" s="11"/>
      <c r="AV2773" s="11"/>
      <c r="AW2773" s="11"/>
      <c r="AX2773" s="11"/>
      <c r="AY2773" s="11"/>
    </row>
    <row r="2774" spans="1:51" hidden="1" x14ac:dyDescent="0.2">
      <c r="A2774" s="6"/>
      <c r="E2774" s="2"/>
      <c r="F2774" s="3"/>
      <c r="G2774" s="3"/>
      <c r="P2774" s="8"/>
      <c r="Q2774" s="11"/>
      <c r="R2774" s="11"/>
      <c r="S2774" s="11"/>
      <c r="T2774" s="11"/>
      <c r="U2774" s="11"/>
      <c r="V2774" s="11"/>
      <c r="W2774" s="11"/>
      <c r="X2774" s="11"/>
      <c r="Y2774" s="11"/>
      <c r="Z2774" s="11"/>
      <c r="AA2774" s="11"/>
      <c r="AB2774" s="11"/>
      <c r="AC2774" s="11"/>
      <c r="AD2774" s="11"/>
      <c r="AE2774" s="11"/>
      <c r="AF2774" s="11"/>
      <c r="AG2774" s="11"/>
      <c r="AH2774" s="11"/>
      <c r="AI2774" s="11"/>
      <c r="AJ2774" s="11"/>
      <c r="AK2774" s="11"/>
      <c r="AL2774" s="11"/>
      <c r="AM2774" s="11"/>
      <c r="AN2774" s="11"/>
      <c r="AO2774" s="11"/>
      <c r="AP2774" s="11"/>
      <c r="AQ2774" s="11"/>
      <c r="AR2774" s="11"/>
      <c r="AS2774" s="11"/>
      <c r="AT2774" s="11"/>
      <c r="AU2774" s="11"/>
      <c r="AV2774" s="11"/>
      <c r="AW2774" s="11"/>
      <c r="AX2774" s="11"/>
      <c r="AY2774" s="11"/>
    </row>
    <row r="2775" spans="1:51" hidden="1" x14ac:dyDescent="0.2">
      <c r="A2775" s="6" t="s">
        <v>17</v>
      </c>
      <c r="B2775" t="s">
        <v>50</v>
      </c>
      <c r="C2775" t="s">
        <v>51</v>
      </c>
      <c r="D2775" t="s">
        <v>3423</v>
      </c>
      <c r="E2775" s="2">
        <v>2146.08</v>
      </c>
      <c r="F2775" s="3">
        <f>DATE(2025,11,5)</f>
        <v>45966</v>
      </c>
      <c r="G2775" s="3">
        <f>DATE(2025,11,5)</f>
        <v>45966</v>
      </c>
      <c r="H2775">
        <v>3147378927</v>
      </c>
      <c r="I2775" t="s">
        <v>21</v>
      </c>
      <c r="K2775" t="s">
        <v>22</v>
      </c>
      <c r="L2775" t="s">
        <v>23</v>
      </c>
      <c r="M2775" t="s">
        <v>24</v>
      </c>
      <c r="N2775" t="s">
        <v>24</v>
      </c>
      <c r="O2775" t="s">
        <v>25</v>
      </c>
      <c r="P2775" s="8" t="s">
        <v>3424</v>
      </c>
      <c r="Q2775" s="11"/>
      <c r="R2775" s="11"/>
      <c r="S2775" s="11"/>
      <c r="T2775" s="11"/>
      <c r="U2775" s="11"/>
      <c r="V2775" s="11"/>
      <c r="W2775" s="11"/>
      <c r="X2775" s="11"/>
      <c r="Y2775" s="11"/>
      <c r="Z2775" s="11"/>
      <c r="AA2775" s="11"/>
      <c r="AB2775" s="11"/>
      <c r="AC2775" s="11"/>
      <c r="AD2775" s="11"/>
      <c r="AE2775" s="11"/>
      <c r="AF2775" s="11"/>
      <c r="AG2775" s="11"/>
      <c r="AH2775" s="11"/>
      <c r="AI2775" s="11"/>
      <c r="AJ2775" s="11"/>
      <c r="AK2775" s="11"/>
      <c r="AL2775" s="11"/>
      <c r="AM2775" s="11"/>
      <c r="AN2775" s="11"/>
      <c r="AO2775" s="11"/>
      <c r="AP2775" s="11"/>
      <c r="AQ2775" s="11"/>
      <c r="AR2775" s="11"/>
      <c r="AS2775" s="11"/>
      <c r="AT2775" s="11"/>
      <c r="AU2775" s="11"/>
      <c r="AV2775" s="11"/>
      <c r="AW2775" s="11"/>
      <c r="AX2775" s="11"/>
      <c r="AY2775" s="11"/>
    </row>
    <row r="2776" spans="1:51" hidden="1" x14ac:dyDescent="0.2">
      <c r="A2776" s="6"/>
      <c r="E2776" s="2"/>
      <c r="F2776" s="3"/>
      <c r="G2776" s="3"/>
      <c r="P2776" s="8"/>
      <c r="Q2776" s="11"/>
      <c r="R2776" s="11"/>
      <c r="S2776" s="11"/>
      <c r="T2776" s="11"/>
      <c r="U2776" s="11"/>
      <c r="V2776" s="11"/>
      <c r="W2776" s="11"/>
      <c r="X2776" s="11"/>
      <c r="Y2776" s="11"/>
      <c r="Z2776" s="11"/>
      <c r="AA2776" s="11"/>
      <c r="AB2776" s="11"/>
      <c r="AC2776" s="11"/>
      <c r="AD2776" s="11"/>
      <c r="AE2776" s="11"/>
      <c r="AF2776" s="11"/>
      <c r="AG2776" s="11"/>
      <c r="AH2776" s="11"/>
      <c r="AI2776" s="11"/>
      <c r="AJ2776" s="11"/>
      <c r="AK2776" s="11"/>
      <c r="AL2776" s="11"/>
      <c r="AM2776" s="11"/>
      <c r="AN2776" s="11"/>
      <c r="AO2776" s="11"/>
      <c r="AP2776" s="11"/>
      <c r="AQ2776" s="11"/>
      <c r="AR2776" s="11"/>
      <c r="AS2776" s="11"/>
      <c r="AT2776" s="11"/>
      <c r="AU2776" s="11"/>
      <c r="AV2776" s="11"/>
      <c r="AW2776" s="11"/>
      <c r="AX2776" s="11"/>
      <c r="AY2776" s="11"/>
    </row>
    <row r="2777" spans="1:51" hidden="1" x14ac:dyDescent="0.2">
      <c r="A2777" s="6" t="s">
        <v>17</v>
      </c>
      <c r="B2777" t="s">
        <v>84</v>
      </c>
      <c r="C2777" t="s">
        <v>85</v>
      </c>
      <c r="D2777" t="s">
        <v>3425</v>
      </c>
      <c r="E2777" s="2">
        <v>2076.84</v>
      </c>
      <c r="F2777" s="3">
        <f>DATE(2025,11,5)</f>
        <v>45966</v>
      </c>
      <c r="G2777" s="3">
        <f>DATE(2025,11,5)</f>
        <v>45966</v>
      </c>
      <c r="H2777">
        <v>3147378929</v>
      </c>
      <c r="I2777" t="s">
        <v>21</v>
      </c>
      <c r="K2777" t="s">
        <v>22</v>
      </c>
      <c r="L2777" t="s">
        <v>23</v>
      </c>
      <c r="M2777" t="s">
        <v>24</v>
      </c>
      <c r="N2777" t="s">
        <v>24</v>
      </c>
      <c r="O2777" t="s">
        <v>25</v>
      </c>
      <c r="P2777" s="8" t="s">
        <v>3426</v>
      </c>
      <c r="Q2777" s="11"/>
      <c r="R2777" s="11"/>
      <c r="S2777" s="11"/>
      <c r="T2777" s="11"/>
      <c r="U2777" s="11"/>
      <c r="V2777" s="11"/>
      <c r="W2777" s="11"/>
      <c r="X2777" s="11"/>
      <c r="Y2777" s="11"/>
      <c r="Z2777" s="11"/>
      <c r="AA2777" s="11"/>
      <c r="AB2777" s="11"/>
      <c r="AC2777" s="11"/>
      <c r="AD2777" s="11"/>
      <c r="AE2777" s="11"/>
      <c r="AF2777" s="11"/>
      <c r="AG2777" s="11"/>
      <c r="AH2777" s="11"/>
      <c r="AI2777" s="11"/>
      <c r="AJ2777" s="11"/>
      <c r="AK2777" s="11"/>
      <c r="AL2777" s="11"/>
      <c r="AM2777" s="11"/>
      <c r="AN2777" s="11"/>
      <c r="AO2777" s="11"/>
      <c r="AP2777" s="11"/>
      <c r="AQ2777" s="11"/>
      <c r="AR2777" s="11"/>
      <c r="AS2777" s="11"/>
      <c r="AT2777" s="11"/>
      <c r="AU2777" s="11"/>
      <c r="AV2777" s="11"/>
      <c r="AW2777" s="11"/>
      <c r="AX2777" s="11"/>
      <c r="AY2777" s="11"/>
    </row>
    <row r="2778" spans="1:51" hidden="1" x14ac:dyDescent="0.2">
      <c r="A2778" s="6" t="s">
        <v>17</v>
      </c>
      <c r="B2778" t="s">
        <v>565</v>
      </c>
      <c r="C2778" t="s">
        <v>566</v>
      </c>
      <c r="D2778" t="s">
        <v>3427</v>
      </c>
      <c r="E2778" s="2">
        <v>1883.2</v>
      </c>
      <c r="F2778" s="3">
        <f>DATE(2025,11,5)</f>
        <v>45966</v>
      </c>
      <c r="G2778" s="3">
        <f>DATE(2025,11,5)</f>
        <v>45966</v>
      </c>
      <c r="H2778">
        <v>3147378930</v>
      </c>
      <c r="I2778" t="s">
        <v>21</v>
      </c>
      <c r="K2778" t="s">
        <v>22</v>
      </c>
      <c r="L2778" t="s">
        <v>23</v>
      </c>
      <c r="M2778" t="s">
        <v>24</v>
      </c>
      <c r="N2778" t="s">
        <v>24</v>
      </c>
      <c r="O2778" t="s">
        <v>25</v>
      </c>
      <c r="P2778" s="8" t="s">
        <v>3428</v>
      </c>
      <c r="Q2778" s="11"/>
      <c r="R2778" s="11"/>
      <c r="S2778" s="11"/>
      <c r="T2778" s="11"/>
      <c r="U2778" s="11"/>
      <c r="V2778" s="11"/>
      <c r="W2778" s="11"/>
      <c r="X2778" s="11"/>
      <c r="Y2778" s="11"/>
      <c r="Z2778" s="11"/>
      <c r="AA2778" s="11"/>
      <c r="AB2778" s="11"/>
      <c r="AC2778" s="11"/>
      <c r="AD2778" s="11"/>
      <c r="AE2778" s="11"/>
      <c r="AF2778" s="11"/>
      <c r="AG2778" s="11"/>
      <c r="AH2778" s="11"/>
      <c r="AI2778" s="11"/>
      <c r="AJ2778" s="11"/>
      <c r="AK2778" s="11"/>
      <c r="AL2778" s="11"/>
      <c r="AM2778" s="11"/>
      <c r="AN2778" s="11"/>
      <c r="AO2778" s="11"/>
      <c r="AP2778" s="11"/>
      <c r="AQ2778" s="11"/>
      <c r="AR2778" s="11"/>
      <c r="AS2778" s="11"/>
      <c r="AT2778" s="11"/>
      <c r="AU2778" s="11"/>
      <c r="AV2778" s="11"/>
      <c r="AW2778" s="11"/>
      <c r="AX2778" s="11"/>
      <c r="AY2778" s="11"/>
    </row>
    <row r="2779" spans="1:51" hidden="1" x14ac:dyDescent="0.2">
      <c r="A2779" s="6"/>
      <c r="E2779" s="2"/>
      <c r="F2779" s="3"/>
      <c r="G2779" s="3"/>
      <c r="P2779" s="8"/>
      <c r="Q2779" s="11"/>
      <c r="R2779" s="11"/>
      <c r="S2779" s="11"/>
      <c r="T2779" s="11"/>
      <c r="U2779" s="11"/>
      <c r="V2779" s="11"/>
      <c r="W2779" s="11"/>
      <c r="X2779" s="11"/>
      <c r="Y2779" s="11"/>
      <c r="Z2779" s="11"/>
      <c r="AA2779" s="11"/>
      <c r="AB2779" s="11"/>
      <c r="AC2779" s="11"/>
      <c r="AD2779" s="11"/>
      <c r="AE2779" s="11"/>
      <c r="AF2779" s="11"/>
      <c r="AG2779" s="11"/>
      <c r="AH2779" s="11"/>
      <c r="AI2779" s="11"/>
      <c r="AJ2779" s="11"/>
      <c r="AK2779" s="11"/>
      <c r="AL2779" s="11"/>
      <c r="AM2779" s="11"/>
      <c r="AN2779" s="11"/>
      <c r="AO2779" s="11"/>
      <c r="AP2779" s="11"/>
      <c r="AQ2779" s="11"/>
      <c r="AR2779" s="11"/>
      <c r="AS2779" s="11"/>
      <c r="AT2779" s="11"/>
      <c r="AU2779" s="11"/>
      <c r="AV2779" s="11"/>
      <c r="AW2779" s="11"/>
      <c r="AX2779" s="11"/>
      <c r="AY2779" s="11"/>
    </row>
    <row r="2780" spans="1:51" hidden="1" x14ac:dyDescent="0.2">
      <c r="A2780" s="6" t="s">
        <v>17</v>
      </c>
      <c r="B2780" t="s">
        <v>84</v>
      </c>
      <c r="C2780" t="s">
        <v>85</v>
      </c>
      <c r="D2780" t="s">
        <v>3429</v>
      </c>
      <c r="E2780" s="2">
        <v>669.7</v>
      </c>
      <c r="F2780" s="3">
        <f>DATE(2025,11,5)</f>
        <v>45966</v>
      </c>
      <c r="G2780" s="3">
        <f>DATE(2025,11,5)</f>
        <v>45966</v>
      </c>
      <c r="H2780">
        <v>3147378932</v>
      </c>
      <c r="I2780" t="s">
        <v>21</v>
      </c>
      <c r="K2780" t="s">
        <v>22</v>
      </c>
      <c r="L2780" t="s">
        <v>23</v>
      </c>
      <c r="M2780" t="s">
        <v>24</v>
      </c>
      <c r="N2780" t="s">
        <v>24</v>
      </c>
      <c r="O2780" t="s">
        <v>25</v>
      </c>
      <c r="P2780" s="8" t="s">
        <v>3430</v>
      </c>
      <c r="Q2780" s="11"/>
      <c r="R2780" s="11"/>
      <c r="S2780" s="11"/>
      <c r="T2780" s="11"/>
      <c r="U2780" s="11"/>
      <c r="V2780" s="11"/>
      <c r="W2780" s="11"/>
      <c r="X2780" s="11"/>
      <c r="Y2780" s="11"/>
      <c r="Z2780" s="11"/>
      <c r="AA2780" s="11"/>
      <c r="AB2780" s="11"/>
      <c r="AC2780" s="11"/>
      <c r="AD2780" s="11"/>
      <c r="AE2780" s="11"/>
      <c r="AF2780" s="11"/>
      <c r="AG2780" s="11"/>
      <c r="AH2780" s="11"/>
      <c r="AI2780" s="11"/>
      <c r="AJ2780" s="11"/>
      <c r="AK2780" s="11"/>
      <c r="AL2780" s="11"/>
      <c r="AM2780" s="11"/>
      <c r="AN2780" s="11"/>
      <c r="AO2780" s="11"/>
      <c r="AP2780" s="11"/>
      <c r="AQ2780" s="11"/>
      <c r="AR2780" s="11"/>
      <c r="AS2780" s="11"/>
      <c r="AT2780" s="11"/>
      <c r="AU2780" s="11"/>
      <c r="AV2780" s="11"/>
      <c r="AW2780" s="11"/>
      <c r="AX2780" s="11"/>
      <c r="AY2780" s="11"/>
    </row>
    <row r="2781" spans="1:51" hidden="1" x14ac:dyDescent="0.2">
      <c r="A2781" s="6" t="s">
        <v>17</v>
      </c>
      <c r="B2781" t="s">
        <v>1002</v>
      </c>
      <c r="C2781" t="s">
        <v>1003</v>
      </c>
      <c r="D2781" t="s">
        <v>3431</v>
      </c>
      <c r="E2781" s="2">
        <v>225.04</v>
      </c>
      <c r="F2781" s="3">
        <f>DATE(2025,11,5)</f>
        <v>45966</v>
      </c>
      <c r="G2781" s="3">
        <f>DATE(2025,11,5)</f>
        <v>45966</v>
      </c>
      <c r="H2781">
        <v>3147378933</v>
      </c>
      <c r="I2781" t="s">
        <v>21</v>
      </c>
      <c r="K2781" t="s">
        <v>22</v>
      </c>
      <c r="L2781" t="s">
        <v>23</v>
      </c>
      <c r="M2781" t="s">
        <v>24</v>
      </c>
      <c r="N2781" t="s">
        <v>24</v>
      </c>
      <c r="O2781" t="s">
        <v>25</v>
      </c>
      <c r="P2781" s="8" t="s">
        <v>3432</v>
      </c>
      <c r="Q2781" s="11"/>
      <c r="R2781" s="11"/>
      <c r="S2781" s="11"/>
      <c r="T2781" s="11"/>
      <c r="U2781" s="11"/>
      <c r="V2781" s="11"/>
      <c r="W2781" s="11"/>
      <c r="X2781" s="11"/>
      <c r="Y2781" s="11"/>
      <c r="Z2781" s="11"/>
      <c r="AA2781" s="11"/>
      <c r="AB2781" s="11"/>
      <c r="AC2781" s="11"/>
      <c r="AD2781" s="11"/>
      <c r="AE2781" s="11"/>
      <c r="AF2781" s="11"/>
      <c r="AG2781" s="11"/>
      <c r="AH2781" s="11"/>
      <c r="AI2781" s="11"/>
      <c r="AJ2781" s="11"/>
      <c r="AK2781" s="11"/>
      <c r="AL2781" s="11"/>
      <c r="AM2781" s="11"/>
      <c r="AN2781" s="11"/>
      <c r="AO2781" s="11"/>
      <c r="AP2781" s="11"/>
      <c r="AQ2781" s="11"/>
      <c r="AR2781" s="11"/>
      <c r="AS2781" s="11"/>
      <c r="AT2781" s="11"/>
      <c r="AU2781" s="11"/>
      <c r="AV2781" s="11"/>
      <c r="AW2781" s="11"/>
      <c r="AX2781" s="11"/>
      <c r="AY2781" s="11"/>
    </row>
    <row r="2782" spans="1:51" hidden="1" x14ac:dyDescent="0.2">
      <c r="A2782" s="6"/>
      <c r="E2782" s="2"/>
      <c r="F2782" s="3"/>
      <c r="G2782" s="3"/>
      <c r="P2782" s="8"/>
      <c r="Q2782" s="11"/>
      <c r="R2782" s="11"/>
      <c r="S2782" s="11"/>
      <c r="T2782" s="11"/>
      <c r="U2782" s="11"/>
      <c r="V2782" s="11"/>
      <c r="W2782" s="11"/>
      <c r="X2782" s="11"/>
      <c r="Y2782" s="11"/>
      <c r="Z2782" s="11"/>
      <c r="AA2782" s="11"/>
      <c r="AB2782" s="11"/>
      <c r="AC2782" s="11"/>
      <c r="AD2782" s="11"/>
      <c r="AE2782" s="11"/>
      <c r="AF2782" s="11"/>
      <c r="AG2782" s="11"/>
      <c r="AH2782" s="11"/>
      <c r="AI2782" s="11"/>
      <c r="AJ2782" s="11"/>
      <c r="AK2782" s="11"/>
      <c r="AL2782" s="11"/>
      <c r="AM2782" s="11"/>
      <c r="AN2782" s="11"/>
      <c r="AO2782" s="11"/>
      <c r="AP2782" s="11"/>
      <c r="AQ2782" s="11"/>
      <c r="AR2782" s="11"/>
      <c r="AS2782" s="11"/>
      <c r="AT2782" s="11"/>
      <c r="AU2782" s="11"/>
      <c r="AV2782" s="11"/>
      <c r="AW2782" s="11"/>
      <c r="AX2782" s="11"/>
      <c r="AY2782" s="11"/>
    </row>
    <row r="2783" spans="1:51" hidden="1" x14ac:dyDescent="0.2">
      <c r="A2783" s="6"/>
      <c r="E2783" s="2"/>
      <c r="F2783" s="3"/>
      <c r="G2783" s="3"/>
      <c r="P2783" s="8"/>
      <c r="Q2783" s="11"/>
      <c r="R2783" s="11"/>
      <c r="S2783" s="11"/>
      <c r="T2783" s="11"/>
      <c r="U2783" s="11"/>
      <c r="V2783" s="11"/>
      <c r="W2783" s="11"/>
      <c r="X2783" s="11"/>
      <c r="Y2783" s="11"/>
      <c r="Z2783" s="11"/>
      <c r="AA2783" s="11"/>
      <c r="AB2783" s="11"/>
      <c r="AC2783" s="11"/>
      <c r="AD2783" s="11"/>
      <c r="AE2783" s="11"/>
      <c r="AF2783" s="11"/>
      <c r="AG2783" s="11"/>
      <c r="AH2783" s="11"/>
      <c r="AI2783" s="11"/>
      <c r="AJ2783" s="11"/>
      <c r="AK2783" s="11"/>
      <c r="AL2783" s="11"/>
      <c r="AM2783" s="11"/>
      <c r="AN2783" s="11"/>
      <c r="AO2783" s="11"/>
      <c r="AP2783" s="11"/>
      <c r="AQ2783" s="11"/>
      <c r="AR2783" s="11"/>
      <c r="AS2783" s="11"/>
      <c r="AT2783" s="11"/>
      <c r="AU2783" s="11"/>
      <c r="AV2783" s="11"/>
      <c r="AW2783" s="11"/>
      <c r="AX2783" s="11"/>
      <c r="AY2783" s="11"/>
    </row>
    <row r="2784" spans="1:51" x14ac:dyDescent="0.2">
      <c r="A2784" s="6" t="s">
        <v>17</v>
      </c>
      <c r="B2784" t="s">
        <v>342</v>
      </c>
      <c r="C2784" t="s">
        <v>342</v>
      </c>
      <c r="D2784" t="s">
        <v>3433</v>
      </c>
      <c r="E2784" s="2">
        <v>43</v>
      </c>
      <c r="F2784" s="3">
        <f t="shared" ref="F2784:G2784" si="241">DATE(2025,11,4)</f>
        <v>45965</v>
      </c>
      <c r="G2784" s="3">
        <f t="shared" si="241"/>
        <v>45965</v>
      </c>
      <c r="H2784">
        <v>3147412143</v>
      </c>
      <c r="I2784" t="s">
        <v>192</v>
      </c>
      <c r="K2784" t="s">
        <v>22</v>
      </c>
      <c r="L2784" t="s">
        <v>23</v>
      </c>
      <c r="M2784" t="s">
        <v>24</v>
      </c>
      <c r="N2784" t="s">
        <v>24</v>
      </c>
      <c r="O2784" t="s">
        <v>25</v>
      </c>
      <c r="P2784" s="8" t="s">
        <v>3434</v>
      </c>
      <c r="Q2784" s="11"/>
      <c r="R2784" s="11"/>
      <c r="S2784" s="11"/>
      <c r="T2784" s="11"/>
      <c r="U2784" s="11"/>
      <c r="V2784" s="11"/>
      <c r="W2784" s="11"/>
      <c r="X2784" s="11"/>
      <c r="Y2784" s="11"/>
      <c r="Z2784" s="11"/>
      <c r="AA2784" s="11"/>
      <c r="AB2784" s="11"/>
      <c r="AC2784" s="11"/>
      <c r="AD2784" s="11"/>
      <c r="AE2784" s="11"/>
      <c r="AF2784" s="11"/>
      <c r="AG2784" s="11"/>
      <c r="AH2784" s="11"/>
      <c r="AI2784" s="11"/>
      <c r="AJ2784" s="11"/>
      <c r="AK2784" s="11"/>
      <c r="AL2784" s="11"/>
      <c r="AM2784" s="11"/>
      <c r="AN2784" s="11"/>
      <c r="AO2784" s="11"/>
      <c r="AP2784" s="11"/>
      <c r="AQ2784" s="11"/>
      <c r="AR2784" s="11"/>
      <c r="AS2784" s="11"/>
      <c r="AT2784" s="11"/>
      <c r="AU2784" s="11"/>
      <c r="AV2784" s="11"/>
      <c r="AW2784" s="11"/>
      <c r="AX2784" s="11"/>
      <c r="AY2784" s="11"/>
    </row>
    <row r="2785" spans="1:51" hidden="1" x14ac:dyDescent="0.2">
      <c r="A2785" s="6" t="s">
        <v>17</v>
      </c>
      <c r="B2785" t="s">
        <v>198</v>
      </c>
      <c r="C2785" t="s">
        <v>199</v>
      </c>
      <c r="D2785" t="s">
        <v>3435</v>
      </c>
      <c r="E2785" s="2">
        <v>210.74</v>
      </c>
      <c r="F2785" s="3">
        <f>DATE(2025,11,5)</f>
        <v>45966</v>
      </c>
      <c r="G2785" s="3">
        <f>DATE(2025,11,5)</f>
        <v>45966</v>
      </c>
      <c r="H2785">
        <v>3147412144</v>
      </c>
      <c r="I2785" t="s">
        <v>192</v>
      </c>
      <c r="K2785" t="s">
        <v>22</v>
      </c>
      <c r="L2785" t="s">
        <v>23</v>
      </c>
      <c r="M2785" t="s">
        <v>24</v>
      </c>
      <c r="N2785" t="s">
        <v>24</v>
      </c>
      <c r="O2785" t="s">
        <v>25</v>
      </c>
      <c r="P2785" s="8" t="s">
        <v>3436</v>
      </c>
      <c r="Q2785" s="11"/>
      <c r="R2785" s="11"/>
      <c r="S2785" s="11"/>
      <c r="T2785" s="11"/>
      <c r="U2785" s="11"/>
      <c r="V2785" s="11"/>
      <c r="W2785" s="11"/>
      <c r="X2785" s="11"/>
      <c r="Y2785" s="11"/>
      <c r="Z2785" s="11"/>
      <c r="AA2785" s="11"/>
      <c r="AB2785" s="11"/>
      <c r="AC2785" s="11"/>
      <c r="AD2785" s="11"/>
      <c r="AE2785" s="11"/>
      <c r="AF2785" s="11"/>
      <c r="AG2785" s="11"/>
      <c r="AH2785" s="11"/>
      <c r="AI2785" s="11"/>
      <c r="AJ2785" s="11"/>
      <c r="AK2785" s="11"/>
      <c r="AL2785" s="11"/>
      <c r="AM2785" s="11"/>
      <c r="AN2785" s="11"/>
      <c r="AO2785" s="11"/>
      <c r="AP2785" s="11"/>
      <c r="AQ2785" s="11"/>
      <c r="AR2785" s="11"/>
      <c r="AS2785" s="11"/>
      <c r="AT2785" s="11"/>
      <c r="AU2785" s="11"/>
      <c r="AV2785" s="11"/>
      <c r="AW2785" s="11"/>
      <c r="AX2785" s="11"/>
      <c r="AY2785" s="11"/>
    </row>
    <row r="2786" spans="1:51" hidden="1" x14ac:dyDescent="0.2">
      <c r="A2786" s="6" t="s">
        <v>17</v>
      </c>
      <c r="B2786" t="s">
        <v>132</v>
      </c>
      <c r="C2786" t="s">
        <v>133</v>
      </c>
      <c r="D2786" t="s">
        <v>3437</v>
      </c>
      <c r="E2786" s="2">
        <v>12.8</v>
      </c>
      <c r="F2786" s="3">
        <f t="shared" ref="F2786:G2789" si="242">DATE(2025,11,4)</f>
        <v>45965</v>
      </c>
      <c r="G2786" s="3">
        <f t="shared" si="242"/>
        <v>45965</v>
      </c>
      <c r="H2786">
        <v>3147412145</v>
      </c>
      <c r="I2786" t="s">
        <v>192</v>
      </c>
      <c r="K2786" t="s">
        <v>22</v>
      </c>
      <c r="L2786" t="s">
        <v>23</v>
      </c>
      <c r="M2786" t="s">
        <v>24</v>
      </c>
      <c r="N2786" t="s">
        <v>24</v>
      </c>
      <c r="O2786" t="s">
        <v>25</v>
      </c>
      <c r="P2786" s="8" t="s">
        <v>3438</v>
      </c>
      <c r="Q2786" s="11"/>
      <c r="R2786" s="11"/>
      <c r="S2786" s="11"/>
      <c r="T2786" s="11"/>
      <c r="U2786" s="11"/>
      <c r="V2786" s="11"/>
      <c r="W2786" s="11"/>
      <c r="X2786" s="11"/>
      <c r="Y2786" s="11"/>
      <c r="Z2786" s="11"/>
      <c r="AA2786" s="11"/>
      <c r="AB2786" s="11"/>
      <c r="AC2786" s="11"/>
      <c r="AD2786" s="11"/>
      <c r="AE2786" s="11"/>
      <c r="AF2786" s="11"/>
      <c r="AG2786" s="11"/>
      <c r="AH2786" s="11"/>
      <c r="AI2786" s="11"/>
      <c r="AJ2786" s="11"/>
      <c r="AK2786" s="11"/>
      <c r="AL2786" s="11"/>
      <c r="AM2786" s="11"/>
      <c r="AN2786" s="11"/>
      <c r="AO2786" s="11"/>
      <c r="AP2786" s="11"/>
      <c r="AQ2786" s="11"/>
      <c r="AR2786" s="11"/>
      <c r="AS2786" s="11"/>
      <c r="AT2786" s="11"/>
      <c r="AU2786" s="11"/>
      <c r="AV2786" s="11"/>
      <c r="AW2786" s="11"/>
      <c r="AX2786" s="11"/>
      <c r="AY2786" s="11"/>
    </row>
    <row r="2787" spans="1:51" x14ac:dyDescent="0.2">
      <c r="A2787" s="6" t="s">
        <v>17</v>
      </c>
      <c r="B2787" t="s">
        <v>342</v>
      </c>
      <c r="C2787" t="s">
        <v>342</v>
      </c>
      <c r="D2787" t="s">
        <v>3439</v>
      </c>
      <c r="E2787" s="2">
        <v>5.9</v>
      </c>
      <c r="F2787" s="3">
        <f t="shared" si="242"/>
        <v>45965</v>
      </c>
      <c r="G2787" s="3">
        <f t="shared" si="242"/>
        <v>45965</v>
      </c>
      <c r="H2787">
        <v>3147412146</v>
      </c>
      <c r="I2787" t="s">
        <v>192</v>
      </c>
      <c r="K2787" t="s">
        <v>22</v>
      </c>
      <c r="L2787" t="s">
        <v>23</v>
      </c>
      <c r="M2787" t="s">
        <v>24</v>
      </c>
      <c r="N2787" t="s">
        <v>24</v>
      </c>
      <c r="O2787" t="s">
        <v>25</v>
      </c>
      <c r="P2787" s="8" t="s">
        <v>3440</v>
      </c>
      <c r="Q2787" s="11"/>
      <c r="R2787" s="11"/>
      <c r="S2787" s="11"/>
      <c r="T2787" s="11"/>
      <c r="U2787" s="11"/>
      <c r="V2787" s="11"/>
      <c r="W2787" s="11"/>
      <c r="X2787" s="11"/>
      <c r="Y2787" s="11"/>
      <c r="Z2787" s="11"/>
      <c r="AA2787" s="11"/>
      <c r="AB2787" s="11"/>
      <c r="AC2787" s="11"/>
      <c r="AD2787" s="11"/>
      <c r="AE2787" s="11"/>
      <c r="AF2787" s="11"/>
      <c r="AG2787" s="11"/>
      <c r="AH2787" s="11"/>
      <c r="AI2787" s="11"/>
      <c r="AJ2787" s="11"/>
      <c r="AK2787" s="11"/>
      <c r="AL2787" s="11"/>
      <c r="AM2787" s="11"/>
      <c r="AN2787" s="11"/>
      <c r="AO2787" s="11"/>
      <c r="AP2787" s="11"/>
      <c r="AQ2787" s="11"/>
      <c r="AR2787" s="11"/>
      <c r="AS2787" s="11"/>
      <c r="AT2787" s="11"/>
      <c r="AU2787" s="11"/>
      <c r="AV2787" s="11"/>
      <c r="AW2787" s="11"/>
      <c r="AX2787" s="11"/>
      <c r="AY2787" s="11"/>
    </row>
    <row r="2788" spans="1:51" hidden="1" x14ac:dyDescent="0.2">
      <c r="A2788" s="6" t="s">
        <v>17</v>
      </c>
      <c r="B2788" t="s">
        <v>18</v>
      </c>
      <c r="C2788" t="s">
        <v>19</v>
      </c>
      <c r="D2788" t="s">
        <v>3441</v>
      </c>
      <c r="E2788" s="2">
        <v>0.53</v>
      </c>
      <c r="F2788" s="3">
        <f t="shared" si="242"/>
        <v>45965</v>
      </c>
      <c r="G2788" s="3">
        <f t="shared" si="242"/>
        <v>45965</v>
      </c>
      <c r="H2788">
        <v>3147412147</v>
      </c>
      <c r="I2788" t="s">
        <v>192</v>
      </c>
      <c r="K2788" t="s">
        <v>22</v>
      </c>
      <c r="L2788" t="s">
        <v>23</v>
      </c>
      <c r="M2788" t="s">
        <v>24</v>
      </c>
      <c r="N2788" t="s">
        <v>24</v>
      </c>
      <c r="O2788" t="s">
        <v>25</v>
      </c>
      <c r="P2788" s="8" t="s">
        <v>3442</v>
      </c>
      <c r="Q2788" s="11"/>
      <c r="R2788" s="11"/>
      <c r="S2788" s="11"/>
      <c r="T2788" s="11"/>
      <c r="U2788" s="11"/>
      <c r="V2788" s="11"/>
      <c r="W2788" s="11"/>
      <c r="X2788" s="11"/>
      <c r="Y2788" s="11"/>
      <c r="Z2788" s="11"/>
      <c r="AA2788" s="11"/>
      <c r="AB2788" s="11"/>
      <c r="AC2788" s="11"/>
      <c r="AD2788" s="11"/>
      <c r="AE2788" s="11"/>
      <c r="AF2788" s="11"/>
      <c r="AG2788" s="11"/>
      <c r="AH2788" s="11"/>
      <c r="AI2788" s="11"/>
      <c r="AJ2788" s="11"/>
      <c r="AK2788" s="11"/>
      <c r="AL2788" s="11"/>
      <c r="AM2788" s="11"/>
      <c r="AN2788" s="11"/>
      <c r="AO2788" s="11"/>
      <c r="AP2788" s="11"/>
      <c r="AQ2788" s="11"/>
      <c r="AR2788" s="11"/>
      <c r="AS2788" s="11"/>
      <c r="AT2788" s="11"/>
      <c r="AU2788" s="11"/>
      <c r="AV2788" s="11"/>
      <c r="AW2788" s="11"/>
      <c r="AX2788" s="11"/>
      <c r="AY2788" s="11"/>
    </row>
    <row r="2789" spans="1:51" hidden="1" x14ac:dyDescent="0.2">
      <c r="A2789" s="6" t="s">
        <v>17</v>
      </c>
      <c r="B2789" t="s">
        <v>173</v>
      </c>
      <c r="C2789" t="s">
        <v>154</v>
      </c>
      <c r="D2789" t="s">
        <v>3443</v>
      </c>
      <c r="E2789" s="2">
        <v>87.22</v>
      </c>
      <c r="F2789" s="3">
        <f t="shared" si="242"/>
        <v>45965</v>
      </c>
      <c r="G2789" s="3">
        <f t="shared" si="242"/>
        <v>45965</v>
      </c>
      <c r="H2789">
        <v>3147412148</v>
      </c>
      <c r="I2789" t="s">
        <v>192</v>
      </c>
      <c r="K2789" t="s">
        <v>22</v>
      </c>
      <c r="L2789" t="s">
        <v>23</v>
      </c>
      <c r="M2789" t="s">
        <v>24</v>
      </c>
      <c r="N2789" t="s">
        <v>24</v>
      </c>
      <c r="O2789" t="s">
        <v>25</v>
      </c>
      <c r="P2789" s="8" t="s">
        <v>3444</v>
      </c>
      <c r="Q2789" s="11"/>
      <c r="R2789" s="11"/>
      <c r="S2789" s="11"/>
      <c r="T2789" s="11"/>
      <c r="U2789" s="11"/>
      <c r="V2789" s="11"/>
      <c r="W2789" s="11"/>
      <c r="X2789" s="11"/>
      <c r="Y2789" s="11"/>
      <c r="Z2789" s="11"/>
      <c r="AA2789" s="11"/>
      <c r="AB2789" s="11"/>
      <c r="AC2789" s="11"/>
      <c r="AD2789" s="11"/>
      <c r="AE2789" s="11"/>
      <c r="AF2789" s="11"/>
      <c r="AG2789" s="11"/>
      <c r="AH2789" s="11"/>
      <c r="AI2789" s="11"/>
      <c r="AJ2789" s="11"/>
      <c r="AK2789" s="11"/>
      <c r="AL2789" s="11"/>
      <c r="AM2789" s="11"/>
      <c r="AN2789" s="11"/>
      <c r="AO2789" s="11"/>
      <c r="AP2789" s="11"/>
      <c r="AQ2789" s="11"/>
      <c r="AR2789" s="11"/>
      <c r="AS2789" s="11"/>
      <c r="AT2789" s="11"/>
      <c r="AU2789" s="11"/>
      <c r="AV2789" s="11"/>
      <c r="AW2789" s="11"/>
      <c r="AX2789" s="11"/>
      <c r="AY2789" s="11"/>
    </row>
    <row r="2790" spans="1:51" hidden="1" x14ac:dyDescent="0.2">
      <c r="A2790" s="6" t="s">
        <v>17</v>
      </c>
      <c r="B2790" t="s">
        <v>198</v>
      </c>
      <c r="C2790" t="s">
        <v>199</v>
      </c>
      <c r="D2790" t="s">
        <v>3445</v>
      </c>
      <c r="E2790" s="2">
        <v>3642.12</v>
      </c>
      <c r="F2790" s="3">
        <f>DATE(2025,11,5)</f>
        <v>45966</v>
      </c>
      <c r="G2790" s="3">
        <f>DATE(2025,11,5)</f>
        <v>45966</v>
      </c>
      <c r="H2790">
        <v>3147412149</v>
      </c>
      <c r="I2790" t="s">
        <v>192</v>
      </c>
      <c r="K2790" t="s">
        <v>22</v>
      </c>
      <c r="L2790" t="s">
        <v>23</v>
      </c>
      <c r="M2790" t="s">
        <v>24</v>
      </c>
      <c r="N2790" t="s">
        <v>24</v>
      </c>
      <c r="O2790" t="s">
        <v>25</v>
      </c>
      <c r="P2790" s="8" t="s">
        <v>3446</v>
      </c>
      <c r="Q2790" s="11"/>
      <c r="R2790" s="11"/>
      <c r="S2790" s="11"/>
      <c r="T2790" s="11"/>
      <c r="U2790" s="11"/>
      <c r="V2790" s="11"/>
      <c r="W2790" s="11"/>
      <c r="X2790" s="11"/>
      <c r="Y2790" s="11"/>
      <c r="Z2790" s="11"/>
      <c r="AA2790" s="11"/>
      <c r="AB2790" s="11"/>
      <c r="AC2790" s="11"/>
      <c r="AD2790" s="11"/>
      <c r="AE2790" s="11"/>
      <c r="AF2790" s="11"/>
      <c r="AG2790" s="11"/>
      <c r="AH2790" s="11"/>
      <c r="AI2790" s="11"/>
      <c r="AJ2790" s="11"/>
      <c r="AK2790" s="11"/>
      <c r="AL2790" s="11"/>
      <c r="AM2790" s="11"/>
      <c r="AN2790" s="11"/>
      <c r="AO2790" s="11"/>
      <c r="AP2790" s="11"/>
      <c r="AQ2790" s="11"/>
      <c r="AR2790" s="11"/>
      <c r="AS2790" s="11"/>
      <c r="AT2790" s="11"/>
      <c r="AU2790" s="11"/>
      <c r="AV2790" s="11"/>
      <c r="AW2790" s="11"/>
      <c r="AX2790" s="11"/>
      <c r="AY2790" s="11"/>
    </row>
    <row r="2791" spans="1:51" x14ac:dyDescent="0.2">
      <c r="A2791" s="6" t="s">
        <v>17</v>
      </c>
      <c r="B2791" t="s">
        <v>342</v>
      </c>
      <c r="C2791" t="s">
        <v>342</v>
      </c>
      <c r="D2791" t="s">
        <v>3447</v>
      </c>
      <c r="E2791" s="2">
        <v>9.3000000000000007</v>
      </c>
      <c r="F2791" s="3">
        <f>DATE(2025,11,4)</f>
        <v>45965</v>
      </c>
      <c r="G2791" s="3">
        <f>DATE(2025,11,4)</f>
        <v>45965</v>
      </c>
      <c r="H2791">
        <v>3147412150</v>
      </c>
      <c r="I2791" t="s">
        <v>192</v>
      </c>
      <c r="K2791" t="s">
        <v>22</v>
      </c>
      <c r="L2791" t="s">
        <v>23</v>
      </c>
      <c r="M2791" t="s">
        <v>24</v>
      </c>
      <c r="N2791" t="s">
        <v>24</v>
      </c>
      <c r="O2791" t="s">
        <v>25</v>
      </c>
      <c r="P2791" s="8" t="s">
        <v>3448</v>
      </c>
      <c r="Q2791" s="11"/>
      <c r="R2791" s="11"/>
      <c r="S2791" s="11"/>
      <c r="T2791" s="11"/>
      <c r="U2791" s="11"/>
      <c r="V2791" s="11"/>
      <c r="W2791" s="11"/>
      <c r="X2791" s="11"/>
      <c r="Y2791" s="11"/>
      <c r="Z2791" s="11"/>
      <c r="AA2791" s="11"/>
      <c r="AB2791" s="11"/>
      <c r="AC2791" s="11"/>
      <c r="AD2791" s="11"/>
      <c r="AE2791" s="11"/>
      <c r="AF2791" s="11"/>
      <c r="AG2791" s="11"/>
      <c r="AH2791" s="11"/>
      <c r="AI2791" s="11"/>
      <c r="AJ2791" s="11"/>
      <c r="AK2791" s="11"/>
      <c r="AL2791" s="11"/>
      <c r="AM2791" s="11"/>
      <c r="AN2791" s="11"/>
      <c r="AO2791" s="11"/>
      <c r="AP2791" s="11"/>
      <c r="AQ2791" s="11"/>
      <c r="AR2791" s="11"/>
      <c r="AS2791" s="11"/>
      <c r="AT2791" s="11"/>
      <c r="AU2791" s="11"/>
      <c r="AV2791" s="11"/>
      <c r="AW2791" s="11"/>
      <c r="AX2791" s="11"/>
      <c r="AY2791" s="11"/>
    </row>
    <row r="2792" spans="1:51" hidden="1" x14ac:dyDescent="0.2">
      <c r="A2792" s="6" t="s">
        <v>17</v>
      </c>
      <c r="B2792" t="s">
        <v>132</v>
      </c>
      <c r="C2792" t="s">
        <v>133</v>
      </c>
      <c r="D2792" t="s">
        <v>3449</v>
      </c>
      <c r="E2792" s="2">
        <v>33</v>
      </c>
      <c r="F2792" s="3">
        <f>DATE(2025,11,4)</f>
        <v>45965</v>
      </c>
      <c r="G2792" s="3">
        <f>DATE(2025,11,4)</f>
        <v>45965</v>
      </c>
      <c r="H2792">
        <v>3147412151</v>
      </c>
      <c r="I2792" t="s">
        <v>192</v>
      </c>
      <c r="K2792" t="s">
        <v>22</v>
      </c>
      <c r="L2792" t="s">
        <v>23</v>
      </c>
      <c r="M2792" t="s">
        <v>24</v>
      </c>
      <c r="N2792" t="s">
        <v>24</v>
      </c>
      <c r="O2792" t="s">
        <v>25</v>
      </c>
      <c r="P2792" s="8" t="s">
        <v>3450</v>
      </c>
      <c r="Q2792" s="11"/>
      <c r="R2792" s="11"/>
      <c r="S2792" s="11"/>
      <c r="T2792" s="11"/>
      <c r="U2792" s="11"/>
      <c r="V2792" s="11"/>
      <c r="W2792" s="11"/>
      <c r="X2792" s="11"/>
      <c r="Y2792" s="11"/>
      <c r="Z2792" s="11"/>
      <c r="AA2792" s="11"/>
      <c r="AB2792" s="11"/>
      <c r="AC2792" s="11"/>
      <c r="AD2792" s="11"/>
      <c r="AE2792" s="11"/>
      <c r="AF2792" s="11"/>
      <c r="AG2792" s="11"/>
      <c r="AH2792" s="11"/>
      <c r="AI2792" s="11"/>
      <c r="AJ2792" s="11"/>
      <c r="AK2792" s="11"/>
      <c r="AL2792" s="11"/>
      <c r="AM2792" s="11"/>
      <c r="AN2792" s="11"/>
      <c r="AO2792" s="11"/>
      <c r="AP2792" s="11"/>
      <c r="AQ2792" s="11"/>
      <c r="AR2792" s="11"/>
      <c r="AS2792" s="11"/>
      <c r="AT2792" s="11"/>
      <c r="AU2792" s="11"/>
      <c r="AV2792" s="11"/>
      <c r="AW2792" s="11"/>
      <c r="AX2792" s="11"/>
      <c r="AY2792" s="11"/>
    </row>
    <row r="2793" spans="1:51" hidden="1" x14ac:dyDescent="0.2">
      <c r="A2793" s="6" t="s">
        <v>17</v>
      </c>
      <c r="B2793" t="s">
        <v>244</v>
      </c>
      <c r="C2793" t="s">
        <v>245</v>
      </c>
      <c r="D2793" t="s">
        <v>3451</v>
      </c>
      <c r="E2793" s="2">
        <v>18.600000000000001</v>
      </c>
      <c r="F2793" s="3">
        <f>DATE(2025,11,5)</f>
        <v>45966</v>
      </c>
      <c r="G2793" s="3">
        <f>DATE(2025,11,5)</f>
        <v>45966</v>
      </c>
      <c r="H2793">
        <v>3147412152</v>
      </c>
      <c r="I2793" t="s">
        <v>192</v>
      </c>
      <c r="K2793" t="s">
        <v>22</v>
      </c>
      <c r="L2793" t="s">
        <v>23</v>
      </c>
      <c r="M2793" t="s">
        <v>24</v>
      </c>
      <c r="N2793" t="s">
        <v>24</v>
      </c>
      <c r="O2793" t="s">
        <v>25</v>
      </c>
      <c r="P2793" s="8" t="s">
        <v>3452</v>
      </c>
      <c r="Q2793" s="11"/>
      <c r="R2793" s="11"/>
      <c r="S2793" s="11"/>
      <c r="T2793" s="11"/>
      <c r="U2793" s="11"/>
      <c r="V2793" s="11"/>
      <c r="W2793" s="11"/>
      <c r="X2793" s="11"/>
      <c r="Y2793" s="11"/>
      <c r="Z2793" s="11"/>
      <c r="AA2793" s="11"/>
      <c r="AB2793" s="11"/>
      <c r="AC2793" s="11"/>
      <c r="AD2793" s="11"/>
      <c r="AE2793" s="11"/>
      <c r="AF2793" s="11"/>
      <c r="AG2793" s="11"/>
      <c r="AH2793" s="11"/>
      <c r="AI2793" s="11"/>
      <c r="AJ2793" s="11"/>
      <c r="AK2793" s="11"/>
      <c r="AL2793" s="11"/>
      <c r="AM2793" s="11"/>
      <c r="AN2793" s="11"/>
      <c r="AO2793" s="11"/>
      <c r="AP2793" s="11"/>
      <c r="AQ2793" s="11"/>
      <c r="AR2793" s="11"/>
      <c r="AS2793" s="11"/>
      <c r="AT2793" s="11"/>
      <c r="AU2793" s="11"/>
      <c r="AV2793" s="11"/>
      <c r="AW2793" s="11"/>
      <c r="AX2793" s="11"/>
      <c r="AY2793" s="11"/>
    </row>
    <row r="2794" spans="1:51" hidden="1" x14ac:dyDescent="0.2">
      <c r="A2794" s="6" t="s">
        <v>17</v>
      </c>
      <c r="B2794" t="s">
        <v>173</v>
      </c>
      <c r="C2794" t="s">
        <v>154</v>
      </c>
      <c r="D2794" t="s">
        <v>3443</v>
      </c>
      <c r="E2794" s="2">
        <v>12</v>
      </c>
      <c r="F2794" s="3">
        <f t="shared" ref="F2794:G2794" si="243">DATE(2025,11,4)</f>
        <v>45965</v>
      </c>
      <c r="G2794" s="3">
        <f t="shared" si="243"/>
        <v>45965</v>
      </c>
      <c r="H2794">
        <v>3147412153</v>
      </c>
      <c r="I2794" t="s">
        <v>192</v>
      </c>
      <c r="K2794" t="s">
        <v>22</v>
      </c>
      <c r="L2794" t="s">
        <v>23</v>
      </c>
      <c r="M2794" t="s">
        <v>24</v>
      </c>
      <c r="N2794" t="s">
        <v>24</v>
      </c>
      <c r="O2794" t="s">
        <v>25</v>
      </c>
      <c r="P2794" s="8" t="s">
        <v>3453</v>
      </c>
      <c r="Q2794" s="11"/>
      <c r="R2794" s="11"/>
      <c r="S2794" s="11"/>
      <c r="T2794" s="11"/>
      <c r="U2794" s="11"/>
      <c r="V2794" s="11"/>
      <c r="W2794" s="11"/>
      <c r="X2794" s="11"/>
      <c r="Y2794" s="11"/>
      <c r="Z2794" s="11"/>
      <c r="AA2794" s="11"/>
      <c r="AB2794" s="11"/>
      <c r="AC2794" s="11"/>
      <c r="AD2794" s="11"/>
      <c r="AE2794" s="11"/>
      <c r="AF2794" s="11"/>
      <c r="AG2794" s="11"/>
      <c r="AH2794" s="11"/>
      <c r="AI2794" s="11"/>
      <c r="AJ2794" s="11"/>
      <c r="AK2794" s="11"/>
      <c r="AL2794" s="11"/>
      <c r="AM2794" s="11"/>
      <c r="AN2794" s="11"/>
      <c r="AO2794" s="11"/>
      <c r="AP2794" s="11"/>
      <c r="AQ2794" s="11"/>
      <c r="AR2794" s="11"/>
      <c r="AS2794" s="11"/>
      <c r="AT2794" s="11"/>
      <c r="AU2794" s="11"/>
      <c r="AV2794" s="11"/>
      <c r="AW2794" s="11"/>
      <c r="AX2794" s="11"/>
      <c r="AY2794" s="11"/>
    </row>
    <row r="2795" spans="1:51" hidden="1" x14ac:dyDescent="0.2">
      <c r="A2795" s="6"/>
      <c r="E2795" s="2"/>
      <c r="F2795" s="3"/>
      <c r="G2795" s="3"/>
      <c r="P2795" s="8"/>
      <c r="Q2795" s="11"/>
      <c r="R2795" s="11"/>
      <c r="S2795" s="11"/>
      <c r="T2795" s="11"/>
      <c r="U2795" s="11"/>
      <c r="V2795" s="11"/>
      <c r="W2795" s="11"/>
      <c r="X2795" s="11"/>
      <c r="Y2795" s="11"/>
      <c r="Z2795" s="11"/>
      <c r="AA2795" s="11"/>
      <c r="AB2795" s="11"/>
      <c r="AC2795" s="11"/>
      <c r="AD2795" s="11"/>
      <c r="AE2795" s="11"/>
      <c r="AF2795" s="11"/>
      <c r="AG2795" s="11"/>
      <c r="AH2795" s="11"/>
      <c r="AI2795" s="11"/>
      <c r="AJ2795" s="11"/>
      <c r="AK2795" s="11"/>
      <c r="AL2795" s="11"/>
      <c r="AM2795" s="11"/>
      <c r="AN2795" s="11"/>
      <c r="AO2795" s="11"/>
      <c r="AP2795" s="11"/>
      <c r="AQ2795" s="11"/>
      <c r="AR2795" s="11"/>
      <c r="AS2795" s="11"/>
      <c r="AT2795" s="11"/>
      <c r="AU2795" s="11"/>
      <c r="AV2795" s="11"/>
      <c r="AW2795" s="11"/>
      <c r="AX2795" s="11"/>
      <c r="AY2795" s="11"/>
    </row>
    <row r="2796" spans="1:51" hidden="1" x14ac:dyDescent="0.2">
      <c r="A2796" s="6"/>
      <c r="E2796" s="2"/>
      <c r="F2796" s="3"/>
      <c r="G2796" s="3"/>
      <c r="P2796" s="8"/>
      <c r="Q2796" s="11"/>
      <c r="R2796" s="11"/>
      <c r="S2796" s="11"/>
      <c r="T2796" s="11"/>
      <c r="U2796" s="11"/>
      <c r="V2796" s="11"/>
      <c r="W2796" s="11"/>
      <c r="X2796" s="11"/>
      <c r="Y2796" s="11"/>
      <c r="Z2796" s="11"/>
      <c r="AA2796" s="11"/>
      <c r="AB2796" s="11"/>
      <c r="AC2796" s="11"/>
      <c r="AD2796" s="11"/>
      <c r="AE2796" s="11"/>
      <c r="AF2796" s="11"/>
      <c r="AG2796" s="11"/>
      <c r="AH2796" s="11"/>
      <c r="AI2796" s="11"/>
      <c r="AJ2796" s="11"/>
      <c r="AK2796" s="11"/>
      <c r="AL2796" s="11"/>
      <c r="AM2796" s="11"/>
      <c r="AN2796" s="11"/>
      <c r="AO2796" s="11"/>
      <c r="AP2796" s="11"/>
      <c r="AQ2796" s="11"/>
      <c r="AR2796" s="11"/>
      <c r="AS2796" s="11"/>
      <c r="AT2796" s="11"/>
      <c r="AU2796" s="11"/>
      <c r="AV2796" s="11"/>
      <c r="AW2796" s="11"/>
      <c r="AX2796" s="11"/>
      <c r="AY2796" s="11"/>
    </row>
    <row r="2797" spans="1:51" hidden="1" x14ac:dyDescent="0.2">
      <c r="A2797" s="6"/>
      <c r="E2797" s="2"/>
      <c r="F2797" s="3"/>
      <c r="G2797" s="3"/>
      <c r="P2797" s="8"/>
      <c r="Q2797" s="11"/>
      <c r="R2797" s="11"/>
      <c r="S2797" s="11"/>
      <c r="T2797" s="11"/>
      <c r="U2797" s="11"/>
      <c r="V2797" s="11"/>
      <c r="W2797" s="11"/>
      <c r="X2797" s="11"/>
      <c r="Y2797" s="11"/>
      <c r="Z2797" s="11"/>
      <c r="AA2797" s="11"/>
      <c r="AB2797" s="11"/>
      <c r="AC2797" s="11"/>
      <c r="AD2797" s="11"/>
      <c r="AE2797" s="11"/>
      <c r="AF2797" s="11"/>
      <c r="AG2797" s="11"/>
      <c r="AH2797" s="11"/>
      <c r="AI2797" s="11"/>
      <c r="AJ2797" s="11"/>
      <c r="AK2797" s="11"/>
      <c r="AL2797" s="11"/>
      <c r="AM2797" s="11"/>
      <c r="AN2797" s="11"/>
      <c r="AO2797" s="11"/>
      <c r="AP2797" s="11"/>
      <c r="AQ2797" s="11"/>
      <c r="AR2797" s="11"/>
      <c r="AS2797" s="11"/>
      <c r="AT2797" s="11"/>
      <c r="AU2797" s="11"/>
      <c r="AV2797" s="11"/>
      <c r="AW2797" s="11"/>
      <c r="AX2797" s="11"/>
      <c r="AY2797" s="11"/>
    </row>
    <row r="2798" spans="1:51" hidden="1" x14ac:dyDescent="0.2">
      <c r="A2798" s="6" t="s">
        <v>17</v>
      </c>
      <c r="B2798" t="s">
        <v>132</v>
      </c>
      <c r="C2798" t="s">
        <v>133</v>
      </c>
      <c r="D2798" t="s">
        <v>3454</v>
      </c>
      <c r="E2798" s="2">
        <v>15.8</v>
      </c>
      <c r="F2798" s="3">
        <f>DATE(2025,11,5)</f>
        <v>45966</v>
      </c>
      <c r="G2798" s="3">
        <f>DATE(2025,11,5)</f>
        <v>45966</v>
      </c>
      <c r="H2798">
        <v>3147412157</v>
      </c>
      <c r="I2798" t="s">
        <v>192</v>
      </c>
      <c r="K2798" t="s">
        <v>22</v>
      </c>
      <c r="L2798" t="s">
        <v>23</v>
      </c>
      <c r="M2798" t="s">
        <v>24</v>
      </c>
      <c r="N2798" t="s">
        <v>24</v>
      </c>
      <c r="O2798" t="s">
        <v>25</v>
      </c>
      <c r="P2798" s="8" t="s">
        <v>3455</v>
      </c>
      <c r="Q2798" s="11"/>
      <c r="R2798" s="11"/>
      <c r="S2798" s="11"/>
      <c r="T2798" s="11"/>
      <c r="U2798" s="11"/>
      <c r="V2798" s="11"/>
      <c r="W2798" s="11"/>
      <c r="X2798" s="11"/>
      <c r="Y2798" s="11"/>
      <c r="Z2798" s="11"/>
      <c r="AA2798" s="11"/>
      <c r="AB2798" s="11"/>
      <c r="AC2798" s="11"/>
      <c r="AD2798" s="11"/>
      <c r="AE2798" s="11"/>
      <c r="AF2798" s="11"/>
      <c r="AG2798" s="11"/>
      <c r="AH2798" s="11"/>
      <c r="AI2798" s="11"/>
      <c r="AJ2798" s="11"/>
      <c r="AK2798" s="11"/>
      <c r="AL2798" s="11"/>
      <c r="AM2798" s="11"/>
      <c r="AN2798" s="11"/>
      <c r="AO2798" s="11"/>
      <c r="AP2798" s="11"/>
      <c r="AQ2798" s="11"/>
      <c r="AR2798" s="11"/>
      <c r="AS2798" s="11"/>
      <c r="AT2798" s="11"/>
      <c r="AU2798" s="11"/>
      <c r="AV2798" s="11"/>
      <c r="AW2798" s="11"/>
      <c r="AX2798" s="11"/>
      <c r="AY2798" s="11"/>
    </row>
    <row r="2799" spans="1:51" hidden="1" x14ac:dyDescent="0.2">
      <c r="A2799" s="6" t="s">
        <v>17</v>
      </c>
      <c r="B2799" t="s">
        <v>132</v>
      </c>
      <c r="C2799" t="s">
        <v>133</v>
      </c>
      <c r="D2799" t="s">
        <v>3456</v>
      </c>
      <c r="E2799" s="2">
        <v>98.55</v>
      </c>
      <c r="F2799" s="3">
        <f>DATE(2025,11,4)</f>
        <v>45965</v>
      </c>
      <c r="G2799" s="3">
        <f>DATE(2025,11,4)</f>
        <v>45965</v>
      </c>
      <c r="H2799">
        <v>3147412158</v>
      </c>
      <c r="I2799" t="s">
        <v>192</v>
      </c>
      <c r="K2799" t="s">
        <v>22</v>
      </c>
      <c r="L2799" t="s">
        <v>23</v>
      </c>
      <c r="M2799" t="s">
        <v>24</v>
      </c>
      <c r="N2799" t="s">
        <v>24</v>
      </c>
      <c r="O2799" t="s">
        <v>25</v>
      </c>
      <c r="P2799" s="8" t="s">
        <v>3457</v>
      </c>
      <c r="Q2799" s="11"/>
      <c r="R2799" s="11"/>
      <c r="S2799" s="11"/>
      <c r="T2799" s="11"/>
      <c r="U2799" s="11"/>
      <c r="V2799" s="11"/>
      <c r="W2799" s="11"/>
      <c r="X2799" s="11"/>
      <c r="Y2799" s="11"/>
      <c r="Z2799" s="11"/>
      <c r="AA2799" s="11"/>
      <c r="AB2799" s="11"/>
      <c r="AC2799" s="11"/>
      <c r="AD2799" s="11"/>
      <c r="AE2799" s="11"/>
      <c r="AF2799" s="11"/>
      <c r="AG2799" s="11"/>
      <c r="AH2799" s="11"/>
      <c r="AI2799" s="11"/>
      <c r="AJ2799" s="11"/>
      <c r="AK2799" s="11"/>
      <c r="AL2799" s="11"/>
      <c r="AM2799" s="11"/>
      <c r="AN2799" s="11"/>
      <c r="AO2799" s="11"/>
      <c r="AP2799" s="11"/>
      <c r="AQ2799" s="11"/>
      <c r="AR2799" s="11"/>
      <c r="AS2799" s="11"/>
      <c r="AT2799" s="11"/>
      <c r="AU2799" s="11"/>
      <c r="AV2799" s="11"/>
      <c r="AW2799" s="11"/>
      <c r="AX2799" s="11"/>
      <c r="AY2799" s="11"/>
    </row>
    <row r="2800" spans="1:51" hidden="1" x14ac:dyDescent="0.2">
      <c r="A2800" s="6"/>
      <c r="E2800" s="2"/>
      <c r="F2800" s="3"/>
      <c r="G2800" s="3"/>
      <c r="P2800" s="8"/>
      <c r="Q2800" s="11"/>
      <c r="R2800" s="11"/>
      <c r="S2800" s="11"/>
      <c r="T2800" s="11"/>
      <c r="U2800" s="11"/>
      <c r="V2800" s="11"/>
      <c r="W2800" s="11"/>
      <c r="X2800" s="11"/>
      <c r="Y2800" s="11"/>
      <c r="Z2800" s="11"/>
      <c r="AA2800" s="11"/>
      <c r="AB2800" s="11"/>
      <c r="AC2800" s="11"/>
      <c r="AD2800" s="11"/>
      <c r="AE2800" s="11"/>
      <c r="AF2800" s="11"/>
      <c r="AG2800" s="11"/>
      <c r="AH2800" s="11"/>
      <c r="AI2800" s="11"/>
      <c r="AJ2800" s="11"/>
      <c r="AK2800" s="11"/>
      <c r="AL2800" s="11"/>
      <c r="AM2800" s="11"/>
      <c r="AN2800" s="11"/>
      <c r="AO2800" s="11"/>
      <c r="AP2800" s="11"/>
      <c r="AQ2800" s="11"/>
      <c r="AR2800" s="11"/>
      <c r="AS2800" s="11"/>
      <c r="AT2800" s="11"/>
      <c r="AU2800" s="11"/>
      <c r="AV2800" s="11"/>
      <c r="AW2800" s="11"/>
      <c r="AX2800" s="11"/>
      <c r="AY2800" s="11"/>
    </row>
    <row r="2801" spans="1:51" hidden="1" x14ac:dyDescent="0.2">
      <c r="A2801" s="6" t="s">
        <v>17</v>
      </c>
      <c r="B2801" t="s">
        <v>42</v>
      </c>
      <c r="C2801" t="s">
        <v>43</v>
      </c>
      <c r="D2801" t="s">
        <v>44</v>
      </c>
      <c r="E2801" s="2">
        <v>500</v>
      </c>
      <c r="F2801" s="3">
        <f t="shared" ref="F2801:G2803" si="244">DATE(2025,11,7)</f>
        <v>45968</v>
      </c>
      <c r="G2801" s="3">
        <f t="shared" si="244"/>
        <v>45968</v>
      </c>
      <c r="H2801">
        <v>3156884523</v>
      </c>
      <c r="I2801" t="s">
        <v>21</v>
      </c>
      <c r="K2801" t="s">
        <v>22</v>
      </c>
      <c r="L2801" t="s">
        <v>23</v>
      </c>
      <c r="M2801" t="s">
        <v>24</v>
      </c>
      <c r="N2801" t="s">
        <v>24</v>
      </c>
      <c r="O2801" t="s">
        <v>25</v>
      </c>
      <c r="P2801" s="8" t="s">
        <v>3458</v>
      </c>
      <c r="Q2801" s="11"/>
      <c r="R2801" s="11"/>
      <c r="S2801" s="11"/>
      <c r="T2801" s="11"/>
      <c r="U2801" s="11"/>
      <c r="V2801" s="11"/>
      <c r="W2801" s="11"/>
      <c r="X2801" s="11"/>
      <c r="Y2801" s="11"/>
      <c r="Z2801" s="11"/>
      <c r="AA2801" s="11"/>
      <c r="AB2801" s="11"/>
      <c r="AC2801" s="11"/>
      <c r="AD2801" s="11"/>
      <c r="AE2801" s="11"/>
      <c r="AF2801" s="11"/>
      <c r="AG2801" s="11"/>
      <c r="AH2801" s="11"/>
      <c r="AI2801" s="11"/>
      <c r="AJ2801" s="11"/>
      <c r="AK2801" s="11"/>
      <c r="AL2801" s="11"/>
      <c r="AM2801" s="11"/>
      <c r="AN2801" s="11"/>
      <c r="AO2801" s="11"/>
      <c r="AP2801" s="11"/>
      <c r="AQ2801" s="11"/>
      <c r="AR2801" s="11"/>
      <c r="AS2801" s="11"/>
      <c r="AT2801" s="11"/>
      <c r="AU2801" s="11"/>
      <c r="AV2801" s="11"/>
      <c r="AW2801" s="11"/>
      <c r="AX2801" s="11"/>
      <c r="AY2801" s="11"/>
    </row>
    <row r="2802" spans="1:51" hidden="1" x14ac:dyDescent="0.2">
      <c r="A2802" s="6" t="s">
        <v>17</v>
      </c>
      <c r="B2802" t="s">
        <v>31</v>
      </c>
      <c r="C2802" t="s">
        <v>32</v>
      </c>
      <c r="D2802" t="s">
        <v>3459</v>
      </c>
      <c r="E2802" s="2">
        <v>287.52999999999997</v>
      </c>
      <c r="F2802" s="3">
        <f t="shared" si="244"/>
        <v>45968</v>
      </c>
      <c r="G2802" s="3">
        <f t="shared" si="244"/>
        <v>45968</v>
      </c>
      <c r="H2802">
        <v>3156884524</v>
      </c>
      <c r="I2802" t="s">
        <v>21</v>
      </c>
      <c r="K2802" t="s">
        <v>22</v>
      </c>
      <c r="L2802" t="s">
        <v>23</v>
      </c>
      <c r="M2802" t="s">
        <v>24</v>
      </c>
      <c r="N2802" t="s">
        <v>24</v>
      </c>
      <c r="O2802" t="s">
        <v>25</v>
      </c>
      <c r="P2802" s="8" t="s">
        <v>3460</v>
      </c>
      <c r="Q2802" s="11"/>
      <c r="R2802" s="11"/>
      <c r="S2802" s="11"/>
      <c r="T2802" s="11"/>
      <c r="U2802" s="11"/>
      <c r="V2802" s="11"/>
      <c r="W2802" s="11"/>
      <c r="X2802" s="11"/>
      <c r="Y2802" s="11"/>
      <c r="Z2802" s="11"/>
      <c r="AA2802" s="11"/>
      <c r="AB2802" s="11"/>
      <c r="AC2802" s="11"/>
      <c r="AD2802" s="11"/>
      <c r="AE2802" s="11"/>
      <c r="AF2802" s="11"/>
      <c r="AG2802" s="11"/>
      <c r="AH2802" s="11"/>
      <c r="AI2802" s="11"/>
      <c r="AJ2802" s="11"/>
      <c r="AK2802" s="11"/>
      <c r="AL2802" s="11"/>
      <c r="AM2802" s="11"/>
      <c r="AN2802" s="11"/>
      <c r="AO2802" s="11"/>
      <c r="AP2802" s="11"/>
      <c r="AQ2802" s="11"/>
      <c r="AR2802" s="11"/>
      <c r="AS2802" s="11"/>
      <c r="AT2802" s="11"/>
      <c r="AU2802" s="11"/>
      <c r="AV2802" s="11"/>
      <c r="AW2802" s="11"/>
      <c r="AX2802" s="11"/>
      <c r="AY2802" s="11"/>
    </row>
    <row r="2803" spans="1:51" hidden="1" x14ac:dyDescent="0.2">
      <c r="A2803" s="6" t="s">
        <v>17</v>
      </c>
      <c r="B2803" t="s">
        <v>50</v>
      </c>
      <c r="C2803" t="s">
        <v>51</v>
      </c>
      <c r="D2803" t="s">
        <v>3461</v>
      </c>
      <c r="E2803" s="2">
        <v>205.2</v>
      </c>
      <c r="F2803" s="3">
        <f t="shared" si="244"/>
        <v>45968</v>
      </c>
      <c r="G2803" s="3">
        <f t="shared" si="244"/>
        <v>45968</v>
      </c>
      <c r="H2803">
        <v>3156884525</v>
      </c>
      <c r="I2803" t="s">
        <v>21</v>
      </c>
      <c r="K2803" t="s">
        <v>22</v>
      </c>
      <c r="L2803" t="s">
        <v>23</v>
      </c>
      <c r="M2803" t="s">
        <v>24</v>
      </c>
      <c r="N2803" t="s">
        <v>24</v>
      </c>
      <c r="O2803" t="s">
        <v>25</v>
      </c>
      <c r="P2803" s="8" t="s">
        <v>3462</v>
      </c>
      <c r="Q2803" s="11"/>
      <c r="R2803" s="11"/>
      <c r="S2803" s="11"/>
      <c r="T2803" s="11"/>
      <c r="U2803" s="11"/>
      <c r="V2803" s="11"/>
      <c r="W2803" s="11"/>
      <c r="X2803" s="11"/>
      <c r="Y2803" s="11"/>
      <c r="Z2803" s="11"/>
      <c r="AA2803" s="11"/>
      <c r="AB2803" s="11"/>
      <c r="AC2803" s="11"/>
      <c r="AD2803" s="11"/>
      <c r="AE2803" s="11"/>
      <c r="AF2803" s="11"/>
      <c r="AG2803" s="11"/>
      <c r="AH2803" s="11"/>
      <c r="AI2803" s="11"/>
      <c r="AJ2803" s="11"/>
      <c r="AK2803" s="11"/>
      <c r="AL2803" s="11"/>
      <c r="AM2803" s="11"/>
      <c r="AN2803" s="11"/>
      <c r="AO2803" s="11"/>
      <c r="AP2803" s="11"/>
      <c r="AQ2803" s="11"/>
      <c r="AR2803" s="11"/>
      <c r="AS2803" s="11"/>
      <c r="AT2803" s="11"/>
      <c r="AU2803" s="11"/>
      <c r="AV2803" s="11"/>
      <c r="AW2803" s="11"/>
      <c r="AX2803" s="11"/>
      <c r="AY2803" s="11"/>
    </row>
    <row r="2804" spans="1:51" hidden="1" x14ac:dyDescent="0.2">
      <c r="A2804" s="6"/>
      <c r="E2804" s="2"/>
      <c r="F2804" s="3"/>
      <c r="G2804" s="3"/>
      <c r="P2804" s="8"/>
      <c r="Q2804" s="11"/>
      <c r="R2804" s="11"/>
      <c r="S2804" s="11"/>
      <c r="T2804" s="11"/>
      <c r="U2804" s="11"/>
      <c r="V2804" s="11"/>
      <c r="W2804" s="11"/>
      <c r="X2804" s="11"/>
      <c r="Y2804" s="11"/>
      <c r="Z2804" s="11"/>
      <c r="AA2804" s="11"/>
      <c r="AB2804" s="11"/>
      <c r="AC2804" s="11"/>
      <c r="AD2804" s="11"/>
      <c r="AE2804" s="11"/>
      <c r="AF2804" s="11"/>
      <c r="AG2804" s="11"/>
      <c r="AH2804" s="11"/>
      <c r="AI2804" s="11"/>
      <c r="AJ2804" s="11"/>
      <c r="AK2804" s="11"/>
      <c r="AL2804" s="11"/>
      <c r="AM2804" s="11"/>
      <c r="AN2804" s="11"/>
      <c r="AO2804" s="11"/>
      <c r="AP2804" s="11"/>
      <c r="AQ2804" s="11"/>
      <c r="AR2804" s="11"/>
      <c r="AS2804" s="11"/>
      <c r="AT2804" s="11"/>
      <c r="AU2804" s="11"/>
      <c r="AV2804" s="11"/>
      <c r="AW2804" s="11"/>
      <c r="AX2804" s="11"/>
      <c r="AY2804" s="11"/>
    </row>
    <row r="2805" spans="1:51" hidden="1" x14ac:dyDescent="0.2">
      <c r="A2805" s="6" t="s">
        <v>17</v>
      </c>
      <c r="B2805" t="s">
        <v>18</v>
      </c>
      <c r="C2805" t="s">
        <v>19</v>
      </c>
      <c r="D2805" t="s">
        <v>3463</v>
      </c>
      <c r="E2805" s="2">
        <v>4.5199999999999996</v>
      </c>
      <c r="F2805" s="3">
        <f t="shared" ref="F2805:G2806" si="245">DATE(2025,11,6)</f>
        <v>45967</v>
      </c>
      <c r="G2805" s="3">
        <f t="shared" si="245"/>
        <v>45967</v>
      </c>
      <c r="H2805">
        <v>3156903934</v>
      </c>
      <c r="I2805" t="s">
        <v>192</v>
      </c>
      <c r="K2805" t="s">
        <v>22</v>
      </c>
      <c r="L2805" t="s">
        <v>23</v>
      </c>
      <c r="M2805" t="s">
        <v>24</v>
      </c>
      <c r="N2805" t="s">
        <v>24</v>
      </c>
      <c r="O2805" t="s">
        <v>25</v>
      </c>
      <c r="P2805" s="8" t="s">
        <v>3464</v>
      </c>
      <c r="Q2805" s="11"/>
      <c r="R2805" s="11"/>
      <c r="S2805" s="11"/>
      <c r="T2805" s="11"/>
      <c r="U2805" s="11"/>
      <c r="V2805" s="11"/>
      <c r="W2805" s="11"/>
      <c r="X2805" s="11"/>
      <c r="Y2805" s="11"/>
      <c r="Z2805" s="11"/>
      <c r="AA2805" s="11"/>
      <c r="AB2805" s="11"/>
      <c r="AC2805" s="11"/>
      <c r="AD2805" s="11"/>
      <c r="AE2805" s="11"/>
      <c r="AF2805" s="11"/>
      <c r="AG2805" s="11"/>
      <c r="AH2805" s="11"/>
      <c r="AI2805" s="11"/>
      <c r="AJ2805" s="11"/>
      <c r="AK2805" s="11"/>
      <c r="AL2805" s="11"/>
      <c r="AM2805" s="11"/>
      <c r="AN2805" s="11"/>
      <c r="AO2805" s="11"/>
      <c r="AP2805" s="11"/>
      <c r="AQ2805" s="11"/>
      <c r="AR2805" s="11"/>
      <c r="AS2805" s="11"/>
      <c r="AT2805" s="11"/>
      <c r="AU2805" s="11"/>
      <c r="AV2805" s="11"/>
      <c r="AW2805" s="11"/>
      <c r="AX2805" s="11"/>
      <c r="AY2805" s="11"/>
    </row>
    <row r="2806" spans="1:51" hidden="1" x14ac:dyDescent="0.2">
      <c r="A2806" s="6" t="s">
        <v>17</v>
      </c>
      <c r="B2806" t="s">
        <v>132</v>
      </c>
      <c r="C2806" t="s">
        <v>133</v>
      </c>
      <c r="D2806" t="s">
        <v>3465</v>
      </c>
      <c r="E2806" s="2">
        <v>78.8</v>
      </c>
      <c r="F2806" s="3">
        <f t="shared" si="245"/>
        <v>45967</v>
      </c>
      <c r="G2806" s="3">
        <f t="shared" si="245"/>
        <v>45967</v>
      </c>
      <c r="H2806">
        <v>3156903935</v>
      </c>
      <c r="I2806" t="s">
        <v>192</v>
      </c>
      <c r="K2806" t="s">
        <v>22</v>
      </c>
      <c r="L2806" t="s">
        <v>23</v>
      </c>
      <c r="M2806" t="s">
        <v>24</v>
      </c>
      <c r="N2806" t="s">
        <v>24</v>
      </c>
      <c r="O2806" t="s">
        <v>25</v>
      </c>
      <c r="P2806" s="8" t="s">
        <v>3466</v>
      </c>
      <c r="Q2806" s="11"/>
      <c r="R2806" s="11"/>
      <c r="S2806" s="11"/>
      <c r="T2806" s="11"/>
      <c r="U2806" s="11"/>
      <c r="V2806" s="11"/>
      <c r="W2806" s="11"/>
      <c r="X2806" s="11"/>
      <c r="Y2806" s="11"/>
      <c r="Z2806" s="11"/>
      <c r="AA2806" s="11"/>
      <c r="AB2806" s="11"/>
      <c r="AC2806" s="11"/>
      <c r="AD2806" s="11"/>
      <c r="AE2806" s="11"/>
      <c r="AF2806" s="11"/>
      <c r="AG2806" s="11"/>
      <c r="AH2806" s="11"/>
      <c r="AI2806" s="11"/>
      <c r="AJ2806" s="11"/>
      <c r="AK2806" s="11"/>
      <c r="AL2806" s="11"/>
      <c r="AM2806" s="11"/>
      <c r="AN2806" s="11"/>
      <c r="AO2806" s="11"/>
      <c r="AP2806" s="11"/>
      <c r="AQ2806" s="11"/>
      <c r="AR2806" s="11"/>
      <c r="AS2806" s="11"/>
      <c r="AT2806" s="11"/>
      <c r="AU2806" s="11"/>
      <c r="AV2806" s="11"/>
      <c r="AW2806" s="11"/>
      <c r="AX2806" s="11"/>
      <c r="AY2806" s="11"/>
    </row>
    <row r="2807" spans="1:51" hidden="1" x14ac:dyDescent="0.2">
      <c r="A2807" s="6"/>
      <c r="E2807" s="2"/>
      <c r="F2807" s="3"/>
      <c r="G2807" s="3"/>
      <c r="P2807" s="8"/>
      <c r="Q2807" s="11"/>
      <c r="R2807" s="11"/>
      <c r="S2807" s="11"/>
      <c r="T2807" s="11"/>
      <c r="U2807" s="11"/>
      <c r="V2807" s="11"/>
      <c r="W2807" s="11"/>
      <c r="X2807" s="11"/>
      <c r="Y2807" s="11"/>
      <c r="Z2807" s="11"/>
      <c r="AA2807" s="11"/>
      <c r="AB2807" s="11"/>
      <c r="AC2807" s="11"/>
      <c r="AD2807" s="11"/>
      <c r="AE2807" s="11"/>
      <c r="AF2807" s="11"/>
      <c r="AG2807" s="11"/>
      <c r="AH2807" s="11"/>
      <c r="AI2807" s="11"/>
      <c r="AJ2807" s="11"/>
      <c r="AK2807" s="11"/>
      <c r="AL2807" s="11"/>
      <c r="AM2807" s="11"/>
      <c r="AN2807" s="11"/>
      <c r="AO2807" s="11"/>
      <c r="AP2807" s="11"/>
      <c r="AQ2807" s="11"/>
      <c r="AR2807" s="11"/>
      <c r="AS2807" s="11"/>
      <c r="AT2807" s="11"/>
      <c r="AU2807" s="11"/>
      <c r="AV2807" s="11"/>
      <c r="AW2807" s="11"/>
      <c r="AX2807" s="11"/>
      <c r="AY2807" s="11"/>
    </row>
    <row r="2808" spans="1:51" hidden="1" x14ac:dyDescent="0.2">
      <c r="A2808" s="6" t="s">
        <v>17</v>
      </c>
      <c r="B2808" t="s">
        <v>132</v>
      </c>
      <c r="C2808" t="s">
        <v>133</v>
      </c>
      <c r="D2808" t="s">
        <v>3467</v>
      </c>
      <c r="E2808" s="2">
        <v>12.8</v>
      </c>
      <c r="F2808" s="3">
        <f>DATE(2025,11,7)</f>
        <v>45968</v>
      </c>
      <c r="G2808" s="3">
        <f>DATE(2025,11,7)</f>
        <v>45968</v>
      </c>
      <c r="H2808">
        <v>3163097691</v>
      </c>
      <c r="I2808" t="s">
        <v>192</v>
      </c>
      <c r="K2808" t="s">
        <v>22</v>
      </c>
      <c r="L2808" t="s">
        <v>23</v>
      </c>
      <c r="M2808" t="s">
        <v>24</v>
      </c>
      <c r="N2808" t="s">
        <v>24</v>
      </c>
      <c r="O2808" t="s">
        <v>25</v>
      </c>
      <c r="P2808" s="8" t="s">
        <v>3468</v>
      </c>
      <c r="Q2808" s="11"/>
      <c r="R2808" s="11"/>
      <c r="S2808" s="11"/>
      <c r="T2808" s="11"/>
      <c r="U2808" s="11"/>
      <c r="V2808" s="11"/>
      <c r="W2808" s="11"/>
      <c r="X2808" s="11"/>
      <c r="Y2808" s="11"/>
      <c r="Z2808" s="11"/>
      <c r="AA2808" s="11"/>
      <c r="AB2808" s="11"/>
      <c r="AC2808" s="11"/>
      <c r="AD2808" s="11"/>
      <c r="AE2808" s="11"/>
      <c r="AF2808" s="11"/>
      <c r="AG2808" s="11"/>
      <c r="AH2808" s="11"/>
      <c r="AI2808" s="11"/>
      <c r="AJ2808" s="11"/>
      <c r="AK2808" s="11"/>
      <c r="AL2808" s="11"/>
      <c r="AM2808" s="11"/>
      <c r="AN2808" s="11"/>
      <c r="AO2808" s="11"/>
      <c r="AP2808" s="11"/>
      <c r="AQ2808" s="11"/>
      <c r="AR2808" s="11"/>
      <c r="AS2808" s="11"/>
      <c r="AT2808" s="11"/>
      <c r="AU2808" s="11"/>
      <c r="AV2808" s="11"/>
      <c r="AW2808" s="11"/>
      <c r="AX2808" s="11"/>
      <c r="AY2808" s="11"/>
    </row>
    <row r="2809" spans="1:51" hidden="1" x14ac:dyDescent="0.2">
      <c r="A2809" s="6" t="s">
        <v>17</v>
      </c>
      <c r="B2809" t="s">
        <v>42</v>
      </c>
      <c r="C2809" t="s">
        <v>43</v>
      </c>
      <c r="D2809" t="s">
        <v>3469</v>
      </c>
      <c r="E2809" s="2">
        <v>143.30000000000001</v>
      </c>
      <c r="F2809" s="3">
        <f t="shared" ref="F2809:G2815" si="246">DATE(2025,11,10)</f>
        <v>45971</v>
      </c>
      <c r="G2809" s="3">
        <f t="shared" si="246"/>
        <v>45971</v>
      </c>
      <c r="H2809">
        <v>3174524220</v>
      </c>
      <c r="I2809" t="s">
        <v>21</v>
      </c>
      <c r="K2809" t="s">
        <v>22</v>
      </c>
      <c r="L2809" t="s">
        <v>23</v>
      </c>
      <c r="M2809" t="s">
        <v>24</v>
      </c>
      <c r="N2809" t="s">
        <v>24</v>
      </c>
      <c r="O2809" t="s">
        <v>25</v>
      </c>
      <c r="P2809" s="8" t="s">
        <v>3470</v>
      </c>
      <c r="Q2809" s="11"/>
      <c r="R2809" s="11"/>
      <c r="S2809" s="11"/>
      <c r="T2809" s="11"/>
      <c r="U2809" s="11"/>
      <c r="V2809" s="11"/>
      <c r="W2809" s="11"/>
      <c r="X2809" s="11"/>
      <c r="Y2809" s="11"/>
      <c r="Z2809" s="11"/>
      <c r="AA2809" s="11"/>
      <c r="AB2809" s="11"/>
      <c r="AC2809" s="11"/>
      <c r="AD2809" s="11"/>
      <c r="AE2809" s="11"/>
      <c r="AF2809" s="11"/>
      <c r="AG2809" s="11"/>
      <c r="AH2809" s="11"/>
      <c r="AI2809" s="11"/>
      <c r="AJ2809" s="11"/>
      <c r="AK2809" s="11"/>
      <c r="AL2809" s="11"/>
      <c r="AM2809" s="11"/>
      <c r="AN2809" s="11"/>
      <c r="AO2809" s="11"/>
      <c r="AP2809" s="11"/>
      <c r="AQ2809" s="11"/>
      <c r="AR2809" s="11"/>
      <c r="AS2809" s="11"/>
      <c r="AT2809" s="11"/>
      <c r="AU2809" s="11"/>
      <c r="AV2809" s="11"/>
      <c r="AW2809" s="11"/>
      <c r="AX2809" s="11"/>
      <c r="AY2809" s="11"/>
    </row>
    <row r="2810" spans="1:51" hidden="1" x14ac:dyDescent="0.2">
      <c r="A2810" s="6"/>
      <c r="E2810" s="2"/>
      <c r="F2810" s="3"/>
      <c r="G2810" s="3"/>
      <c r="P2810" s="8"/>
      <c r="Q2810" s="11"/>
      <c r="R2810" s="11"/>
      <c r="S2810" s="11"/>
      <c r="T2810" s="11"/>
      <c r="U2810" s="11"/>
      <c r="V2810" s="11"/>
      <c r="W2810" s="11"/>
      <c r="X2810" s="11"/>
      <c r="Y2810" s="11"/>
      <c r="Z2810" s="11"/>
      <c r="AA2810" s="11"/>
      <c r="AB2810" s="11"/>
      <c r="AC2810" s="11"/>
      <c r="AD2810" s="11"/>
      <c r="AE2810" s="11"/>
      <c r="AF2810" s="11"/>
      <c r="AG2810" s="11"/>
      <c r="AH2810" s="11"/>
      <c r="AI2810" s="11"/>
      <c r="AJ2810" s="11"/>
      <c r="AK2810" s="11"/>
      <c r="AL2810" s="11"/>
      <c r="AM2810" s="11"/>
      <c r="AN2810" s="11"/>
      <c r="AO2810" s="11"/>
      <c r="AP2810" s="11"/>
      <c r="AQ2810" s="11"/>
      <c r="AR2810" s="11"/>
      <c r="AS2810" s="11"/>
      <c r="AT2810" s="11"/>
      <c r="AU2810" s="11"/>
      <c r="AV2810" s="11"/>
      <c r="AW2810" s="11"/>
      <c r="AX2810" s="11"/>
      <c r="AY2810" s="11"/>
    </row>
    <row r="2811" spans="1:51" hidden="1" x14ac:dyDescent="0.2">
      <c r="A2811" s="6" t="s">
        <v>17</v>
      </c>
      <c r="B2811" t="s">
        <v>35</v>
      </c>
      <c r="C2811" t="s">
        <v>35</v>
      </c>
      <c r="D2811" t="s">
        <v>3471</v>
      </c>
      <c r="E2811" s="2">
        <v>9.26</v>
      </c>
      <c r="F2811" s="3">
        <f t="shared" si="246"/>
        <v>45971</v>
      </c>
      <c r="G2811" s="3">
        <f t="shared" si="246"/>
        <v>45971</v>
      </c>
      <c r="H2811">
        <v>3174524222</v>
      </c>
      <c r="I2811" t="s">
        <v>21</v>
      </c>
      <c r="K2811" t="s">
        <v>22</v>
      </c>
      <c r="L2811" t="s">
        <v>23</v>
      </c>
      <c r="M2811" t="s">
        <v>24</v>
      </c>
      <c r="N2811" t="s">
        <v>24</v>
      </c>
      <c r="O2811" t="s">
        <v>25</v>
      </c>
      <c r="P2811" s="8" t="s">
        <v>3472</v>
      </c>
      <c r="Q2811" s="11"/>
      <c r="R2811" s="11"/>
      <c r="S2811" s="11"/>
      <c r="T2811" s="11"/>
      <c r="U2811" s="11"/>
      <c r="V2811" s="11"/>
      <c r="W2811" s="11"/>
      <c r="X2811" s="11"/>
      <c r="Y2811" s="11"/>
      <c r="Z2811" s="11"/>
      <c r="AA2811" s="11"/>
      <c r="AB2811" s="11"/>
      <c r="AC2811" s="11"/>
      <c r="AD2811" s="11"/>
      <c r="AE2811" s="11"/>
      <c r="AF2811" s="11"/>
      <c r="AG2811" s="11"/>
      <c r="AH2811" s="11"/>
      <c r="AI2811" s="11"/>
      <c r="AJ2811" s="11"/>
      <c r="AK2811" s="11"/>
      <c r="AL2811" s="11"/>
      <c r="AM2811" s="11"/>
      <c r="AN2811" s="11"/>
      <c r="AO2811" s="11"/>
      <c r="AP2811" s="11"/>
      <c r="AQ2811" s="11"/>
      <c r="AR2811" s="11"/>
      <c r="AS2811" s="11"/>
      <c r="AT2811" s="11"/>
      <c r="AU2811" s="11"/>
      <c r="AV2811" s="11"/>
      <c r="AW2811" s="11"/>
      <c r="AX2811" s="11"/>
      <c r="AY2811" s="11"/>
    </row>
    <row r="2812" spans="1:51" hidden="1" x14ac:dyDescent="0.2">
      <c r="A2812" s="6" t="s">
        <v>17</v>
      </c>
      <c r="B2812" t="s">
        <v>1048</v>
      </c>
      <c r="C2812" t="s">
        <v>1049</v>
      </c>
      <c r="D2812" t="s">
        <v>3473</v>
      </c>
      <c r="E2812" s="2">
        <v>482.55</v>
      </c>
      <c r="F2812" s="3">
        <f t="shared" si="246"/>
        <v>45971</v>
      </c>
      <c r="G2812" s="3">
        <f t="shared" si="246"/>
        <v>45971</v>
      </c>
      <c r="H2812">
        <v>3174524223</v>
      </c>
      <c r="I2812" t="s">
        <v>21</v>
      </c>
      <c r="K2812" t="s">
        <v>22</v>
      </c>
      <c r="L2812" t="s">
        <v>23</v>
      </c>
      <c r="M2812" t="s">
        <v>24</v>
      </c>
      <c r="N2812" t="s">
        <v>24</v>
      </c>
      <c r="O2812" t="s">
        <v>25</v>
      </c>
      <c r="P2812" s="8" t="s">
        <v>3474</v>
      </c>
      <c r="Q2812" s="11"/>
      <c r="R2812" s="11"/>
      <c r="S2812" s="11"/>
      <c r="T2812" s="11"/>
      <c r="U2812" s="11"/>
      <c r="V2812" s="11"/>
      <c r="W2812" s="11"/>
      <c r="X2812" s="11"/>
      <c r="Y2812" s="11"/>
      <c r="Z2812" s="11"/>
      <c r="AA2812" s="11"/>
      <c r="AB2812" s="11"/>
      <c r="AC2812" s="11"/>
      <c r="AD2812" s="11"/>
      <c r="AE2812" s="11"/>
      <c r="AF2812" s="11"/>
      <c r="AG2812" s="11"/>
      <c r="AH2812" s="11"/>
      <c r="AI2812" s="11"/>
      <c r="AJ2812" s="11"/>
      <c r="AK2812" s="11"/>
      <c r="AL2812" s="11"/>
      <c r="AM2812" s="11"/>
      <c r="AN2812" s="11"/>
      <c r="AO2812" s="11"/>
      <c r="AP2812" s="11"/>
      <c r="AQ2812" s="11"/>
      <c r="AR2812" s="11"/>
      <c r="AS2812" s="11"/>
      <c r="AT2812" s="11"/>
      <c r="AU2812" s="11"/>
      <c r="AV2812" s="11"/>
      <c r="AW2812" s="11"/>
      <c r="AX2812" s="11"/>
      <c r="AY2812" s="11"/>
    </row>
    <row r="2813" spans="1:51" hidden="1" x14ac:dyDescent="0.2">
      <c r="A2813" s="6" t="s">
        <v>17</v>
      </c>
      <c r="B2813" t="s">
        <v>565</v>
      </c>
      <c r="C2813" t="s">
        <v>566</v>
      </c>
      <c r="D2813" t="s">
        <v>3475</v>
      </c>
      <c r="E2813" s="2">
        <v>202</v>
      </c>
      <c r="F2813" s="3">
        <f t="shared" si="246"/>
        <v>45971</v>
      </c>
      <c r="G2813" s="3">
        <f t="shared" si="246"/>
        <v>45971</v>
      </c>
      <c r="H2813">
        <v>3174524224</v>
      </c>
      <c r="I2813" t="s">
        <v>21</v>
      </c>
      <c r="K2813" t="s">
        <v>22</v>
      </c>
      <c r="L2813" t="s">
        <v>23</v>
      </c>
      <c r="M2813" t="s">
        <v>24</v>
      </c>
      <c r="N2813" t="s">
        <v>24</v>
      </c>
      <c r="O2813" t="s">
        <v>25</v>
      </c>
      <c r="P2813" s="8" t="s">
        <v>3476</v>
      </c>
      <c r="Q2813" s="11"/>
      <c r="R2813" s="11"/>
      <c r="S2813" s="11"/>
      <c r="T2813" s="11"/>
      <c r="U2813" s="11"/>
      <c r="V2813" s="11"/>
      <c r="W2813" s="11"/>
      <c r="X2813" s="11"/>
      <c r="Y2813" s="11"/>
      <c r="Z2813" s="11"/>
      <c r="AA2813" s="11"/>
      <c r="AB2813" s="11"/>
      <c r="AC2813" s="11"/>
      <c r="AD2813" s="11"/>
      <c r="AE2813" s="11"/>
      <c r="AF2813" s="11"/>
      <c r="AG2813" s="11"/>
      <c r="AH2813" s="11"/>
      <c r="AI2813" s="11"/>
      <c r="AJ2813" s="11"/>
      <c r="AK2813" s="11"/>
      <c r="AL2813" s="11"/>
      <c r="AM2813" s="11"/>
      <c r="AN2813" s="11"/>
      <c r="AO2813" s="11"/>
      <c r="AP2813" s="11"/>
      <c r="AQ2813" s="11"/>
      <c r="AR2813" s="11"/>
      <c r="AS2813" s="11"/>
      <c r="AT2813" s="11"/>
      <c r="AU2813" s="11"/>
      <c r="AV2813" s="11"/>
      <c r="AW2813" s="11"/>
      <c r="AX2813" s="11"/>
      <c r="AY2813" s="11"/>
    </row>
    <row r="2814" spans="1:51" hidden="1" x14ac:dyDescent="0.2">
      <c r="A2814" s="6" t="s">
        <v>17</v>
      </c>
      <c r="B2814" t="s">
        <v>1002</v>
      </c>
      <c r="C2814" t="s">
        <v>1003</v>
      </c>
      <c r="D2814" t="s">
        <v>3477</v>
      </c>
      <c r="E2814" s="2">
        <v>718.11</v>
      </c>
      <c r="F2814" s="3">
        <f t="shared" si="246"/>
        <v>45971</v>
      </c>
      <c r="G2814" s="3">
        <f t="shared" si="246"/>
        <v>45971</v>
      </c>
      <c r="H2814">
        <v>3174524225</v>
      </c>
      <c r="I2814" t="s">
        <v>21</v>
      </c>
      <c r="K2814" t="s">
        <v>22</v>
      </c>
      <c r="L2814" t="s">
        <v>23</v>
      </c>
      <c r="M2814" t="s">
        <v>24</v>
      </c>
      <c r="N2814" t="s">
        <v>24</v>
      </c>
      <c r="O2814" t="s">
        <v>25</v>
      </c>
      <c r="P2814" s="8" t="s">
        <v>3478</v>
      </c>
      <c r="Q2814" s="11"/>
      <c r="R2814" s="11"/>
      <c r="S2814" s="11"/>
      <c r="T2814" s="11"/>
      <c r="U2814" s="11"/>
      <c r="V2814" s="11"/>
      <c r="W2814" s="11"/>
      <c r="X2814" s="11"/>
      <c r="Y2814" s="11"/>
      <c r="Z2814" s="11"/>
      <c r="AA2814" s="11"/>
      <c r="AB2814" s="11"/>
      <c r="AC2814" s="11"/>
      <c r="AD2814" s="11"/>
      <c r="AE2814" s="11"/>
      <c r="AF2814" s="11"/>
      <c r="AG2814" s="11"/>
      <c r="AH2814" s="11"/>
      <c r="AI2814" s="11"/>
      <c r="AJ2814" s="11"/>
      <c r="AK2814" s="11"/>
      <c r="AL2814" s="11"/>
      <c r="AM2814" s="11"/>
      <c r="AN2814" s="11"/>
      <c r="AO2814" s="11"/>
      <c r="AP2814" s="11"/>
      <c r="AQ2814" s="11"/>
      <c r="AR2814" s="11"/>
      <c r="AS2814" s="11"/>
      <c r="AT2814" s="11"/>
      <c r="AU2814" s="11"/>
      <c r="AV2814" s="11"/>
      <c r="AW2814" s="11"/>
      <c r="AX2814" s="11"/>
      <c r="AY2814" s="11"/>
    </row>
    <row r="2815" spans="1:51" hidden="1" x14ac:dyDescent="0.2">
      <c r="A2815" s="6" t="s">
        <v>17</v>
      </c>
      <c r="B2815" t="s">
        <v>90</v>
      </c>
      <c r="C2815" t="s">
        <v>91</v>
      </c>
      <c r="D2815" t="s">
        <v>3479</v>
      </c>
      <c r="E2815" s="2">
        <v>1772.01</v>
      </c>
      <c r="F2815" s="3">
        <f t="shared" si="246"/>
        <v>45971</v>
      </c>
      <c r="G2815" s="3">
        <f t="shared" si="246"/>
        <v>45971</v>
      </c>
      <c r="H2815">
        <v>3174524226</v>
      </c>
      <c r="I2815" t="s">
        <v>21</v>
      </c>
      <c r="K2815" t="s">
        <v>22</v>
      </c>
      <c r="L2815" t="s">
        <v>23</v>
      </c>
      <c r="M2815" t="s">
        <v>24</v>
      </c>
      <c r="N2815" t="s">
        <v>24</v>
      </c>
      <c r="O2815" t="s">
        <v>25</v>
      </c>
      <c r="P2815" s="8" t="s">
        <v>3480</v>
      </c>
      <c r="Q2815" s="11"/>
      <c r="R2815" s="11"/>
      <c r="S2815" s="11"/>
      <c r="T2815" s="11"/>
      <c r="U2815" s="11"/>
      <c r="V2815" s="11"/>
      <c r="W2815" s="11"/>
      <c r="X2815" s="11"/>
      <c r="Y2815" s="11"/>
      <c r="Z2815" s="11"/>
      <c r="AA2815" s="11"/>
      <c r="AB2815" s="11"/>
      <c r="AC2815" s="11"/>
      <c r="AD2815" s="11"/>
      <c r="AE2815" s="11"/>
      <c r="AF2815" s="11"/>
      <c r="AG2815" s="11"/>
      <c r="AH2815" s="11"/>
      <c r="AI2815" s="11"/>
      <c r="AJ2815" s="11"/>
      <c r="AK2815" s="11"/>
      <c r="AL2815" s="11"/>
      <c r="AM2815" s="11"/>
      <c r="AN2815" s="11"/>
      <c r="AO2815" s="11"/>
      <c r="AP2815" s="11"/>
      <c r="AQ2815" s="11"/>
      <c r="AR2815" s="11"/>
      <c r="AS2815" s="11"/>
      <c r="AT2815" s="11"/>
      <c r="AU2815" s="11"/>
      <c r="AV2815" s="11"/>
      <c r="AW2815" s="11"/>
      <c r="AX2815" s="11"/>
      <c r="AY2815" s="11"/>
    </row>
    <row r="2816" spans="1:51" hidden="1" x14ac:dyDescent="0.2">
      <c r="A2816" s="6" t="s">
        <v>17</v>
      </c>
      <c r="B2816" t="s">
        <v>118</v>
      </c>
      <c r="C2816" t="s">
        <v>119</v>
      </c>
      <c r="D2816" t="s">
        <v>3481</v>
      </c>
      <c r="E2816" s="2">
        <v>36</v>
      </c>
      <c r="F2816" s="3">
        <f>DATE(2025,11,11)</f>
        <v>45972</v>
      </c>
      <c r="G2816" s="3">
        <f>DATE(2025,11,11)</f>
        <v>45972</v>
      </c>
      <c r="H2816">
        <v>3183006383</v>
      </c>
      <c r="I2816" t="s">
        <v>21</v>
      </c>
      <c r="K2816" t="s">
        <v>22</v>
      </c>
      <c r="L2816" t="s">
        <v>23</v>
      </c>
      <c r="M2816" t="s">
        <v>24</v>
      </c>
      <c r="N2816" t="s">
        <v>24</v>
      </c>
      <c r="O2816" t="s">
        <v>25</v>
      </c>
      <c r="P2816" s="8" t="s">
        <v>3482</v>
      </c>
      <c r="Q2816" s="11"/>
      <c r="R2816" s="11"/>
      <c r="S2816" s="11"/>
      <c r="T2816" s="11"/>
      <c r="U2816" s="11"/>
      <c r="V2816" s="11"/>
      <c r="W2816" s="11"/>
      <c r="X2816" s="11"/>
      <c r="Y2816" s="11"/>
      <c r="Z2816" s="11"/>
      <c r="AA2816" s="11"/>
      <c r="AB2816" s="11"/>
      <c r="AC2816" s="11"/>
      <c r="AD2816" s="11"/>
      <c r="AE2816" s="11"/>
      <c r="AF2816" s="11"/>
      <c r="AG2816" s="11"/>
      <c r="AH2816" s="11"/>
      <c r="AI2816" s="11"/>
      <c r="AJ2816" s="11"/>
      <c r="AK2816" s="11"/>
      <c r="AL2816" s="11"/>
      <c r="AM2816" s="11"/>
      <c r="AN2816" s="11"/>
      <c r="AO2816" s="11"/>
      <c r="AP2816" s="11"/>
      <c r="AQ2816" s="11"/>
      <c r="AR2816" s="11"/>
      <c r="AS2816" s="11"/>
      <c r="AT2816" s="11"/>
      <c r="AU2816" s="11"/>
      <c r="AV2816" s="11"/>
      <c r="AW2816" s="11"/>
      <c r="AX2816" s="11"/>
      <c r="AY2816" s="11"/>
    </row>
    <row r="2817" spans="1:51" hidden="1" x14ac:dyDescent="0.2">
      <c r="A2817" s="6" t="s">
        <v>17</v>
      </c>
      <c r="B2817" t="s">
        <v>27</v>
      </c>
      <c r="C2817" t="s">
        <v>28</v>
      </c>
      <c r="D2817" t="s">
        <v>3483</v>
      </c>
      <c r="E2817" s="2">
        <v>1156.0999999999999</v>
      </c>
      <c r="F2817" s="3">
        <f>DATE(2025,11,11)</f>
        <v>45972</v>
      </c>
      <c r="G2817" s="3">
        <f>DATE(2025,11,11)</f>
        <v>45972</v>
      </c>
      <c r="H2817">
        <v>3183006384</v>
      </c>
      <c r="I2817" t="s">
        <v>21</v>
      </c>
      <c r="K2817" t="s">
        <v>22</v>
      </c>
      <c r="L2817" t="s">
        <v>23</v>
      </c>
      <c r="M2817" t="s">
        <v>24</v>
      </c>
      <c r="N2817" t="s">
        <v>24</v>
      </c>
      <c r="O2817" t="s">
        <v>25</v>
      </c>
      <c r="P2817" s="8" t="s">
        <v>3484</v>
      </c>
      <c r="Q2817" s="11"/>
      <c r="R2817" s="11"/>
      <c r="S2817" s="11"/>
      <c r="T2817" s="11"/>
      <c r="U2817" s="11"/>
      <c r="V2817" s="11"/>
      <c r="W2817" s="11"/>
      <c r="X2817" s="11"/>
      <c r="Y2817" s="11"/>
      <c r="Z2817" s="11"/>
      <c r="AA2817" s="11"/>
      <c r="AB2817" s="11"/>
      <c r="AC2817" s="11"/>
      <c r="AD2817" s="11"/>
      <c r="AE2817" s="11"/>
      <c r="AF2817" s="11"/>
      <c r="AG2817" s="11"/>
      <c r="AH2817" s="11"/>
      <c r="AI2817" s="11"/>
      <c r="AJ2817" s="11"/>
      <c r="AK2817" s="11"/>
      <c r="AL2817" s="11"/>
      <c r="AM2817" s="11"/>
      <c r="AN2817" s="11"/>
      <c r="AO2817" s="11"/>
      <c r="AP2817" s="11"/>
      <c r="AQ2817" s="11"/>
      <c r="AR2817" s="11"/>
      <c r="AS2817" s="11"/>
      <c r="AT2817" s="11"/>
      <c r="AU2817" s="11"/>
      <c r="AV2817" s="11"/>
      <c r="AW2817" s="11"/>
      <c r="AX2817" s="11"/>
      <c r="AY2817" s="11"/>
    </row>
    <row r="2818" spans="1:51" hidden="1" x14ac:dyDescent="0.2">
      <c r="A2818" s="6"/>
      <c r="E2818" s="2"/>
      <c r="F2818" s="3"/>
      <c r="G2818" s="3"/>
      <c r="P2818" s="8"/>
      <c r="Q2818" s="11"/>
      <c r="R2818" s="11"/>
      <c r="S2818" s="11"/>
      <c r="T2818" s="11"/>
      <c r="U2818" s="11"/>
      <c r="V2818" s="11"/>
      <c r="W2818" s="11"/>
      <c r="X2818" s="11"/>
      <c r="Y2818" s="11"/>
      <c r="Z2818" s="11"/>
      <c r="AA2818" s="11"/>
      <c r="AB2818" s="11"/>
      <c r="AC2818" s="11"/>
      <c r="AD2818" s="11"/>
      <c r="AE2818" s="11"/>
      <c r="AF2818" s="11"/>
      <c r="AG2818" s="11"/>
      <c r="AH2818" s="11"/>
      <c r="AI2818" s="11"/>
      <c r="AJ2818" s="11"/>
      <c r="AK2818" s="11"/>
      <c r="AL2818" s="11"/>
      <c r="AM2818" s="11"/>
      <c r="AN2818" s="11"/>
      <c r="AO2818" s="11"/>
      <c r="AP2818" s="11"/>
      <c r="AQ2818" s="11"/>
      <c r="AR2818" s="11"/>
      <c r="AS2818" s="11"/>
      <c r="AT2818" s="11"/>
      <c r="AU2818" s="11"/>
      <c r="AV2818" s="11"/>
      <c r="AW2818" s="11"/>
      <c r="AX2818" s="11"/>
      <c r="AY2818" s="11"/>
    </row>
    <row r="2819" spans="1:51" hidden="1" x14ac:dyDescent="0.2">
      <c r="A2819" s="6" t="s">
        <v>17</v>
      </c>
      <c r="B2819" t="s">
        <v>27</v>
      </c>
      <c r="C2819" t="s">
        <v>28</v>
      </c>
      <c r="D2819" t="s">
        <v>3485</v>
      </c>
      <c r="E2819" s="2">
        <v>871.08</v>
      </c>
      <c r="F2819" s="3">
        <f>DATE(2025,11,11)</f>
        <v>45972</v>
      </c>
      <c r="G2819" s="3">
        <f>DATE(2025,11,11)</f>
        <v>45972</v>
      </c>
      <c r="H2819">
        <v>3183006386</v>
      </c>
      <c r="I2819" t="s">
        <v>21</v>
      </c>
      <c r="K2819" t="s">
        <v>22</v>
      </c>
      <c r="L2819" t="s">
        <v>23</v>
      </c>
      <c r="M2819" t="s">
        <v>24</v>
      </c>
      <c r="N2819" t="s">
        <v>24</v>
      </c>
      <c r="O2819" t="s">
        <v>25</v>
      </c>
      <c r="P2819" s="8" t="s">
        <v>3486</v>
      </c>
      <c r="Q2819" s="11"/>
      <c r="R2819" s="11"/>
      <c r="S2819" s="11"/>
      <c r="T2819" s="11"/>
      <c r="U2819" s="11"/>
      <c r="V2819" s="11"/>
      <c r="W2819" s="11"/>
      <c r="X2819" s="11"/>
      <c r="Y2819" s="11"/>
      <c r="Z2819" s="11"/>
      <c r="AA2819" s="11"/>
      <c r="AB2819" s="11"/>
      <c r="AC2819" s="11"/>
      <c r="AD2819" s="11"/>
      <c r="AE2819" s="11"/>
      <c r="AF2819" s="11"/>
      <c r="AG2819" s="11"/>
      <c r="AH2819" s="11"/>
      <c r="AI2819" s="11"/>
      <c r="AJ2819" s="11"/>
      <c r="AK2819" s="11"/>
      <c r="AL2819" s="11"/>
      <c r="AM2819" s="11"/>
      <c r="AN2819" s="11"/>
      <c r="AO2819" s="11"/>
      <c r="AP2819" s="11"/>
      <c r="AQ2819" s="11"/>
      <c r="AR2819" s="11"/>
      <c r="AS2819" s="11"/>
      <c r="AT2819" s="11"/>
      <c r="AU2819" s="11"/>
      <c r="AV2819" s="11"/>
      <c r="AW2819" s="11"/>
      <c r="AX2819" s="11"/>
      <c r="AY2819" s="11"/>
    </row>
    <row r="2820" spans="1:51" hidden="1" x14ac:dyDescent="0.2">
      <c r="A2820" s="6" t="s">
        <v>17</v>
      </c>
      <c r="B2820" t="s">
        <v>399</v>
      </c>
      <c r="C2820" t="s">
        <v>400</v>
      </c>
      <c r="D2820" t="s">
        <v>3487</v>
      </c>
      <c r="E2820" s="2">
        <v>10.49</v>
      </c>
      <c r="F2820" s="3">
        <f>DATE(2025,11,10)</f>
        <v>45971</v>
      </c>
      <c r="G2820" s="3">
        <f>DATE(2025,11,10)</f>
        <v>45971</v>
      </c>
      <c r="H2820">
        <v>3183018802</v>
      </c>
      <c r="I2820" t="s">
        <v>192</v>
      </c>
      <c r="K2820" t="s">
        <v>22</v>
      </c>
      <c r="L2820" t="s">
        <v>23</v>
      </c>
      <c r="M2820" t="s">
        <v>24</v>
      </c>
      <c r="N2820" t="s">
        <v>24</v>
      </c>
      <c r="O2820" t="s">
        <v>25</v>
      </c>
      <c r="P2820" s="8" t="s">
        <v>3488</v>
      </c>
      <c r="Q2820" s="11"/>
      <c r="R2820" s="11"/>
      <c r="S2820" s="11"/>
      <c r="T2820" s="11"/>
      <c r="U2820" s="11"/>
      <c r="V2820" s="11"/>
      <c r="W2820" s="11"/>
      <c r="X2820" s="11"/>
      <c r="Y2820" s="11"/>
      <c r="Z2820" s="11"/>
      <c r="AA2820" s="11"/>
      <c r="AB2820" s="11"/>
      <c r="AC2820" s="11"/>
      <c r="AD2820" s="11"/>
      <c r="AE2820" s="11"/>
      <c r="AF2820" s="11"/>
      <c r="AG2820" s="11"/>
      <c r="AH2820" s="11"/>
      <c r="AI2820" s="11"/>
      <c r="AJ2820" s="11"/>
      <c r="AK2820" s="11"/>
      <c r="AL2820" s="11"/>
      <c r="AM2820" s="11"/>
      <c r="AN2820" s="11"/>
      <c r="AO2820" s="11"/>
      <c r="AP2820" s="11"/>
      <c r="AQ2820" s="11"/>
      <c r="AR2820" s="11"/>
      <c r="AS2820" s="11"/>
      <c r="AT2820" s="11"/>
      <c r="AU2820" s="11"/>
      <c r="AV2820" s="11"/>
      <c r="AW2820" s="11"/>
      <c r="AX2820" s="11"/>
      <c r="AY2820" s="11"/>
    </row>
    <row r="2821" spans="1:51" hidden="1" x14ac:dyDescent="0.2">
      <c r="A2821" s="6" t="s">
        <v>17</v>
      </c>
      <c r="B2821" t="s">
        <v>456</v>
      </c>
      <c r="C2821" t="s">
        <v>457</v>
      </c>
      <c r="D2821" t="s">
        <v>3489</v>
      </c>
      <c r="E2821" s="2">
        <v>2.6</v>
      </c>
      <c r="F2821" s="3">
        <f>DATE(2025,11,10)</f>
        <v>45971</v>
      </c>
      <c r="G2821" s="3">
        <f>DATE(2025,11,10)</f>
        <v>45971</v>
      </c>
      <c r="H2821">
        <v>3183018803</v>
      </c>
      <c r="I2821" t="s">
        <v>192</v>
      </c>
      <c r="K2821" t="s">
        <v>22</v>
      </c>
      <c r="L2821" t="s">
        <v>23</v>
      </c>
      <c r="M2821" t="s">
        <v>24</v>
      </c>
      <c r="N2821" t="s">
        <v>24</v>
      </c>
      <c r="O2821" t="s">
        <v>25</v>
      </c>
      <c r="P2821" s="8" t="s">
        <v>3490</v>
      </c>
      <c r="Q2821" s="11"/>
      <c r="R2821" s="11"/>
      <c r="S2821" s="11"/>
      <c r="T2821" s="11"/>
      <c r="U2821" s="11"/>
      <c r="V2821" s="11"/>
      <c r="W2821" s="11"/>
      <c r="X2821" s="11"/>
      <c r="Y2821" s="11"/>
      <c r="Z2821" s="11"/>
      <c r="AA2821" s="11"/>
      <c r="AB2821" s="11"/>
      <c r="AC2821" s="11"/>
      <c r="AD2821" s="11"/>
      <c r="AE2821" s="11"/>
      <c r="AF2821" s="11"/>
      <c r="AG2821" s="11"/>
      <c r="AH2821" s="11"/>
      <c r="AI2821" s="11"/>
      <c r="AJ2821" s="11"/>
      <c r="AK2821" s="11"/>
      <c r="AL2821" s="11"/>
      <c r="AM2821" s="11"/>
      <c r="AN2821" s="11"/>
      <c r="AO2821" s="11"/>
      <c r="AP2821" s="11"/>
      <c r="AQ2821" s="11"/>
      <c r="AR2821" s="11"/>
      <c r="AS2821" s="11"/>
      <c r="AT2821" s="11"/>
      <c r="AU2821" s="11"/>
      <c r="AV2821" s="11"/>
      <c r="AW2821" s="11"/>
      <c r="AX2821" s="11"/>
      <c r="AY2821" s="11"/>
    </row>
    <row r="2822" spans="1:51" hidden="1" x14ac:dyDescent="0.2">
      <c r="A2822" s="6" t="s">
        <v>17</v>
      </c>
      <c r="B2822" t="s">
        <v>18</v>
      </c>
      <c r="C2822" t="s">
        <v>19</v>
      </c>
      <c r="D2822" t="s">
        <v>3491</v>
      </c>
      <c r="E2822" s="2">
        <v>566.4</v>
      </c>
      <c r="F2822" s="3">
        <f t="shared" ref="F2822:G2831" si="247">DATE(2025,11,12)</f>
        <v>45973</v>
      </c>
      <c r="G2822" s="3">
        <f t="shared" si="247"/>
        <v>45973</v>
      </c>
      <c r="H2822">
        <v>3194271610</v>
      </c>
      <c r="I2822" t="s">
        <v>21</v>
      </c>
      <c r="K2822" t="s">
        <v>22</v>
      </c>
      <c r="L2822" t="s">
        <v>23</v>
      </c>
      <c r="M2822" t="s">
        <v>24</v>
      </c>
      <c r="N2822" t="s">
        <v>24</v>
      </c>
      <c r="O2822" t="s">
        <v>25</v>
      </c>
      <c r="P2822" s="8" t="s">
        <v>3492</v>
      </c>
      <c r="Q2822" s="11"/>
      <c r="R2822" s="11"/>
      <c r="S2822" s="11"/>
      <c r="T2822" s="11"/>
      <c r="U2822" s="11"/>
      <c r="V2822" s="11"/>
      <c r="W2822" s="11"/>
      <c r="X2822" s="11"/>
      <c r="Y2822" s="11"/>
      <c r="Z2822" s="11"/>
      <c r="AA2822" s="11"/>
      <c r="AB2822" s="11"/>
      <c r="AC2822" s="11"/>
      <c r="AD2822" s="11"/>
      <c r="AE2822" s="11"/>
      <c r="AF2822" s="11"/>
      <c r="AG2822" s="11"/>
      <c r="AH2822" s="11"/>
      <c r="AI2822" s="11"/>
      <c r="AJ2822" s="11"/>
      <c r="AK2822" s="11"/>
      <c r="AL2822" s="11"/>
      <c r="AM2822" s="11"/>
      <c r="AN2822" s="11"/>
      <c r="AO2822" s="11"/>
      <c r="AP2822" s="11"/>
      <c r="AQ2822" s="11"/>
      <c r="AR2822" s="11"/>
      <c r="AS2822" s="11"/>
      <c r="AT2822" s="11"/>
      <c r="AU2822" s="11"/>
      <c r="AV2822" s="11"/>
      <c r="AW2822" s="11"/>
      <c r="AX2822" s="11"/>
      <c r="AY2822" s="11"/>
    </row>
    <row r="2823" spans="1:51" hidden="1" x14ac:dyDescent="0.2">
      <c r="A2823" s="6" t="s">
        <v>17</v>
      </c>
      <c r="B2823" t="s">
        <v>90</v>
      </c>
      <c r="C2823" t="s">
        <v>91</v>
      </c>
      <c r="D2823" t="s">
        <v>3493</v>
      </c>
      <c r="E2823" s="2">
        <v>840</v>
      </c>
      <c r="F2823" s="3">
        <f t="shared" si="247"/>
        <v>45973</v>
      </c>
      <c r="G2823" s="3">
        <f t="shared" si="247"/>
        <v>45973</v>
      </c>
      <c r="H2823">
        <v>3194271611</v>
      </c>
      <c r="I2823" t="s">
        <v>21</v>
      </c>
      <c r="K2823" t="s">
        <v>22</v>
      </c>
      <c r="L2823" t="s">
        <v>23</v>
      </c>
      <c r="M2823" t="s">
        <v>24</v>
      </c>
      <c r="N2823" t="s">
        <v>24</v>
      </c>
      <c r="O2823" t="s">
        <v>25</v>
      </c>
      <c r="P2823" s="8" t="s">
        <v>3494</v>
      </c>
      <c r="Q2823" s="11"/>
      <c r="R2823" s="11"/>
      <c r="S2823" s="11"/>
      <c r="T2823" s="11"/>
      <c r="U2823" s="11"/>
      <c r="V2823" s="11"/>
      <c r="W2823" s="11"/>
      <c r="X2823" s="11"/>
      <c r="Y2823" s="11"/>
      <c r="Z2823" s="11"/>
      <c r="AA2823" s="11"/>
      <c r="AB2823" s="11"/>
      <c r="AC2823" s="11"/>
      <c r="AD2823" s="11"/>
      <c r="AE2823" s="11"/>
      <c r="AF2823" s="11"/>
      <c r="AG2823" s="11"/>
      <c r="AH2823" s="11"/>
      <c r="AI2823" s="11"/>
      <c r="AJ2823" s="11"/>
      <c r="AK2823" s="11"/>
      <c r="AL2823" s="11"/>
      <c r="AM2823" s="11"/>
      <c r="AN2823" s="11"/>
      <c r="AO2823" s="11"/>
      <c r="AP2823" s="11"/>
      <c r="AQ2823" s="11"/>
      <c r="AR2823" s="11"/>
      <c r="AS2823" s="11"/>
      <c r="AT2823" s="11"/>
      <c r="AU2823" s="11"/>
      <c r="AV2823" s="11"/>
      <c r="AW2823" s="11"/>
      <c r="AX2823" s="11"/>
      <c r="AY2823" s="11"/>
    </row>
    <row r="2824" spans="1:51" hidden="1" x14ac:dyDescent="0.2">
      <c r="A2824" s="6" t="s">
        <v>17</v>
      </c>
      <c r="B2824" t="s">
        <v>18</v>
      </c>
      <c r="C2824" t="s">
        <v>19</v>
      </c>
      <c r="D2824" t="s">
        <v>3495</v>
      </c>
      <c r="E2824" s="2">
        <v>31.8</v>
      </c>
      <c r="F2824" s="3">
        <f t="shared" si="247"/>
        <v>45973</v>
      </c>
      <c r="G2824" s="3">
        <f t="shared" si="247"/>
        <v>45973</v>
      </c>
      <c r="H2824">
        <v>3194271612</v>
      </c>
      <c r="I2824" t="s">
        <v>21</v>
      </c>
      <c r="K2824" t="s">
        <v>22</v>
      </c>
      <c r="L2824" t="s">
        <v>23</v>
      </c>
      <c r="M2824" t="s">
        <v>24</v>
      </c>
      <c r="N2824" t="s">
        <v>24</v>
      </c>
      <c r="O2824" t="s">
        <v>25</v>
      </c>
      <c r="P2824" s="8" t="s">
        <v>3496</v>
      </c>
      <c r="Q2824" s="11"/>
      <c r="R2824" s="11"/>
      <c r="S2824" s="11"/>
      <c r="T2824" s="11"/>
      <c r="U2824" s="11"/>
      <c r="V2824" s="11"/>
      <c r="W2824" s="11"/>
      <c r="X2824" s="11"/>
      <c r="Y2824" s="11"/>
      <c r="Z2824" s="11"/>
      <c r="AA2824" s="11"/>
      <c r="AB2824" s="11"/>
      <c r="AC2824" s="11"/>
      <c r="AD2824" s="11"/>
      <c r="AE2824" s="11"/>
      <c r="AF2824" s="11"/>
      <c r="AG2824" s="11"/>
      <c r="AH2824" s="11"/>
      <c r="AI2824" s="11"/>
      <c r="AJ2824" s="11"/>
      <c r="AK2824" s="11"/>
      <c r="AL2824" s="11"/>
      <c r="AM2824" s="11"/>
      <c r="AN2824" s="11"/>
      <c r="AO2824" s="11"/>
      <c r="AP2824" s="11"/>
      <c r="AQ2824" s="11"/>
      <c r="AR2824" s="11"/>
      <c r="AS2824" s="11"/>
      <c r="AT2824" s="11"/>
      <c r="AU2824" s="11"/>
      <c r="AV2824" s="11"/>
      <c r="AW2824" s="11"/>
      <c r="AX2824" s="11"/>
      <c r="AY2824" s="11"/>
    </row>
    <row r="2825" spans="1:51" hidden="1" x14ac:dyDescent="0.2">
      <c r="A2825" s="6" t="s">
        <v>17</v>
      </c>
      <c r="B2825" t="s">
        <v>84</v>
      </c>
      <c r="C2825" t="s">
        <v>85</v>
      </c>
      <c r="D2825" t="s">
        <v>3497</v>
      </c>
      <c r="E2825" s="2">
        <v>58</v>
      </c>
      <c r="F2825" s="3">
        <f t="shared" si="247"/>
        <v>45973</v>
      </c>
      <c r="G2825" s="3">
        <f t="shared" si="247"/>
        <v>45973</v>
      </c>
      <c r="H2825">
        <v>3194271613</v>
      </c>
      <c r="I2825" t="s">
        <v>21</v>
      </c>
      <c r="K2825" t="s">
        <v>22</v>
      </c>
      <c r="L2825" t="s">
        <v>23</v>
      </c>
      <c r="M2825" t="s">
        <v>24</v>
      </c>
      <c r="N2825" t="s">
        <v>24</v>
      </c>
      <c r="O2825" t="s">
        <v>25</v>
      </c>
      <c r="P2825" s="8" t="s">
        <v>3498</v>
      </c>
      <c r="Q2825" s="11"/>
      <c r="R2825" s="11"/>
      <c r="S2825" s="11"/>
      <c r="T2825" s="11"/>
      <c r="U2825" s="11"/>
      <c r="V2825" s="11"/>
      <c r="W2825" s="11"/>
      <c r="X2825" s="11"/>
      <c r="Y2825" s="11"/>
      <c r="Z2825" s="11"/>
      <c r="AA2825" s="11"/>
      <c r="AB2825" s="11"/>
      <c r="AC2825" s="11"/>
      <c r="AD2825" s="11"/>
      <c r="AE2825" s="11"/>
      <c r="AF2825" s="11"/>
      <c r="AG2825" s="11"/>
      <c r="AH2825" s="11"/>
      <c r="AI2825" s="11"/>
      <c r="AJ2825" s="11"/>
      <c r="AK2825" s="11"/>
      <c r="AL2825" s="11"/>
      <c r="AM2825" s="11"/>
      <c r="AN2825" s="11"/>
      <c r="AO2825" s="11"/>
      <c r="AP2825" s="11"/>
      <c r="AQ2825" s="11"/>
      <c r="AR2825" s="11"/>
      <c r="AS2825" s="11"/>
      <c r="AT2825" s="11"/>
      <c r="AU2825" s="11"/>
      <c r="AV2825" s="11"/>
      <c r="AW2825" s="11"/>
      <c r="AX2825" s="11"/>
      <c r="AY2825" s="11"/>
    </row>
    <row r="2826" spans="1:51" hidden="1" x14ac:dyDescent="0.2">
      <c r="A2826" s="6" t="s">
        <v>17</v>
      </c>
      <c r="B2826" t="s">
        <v>46</v>
      </c>
      <c r="C2826" t="s">
        <v>47</v>
      </c>
      <c r="D2826" t="s">
        <v>3499</v>
      </c>
      <c r="E2826" s="2">
        <v>23.14</v>
      </c>
      <c r="F2826" s="3">
        <f t="shared" si="247"/>
        <v>45973</v>
      </c>
      <c r="G2826" s="3">
        <f t="shared" si="247"/>
        <v>45973</v>
      </c>
      <c r="H2826">
        <v>3194271614</v>
      </c>
      <c r="I2826" t="s">
        <v>21</v>
      </c>
      <c r="K2826" t="s">
        <v>22</v>
      </c>
      <c r="L2826" t="s">
        <v>23</v>
      </c>
      <c r="M2826" t="s">
        <v>24</v>
      </c>
      <c r="N2826" t="s">
        <v>24</v>
      </c>
      <c r="O2826" t="s">
        <v>25</v>
      </c>
      <c r="P2826" s="8" t="s">
        <v>3500</v>
      </c>
      <c r="Q2826" s="11"/>
      <c r="R2826" s="11"/>
      <c r="S2826" s="11"/>
      <c r="T2826" s="11"/>
      <c r="U2826" s="11"/>
      <c r="V2826" s="11"/>
      <c r="W2826" s="11"/>
      <c r="X2826" s="11"/>
      <c r="Y2826" s="11"/>
      <c r="Z2826" s="11"/>
      <c r="AA2826" s="11"/>
      <c r="AB2826" s="11"/>
      <c r="AC2826" s="11"/>
      <c r="AD2826" s="11"/>
      <c r="AE2826" s="11"/>
      <c r="AF2826" s="11"/>
      <c r="AG2826" s="11"/>
      <c r="AH2826" s="11"/>
      <c r="AI2826" s="11"/>
      <c r="AJ2826" s="11"/>
      <c r="AK2826" s="11"/>
      <c r="AL2826" s="11"/>
      <c r="AM2826" s="11"/>
      <c r="AN2826" s="11"/>
      <c r="AO2826" s="11"/>
      <c r="AP2826" s="11"/>
      <c r="AQ2826" s="11"/>
      <c r="AR2826" s="11"/>
      <c r="AS2826" s="11"/>
      <c r="AT2826" s="11"/>
      <c r="AU2826" s="11"/>
      <c r="AV2826" s="11"/>
      <c r="AW2826" s="11"/>
      <c r="AX2826" s="11"/>
      <c r="AY2826" s="11"/>
    </row>
    <row r="2827" spans="1:51" hidden="1" x14ac:dyDescent="0.2">
      <c r="A2827" s="6" t="s">
        <v>17</v>
      </c>
      <c r="B2827" t="s">
        <v>90</v>
      </c>
      <c r="C2827" t="s">
        <v>91</v>
      </c>
      <c r="D2827" t="s">
        <v>3501</v>
      </c>
      <c r="E2827" s="2">
        <v>1250</v>
      </c>
      <c r="F2827" s="3">
        <f t="shared" si="247"/>
        <v>45973</v>
      </c>
      <c r="G2827" s="3">
        <f t="shared" si="247"/>
        <v>45973</v>
      </c>
      <c r="H2827">
        <v>3194271615</v>
      </c>
      <c r="I2827" t="s">
        <v>21</v>
      </c>
      <c r="K2827" t="s">
        <v>22</v>
      </c>
      <c r="L2827" t="s">
        <v>23</v>
      </c>
      <c r="M2827" t="s">
        <v>24</v>
      </c>
      <c r="N2827" t="s">
        <v>24</v>
      </c>
      <c r="O2827" t="s">
        <v>25</v>
      </c>
      <c r="P2827" s="8" t="s">
        <v>3502</v>
      </c>
      <c r="Q2827" s="11"/>
      <c r="R2827" s="11"/>
      <c r="S2827" s="11"/>
      <c r="T2827" s="11"/>
      <c r="U2827" s="11"/>
      <c r="V2827" s="11"/>
      <c r="W2827" s="11"/>
      <c r="X2827" s="11"/>
      <c r="Y2827" s="11"/>
      <c r="Z2827" s="11"/>
      <c r="AA2827" s="11"/>
      <c r="AB2827" s="11"/>
      <c r="AC2827" s="11"/>
      <c r="AD2827" s="11"/>
      <c r="AE2827" s="11"/>
      <c r="AF2827" s="11"/>
      <c r="AG2827" s="11"/>
      <c r="AH2827" s="11"/>
      <c r="AI2827" s="11"/>
      <c r="AJ2827" s="11"/>
      <c r="AK2827" s="11"/>
      <c r="AL2827" s="11"/>
      <c r="AM2827" s="11"/>
      <c r="AN2827" s="11"/>
      <c r="AO2827" s="11"/>
      <c r="AP2827" s="11"/>
      <c r="AQ2827" s="11"/>
      <c r="AR2827" s="11"/>
      <c r="AS2827" s="11"/>
      <c r="AT2827" s="11"/>
      <c r="AU2827" s="11"/>
      <c r="AV2827" s="11"/>
      <c r="AW2827" s="11"/>
      <c r="AX2827" s="11"/>
      <c r="AY2827" s="11"/>
    </row>
    <row r="2828" spans="1:51" hidden="1" x14ac:dyDescent="0.2">
      <c r="A2828" s="6" t="s">
        <v>17</v>
      </c>
      <c r="B2828" t="s">
        <v>18</v>
      </c>
      <c r="C2828" t="s">
        <v>19</v>
      </c>
      <c r="D2828" t="s">
        <v>3503</v>
      </c>
      <c r="E2828" s="2">
        <v>1561.47</v>
      </c>
      <c r="F2828" s="3">
        <f t="shared" si="247"/>
        <v>45973</v>
      </c>
      <c r="G2828" s="3">
        <f t="shared" si="247"/>
        <v>45973</v>
      </c>
      <c r="H2828">
        <v>3194271616</v>
      </c>
      <c r="I2828" t="s">
        <v>21</v>
      </c>
      <c r="K2828" t="s">
        <v>22</v>
      </c>
      <c r="L2828" t="s">
        <v>23</v>
      </c>
      <c r="M2828" t="s">
        <v>24</v>
      </c>
      <c r="N2828" t="s">
        <v>24</v>
      </c>
      <c r="O2828" t="s">
        <v>25</v>
      </c>
      <c r="P2828" s="8" t="s">
        <v>3504</v>
      </c>
      <c r="Q2828" s="11"/>
      <c r="R2828" s="11"/>
      <c r="S2828" s="11"/>
      <c r="T2828" s="11"/>
      <c r="U2828" s="11"/>
      <c r="V2828" s="11"/>
      <c r="W2828" s="11"/>
      <c r="X2828" s="11"/>
      <c r="Y2828" s="11"/>
      <c r="Z2828" s="11"/>
      <c r="AA2828" s="11"/>
      <c r="AB2828" s="11"/>
      <c r="AC2828" s="11"/>
      <c r="AD2828" s="11"/>
      <c r="AE2828" s="11"/>
      <c r="AF2828" s="11"/>
      <c r="AG2828" s="11"/>
      <c r="AH2828" s="11"/>
      <c r="AI2828" s="11"/>
      <c r="AJ2828" s="11"/>
      <c r="AK2828" s="11"/>
      <c r="AL2828" s="11"/>
      <c r="AM2828" s="11"/>
      <c r="AN2828" s="11"/>
      <c r="AO2828" s="11"/>
      <c r="AP2828" s="11"/>
      <c r="AQ2828" s="11"/>
      <c r="AR2828" s="11"/>
      <c r="AS2828" s="11"/>
      <c r="AT2828" s="11"/>
      <c r="AU2828" s="11"/>
      <c r="AV2828" s="11"/>
      <c r="AW2828" s="11"/>
      <c r="AX2828" s="11"/>
      <c r="AY2828" s="11"/>
    </row>
    <row r="2829" spans="1:51" hidden="1" x14ac:dyDescent="0.2">
      <c r="A2829" s="6"/>
      <c r="E2829" s="2"/>
      <c r="F2829" s="3"/>
      <c r="G2829" s="3"/>
      <c r="P2829" s="8"/>
      <c r="Q2829" s="11"/>
      <c r="R2829" s="11"/>
      <c r="S2829" s="11"/>
      <c r="T2829" s="11"/>
      <c r="U2829" s="11"/>
      <c r="V2829" s="11"/>
      <c r="W2829" s="11"/>
      <c r="X2829" s="11"/>
      <c r="Y2829" s="11"/>
      <c r="Z2829" s="11"/>
      <c r="AA2829" s="11"/>
      <c r="AB2829" s="11"/>
      <c r="AC2829" s="11"/>
      <c r="AD2829" s="11"/>
      <c r="AE2829" s="11"/>
      <c r="AF2829" s="11"/>
      <c r="AG2829" s="11"/>
      <c r="AH2829" s="11"/>
      <c r="AI2829" s="11"/>
      <c r="AJ2829" s="11"/>
      <c r="AK2829" s="11"/>
      <c r="AL2829" s="11"/>
      <c r="AM2829" s="11"/>
      <c r="AN2829" s="11"/>
      <c r="AO2829" s="11"/>
      <c r="AP2829" s="11"/>
      <c r="AQ2829" s="11"/>
      <c r="AR2829" s="11"/>
      <c r="AS2829" s="11"/>
      <c r="AT2829" s="11"/>
      <c r="AU2829" s="11"/>
      <c r="AV2829" s="11"/>
      <c r="AW2829" s="11"/>
      <c r="AX2829" s="11"/>
      <c r="AY2829" s="11"/>
    </row>
    <row r="2830" spans="1:51" hidden="1" x14ac:dyDescent="0.2">
      <c r="A2830" s="6"/>
      <c r="E2830" s="2"/>
      <c r="F2830" s="3"/>
      <c r="G2830" s="3"/>
      <c r="P2830" s="8"/>
      <c r="Q2830" s="11"/>
      <c r="R2830" s="11"/>
      <c r="S2830" s="11"/>
      <c r="T2830" s="11"/>
      <c r="U2830" s="11"/>
      <c r="V2830" s="11"/>
      <c r="W2830" s="11"/>
      <c r="X2830" s="11"/>
      <c r="Y2830" s="11"/>
      <c r="Z2830" s="11"/>
      <c r="AA2830" s="11"/>
      <c r="AB2830" s="11"/>
      <c r="AC2830" s="11"/>
      <c r="AD2830" s="11"/>
      <c r="AE2830" s="11"/>
      <c r="AF2830" s="11"/>
      <c r="AG2830" s="11"/>
      <c r="AH2830" s="11"/>
      <c r="AI2830" s="11"/>
      <c r="AJ2830" s="11"/>
      <c r="AK2830" s="11"/>
      <c r="AL2830" s="11"/>
      <c r="AM2830" s="11"/>
      <c r="AN2830" s="11"/>
      <c r="AO2830" s="11"/>
      <c r="AP2830" s="11"/>
      <c r="AQ2830" s="11"/>
      <c r="AR2830" s="11"/>
      <c r="AS2830" s="11"/>
      <c r="AT2830" s="11"/>
      <c r="AU2830" s="11"/>
      <c r="AV2830" s="11"/>
      <c r="AW2830" s="11"/>
      <c r="AX2830" s="11"/>
      <c r="AY2830" s="11"/>
    </row>
    <row r="2831" spans="1:51" hidden="1" x14ac:dyDescent="0.2">
      <c r="A2831" s="6" t="s">
        <v>17</v>
      </c>
      <c r="B2831" t="s">
        <v>260</v>
      </c>
      <c r="C2831" t="s">
        <v>261</v>
      </c>
      <c r="D2831" t="s">
        <v>3505</v>
      </c>
      <c r="E2831" s="2">
        <v>580</v>
      </c>
      <c r="F2831" s="3">
        <f t="shared" si="247"/>
        <v>45973</v>
      </c>
      <c r="G2831" s="3">
        <f t="shared" si="247"/>
        <v>45973</v>
      </c>
      <c r="H2831">
        <v>3194271619</v>
      </c>
      <c r="I2831" t="s">
        <v>21</v>
      </c>
      <c r="K2831" t="s">
        <v>22</v>
      </c>
      <c r="L2831" t="s">
        <v>23</v>
      </c>
      <c r="M2831" t="s">
        <v>24</v>
      </c>
      <c r="N2831" t="s">
        <v>24</v>
      </c>
      <c r="O2831" t="s">
        <v>25</v>
      </c>
      <c r="P2831" s="8" t="s">
        <v>3506</v>
      </c>
      <c r="Q2831" s="11"/>
      <c r="R2831" s="11"/>
      <c r="S2831" s="11"/>
      <c r="T2831" s="11"/>
      <c r="U2831" s="11"/>
      <c r="V2831" s="11"/>
      <c r="W2831" s="11"/>
      <c r="X2831" s="11"/>
      <c r="Y2831" s="11"/>
      <c r="Z2831" s="11"/>
      <c r="AA2831" s="11"/>
      <c r="AB2831" s="11"/>
      <c r="AC2831" s="11"/>
      <c r="AD2831" s="11"/>
      <c r="AE2831" s="11"/>
      <c r="AF2831" s="11"/>
      <c r="AG2831" s="11"/>
      <c r="AH2831" s="11"/>
      <c r="AI2831" s="11"/>
      <c r="AJ2831" s="11"/>
      <c r="AK2831" s="11"/>
      <c r="AL2831" s="11"/>
      <c r="AM2831" s="11"/>
      <c r="AN2831" s="11"/>
      <c r="AO2831" s="11"/>
      <c r="AP2831" s="11"/>
      <c r="AQ2831" s="11"/>
      <c r="AR2831" s="11"/>
      <c r="AS2831" s="11"/>
      <c r="AT2831" s="11"/>
      <c r="AU2831" s="11"/>
      <c r="AV2831" s="11"/>
      <c r="AW2831" s="11"/>
      <c r="AX2831" s="11"/>
      <c r="AY2831" s="11"/>
    </row>
    <row r="2832" spans="1:51" hidden="1" x14ac:dyDescent="0.2">
      <c r="A2832" s="6"/>
      <c r="E2832" s="2"/>
      <c r="F2832" s="3"/>
      <c r="G2832" s="3"/>
      <c r="P2832" s="8"/>
      <c r="Q2832" s="11"/>
      <c r="R2832" s="11"/>
      <c r="S2832" s="11"/>
      <c r="T2832" s="11"/>
      <c r="U2832" s="11"/>
      <c r="V2832" s="11"/>
      <c r="W2832" s="11"/>
      <c r="X2832" s="11"/>
      <c r="Y2832" s="11"/>
      <c r="Z2832" s="11"/>
      <c r="AA2832" s="11"/>
      <c r="AB2832" s="11"/>
      <c r="AC2832" s="11"/>
      <c r="AD2832" s="11"/>
      <c r="AE2832" s="11"/>
      <c r="AF2832" s="11"/>
      <c r="AG2832" s="11"/>
      <c r="AH2832" s="11"/>
      <c r="AI2832" s="11"/>
      <c r="AJ2832" s="11"/>
      <c r="AK2832" s="11"/>
      <c r="AL2832" s="11"/>
      <c r="AM2832" s="11"/>
      <c r="AN2832" s="11"/>
      <c r="AO2832" s="11"/>
      <c r="AP2832" s="11"/>
      <c r="AQ2832" s="11"/>
      <c r="AR2832" s="11"/>
      <c r="AS2832" s="11"/>
      <c r="AT2832" s="11"/>
      <c r="AU2832" s="11"/>
      <c r="AV2832" s="11"/>
      <c r="AW2832" s="11"/>
      <c r="AX2832" s="11"/>
      <c r="AY2832" s="11"/>
    </row>
    <row r="2833" spans="1:51" hidden="1" x14ac:dyDescent="0.2">
      <c r="A2833" s="6" t="s">
        <v>17</v>
      </c>
      <c r="B2833" t="s">
        <v>878</v>
      </c>
      <c r="C2833" t="s">
        <v>879</v>
      </c>
      <c r="D2833" t="s">
        <v>3507</v>
      </c>
      <c r="E2833" s="2">
        <v>25.19</v>
      </c>
      <c r="F2833" s="3">
        <f t="shared" ref="F2833:G2835" si="248">DATE(2025,11,12)</f>
        <v>45973</v>
      </c>
      <c r="G2833" s="3">
        <f t="shared" si="248"/>
        <v>45973</v>
      </c>
      <c r="H2833">
        <v>3194271621</v>
      </c>
      <c r="I2833" t="s">
        <v>21</v>
      </c>
      <c r="K2833" t="s">
        <v>22</v>
      </c>
      <c r="L2833" t="s">
        <v>23</v>
      </c>
      <c r="M2833" t="s">
        <v>24</v>
      </c>
      <c r="N2833" t="s">
        <v>24</v>
      </c>
      <c r="O2833" t="s">
        <v>25</v>
      </c>
      <c r="P2833" s="8" t="s">
        <v>3508</v>
      </c>
      <c r="Q2833" s="11"/>
      <c r="R2833" s="11"/>
      <c r="S2833" s="11"/>
      <c r="T2833" s="11"/>
      <c r="U2833" s="11"/>
      <c r="V2833" s="11"/>
      <c r="W2833" s="11"/>
      <c r="X2833" s="11"/>
      <c r="Y2833" s="11"/>
      <c r="Z2833" s="11"/>
      <c r="AA2833" s="11"/>
      <c r="AB2833" s="11"/>
      <c r="AC2833" s="11"/>
      <c r="AD2833" s="11"/>
      <c r="AE2833" s="11"/>
      <c r="AF2833" s="11"/>
      <c r="AG2833" s="11"/>
      <c r="AH2833" s="11"/>
      <c r="AI2833" s="11"/>
      <c r="AJ2833" s="11"/>
      <c r="AK2833" s="11"/>
      <c r="AL2833" s="11"/>
      <c r="AM2833" s="11"/>
      <c r="AN2833" s="11"/>
      <c r="AO2833" s="11"/>
      <c r="AP2833" s="11"/>
      <c r="AQ2833" s="11"/>
      <c r="AR2833" s="11"/>
      <c r="AS2833" s="11"/>
      <c r="AT2833" s="11"/>
      <c r="AU2833" s="11"/>
      <c r="AV2833" s="11"/>
      <c r="AW2833" s="11"/>
      <c r="AX2833" s="11"/>
      <c r="AY2833" s="11"/>
    </row>
    <row r="2834" spans="1:51" hidden="1" x14ac:dyDescent="0.2">
      <c r="A2834" s="6"/>
      <c r="E2834" s="2"/>
      <c r="F2834" s="3"/>
      <c r="G2834" s="3"/>
      <c r="P2834" s="8"/>
      <c r="Q2834" s="11"/>
      <c r="R2834" s="11"/>
      <c r="S2834" s="11"/>
      <c r="T2834" s="11"/>
      <c r="U2834" s="11"/>
      <c r="V2834" s="11"/>
      <c r="W2834" s="11"/>
      <c r="X2834" s="11"/>
      <c r="Y2834" s="11"/>
      <c r="Z2834" s="11"/>
      <c r="AA2834" s="11"/>
      <c r="AB2834" s="11"/>
      <c r="AC2834" s="11"/>
      <c r="AD2834" s="11"/>
      <c r="AE2834" s="11"/>
      <c r="AF2834" s="11"/>
      <c r="AG2834" s="11"/>
      <c r="AH2834" s="11"/>
      <c r="AI2834" s="11"/>
      <c r="AJ2834" s="11"/>
      <c r="AK2834" s="11"/>
      <c r="AL2834" s="11"/>
      <c r="AM2834" s="11"/>
      <c r="AN2834" s="11"/>
      <c r="AO2834" s="11"/>
      <c r="AP2834" s="11"/>
      <c r="AQ2834" s="11"/>
      <c r="AR2834" s="11"/>
      <c r="AS2834" s="11"/>
      <c r="AT2834" s="11"/>
      <c r="AU2834" s="11"/>
      <c r="AV2834" s="11"/>
      <c r="AW2834" s="11"/>
      <c r="AX2834" s="11"/>
      <c r="AY2834" s="11"/>
    </row>
    <row r="2835" spans="1:51" hidden="1" x14ac:dyDescent="0.2">
      <c r="A2835" s="6" t="s">
        <v>17</v>
      </c>
      <c r="B2835" t="s">
        <v>35</v>
      </c>
      <c r="C2835" t="s">
        <v>35</v>
      </c>
      <c r="D2835" t="s">
        <v>3509</v>
      </c>
      <c r="E2835" s="2">
        <v>30.98</v>
      </c>
      <c r="F2835" s="3">
        <f t="shared" si="248"/>
        <v>45973</v>
      </c>
      <c r="G2835" s="3">
        <f t="shared" si="248"/>
        <v>45973</v>
      </c>
      <c r="H2835">
        <v>3194289364</v>
      </c>
      <c r="I2835" t="s">
        <v>192</v>
      </c>
      <c r="K2835" t="s">
        <v>22</v>
      </c>
      <c r="L2835" t="s">
        <v>23</v>
      </c>
      <c r="M2835" t="s">
        <v>24</v>
      </c>
      <c r="N2835" t="s">
        <v>24</v>
      </c>
      <c r="O2835" t="s">
        <v>25</v>
      </c>
      <c r="P2835" s="8" t="s">
        <v>3510</v>
      </c>
      <c r="Q2835" s="11"/>
      <c r="R2835" s="11"/>
      <c r="S2835" s="11"/>
      <c r="T2835" s="11"/>
      <c r="U2835" s="11"/>
      <c r="V2835" s="11"/>
      <c r="W2835" s="11"/>
      <c r="X2835" s="11"/>
      <c r="Y2835" s="11"/>
      <c r="Z2835" s="11"/>
      <c r="AA2835" s="11"/>
      <c r="AB2835" s="11"/>
      <c r="AC2835" s="11"/>
      <c r="AD2835" s="11"/>
      <c r="AE2835" s="11"/>
      <c r="AF2835" s="11"/>
      <c r="AG2835" s="11"/>
      <c r="AH2835" s="11"/>
      <c r="AI2835" s="11"/>
      <c r="AJ2835" s="11"/>
      <c r="AK2835" s="11"/>
      <c r="AL2835" s="11"/>
      <c r="AM2835" s="11"/>
      <c r="AN2835" s="11"/>
      <c r="AO2835" s="11"/>
      <c r="AP2835" s="11"/>
      <c r="AQ2835" s="11"/>
      <c r="AR2835" s="11"/>
      <c r="AS2835" s="11"/>
      <c r="AT2835" s="11"/>
      <c r="AU2835" s="11"/>
      <c r="AV2835" s="11"/>
      <c r="AW2835" s="11"/>
      <c r="AX2835" s="11"/>
      <c r="AY2835" s="11"/>
    </row>
    <row r="2836" spans="1:51" hidden="1" x14ac:dyDescent="0.2">
      <c r="A2836" s="6"/>
      <c r="E2836" s="2"/>
      <c r="F2836" s="3"/>
      <c r="G2836" s="3"/>
      <c r="P2836" s="8"/>
      <c r="Q2836" s="11"/>
      <c r="R2836" s="11"/>
      <c r="S2836" s="11"/>
      <c r="T2836" s="11"/>
      <c r="U2836" s="11"/>
      <c r="V2836" s="11"/>
      <c r="W2836" s="11"/>
      <c r="X2836" s="11"/>
      <c r="Y2836" s="11"/>
      <c r="Z2836" s="11"/>
      <c r="AA2836" s="11"/>
      <c r="AB2836" s="11"/>
      <c r="AC2836" s="11"/>
      <c r="AD2836" s="11"/>
      <c r="AE2836" s="11"/>
      <c r="AF2836" s="11"/>
      <c r="AG2836" s="11"/>
      <c r="AH2836" s="11"/>
      <c r="AI2836" s="11"/>
      <c r="AJ2836" s="11"/>
      <c r="AK2836" s="11"/>
      <c r="AL2836" s="11"/>
      <c r="AM2836" s="11"/>
      <c r="AN2836" s="11"/>
      <c r="AO2836" s="11"/>
      <c r="AP2836" s="11"/>
      <c r="AQ2836" s="11"/>
      <c r="AR2836" s="11"/>
      <c r="AS2836" s="11"/>
      <c r="AT2836" s="11"/>
      <c r="AU2836" s="11"/>
      <c r="AV2836" s="11"/>
      <c r="AW2836" s="11"/>
      <c r="AX2836" s="11"/>
      <c r="AY2836" s="11"/>
    </row>
    <row r="2837" spans="1:51" hidden="1" x14ac:dyDescent="0.2">
      <c r="A2837" s="6"/>
      <c r="E2837" s="2"/>
      <c r="F2837" s="3"/>
      <c r="G2837" s="3"/>
      <c r="P2837" s="8"/>
      <c r="Q2837" s="11"/>
      <c r="R2837" s="11"/>
      <c r="S2837" s="11"/>
      <c r="T2837" s="11"/>
      <c r="U2837" s="11"/>
      <c r="V2837" s="11"/>
      <c r="W2837" s="11"/>
      <c r="X2837" s="11"/>
      <c r="Y2837" s="11"/>
      <c r="Z2837" s="11"/>
      <c r="AA2837" s="11"/>
      <c r="AB2837" s="11"/>
      <c r="AC2837" s="11"/>
      <c r="AD2837" s="11"/>
      <c r="AE2837" s="11"/>
      <c r="AF2837" s="11"/>
      <c r="AG2837" s="11"/>
      <c r="AH2837" s="11"/>
      <c r="AI2837" s="11"/>
      <c r="AJ2837" s="11"/>
      <c r="AK2837" s="11"/>
      <c r="AL2837" s="11"/>
      <c r="AM2837" s="11"/>
      <c r="AN2837" s="11"/>
      <c r="AO2837" s="11"/>
      <c r="AP2837" s="11"/>
      <c r="AQ2837" s="11"/>
      <c r="AR2837" s="11"/>
      <c r="AS2837" s="11"/>
      <c r="AT2837" s="11"/>
      <c r="AU2837" s="11"/>
      <c r="AV2837" s="11"/>
      <c r="AW2837" s="11"/>
      <c r="AX2837" s="11"/>
      <c r="AY2837" s="11"/>
    </row>
    <row r="2838" spans="1:51" hidden="1" x14ac:dyDescent="0.2">
      <c r="A2838" s="6"/>
      <c r="E2838" s="2"/>
      <c r="F2838" s="3"/>
      <c r="G2838" s="3"/>
      <c r="P2838" s="8"/>
      <c r="Q2838" s="11"/>
      <c r="R2838" s="11"/>
      <c r="S2838" s="11"/>
      <c r="T2838" s="11"/>
      <c r="U2838" s="11"/>
      <c r="V2838" s="11"/>
      <c r="W2838" s="11"/>
      <c r="X2838" s="11"/>
      <c r="Y2838" s="11"/>
      <c r="Z2838" s="11"/>
      <c r="AA2838" s="11"/>
      <c r="AB2838" s="11"/>
      <c r="AC2838" s="11"/>
      <c r="AD2838" s="11"/>
      <c r="AE2838" s="11"/>
      <c r="AF2838" s="11"/>
      <c r="AG2838" s="11"/>
      <c r="AH2838" s="11"/>
      <c r="AI2838" s="11"/>
      <c r="AJ2838" s="11"/>
      <c r="AK2838" s="11"/>
      <c r="AL2838" s="11"/>
      <c r="AM2838" s="11"/>
      <c r="AN2838" s="11"/>
      <c r="AO2838" s="11"/>
      <c r="AP2838" s="11"/>
      <c r="AQ2838" s="11"/>
      <c r="AR2838" s="11"/>
      <c r="AS2838" s="11"/>
      <c r="AT2838" s="11"/>
      <c r="AU2838" s="11"/>
      <c r="AV2838" s="11"/>
      <c r="AW2838" s="11"/>
      <c r="AX2838" s="11"/>
      <c r="AY2838" s="11"/>
    </row>
    <row r="2839" spans="1:51" hidden="1" x14ac:dyDescent="0.2">
      <c r="A2839" s="6" t="s">
        <v>17</v>
      </c>
      <c r="B2839" t="s">
        <v>31</v>
      </c>
      <c r="C2839" t="s">
        <v>32</v>
      </c>
      <c r="D2839" t="s">
        <v>3511</v>
      </c>
      <c r="E2839" s="2">
        <v>143.91999999999999</v>
      </c>
      <c r="F2839" s="3">
        <f t="shared" ref="F2839:G2841" si="249">DATE(2025,11,14)</f>
        <v>45975</v>
      </c>
      <c r="G2839" s="3">
        <f t="shared" si="249"/>
        <v>45975</v>
      </c>
      <c r="H2839">
        <v>3203844270</v>
      </c>
      <c r="I2839" t="s">
        <v>21</v>
      </c>
      <c r="K2839" t="s">
        <v>22</v>
      </c>
      <c r="L2839" t="s">
        <v>23</v>
      </c>
      <c r="M2839" t="s">
        <v>24</v>
      </c>
      <c r="N2839" t="s">
        <v>24</v>
      </c>
      <c r="O2839" t="s">
        <v>25</v>
      </c>
      <c r="P2839" s="8" t="s">
        <v>3512</v>
      </c>
      <c r="Q2839" s="11"/>
      <c r="R2839" s="11"/>
      <c r="S2839" s="11"/>
      <c r="T2839" s="11"/>
      <c r="U2839" s="11"/>
      <c r="V2839" s="11"/>
      <c r="W2839" s="11"/>
      <c r="X2839" s="11"/>
      <c r="Y2839" s="11"/>
      <c r="Z2839" s="11"/>
      <c r="AA2839" s="11"/>
      <c r="AB2839" s="11"/>
      <c r="AC2839" s="11"/>
      <c r="AD2839" s="11"/>
      <c r="AE2839" s="11"/>
      <c r="AF2839" s="11"/>
      <c r="AG2839" s="11"/>
      <c r="AH2839" s="11"/>
      <c r="AI2839" s="11"/>
      <c r="AJ2839" s="11"/>
      <c r="AK2839" s="11"/>
      <c r="AL2839" s="11"/>
      <c r="AM2839" s="11"/>
      <c r="AN2839" s="11"/>
      <c r="AO2839" s="11"/>
      <c r="AP2839" s="11"/>
      <c r="AQ2839" s="11"/>
      <c r="AR2839" s="11"/>
      <c r="AS2839" s="11"/>
      <c r="AT2839" s="11"/>
      <c r="AU2839" s="11"/>
      <c r="AV2839" s="11"/>
      <c r="AW2839" s="11"/>
      <c r="AX2839" s="11"/>
      <c r="AY2839" s="11"/>
    </row>
    <row r="2840" spans="1:51" hidden="1" x14ac:dyDescent="0.2">
      <c r="A2840" s="6" t="s">
        <v>17</v>
      </c>
      <c r="B2840" t="s">
        <v>31</v>
      </c>
      <c r="C2840" t="s">
        <v>32</v>
      </c>
      <c r="D2840" t="s">
        <v>3513</v>
      </c>
      <c r="E2840" s="2">
        <v>129.19999999999999</v>
      </c>
      <c r="F2840" s="3">
        <f t="shared" si="249"/>
        <v>45975</v>
      </c>
      <c r="G2840" s="3">
        <f t="shared" si="249"/>
        <v>45975</v>
      </c>
      <c r="H2840">
        <v>3203844271</v>
      </c>
      <c r="I2840" t="s">
        <v>21</v>
      </c>
      <c r="K2840" t="s">
        <v>22</v>
      </c>
      <c r="L2840" t="s">
        <v>23</v>
      </c>
      <c r="M2840" t="s">
        <v>24</v>
      </c>
      <c r="N2840" t="s">
        <v>24</v>
      </c>
      <c r="O2840" t="s">
        <v>25</v>
      </c>
      <c r="P2840" s="8" t="s">
        <v>3514</v>
      </c>
      <c r="Q2840" s="11"/>
      <c r="R2840" s="11"/>
      <c r="S2840" s="11"/>
      <c r="T2840" s="11"/>
      <c r="U2840" s="11"/>
      <c r="V2840" s="11"/>
      <c r="W2840" s="11"/>
      <c r="X2840" s="11"/>
      <c r="Y2840" s="11"/>
      <c r="Z2840" s="11"/>
      <c r="AA2840" s="11"/>
      <c r="AB2840" s="11"/>
      <c r="AC2840" s="11"/>
      <c r="AD2840" s="11"/>
      <c r="AE2840" s="11"/>
      <c r="AF2840" s="11"/>
      <c r="AG2840" s="11"/>
      <c r="AH2840" s="11"/>
      <c r="AI2840" s="11"/>
      <c r="AJ2840" s="11"/>
      <c r="AK2840" s="11"/>
      <c r="AL2840" s="11"/>
      <c r="AM2840" s="11"/>
      <c r="AN2840" s="11"/>
      <c r="AO2840" s="11"/>
      <c r="AP2840" s="11"/>
      <c r="AQ2840" s="11"/>
      <c r="AR2840" s="11"/>
      <c r="AS2840" s="11"/>
      <c r="AT2840" s="11"/>
      <c r="AU2840" s="11"/>
      <c r="AV2840" s="11"/>
      <c r="AW2840" s="11"/>
      <c r="AX2840" s="11"/>
      <c r="AY2840" s="11"/>
    </row>
    <row r="2841" spans="1:51" hidden="1" x14ac:dyDescent="0.2">
      <c r="A2841" s="6" t="s">
        <v>17</v>
      </c>
      <c r="B2841" t="s">
        <v>46</v>
      </c>
      <c r="C2841" t="s">
        <v>47</v>
      </c>
      <c r="D2841" t="s">
        <v>3515</v>
      </c>
      <c r="E2841" s="2">
        <v>398.4</v>
      </c>
      <c r="F2841" s="3">
        <f t="shared" si="249"/>
        <v>45975</v>
      </c>
      <c r="G2841" s="3">
        <f t="shared" si="249"/>
        <v>45975</v>
      </c>
      <c r="H2841">
        <v>3203844272</v>
      </c>
      <c r="I2841" t="s">
        <v>21</v>
      </c>
      <c r="K2841" t="s">
        <v>22</v>
      </c>
      <c r="L2841" t="s">
        <v>23</v>
      </c>
      <c r="M2841" t="s">
        <v>24</v>
      </c>
      <c r="N2841" t="s">
        <v>24</v>
      </c>
      <c r="O2841" t="s">
        <v>25</v>
      </c>
      <c r="P2841" s="8" t="s">
        <v>3516</v>
      </c>
      <c r="Q2841" s="11"/>
      <c r="R2841" s="11"/>
      <c r="S2841" s="11"/>
      <c r="T2841" s="11"/>
      <c r="U2841" s="11"/>
      <c r="V2841" s="11"/>
      <c r="W2841" s="11"/>
      <c r="X2841" s="11"/>
      <c r="Y2841" s="11"/>
      <c r="Z2841" s="11"/>
      <c r="AA2841" s="11"/>
      <c r="AB2841" s="11"/>
      <c r="AC2841" s="11"/>
      <c r="AD2841" s="11"/>
      <c r="AE2841" s="11"/>
      <c r="AF2841" s="11"/>
      <c r="AG2841" s="11"/>
      <c r="AH2841" s="11"/>
      <c r="AI2841" s="11"/>
      <c r="AJ2841" s="11"/>
      <c r="AK2841" s="11"/>
      <c r="AL2841" s="11"/>
      <c r="AM2841" s="11"/>
      <c r="AN2841" s="11"/>
      <c r="AO2841" s="11"/>
      <c r="AP2841" s="11"/>
      <c r="AQ2841" s="11"/>
      <c r="AR2841" s="11"/>
      <c r="AS2841" s="11"/>
      <c r="AT2841" s="11"/>
      <c r="AU2841" s="11"/>
      <c r="AV2841" s="11"/>
      <c r="AW2841" s="11"/>
      <c r="AX2841" s="11"/>
      <c r="AY2841" s="11"/>
    </row>
    <row r="2842" spans="1:51" hidden="1" x14ac:dyDescent="0.2">
      <c r="A2842" s="6"/>
      <c r="E2842" s="2"/>
      <c r="F2842" s="3"/>
      <c r="G2842" s="3"/>
      <c r="P2842" s="8"/>
      <c r="Q2842" s="11"/>
      <c r="R2842" s="11"/>
      <c r="S2842" s="11"/>
      <c r="T2842" s="11"/>
      <c r="U2842" s="11"/>
      <c r="V2842" s="11"/>
      <c r="W2842" s="11"/>
      <c r="X2842" s="11"/>
      <c r="Y2842" s="11"/>
      <c r="Z2842" s="11"/>
      <c r="AA2842" s="11"/>
      <c r="AB2842" s="11"/>
      <c r="AC2842" s="11"/>
      <c r="AD2842" s="11"/>
      <c r="AE2842" s="11"/>
      <c r="AF2842" s="11"/>
      <c r="AG2842" s="11"/>
      <c r="AH2842" s="11"/>
      <c r="AI2842" s="11"/>
      <c r="AJ2842" s="11"/>
      <c r="AK2842" s="11"/>
      <c r="AL2842" s="11"/>
      <c r="AM2842" s="11"/>
      <c r="AN2842" s="11"/>
      <c r="AO2842" s="11"/>
      <c r="AP2842" s="11"/>
      <c r="AQ2842" s="11"/>
      <c r="AR2842" s="11"/>
      <c r="AS2842" s="11"/>
      <c r="AT2842" s="11"/>
      <c r="AU2842" s="11"/>
      <c r="AV2842" s="11"/>
      <c r="AW2842" s="11"/>
      <c r="AX2842" s="11"/>
      <c r="AY2842" s="11"/>
    </row>
    <row r="2843" spans="1:51" hidden="1" x14ac:dyDescent="0.2">
      <c r="A2843" s="6" t="s">
        <v>17</v>
      </c>
      <c r="B2843" t="s">
        <v>1002</v>
      </c>
      <c r="C2843" t="s">
        <v>1003</v>
      </c>
      <c r="D2843" t="s">
        <v>3517</v>
      </c>
      <c r="E2843" s="2">
        <v>470.65</v>
      </c>
      <c r="F2843" s="3">
        <f t="shared" ref="F2843:G2844" si="250">DATE(2025,11,17)</f>
        <v>45978</v>
      </c>
      <c r="G2843" s="3">
        <f t="shared" si="250"/>
        <v>45978</v>
      </c>
      <c r="H2843">
        <v>3223271980</v>
      </c>
      <c r="I2843" t="s">
        <v>21</v>
      </c>
      <c r="K2843" t="s">
        <v>22</v>
      </c>
      <c r="L2843" t="s">
        <v>23</v>
      </c>
      <c r="M2843" t="s">
        <v>24</v>
      </c>
      <c r="N2843" t="s">
        <v>24</v>
      </c>
      <c r="O2843" t="s">
        <v>25</v>
      </c>
      <c r="P2843" s="8" t="s">
        <v>3518</v>
      </c>
      <c r="Q2843" s="11"/>
      <c r="R2843" s="11"/>
      <c r="S2843" s="11"/>
      <c r="T2843" s="11"/>
      <c r="U2843" s="11"/>
      <c r="V2843" s="11"/>
      <c r="W2843" s="11"/>
      <c r="X2843" s="11"/>
      <c r="Y2843" s="11"/>
      <c r="Z2843" s="11"/>
      <c r="AA2843" s="11"/>
      <c r="AB2843" s="11"/>
      <c r="AC2843" s="11"/>
      <c r="AD2843" s="11"/>
      <c r="AE2843" s="11"/>
      <c r="AF2843" s="11"/>
      <c r="AG2843" s="11"/>
      <c r="AH2843" s="11"/>
      <c r="AI2843" s="11"/>
      <c r="AJ2843" s="11"/>
      <c r="AK2843" s="11"/>
      <c r="AL2843" s="11"/>
      <c r="AM2843" s="11"/>
      <c r="AN2843" s="11"/>
      <c r="AO2843" s="11"/>
      <c r="AP2843" s="11"/>
      <c r="AQ2843" s="11"/>
      <c r="AR2843" s="11"/>
      <c r="AS2843" s="11"/>
      <c r="AT2843" s="11"/>
      <c r="AU2843" s="11"/>
      <c r="AV2843" s="11"/>
      <c r="AW2843" s="11"/>
      <c r="AX2843" s="11"/>
      <c r="AY2843" s="11"/>
    </row>
    <row r="2844" spans="1:51" hidden="1" x14ac:dyDescent="0.2">
      <c r="A2844" s="6" t="s">
        <v>17</v>
      </c>
      <c r="B2844" t="s">
        <v>255</v>
      </c>
      <c r="C2844" t="s">
        <v>255</v>
      </c>
      <c r="D2844" t="s">
        <v>3519</v>
      </c>
      <c r="E2844" s="2">
        <v>240</v>
      </c>
      <c r="F2844" s="3">
        <f t="shared" si="250"/>
        <v>45978</v>
      </c>
      <c r="G2844" s="3">
        <f t="shared" si="250"/>
        <v>45978</v>
      </c>
      <c r="H2844">
        <v>3223271981</v>
      </c>
      <c r="I2844" t="s">
        <v>21</v>
      </c>
      <c r="K2844" t="s">
        <v>22</v>
      </c>
      <c r="L2844" t="s">
        <v>23</v>
      </c>
      <c r="M2844" t="s">
        <v>24</v>
      </c>
      <c r="N2844" t="s">
        <v>24</v>
      </c>
      <c r="O2844" t="s">
        <v>25</v>
      </c>
      <c r="P2844" s="8" t="s">
        <v>3520</v>
      </c>
      <c r="Q2844" s="11"/>
      <c r="R2844" s="11"/>
      <c r="S2844" s="11"/>
      <c r="T2844" s="11"/>
      <c r="U2844" s="11"/>
      <c r="V2844" s="11"/>
      <c r="W2844" s="11"/>
      <c r="X2844" s="11"/>
      <c r="Y2844" s="11"/>
      <c r="Z2844" s="11"/>
      <c r="AA2844" s="11"/>
      <c r="AB2844" s="11"/>
      <c r="AC2844" s="11"/>
      <c r="AD2844" s="11"/>
      <c r="AE2844" s="11"/>
      <c r="AF2844" s="11"/>
      <c r="AG2844" s="11"/>
      <c r="AH2844" s="11"/>
      <c r="AI2844" s="11"/>
      <c r="AJ2844" s="11"/>
      <c r="AK2844" s="11"/>
      <c r="AL2844" s="11"/>
      <c r="AM2844" s="11"/>
      <c r="AN2844" s="11"/>
      <c r="AO2844" s="11"/>
      <c r="AP2844" s="11"/>
      <c r="AQ2844" s="11"/>
      <c r="AR2844" s="11"/>
      <c r="AS2844" s="11"/>
      <c r="AT2844" s="11"/>
      <c r="AU2844" s="11"/>
      <c r="AV2844" s="11"/>
      <c r="AW2844" s="11"/>
      <c r="AX2844" s="11"/>
      <c r="AY2844" s="11"/>
    </row>
    <row r="2845" spans="1:51" hidden="1" x14ac:dyDescent="0.2">
      <c r="A2845" s="6"/>
      <c r="E2845" s="2"/>
      <c r="F2845" s="3"/>
      <c r="G2845" s="3"/>
      <c r="P2845" s="8"/>
      <c r="Q2845" s="11"/>
      <c r="R2845" s="11"/>
      <c r="S2845" s="11"/>
      <c r="T2845" s="11"/>
      <c r="U2845" s="11"/>
      <c r="V2845" s="11"/>
      <c r="W2845" s="11"/>
      <c r="X2845" s="11"/>
      <c r="Y2845" s="11"/>
      <c r="Z2845" s="11"/>
      <c r="AA2845" s="11"/>
      <c r="AB2845" s="11"/>
      <c r="AC2845" s="11"/>
      <c r="AD2845" s="11"/>
      <c r="AE2845" s="11"/>
      <c r="AF2845" s="11"/>
      <c r="AG2845" s="11"/>
      <c r="AH2845" s="11"/>
      <c r="AI2845" s="11"/>
      <c r="AJ2845" s="11"/>
      <c r="AK2845" s="11"/>
      <c r="AL2845" s="11"/>
      <c r="AM2845" s="11"/>
      <c r="AN2845" s="11"/>
      <c r="AO2845" s="11"/>
      <c r="AP2845" s="11"/>
      <c r="AQ2845" s="11"/>
      <c r="AR2845" s="11"/>
      <c r="AS2845" s="11"/>
      <c r="AT2845" s="11"/>
      <c r="AU2845" s="11"/>
      <c r="AV2845" s="11"/>
      <c r="AW2845" s="11"/>
      <c r="AX2845" s="11"/>
      <c r="AY2845" s="11"/>
    </row>
    <row r="2846" spans="1:51" hidden="1" x14ac:dyDescent="0.2">
      <c r="A2846" s="6"/>
      <c r="E2846" s="2"/>
      <c r="F2846" s="3"/>
      <c r="G2846" s="3"/>
      <c r="P2846" s="8"/>
      <c r="Q2846" s="11"/>
      <c r="R2846" s="11"/>
      <c r="S2846" s="11"/>
      <c r="T2846" s="11"/>
      <c r="U2846" s="11"/>
      <c r="V2846" s="11"/>
      <c r="W2846" s="11"/>
      <c r="X2846" s="11"/>
      <c r="Y2846" s="11"/>
      <c r="Z2846" s="11"/>
      <c r="AA2846" s="11"/>
      <c r="AB2846" s="11"/>
      <c r="AC2846" s="11"/>
      <c r="AD2846" s="11"/>
      <c r="AE2846" s="11"/>
      <c r="AF2846" s="11"/>
      <c r="AG2846" s="11"/>
      <c r="AH2846" s="11"/>
      <c r="AI2846" s="11"/>
      <c r="AJ2846" s="11"/>
      <c r="AK2846" s="11"/>
      <c r="AL2846" s="11"/>
      <c r="AM2846" s="11"/>
      <c r="AN2846" s="11"/>
      <c r="AO2846" s="11"/>
      <c r="AP2846" s="11"/>
      <c r="AQ2846" s="11"/>
      <c r="AR2846" s="11"/>
      <c r="AS2846" s="11"/>
      <c r="AT2846" s="11"/>
      <c r="AU2846" s="11"/>
      <c r="AV2846" s="11"/>
      <c r="AW2846" s="11"/>
      <c r="AX2846" s="11"/>
      <c r="AY2846" s="11"/>
    </row>
    <row r="2847" spans="1:51" hidden="1" x14ac:dyDescent="0.2">
      <c r="A2847" s="6"/>
      <c r="E2847" s="2"/>
      <c r="F2847" s="3"/>
      <c r="G2847" s="3"/>
      <c r="P2847" s="8"/>
      <c r="Q2847" s="11"/>
      <c r="R2847" s="11"/>
      <c r="S2847" s="11"/>
      <c r="T2847" s="11"/>
      <c r="U2847" s="11"/>
      <c r="V2847" s="11"/>
      <c r="W2847" s="11"/>
      <c r="X2847" s="11"/>
      <c r="Y2847" s="11"/>
      <c r="Z2847" s="11"/>
      <c r="AA2847" s="11"/>
      <c r="AB2847" s="11"/>
      <c r="AC2847" s="11"/>
      <c r="AD2847" s="11"/>
      <c r="AE2847" s="11"/>
      <c r="AF2847" s="11"/>
      <c r="AG2847" s="11"/>
      <c r="AH2847" s="11"/>
      <c r="AI2847" s="11"/>
      <c r="AJ2847" s="11"/>
      <c r="AK2847" s="11"/>
      <c r="AL2847" s="11"/>
      <c r="AM2847" s="11"/>
      <c r="AN2847" s="11"/>
      <c r="AO2847" s="11"/>
      <c r="AP2847" s="11"/>
      <c r="AQ2847" s="11"/>
      <c r="AR2847" s="11"/>
      <c r="AS2847" s="11"/>
      <c r="AT2847" s="11"/>
      <c r="AU2847" s="11"/>
      <c r="AV2847" s="11"/>
      <c r="AW2847" s="11"/>
      <c r="AX2847" s="11"/>
      <c r="AY2847" s="11"/>
    </row>
    <row r="2848" spans="1:51" hidden="1" x14ac:dyDescent="0.2">
      <c r="A2848" s="6"/>
      <c r="E2848" s="2"/>
      <c r="F2848" s="3"/>
      <c r="G2848" s="3"/>
      <c r="P2848" s="8"/>
      <c r="Q2848" s="11"/>
      <c r="R2848" s="11"/>
      <c r="S2848" s="11"/>
      <c r="T2848" s="11"/>
      <c r="U2848" s="11"/>
      <c r="V2848" s="11"/>
      <c r="W2848" s="11"/>
      <c r="X2848" s="11"/>
      <c r="Y2848" s="11"/>
      <c r="Z2848" s="11"/>
      <c r="AA2848" s="11"/>
      <c r="AB2848" s="11"/>
      <c r="AC2848" s="11"/>
      <c r="AD2848" s="11"/>
      <c r="AE2848" s="11"/>
      <c r="AF2848" s="11"/>
      <c r="AG2848" s="11"/>
      <c r="AH2848" s="11"/>
      <c r="AI2848" s="11"/>
      <c r="AJ2848" s="11"/>
      <c r="AK2848" s="11"/>
      <c r="AL2848" s="11"/>
      <c r="AM2848" s="11"/>
      <c r="AN2848" s="11"/>
      <c r="AO2848" s="11"/>
      <c r="AP2848" s="11"/>
      <c r="AQ2848" s="11"/>
      <c r="AR2848" s="11"/>
      <c r="AS2848" s="11"/>
      <c r="AT2848" s="11"/>
      <c r="AU2848" s="11"/>
      <c r="AV2848" s="11"/>
      <c r="AW2848" s="11"/>
      <c r="AX2848" s="11"/>
      <c r="AY2848" s="11"/>
    </row>
    <row r="2849" spans="1:51" hidden="1" x14ac:dyDescent="0.2">
      <c r="A2849" s="6" t="s">
        <v>17</v>
      </c>
      <c r="B2849" t="s">
        <v>140</v>
      </c>
      <c r="C2849" t="s">
        <v>141</v>
      </c>
      <c r="D2849" t="s">
        <v>3521</v>
      </c>
      <c r="E2849" s="2">
        <v>15435</v>
      </c>
      <c r="F2849" s="3">
        <f t="shared" ref="F2849:G2849" si="251">DATE(2025,11,18)</f>
        <v>45979</v>
      </c>
      <c r="G2849" s="3">
        <f t="shared" si="251"/>
        <v>45979</v>
      </c>
      <c r="H2849">
        <v>3232175585</v>
      </c>
      <c r="I2849" t="s">
        <v>21</v>
      </c>
      <c r="K2849" t="s">
        <v>22</v>
      </c>
      <c r="L2849" t="s">
        <v>23</v>
      </c>
      <c r="M2849" t="s">
        <v>24</v>
      </c>
      <c r="N2849" t="s">
        <v>24</v>
      </c>
      <c r="O2849" t="s">
        <v>25</v>
      </c>
      <c r="P2849" s="8" t="s">
        <v>3522</v>
      </c>
      <c r="Q2849" s="11"/>
      <c r="R2849" s="11"/>
      <c r="S2849" s="11"/>
      <c r="T2849" s="11"/>
      <c r="U2849" s="11"/>
      <c r="V2849" s="11"/>
      <c r="W2849" s="11"/>
      <c r="X2849" s="11"/>
      <c r="Y2849" s="11"/>
      <c r="Z2849" s="11"/>
      <c r="AA2849" s="11"/>
      <c r="AB2849" s="11"/>
      <c r="AC2849" s="11"/>
      <c r="AD2849" s="11"/>
      <c r="AE2849" s="11"/>
      <c r="AF2849" s="11"/>
      <c r="AG2849" s="11"/>
      <c r="AH2849" s="11"/>
      <c r="AI2849" s="11"/>
      <c r="AJ2849" s="11"/>
      <c r="AK2849" s="11"/>
      <c r="AL2849" s="11"/>
      <c r="AM2849" s="11"/>
      <c r="AN2849" s="11"/>
      <c r="AO2849" s="11"/>
      <c r="AP2849" s="11"/>
      <c r="AQ2849" s="11"/>
      <c r="AR2849" s="11"/>
      <c r="AS2849" s="11"/>
      <c r="AT2849" s="11"/>
      <c r="AU2849" s="11"/>
      <c r="AV2849" s="11"/>
      <c r="AW2849" s="11"/>
      <c r="AX2849" s="11"/>
      <c r="AY2849" s="11"/>
    </row>
    <row r="2850" spans="1:51" hidden="1" x14ac:dyDescent="0.2">
      <c r="A2850" s="6"/>
      <c r="E2850" s="2"/>
      <c r="F2850" s="3"/>
      <c r="G2850" s="3"/>
      <c r="P2850" s="8"/>
      <c r="Q2850" s="11"/>
      <c r="R2850" s="11"/>
      <c r="S2850" s="11"/>
      <c r="T2850" s="11"/>
      <c r="U2850" s="11"/>
      <c r="V2850" s="11"/>
      <c r="W2850" s="11"/>
      <c r="X2850" s="11"/>
      <c r="Y2850" s="11"/>
      <c r="Z2850" s="11"/>
      <c r="AA2850" s="11"/>
      <c r="AB2850" s="11"/>
      <c r="AC2850" s="11"/>
      <c r="AD2850" s="11"/>
      <c r="AE2850" s="11"/>
      <c r="AF2850" s="11"/>
      <c r="AG2850" s="11"/>
      <c r="AH2850" s="11"/>
      <c r="AI2850" s="11"/>
      <c r="AJ2850" s="11"/>
      <c r="AK2850" s="11"/>
      <c r="AL2850" s="11"/>
      <c r="AM2850" s="11"/>
      <c r="AN2850" s="11"/>
      <c r="AO2850" s="11"/>
      <c r="AP2850" s="11"/>
      <c r="AQ2850" s="11"/>
      <c r="AR2850" s="11"/>
      <c r="AS2850" s="11"/>
      <c r="AT2850" s="11"/>
      <c r="AU2850" s="11"/>
      <c r="AV2850" s="11"/>
      <c r="AW2850" s="11"/>
      <c r="AX2850" s="11"/>
      <c r="AY2850" s="11"/>
    </row>
    <row r="2851" spans="1:51" hidden="1" x14ac:dyDescent="0.2">
      <c r="A2851" s="6" t="s">
        <v>17</v>
      </c>
      <c r="B2851" t="s">
        <v>255</v>
      </c>
      <c r="C2851" t="s">
        <v>255</v>
      </c>
      <c r="D2851" t="s">
        <v>3523</v>
      </c>
      <c r="E2851" s="2">
        <v>1286.3499999999999</v>
      </c>
      <c r="F2851" s="3">
        <f>DATE(2025,11,18)</f>
        <v>45979</v>
      </c>
      <c r="G2851" s="3">
        <f>DATE(2025,11,18)</f>
        <v>45979</v>
      </c>
      <c r="H2851">
        <v>3232175587</v>
      </c>
      <c r="I2851" t="s">
        <v>21</v>
      </c>
      <c r="K2851" t="s">
        <v>22</v>
      </c>
      <c r="L2851" t="s">
        <v>23</v>
      </c>
      <c r="M2851" t="s">
        <v>24</v>
      </c>
      <c r="N2851" t="s">
        <v>24</v>
      </c>
      <c r="O2851" t="s">
        <v>25</v>
      </c>
      <c r="P2851" s="8" t="s">
        <v>3524</v>
      </c>
      <c r="Q2851" s="11"/>
      <c r="R2851" s="11"/>
      <c r="S2851" s="11"/>
      <c r="T2851" s="11"/>
      <c r="U2851" s="11"/>
      <c r="V2851" s="11"/>
      <c r="W2851" s="11"/>
      <c r="X2851" s="11"/>
      <c r="Y2851" s="11"/>
      <c r="Z2851" s="11"/>
      <c r="AA2851" s="11"/>
      <c r="AB2851" s="11"/>
      <c r="AC2851" s="11"/>
      <c r="AD2851" s="11"/>
      <c r="AE2851" s="11"/>
      <c r="AF2851" s="11"/>
      <c r="AG2851" s="11"/>
      <c r="AH2851" s="11"/>
      <c r="AI2851" s="11"/>
      <c r="AJ2851" s="11"/>
      <c r="AK2851" s="11"/>
      <c r="AL2851" s="11"/>
      <c r="AM2851" s="11"/>
      <c r="AN2851" s="11"/>
      <c r="AO2851" s="11"/>
      <c r="AP2851" s="11"/>
      <c r="AQ2851" s="11"/>
      <c r="AR2851" s="11"/>
      <c r="AS2851" s="11"/>
      <c r="AT2851" s="11"/>
      <c r="AU2851" s="11"/>
      <c r="AV2851" s="11"/>
      <c r="AW2851" s="11"/>
      <c r="AX2851" s="11"/>
      <c r="AY2851" s="11"/>
    </row>
    <row r="2852" spans="1:51" hidden="1" x14ac:dyDescent="0.2">
      <c r="A2852" s="6" t="s">
        <v>17</v>
      </c>
      <c r="B2852" t="s">
        <v>35</v>
      </c>
      <c r="C2852" t="s">
        <v>35</v>
      </c>
      <c r="D2852" t="s">
        <v>242</v>
      </c>
      <c r="E2852" s="2">
        <v>57</v>
      </c>
      <c r="F2852" s="3">
        <f>DATE(2025,11,17)</f>
        <v>45978</v>
      </c>
      <c r="G2852" s="3">
        <f>DATE(2025,11,17)</f>
        <v>45978</v>
      </c>
      <c r="H2852">
        <v>3232195791</v>
      </c>
      <c r="I2852" t="s">
        <v>192</v>
      </c>
      <c r="K2852" t="s">
        <v>22</v>
      </c>
      <c r="L2852" t="s">
        <v>23</v>
      </c>
      <c r="M2852" t="s">
        <v>24</v>
      </c>
      <c r="N2852" t="s">
        <v>24</v>
      </c>
      <c r="O2852" t="s">
        <v>25</v>
      </c>
      <c r="P2852" s="8" t="s">
        <v>3525</v>
      </c>
      <c r="Q2852" s="11"/>
      <c r="R2852" s="11"/>
      <c r="S2852" s="11"/>
      <c r="T2852" s="11"/>
      <c r="U2852" s="11"/>
      <c r="V2852" s="11"/>
      <c r="W2852" s="11"/>
      <c r="X2852" s="11"/>
      <c r="Y2852" s="11"/>
      <c r="Z2852" s="11"/>
      <c r="AA2852" s="11"/>
      <c r="AB2852" s="11"/>
      <c r="AC2852" s="11"/>
      <c r="AD2852" s="11"/>
      <c r="AE2852" s="11"/>
      <c r="AF2852" s="11"/>
      <c r="AG2852" s="11"/>
      <c r="AH2852" s="11"/>
      <c r="AI2852" s="11"/>
      <c r="AJ2852" s="11"/>
      <c r="AK2852" s="11"/>
      <c r="AL2852" s="11"/>
      <c r="AM2852" s="11"/>
      <c r="AN2852" s="11"/>
      <c r="AO2852" s="11"/>
      <c r="AP2852" s="11"/>
      <c r="AQ2852" s="11"/>
      <c r="AR2852" s="11"/>
      <c r="AS2852" s="11"/>
      <c r="AT2852" s="11"/>
      <c r="AU2852" s="11"/>
      <c r="AV2852" s="11"/>
      <c r="AW2852" s="11"/>
      <c r="AX2852" s="11"/>
      <c r="AY2852" s="11"/>
    </row>
    <row r="2853" spans="1:51" hidden="1" x14ac:dyDescent="0.2">
      <c r="A2853" s="6"/>
      <c r="E2853" s="2"/>
      <c r="F2853" s="3"/>
      <c r="G2853" s="3"/>
      <c r="P2853" s="8"/>
      <c r="Q2853" s="11"/>
      <c r="R2853" s="11"/>
      <c r="S2853" s="11"/>
      <c r="T2853" s="11"/>
      <c r="U2853" s="11"/>
      <c r="V2853" s="11"/>
      <c r="W2853" s="11"/>
      <c r="X2853" s="11"/>
      <c r="Y2853" s="11"/>
      <c r="Z2853" s="11"/>
      <c r="AA2853" s="11"/>
      <c r="AB2853" s="11"/>
      <c r="AC2853" s="11"/>
      <c r="AD2853" s="11"/>
      <c r="AE2853" s="11"/>
      <c r="AF2853" s="11"/>
      <c r="AG2853" s="11"/>
      <c r="AH2853" s="11"/>
      <c r="AI2853" s="11"/>
      <c r="AJ2853" s="11"/>
      <c r="AK2853" s="11"/>
      <c r="AL2853" s="11"/>
      <c r="AM2853" s="11"/>
      <c r="AN2853" s="11"/>
      <c r="AO2853" s="11"/>
      <c r="AP2853" s="11"/>
      <c r="AQ2853" s="11"/>
      <c r="AR2853" s="11"/>
      <c r="AS2853" s="11"/>
      <c r="AT2853" s="11"/>
      <c r="AU2853" s="11"/>
      <c r="AV2853" s="11"/>
      <c r="AW2853" s="11"/>
      <c r="AX2853" s="11"/>
      <c r="AY2853" s="11"/>
    </row>
    <row r="2854" spans="1:51" hidden="1" x14ac:dyDescent="0.2">
      <c r="A2854" s="6"/>
      <c r="E2854" s="2"/>
      <c r="F2854" s="3"/>
      <c r="G2854" s="3"/>
      <c r="P2854" s="8"/>
      <c r="Q2854" s="11"/>
      <c r="R2854" s="11"/>
      <c r="S2854" s="11"/>
      <c r="T2854" s="11"/>
      <c r="U2854" s="11"/>
      <c r="V2854" s="11"/>
      <c r="W2854" s="11"/>
      <c r="X2854" s="11"/>
      <c r="Y2854" s="11"/>
      <c r="Z2854" s="11"/>
      <c r="AA2854" s="11"/>
      <c r="AB2854" s="11"/>
      <c r="AC2854" s="11"/>
      <c r="AD2854" s="11"/>
      <c r="AE2854" s="11"/>
      <c r="AF2854" s="11"/>
      <c r="AG2854" s="11"/>
      <c r="AH2854" s="11"/>
      <c r="AI2854" s="11"/>
      <c r="AJ2854" s="11"/>
      <c r="AK2854" s="11"/>
      <c r="AL2854" s="11"/>
      <c r="AM2854" s="11"/>
      <c r="AN2854" s="11"/>
      <c r="AO2854" s="11"/>
      <c r="AP2854" s="11"/>
      <c r="AQ2854" s="11"/>
      <c r="AR2854" s="11"/>
      <c r="AS2854" s="11"/>
      <c r="AT2854" s="11"/>
      <c r="AU2854" s="11"/>
      <c r="AV2854" s="11"/>
      <c r="AW2854" s="11"/>
      <c r="AX2854" s="11"/>
      <c r="AY2854" s="11"/>
    </row>
    <row r="2855" spans="1:51" hidden="1" x14ac:dyDescent="0.2">
      <c r="A2855" s="6" t="s">
        <v>17</v>
      </c>
      <c r="B2855" t="s">
        <v>1048</v>
      </c>
      <c r="C2855" t="s">
        <v>1049</v>
      </c>
      <c r="D2855" t="s">
        <v>3526</v>
      </c>
      <c r="E2855" s="2">
        <v>485.18</v>
      </c>
      <c r="F2855" s="3">
        <f t="shared" ref="F2855:G2855" si="252">DATE(2025,11,20)</f>
        <v>45981</v>
      </c>
      <c r="G2855" s="3">
        <f t="shared" si="252"/>
        <v>45981</v>
      </c>
      <c r="H2855">
        <v>3244278054</v>
      </c>
      <c r="I2855" t="s">
        <v>21</v>
      </c>
      <c r="K2855" t="s">
        <v>22</v>
      </c>
      <c r="L2855" t="s">
        <v>23</v>
      </c>
      <c r="M2855" t="s">
        <v>24</v>
      </c>
      <c r="N2855" t="s">
        <v>24</v>
      </c>
      <c r="O2855" t="s">
        <v>25</v>
      </c>
      <c r="P2855" s="8" t="s">
        <v>3527</v>
      </c>
      <c r="Q2855" s="11"/>
      <c r="R2855" s="11"/>
      <c r="S2855" s="11"/>
      <c r="T2855" s="11"/>
      <c r="U2855" s="11"/>
      <c r="V2855" s="11"/>
      <c r="W2855" s="11"/>
      <c r="X2855" s="11"/>
      <c r="Y2855" s="11"/>
      <c r="Z2855" s="11"/>
      <c r="AA2855" s="11"/>
      <c r="AB2855" s="11"/>
      <c r="AC2855" s="11"/>
      <c r="AD2855" s="11"/>
      <c r="AE2855" s="11"/>
      <c r="AF2855" s="11"/>
      <c r="AG2855" s="11"/>
      <c r="AH2855" s="11"/>
      <c r="AI2855" s="11"/>
      <c r="AJ2855" s="11"/>
      <c r="AK2855" s="11"/>
      <c r="AL2855" s="11"/>
      <c r="AM2855" s="11"/>
      <c r="AN2855" s="11"/>
      <c r="AO2855" s="11"/>
      <c r="AP2855" s="11"/>
      <c r="AQ2855" s="11"/>
      <c r="AR2855" s="11"/>
      <c r="AS2855" s="11"/>
      <c r="AT2855" s="11"/>
      <c r="AU2855" s="11"/>
      <c r="AV2855" s="11"/>
      <c r="AW2855" s="11"/>
      <c r="AX2855" s="11"/>
      <c r="AY2855" s="11"/>
    </row>
    <row r="2856" spans="1:51" hidden="1" x14ac:dyDescent="0.2">
      <c r="A2856" s="6"/>
      <c r="E2856" s="2"/>
      <c r="F2856" s="3"/>
      <c r="G2856" s="3"/>
      <c r="P2856" s="8"/>
      <c r="Q2856" s="11"/>
      <c r="R2856" s="11"/>
      <c r="S2856" s="11"/>
      <c r="T2856" s="11"/>
      <c r="U2856" s="11"/>
      <c r="V2856" s="11"/>
      <c r="W2856" s="11"/>
      <c r="X2856" s="11"/>
      <c r="Y2856" s="11"/>
      <c r="Z2856" s="11"/>
      <c r="AA2856" s="11"/>
      <c r="AB2856" s="11"/>
      <c r="AC2856" s="11"/>
      <c r="AD2856" s="11"/>
      <c r="AE2856" s="11"/>
      <c r="AF2856" s="11"/>
      <c r="AG2856" s="11"/>
      <c r="AH2856" s="11"/>
      <c r="AI2856" s="11"/>
      <c r="AJ2856" s="11"/>
      <c r="AK2856" s="11"/>
      <c r="AL2856" s="11"/>
      <c r="AM2856" s="11"/>
      <c r="AN2856" s="11"/>
      <c r="AO2856" s="11"/>
      <c r="AP2856" s="11"/>
      <c r="AQ2856" s="11"/>
      <c r="AR2856" s="11"/>
      <c r="AS2856" s="11"/>
      <c r="AT2856" s="11"/>
      <c r="AU2856" s="11"/>
      <c r="AV2856" s="11"/>
      <c r="AW2856" s="11"/>
      <c r="AX2856" s="11"/>
      <c r="AY2856" s="11"/>
    </row>
    <row r="2857" spans="1:51" hidden="1" x14ac:dyDescent="0.2">
      <c r="A2857" s="6" t="s">
        <v>17</v>
      </c>
      <c r="B2857" t="s">
        <v>18</v>
      </c>
      <c r="C2857" t="s">
        <v>19</v>
      </c>
      <c r="D2857" t="s">
        <v>3528</v>
      </c>
      <c r="E2857" s="2">
        <v>2.36</v>
      </c>
      <c r="F2857" s="3">
        <f>DATE(2025,11,19)</f>
        <v>45980</v>
      </c>
      <c r="G2857" s="3">
        <f>DATE(2025,11,19)</f>
        <v>45980</v>
      </c>
      <c r="H2857">
        <v>3244290300</v>
      </c>
      <c r="I2857" t="s">
        <v>192</v>
      </c>
      <c r="K2857" t="s">
        <v>22</v>
      </c>
      <c r="L2857" t="s">
        <v>23</v>
      </c>
      <c r="M2857" t="s">
        <v>24</v>
      </c>
      <c r="N2857" t="s">
        <v>24</v>
      </c>
      <c r="O2857" t="s">
        <v>25</v>
      </c>
      <c r="P2857" s="8" t="s">
        <v>3529</v>
      </c>
      <c r="Q2857" s="11"/>
      <c r="R2857" s="11"/>
      <c r="S2857" s="11"/>
      <c r="T2857" s="11"/>
      <c r="U2857" s="11"/>
      <c r="V2857" s="11"/>
      <c r="W2857" s="11"/>
      <c r="X2857" s="11"/>
      <c r="Y2857" s="11"/>
      <c r="Z2857" s="11"/>
      <c r="AA2857" s="11"/>
      <c r="AB2857" s="11"/>
      <c r="AC2857" s="11"/>
      <c r="AD2857" s="11"/>
      <c r="AE2857" s="11"/>
      <c r="AF2857" s="11"/>
      <c r="AG2857" s="11"/>
      <c r="AH2857" s="11"/>
      <c r="AI2857" s="11"/>
      <c r="AJ2857" s="11"/>
      <c r="AK2857" s="11"/>
      <c r="AL2857" s="11"/>
      <c r="AM2857" s="11"/>
      <c r="AN2857" s="11"/>
      <c r="AO2857" s="11"/>
      <c r="AP2857" s="11"/>
      <c r="AQ2857" s="11"/>
      <c r="AR2857" s="11"/>
      <c r="AS2857" s="11"/>
      <c r="AT2857" s="11"/>
      <c r="AU2857" s="11"/>
      <c r="AV2857" s="11"/>
      <c r="AW2857" s="11"/>
      <c r="AX2857" s="11"/>
      <c r="AY2857" s="11"/>
    </row>
    <row r="2858" spans="1:51" hidden="1" x14ac:dyDescent="0.2">
      <c r="A2858" s="6" t="s">
        <v>17</v>
      </c>
      <c r="B2858" t="s">
        <v>565</v>
      </c>
      <c r="C2858" t="s">
        <v>566</v>
      </c>
      <c r="D2858" t="s">
        <v>3530</v>
      </c>
      <c r="E2858" s="2">
        <v>309.16000000000003</v>
      </c>
      <c r="F2858" s="3">
        <f t="shared" ref="F2858:G2860" si="253">DATE(2025,11,20)</f>
        <v>45981</v>
      </c>
      <c r="G2858" s="3">
        <f t="shared" si="253"/>
        <v>45981</v>
      </c>
      <c r="H2858">
        <v>3254016273</v>
      </c>
      <c r="I2858" t="s">
        <v>21</v>
      </c>
      <c r="K2858" t="s">
        <v>22</v>
      </c>
      <c r="L2858" t="s">
        <v>23</v>
      </c>
      <c r="M2858" t="s">
        <v>24</v>
      </c>
      <c r="N2858" t="s">
        <v>24</v>
      </c>
      <c r="O2858" t="s">
        <v>25</v>
      </c>
      <c r="P2858" s="8" t="s">
        <v>3531</v>
      </c>
      <c r="Q2858" s="11"/>
      <c r="R2858" s="11"/>
      <c r="S2858" s="11"/>
      <c r="T2858" s="11"/>
      <c r="U2858" s="11"/>
      <c r="V2858" s="11"/>
      <c r="W2858" s="11"/>
      <c r="X2858" s="11"/>
      <c r="Y2858" s="11"/>
      <c r="Z2858" s="11"/>
      <c r="AA2858" s="11"/>
      <c r="AB2858" s="11"/>
      <c r="AC2858" s="11"/>
      <c r="AD2858" s="11"/>
      <c r="AE2858" s="11"/>
      <c r="AF2858" s="11"/>
      <c r="AG2858" s="11"/>
      <c r="AH2858" s="11"/>
      <c r="AI2858" s="11"/>
      <c r="AJ2858" s="11"/>
      <c r="AK2858" s="11"/>
      <c r="AL2858" s="11"/>
      <c r="AM2858" s="11"/>
      <c r="AN2858" s="11"/>
      <c r="AO2858" s="11"/>
      <c r="AP2858" s="11"/>
      <c r="AQ2858" s="11"/>
      <c r="AR2858" s="11"/>
      <c r="AS2858" s="11"/>
      <c r="AT2858" s="11"/>
      <c r="AU2858" s="11"/>
      <c r="AV2858" s="11"/>
      <c r="AW2858" s="11"/>
      <c r="AX2858" s="11"/>
      <c r="AY2858" s="11"/>
    </row>
    <row r="2859" spans="1:51" hidden="1" x14ac:dyDescent="0.2">
      <c r="A2859" s="6" t="s">
        <v>17</v>
      </c>
      <c r="B2859" t="s">
        <v>31</v>
      </c>
      <c r="C2859" t="s">
        <v>32</v>
      </c>
      <c r="D2859" t="s">
        <v>3532</v>
      </c>
      <c r="E2859" s="2">
        <v>27.99</v>
      </c>
      <c r="F2859" s="3">
        <f t="shared" si="253"/>
        <v>45981</v>
      </c>
      <c r="G2859" s="3">
        <f t="shared" si="253"/>
        <v>45981</v>
      </c>
      <c r="H2859">
        <v>3254016274</v>
      </c>
      <c r="I2859" t="s">
        <v>21</v>
      </c>
      <c r="K2859" t="s">
        <v>22</v>
      </c>
      <c r="L2859" t="s">
        <v>23</v>
      </c>
      <c r="M2859" t="s">
        <v>24</v>
      </c>
      <c r="N2859" t="s">
        <v>24</v>
      </c>
      <c r="O2859" t="s">
        <v>25</v>
      </c>
      <c r="P2859" s="8" t="s">
        <v>3533</v>
      </c>
      <c r="Q2859" s="11"/>
      <c r="R2859" s="11"/>
      <c r="S2859" s="11"/>
      <c r="T2859" s="11"/>
      <c r="U2859" s="11"/>
      <c r="V2859" s="11"/>
      <c r="W2859" s="11"/>
      <c r="X2859" s="11"/>
      <c r="Y2859" s="11"/>
      <c r="Z2859" s="11"/>
      <c r="AA2859" s="11"/>
      <c r="AB2859" s="11"/>
      <c r="AC2859" s="11"/>
      <c r="AD2859" s="11"/>
      <c r="AE2859" s="11"/>
      <c r="AF2859" s="11"/>
      <c r="AG2859" s="11"/>
      <c r="AH2859" s="11"/>
      <c r="AI2859" s="11"/>
      <c r="AJ2859" s="11"/>
      <c r="AK2859" s="11"/>
      <c r="AL2859" s="11"/>
      <c r="AM2859" s="11"/>
      <c r="AN2859" s="11"/>
      <c r="AO2859" s="11"/>
      <c r="AP2859" s="11"/>
      <c r="AQ2859" s="11"/>
      <c r="AR2859" s="11"/>
      <c r="AS2859" s="11"/>
      <c r="AT2859" s="11"/>
      <c r="AU2859" s="11"/>
      <c r="AV2859" s="11"/>
      <c r="AW2859" s="11"/>
      <c r="AX2859" s="11"/>
      <c r="AY2859" s="11"/>
    </row>
    <row r="2860" spans="1:51" hidden="1" x14ac:dyDescent="0.2">
      <c r="A2860" s="6" t="s">
        <v>17</v>
      </c>
      <c r="B2860" t="s">
        <v>1002</v>
      </c>
      <c r="C2860" t="s">
        <v>1003</v>
      </c>
      <c r="D2860" t="s">
        <v>3534</v>
      </c>
      <c r="E2860" s="2">
        <v>864.59</v>
      </c>
      <c r="F2860" s="3">
        <f t="shared" si="253"/>
        <v>45981</v>
      </c>
      <c r="G2860" s="3">
        <f t="shared" si="253"/>
        <v>45981</v>
      </c>
      <c r="H2860">
        <v>3254016275</v>
      </c>
      <c r="I2860" t="s">
        <v>21</v>
      </c>
      <c r="K2860" t="s">
        <v>22</v>
      </c>
      <c r="L2860" t="s">
        <v>23</v>
      </c>
      <c r="M2860" t="s">
        <v>24</v>
      </c>
      <c r="N2860" t="s">
        <v>24</v>
      </c>
      <c r="O2860" t="s">
        <v>25</v>
      </c>
      <c r="P2860" s="8" t="s">
        <v>3535</v>
      </c>
      <c r="Q2860" s="11"/>
      <c r="R2860" s="11"/>
      <c r="S2860" s="11"/>
      <c r="T2860" s="11"/>
      <c r="U2860" s="11"/>
      <c r="V2860" s="11"/>
      <c r="W2860" s="11"/>
      <c r="X2860" s="11"/>
      <c r="Y2860" s="11"/>
      <c r="Z2860" s="11"/>
      <c r="AA2860" s="11"/>
      <c r="AB2860" s="11"/>
      <c r="AC2860" s="11"/>
      <c r="AD2860" s="11"/>
      <c r="AE2860" s="11"/>
      <c r="AF2860" s="11"/>
      <c r="AG2860" s="11"/>
      <c r="AH2860" s="11"/>
      <c r="AI2860" s="11"/>
      <c r="AJ2860" s="11"/>
      <c r="AK2860" s="11"/>
      <c r="AL2860" s="11"/>
      <c r="AM2860" s="11"/>
      <c r="AN2860" s="11"/>
      <c r="AO2860" s="11"/>
      <c r="AP2860" s="11"/>
      <c r="AQ2860" s="11"/>
      <c r="AR2860" s="11"/>
      <c r="AS2860" s="11"/>
      <c r="AT2860" s="11"/>
      <c r="AU2860" s="11"/>
      <c r="AV2860" s="11"/>
      <c r="AW2860" s="11"/>
      <c r="AX2860" s="11"/>
      <c r="AY2860" s="11"/>
    </row>
    <row r="2861" spans="1:51" hidden="1" x14ac:dyDescent="0.2">
      <c r="A2861" s="6"/>
      <c r="E2861" s="2"/>
      <c r="F2861" s="3"/>
      <c r="G2861" s="3"/>
      <c r="P2861" s="8"/>
      <c r="Q2861" s="11"/>
      <c r="R2861" s="11"/>
      <c r="S2861" s="11"/>
      <c r="T2861" s="11"/>
      <c r="U2861" s="11"/>
      <c r="V2861" s="11"/>
      <c r="W2861" s="11"/>
      <c r="X2861" s="11"/>
      <c r="Y2861" s="11"/>
      <c r="Z2861" s="11"/>
      <c r="AA2861" s="11"/>
      <c r="AB2861" s="11"/>
      <c r="AC2861" s="11"/>
      <c r="AD2861" s="11"/>
      <c r="AE2861" s="11"/>
      <c r="AF2861" s="11"/>
      <c r="AG2861" s="11"/>
      <c r="AH2861" s="11"/>
      <c r="AI2861" s="11"/>
      <c r="AJ2861" s="11"/>
      <c r="AK2861" s="11"/>
      <c r="AL2861" s="11"/>
      <c r="AM2861" s="11"/>
      <c r="AN2861" s="11"/>
      <c r="AO2861" s="11"/>
      <c r="AP2861" s="11"/>
      <c r="AQ2861" s="11"/>
      <c r="AR2861" s="11"/>
      <c r="AS2861" s="11"/>
      <c r="AT2861" s="11"/>
      <c r="AU2861" s="11"/>
      <c r="AV2861" s="11"/>
      <c r="AW2861" s="11"/>
      <c r="AX2861" s="11"/>
      <c r="AY2861" s="11"/>
    </row>
    <row r="2862" spans="1:51" hidden="1" x14ac:dyDescent="0.2">
      <c r="A2862" s="6" t="s">
        <v>17</v>
      </c>
      <c r="B2862" t="s">
        <v>155</v>
      </c>
      <c r="C2862" t="s">
        <v>156</v>
      </c>
      <c r="D2862" t="s">
        <v>3536</v>
      </c>
      <c r="E2862" s="2">
        <v>46.44</v>
      </c>
      <c r="F2862" s="3">
        <f>DATE(2025,11,20)</f>
        <v>45981</v>
      </c>
      <c r="G2862" s="3">
        <f>DATE(2025,11,20)</f>
        <v>45981</v>
      </c>
      <c r="H2862">
        <v>3254016277</v>
      </c>
      <c r="I2862" t="s">
        <v>21</v>
      </c>
      <c r="K2862" t="s">
        <v>22</v>
      </c>
      <c r="L2862" t="s">
        <v>23</v>
      </c>
      <c r="M2862" t="s">
        <v>24</v>
      </c>
      <c r="N2862" t="s">
        <v>24</v>
      </c>
      <c r="O2862" t="s">
        <v>25</v>
      </c>
      <c r="P2862" s="8" t="s">
        <v>3537</v>
      </c>
      <c r="Q2862" s="11"/>
      <c r="R2862" s="11"/>
      <c r="S2862" s="11"/>
      <c r="T2862" s="11"/>
      <c r="U2862" s="11"/>
      <c r="V2862" s="11"/>
      <c r="W2862" s="11"/>
      <c r="X2862" s="11"/>
      <c r="Y2862" s="11"/>
      <c r="Z2862" s="11"/>
      <c r="AA2862" s="11"/>
      <c r="AB2862" s="11"/>
      <c r="AC2862" s="11"/>
      <c r="AD2862" s="11"/>
      <c r="AE2862" s="11"/>
      <c r="AF2862" s="11"/>
      <c r="AG2862" s="11"/>
      <c r="AH2862" s="11"/>
      <c r="AI2862" s="11"/>
      <c r="AJ2862" s="11"/>
      <c r="AK2862" s="11"/>
      <c r="AL2862" s="11"/>
      <c r="AM2862" s="11"/>
      <c r="AN2862" s="11"/>
      <c r="AO2862" s="11"/>
      <c r="AP2862" s="11"/>
      <c r="AQ2862" s="11"/>
      <c r="AR2862" s="11"/>
      <c r="AS2862" s="11"/>
      <c r="AT2862" s="11"/>
      <c r="AU2862" s="11"/>
      <c r="AV2862" s="11"/>
      <c r="AW2862" s="11"/>
      <c r="AX2862" s="11"/>
      <c r="AY2862" s="11"/>
    </row>
    <row r="2863" spans="1:51" hidden="1" x14ac:dyDescent="0.2">
      <c r="A2863" s="6" t="s">
        <v>17</v>
      </c>
      <c r="B2863" t="s">
        <v>46</v>
      </c>
      <c r="C2863" t="s">
        <v>47</v>
      </c>
      <c r="D2863" t="s">
        <v>3538</v>
      </c>
      <c r="E2863" s="2">
        <v>150</v>
      </c>
      <c r="F2863" s="3">
        <f t="shared" ref="F2863:G2870" si="254">DATE(2025,11,21)</f>
        <v>45982</v>
      </c>
      <c r="G2863" s="3">
        <f t="shared" si="254"/>
        <v>45982</v>
      </c>
      <c r="H2863">
        <v>3260592444</v>
      </c>
      <c r="I2863" t="s">
        <v>21</v>
      </c>
      <c r="K2863" t="s">
        <v>22</v>
      </c>
      <c r="L2863" t="s">
        <v>23</v>
      </c>
      <c r="M2863" t="s">
        <v>24</v>
      </c>
      <c r="N2863" t="s">
        <v>24</v>
      </c>
      <c r="O2863" t="s">
        <v>25</v>
      </c>
      <c r="P2863" s="8" t="s">
        <v>3539</v>
      </c>
      <c r="Q2863" s="11"/>
      <c r="R2863" s="11"/>
      <c r="S2863" s="11"/>
      <c r="T2863" s="11"/>
      <c r="U2863" s="11"/>
      <c r="V2863" s="11"/>
      <c r="W2863" s="11"/>
      <c r="X2863" s="11"/>
      <c r="Y2863" s="11"/>
      <c r="Z2863" s="11"/>
      <c r="AA2863" s="11"/>
      <c r="AB2863" s="11"/>
      <c r="AC2863" s="11"/>
      <c r="AD2863" s="11"/>
      <c r="AE2863" s="11"/>
      <c r="AF2863" s="11"/>
      <c r="AG2863" s="11"/>
      <c r="AH2863" s="11"/>
      <c r="AI2863" s="11"/>
      <c r="AJ2863" s="11"/>
      <c r="AK2863" s="11"/>
      <c r="AL2863" s="11"/>
      <c r="AM2863" s="11"/>
      <c r="AN2863" s="11"/>
      <c r="AO2863" s="11"/>
      <c r="AP2863" s="11"/>
      <c r="AQ2863" s="11"/>
      <c r="AR2863" s="11"/>
      <c r="AS2863" s="11"/>
      <c r="AT2863" s="11"/>
      <c r="AU2863" s="11"/>
      <c r="AV2863" s="11"/>
      <c r="AW2863" s="11"/>
      <c r="AX2863" s="11"/>
      <c r="AY2863" s="11"/>
    </row>
    <row r="2864" spans="1:51" hidden="1" x14ac:dyDescent="0.2">
      <c r="A2864" s="6" t="s">
        <v>17</v>
      </c>
      <c r="B2864" t="s">
        <v>118</v>
      </c>
      <c r="C2864" t="s">
        <v>119</v>
      </c>
      <c r="D2864" t="s">
        <v>3540</v>
      </c>
      <c r="E2864" s="2">
        <v>2232</v>
      </c>
      <c r="F2864" s="3">
        <f t="shared" si="254"/>
        <v>45982</v>
      </c>
      <c r="G2864" s="3">
        <f t="shared" si="254"/>
        <v>45982</v>
      </c>
      <c r="H2864">
        <v>3260592445</v>
      </c>
      <c r="I2864" t="s">
        <v>21</v>
      </c>
      <c r="K2864" t="s">
        <v>22</v>
      </c>
      <c r="L2864" t="s">
        <v>23</v>
      </c>
      <c r="M2864" t="s">
        <v>24</v>
      </c>
      <c r="N2864" t="s">
        <v>24</v>
      </c>
      <c r="O2864" t="s">
        <v>25</v>
      </c>
      <c r="P2864" s="8" t="s">
        <v>3541</v>
      </c>
      <c r="Q2864" s="11"/>
      <c r="R2864" s="11"/>
      <c r="S2864" s="11"/>
      <c r="T2864" s="11"/>
      <c r="U2864" s="11"/>
      <c r="V2864" s="11"/>
      <c r="W2864" s="11"/>
      <c r="X2864" s="11"/>
      <c r="Y2864" s="11"/>
      <c r="Z2864" s="11"/>
      <c r="AA2864" s="11"/>
      <c r="AB2864" s="11"/>
      <c r="AC2864" s="11"/>
      <c r="AD2864" s="11"/>
      <c r="AE2864" s="11"/>
      <c r="AF2864" s="11"/>
      <c r="AG2864" s="11"/>
      <c r="AH2864" s="11"/>
      <c r="AI2864" s="11"/>
      <c r="AJ2864" s="11"/>
      <c r="AK2864" s="11"/>
      <c r="AL2864" s="11"/>
      <c r="AM2864" s="11"/>
      <c r="AN2864" s="11"/>
      <c r="AO2864" s="11"/>
      <c r="AP2864" s="11"/>
      <c r="AQ2864" s="11"/>
      <c r="AR2864" s="11"/>
      <c r="AS2864" s="11"/>
      <c r="AT2864" s="11"/>
      <c r="AU2864" s="11"/>
      <c r="AV2864" s="11"/>
      <c r="AW2864" s="11"/>
      <c r="AX2864" s="11"/>
      <c r="AY2864" s="11"/>
    </row>
    <row r="2865" spans="1:51" hidden="1" x14ac:dyDescent="0.2">
      <c r="A2865" s="6" t="s">
        <v>17</v>
      </c>
      <c r="B2865" t="s">
        <v>42</v>
      </c>
      <c r="C2865" t="s">
        <v>43</v>
      </c>
      <c r="D2865" t="s">
        <v>3542</v>
      </c>
      <c r="E2865" s="2">
        <v>17.8</v>
      </c>
      <c r="F2865" s="3">
        <f t="shared" si="254"/>
        <v>45982</v>
      </c>
      <c r="G2865" s="3">
        <f t="shared" si="254"/>
        <v>45982</v>
      </c>
      <c r="H2865">
        <v>3260592446</v>
      </c>
      <c r="I2865" t="s">
        <v>21</v>
      </c>
      <c r="K2865" t="s">
        <v>22</v>
      </c>
      <c r="L2865" t="s">
        <v>23</v>
      </c>
      <c r="M2865" t="s">
        <v>24</v>
      </c>
      <c r="N2865" t="s">
        <v>24</v>
      </c>
      <c r="O2865" t="s">
        <v>25</v>
      </c>
      <c r="P2865" s="8" t="s">
        <v>3543</v>
      </c>
      <c r="Q2865" s="11"/>
      <c r="R2865" s="11"/>
      <c r="S2865" s="11"/>
      <c r="T2865" s="11"/>
      <c r="U2865" s="11"/>
      <c r="V2865" s="11"/>
      <c r="W2865" s="11"/>
      <c r="X2865" s="11"/>
      <c r="Y2865" s="11"/>
      <c r="Z2865" s="11"/>
      <c r="AA2865" s="11"/>
      <c r="AB2865" s="11"/>
      <c r="AC2865" s="11"/>
      <c r="AD2865" s="11"/>
      <c r="AE2865" s="11"/>
      <c r="AF2865" s="11"/>
      <c r="AG2865" s="11"/>
      <c r="AH2865" s="11"/>
      <c r="AI2865" s="11"/>
      <c r="AJ2865" s="11"/>
      <c r="AK2865" s="11"/>
      <c r="AL2865" s="11"/>
      <c r="AM2865" s="11"/>
      <c r="AN2865" s="11"/>
      <c r="AO2865" s="11"/>
      <c r="AP2865" s="11"/>
      <c r="AQ2865" s="11"/>
      <c r="AR2865" s="11"/>
      <c r="AS2865" s="11"/>
      <c r="AT2865" s="11"/>
      <c r="AU2865" s="11"/>
      <c r="AV2865" s="11"/>
      <c r="AW2865" s="11"/>
      <c r="AX2865" s="11"/>
      <c r="AY2865" s="11"/>
    </row>
    <row r="2866" spans="1:51" hidden="1" x14ac:dyDescent="0.2">
      <c r="A2866" s="6" t="s">
        <v>17</v>
      </c>
      <c r="B2866" t="s">
        <v>46</v>
      </c>
      <c r="C2866" t="s">
        <v>47</v>
      </c>
      <c r="D2866" t="s">
        <v>3544</v>
      </c>
      <c r="E2866" s="2">
        <v>131</v>
      </c>
      <c r="F2866" s="3">
        <f t="shared" si="254"/>
        <v>45982</v>
      </c>
      <c r="G2866" s="3">
        <f t="shared" si="254"/>
        <v>45982</v>
      </c>
      <c r="H2866">
        <v>3260592447</v>
      </c>
      <c r="I2866" t="s">
        <v>21</v>
      </c>
      <c r="K2866" t="s">
        <v>22</v>
      </c>
      <c r="L2866" t="s">
        <v>23</v>
      </c>
      <c r="M2866" t="s">
        <v>24</v>
      </c>
      <c r="N2866" t="s">
        <v>24</v>
      </c>
      <c r="O2866" t="s">
        <v>25</v>
      </c>
      <c r="P2866" s="8" t="s">
        <v>3545</v>
      </c>
      <c r="Q2866" s="11"/>
      <c r="R2866" s="11"/>
      <c r="S2866" s="11"/>
      <c r="T2866" s="11"/>
      <c r="U2866" s="11"/>
      <c r="V2866" s="11"/>
      <c r="W2866" s="11"/>
      <c r="X2866" s="11"/>
      <c r="Y2866" s="11"/>
      <c r="Z2866" s="11"/>
      <c r="AA2866" s="11"/>
      <c r="AB2866" s="11"/>
      <c r="AC2866" s="11"/>
      <c r="AD2866" s="11"/>
      <c r="AE2866" s="11"/>
      <c r="AF2866" s="11"/>
      <c r="AG2866" s="11"/>
      <c r="AH2866" s="11"/>
      <c r="AI2866" s="11"/>
      <c r="AJ2866" s="11"/>
      <c r="AK2866" s="11"/>
      <c r="AL2866" s="11"/>
      <c r="AM2866" s="11"/>
      <c r="AN2866" s="11"/>
      <c r="AO2866" s="11"/>
      <c r="AP2866" s="11"/>
      <c r="AQ2866" s="11"/>
      <c r="AR2866" s="11"/>
      <c r="AS2866" s="11"/>
      <c r="AT2866" s="11"/>
      <c r="AU2866" s="11"/>
      <c r="AV2866" s="11"/>
      <c r="AW2866" s="11"/>
      <c r="AX2866" s="11"/>
      <c r="AY2866" s="11"/>
    </row>
    <row r="2867" spans="1:51" hidden="1" x14ac:dyDescent="0.2">
      <c r="A2867" s="6" t="s">
        <v>17</v>
      </c>
      <c r="B2867" t="s">
        <v>50</v>
      </c>
      <c r="C2867" t="s">
        <v>51</v>
      </c>
      <c r="D2867" t="s">
        <v>3546</v>
      </c>
      <c r="E2867" s="2">
        <v>885.6</v>
      </c>
      <c r="F2867" s="3">
        <f t="shared" si="254"/>
        <v>45982</v>
      </c>
      <c r="G2867" s="3">
        <f t="shared" si="254"/>
        <v>45982</v>
      </c>
      <c r="H2867">
        <v>3260592448</v>
      </c>
      <c r="I2867" t="s">
        <v>21</v>
      </c>
      <c r="K2867" t="s">
        <v>22</v>
      </c>
      <c r="L2867" t="s">
        <v>23</v>
      </c>
      <c r="M2867" t="s">
        <v>24</v>
      </c>
      <c r="N2867" t="s">
        <v>24</v>
      </c>
      <c r="O2867" t="s">
        <v>25</v>
      </c>
      <c r="P2867" s="8" t="s">
        <v>3547</v>
      </c>
      <c r="Q2867" s="11"/>
      <c r="R2867" s="11"/>
      <c r="S2867" s="11"/>
      <c r="T2867" s="11"/>
      <c r="U2867" s="11"/>
      <c r="V2867" s="11"/>
      <c r="W2867" s="11"/>
      <c r="X2867" s="11"/>
      <c r="Y2867" s="11"/>
      <c r="Z2867" s="11"/>
      <c r="AA2867" s="11"/>
      <c r="AB2867" s="11"/>
      <c r="AC2867" s="11"/>
      <c r="AD2867" s="11"/>
      <c r="AE2867" s="11"/>
      <c r="AF2867" s="11"/>
      <c r="AG2867" s="11"/>
      <c r="AH2867" s="11"/>
      <c r="AI2867" s="11"/>
      <c r="AJ2867" s="11"/>
      <c r="AK2867" s="11"/>
      <c r="AL2867" s="11"/>
      <c r="AM2867" s="11"/>
      <c r="AN2867" s="11"/>
      <c r="AO2867" s="11"/>
      <c r="AP2867" s="11"/>
      <c r="AQ2867" s="11"/>
      <c r="AR2867" s="11"/>
      <c r="AS2867" s="11"/>
      <c r="AT2867" s="11"/>
      <c r="AU2867" s="11"/>
      <c r="AV2867" s="11"/>
      <c r="AW2867" s="11"/>
      <c r="AX2867" s="11"/>
      <c r="AY2867" s="11"/>
    </row>
    <row r="2868" spans="1:51" hidden="1" x14ac:dyDescent="0.2">
      <c r="A2868" s="6"/>
      <c r="E2868" s="2"/>
      <c r="F2868" s="3"/>
      <c r="G2868" s="3"/>
      <c r="P2868" s="8"/>
      <c r="Q2868" s="11"/>
      <c r="R2868" s="11"/>
      <c r="S2868" s="11"/>
      <c r="T2868" s="11"/>
      <c r="U2868" s="11"/>
      <c r="V2868" s="11"/>
      <c r="W2868" s="11"/>
      <c r="X2868" s="11"/>
      <c r="Y2868" s="11"/>
      <c r="Z2868" s="11"/>
      <c r="AA2868" s="11"/>
      <c r="AB2868" s="11"/>
      <c r="AC2868" s="11"/>
      <c r="AD2868" s="11"/>
      <c r="AE2868" s="11"/>
      <c r="AF2868" s="11"/>
      <c r="AG2868" s="11"/>
      <c r="AH2868" s="11"/>
      <c r="AI2868" s="11"/>
      <c r="AJ2868" s="11"/>
      <c r="AK2868" s="11"/>
      <c r="AL2868" s="11"/>
      <c r="AM2868" s="11"/>
      <c r="AN2868" s="11"/>
      <c r="AO2868" s="11"/>
      <c r="AP2868" s="11"/>
      <c r="AQ2868" s="11"/>
      <c r="AR2868" s="11"/>
      <c r="AS2868" s="11"/>
      <c r="AT2868" s="11"/>
      <c r="AU2868" s="11"/>
      <c r="AV2868" s="11"/>
      <c r="AW2868" s="11"/>
      <c r="AX2868" s="11"/>
      <c r="AY2868" s="11"/>
    </row>
    <row r="2869" spans="1:51" hidden="1" x14ac:dyDescent="0.2">
      <c r="A2869" s="6" t="s">
        <v>17</v>
      </c>
      <c r="B2869" t="s">
        <v>46</v>
      </c>
      <c r="C2869" t="s">
        <v>47</v>
      </c>
      <c r="D2869" t="s">
        <v>3548</v>
      </c>
      <c r="E2869" s="2">
        <v>468</v>
      </c>
      <c r="F2869" s="3">
        <f t="shared" si="254"/>
        <v>45982</v>
      </c>
      <c r="G2869" s="3">
        <f t="shared" si="254"/>
        <v>45982</v>
      </c>
      <c r="H2869">
        <v>3260592450</v>
      </c>
      <c r="I2869" t="s">
        <v>21</v>
      </c>
      <c r="K2869" t="s">
        <v>22</v>
      </c>
      <c r="L2869" t="s">
        <v>23</v>
      </c>
      <c r="M2869" t="s">
        <v>24</v>
      </c>
      <c r="N2869" t="s">
        <v>24</v>
      </c>
      <c r="O2869" t="s">
        <v>25</v>
      </c>
      <c r="P2869" s="8" t="s">
        <v>3549</v>
      </c>
      <c r="Q2869" s="11"/>
      <c r="R2869" s="11"/>
      <c r="S2869" s="11"/>
      <c r="T2869" s="11"/>
      <c r="U2869" s="11"/>
      <c r="V2869" s="11"/>
      <c r="W2869" s="11"/>
      <c r="X2869" s="11"/>
      <c r="Y2869" s="11"/>
      <c r="Z2869" s="11"/>
      <c r="AA2869" s="11"/>
      <c r="AB2869" s="11"/>
      <c r="AC2869" s="11"/>
      <c r="AD2869" s="11"/>
      <c r="AE2869" s="11"/>
      <c r="AF2869" s="11"/>
      <c r="AG2869" s="11"/>
      <c r="AH2869" s="11"/>
      <c r="AI2869" s="11"/>
      <c r="AJ2869" s="11"/>
      <c r="AK2869" s="11"/>
      <c r="AL2869" s="11"/>
      <c r="AM2869" s="11"/>
      <c r="AN2869" s="11"/>
      <c r="AO2869" s="11"/>
      <c r="AP2869" s="11"/>
      <c r="AQ2869" s="11"/>
      <c r="AR2869" s="11"/>
      <c r="AS2869" s="11"/>
      <c r="AT2869" s="11"/>
      <c r="AU2869" s="11"/>
      <c r="AV2869" s="11"/>
      <c r="AW2869" s="11"/>
      <c r="AX2869" s="11"/>
      <c r="AY2869" s="11"/>
    </row>
    <row r="2870" spans="1:51" hidden="1" x14ac:dyDescent="0.2">
      <c r="A2870" s="6" t="s">
        <v>17</v>
      </c>
      <c r="B2870" t="s">
        <v>118</v>
      </c>
      <c r="C2870" t="s">
        <v>119</v>
      </c>
      <c r="D2870" t="s">
        <v>3550</v>
      </c>
      <c r="E2870" s="2">
        <v>146.03</v>
      </c>
      <c r="F2870" s="3">
        <f t="shared" si="254"/>
        <v>45982</v>
      </c>
      <c r="G2870" s="3">
        <f t="shared" si="254"/>
        <v>45982</v>
      </c>
      <c r="H2870">
        <v>3260592451</v>
      </c>
      <c r="I2870" t="s">
        <v>21</v>
      </c>
      <c r="K2870" t="s">
        <v>22</v>
      </c>
      <c r="L2870" t="s">
        <v>23</v>
      </c>
      <c r="M2870" t="s">
        <v>24</v>
      </c>
      <c r="N2870" t="s">
        <v>24</v>
      </c>
      <c r="O2870" t="s">
        <v>25</v>
      </c>
      <c r="P2870" s="8" t="s">
        <v>3551</v>
      </c>
      <c r="Q2870" s="11"/>
      <c r="R2870" s="11"/>
      <c r="S2870" s="11"/>
      <c r="T2870" s="11"/>
      <c r="U2870" s="11"/>
      <c r="V2870" s="11"/>
      <c r="W2870" s="11"/>
      <c r="X2870" s="11"/>
      <c r="Y2870" s="11"/>
      <c r="Z2870" s="11"/>
      <c r="AA2870" s="11"/>
      <c r="AB2870" s="11"/>
      <c r="AC2870" s="11"/>
      <c r="AD2870" s="11"/>
      <c r="AE2870" s="11"/>
      <c r="AF2870" s="11"/>
      <c r="AG2870" s="11"/>
      <c r="AH2870" s="11"/>
      <c r="AI2870" s="11"/>
      <c r="AJ2870" s="11"/>
      <c r="AK2870" s="11"/>
      <c r="AL2870" s="11"/>
      <c r="AM2870" s="11"/>
      <c r="AN2870" s="11"/>
      <c r="AO2870" s="11"/>
      <c r="AP2870" s="11"/>
      <c r="AQ2870" s="11"/>
      <c r="AR2870" s="11"/>
      <c r="AS2870" s="11"/>
      <c r="AT2870" s="11"/>
      <c r="AU2870" s="11"/>
      <c r="AV2870" s="11"/>
      <c r="AW2870" s="11"/>
      <c r="AX2870" s="11"/>
      <c r="AY2870" s="11"/>
    </row>
    <row r="2871" spans="1:51" hidden="1" x14ac:dyDescent="0.2">
      <c r="A2871" s="6"/>
      <c r="E2871" s="2"/>
      <c r="F2871" s="3"/>
      <c r="G2871" s="3"/>
      <c r="P2871" s="8"/>
      <c r="Q2871" s="11"/>
      <c r="R2871" s="11"/>
      <c r="S2871" s="11"/>
      <c r="T2871" s="11"/>
      <c r="U2871" s="11"/>
      <c r="V2871" s="11"/>
      <c r="W2871" s="11"/>
      <c r="X2871" s="11"/>
      <c r="Y2871" s="11"/>
      <c r="Z2871" s="11"/>
      <c r="AA2871" s="11"/>
      <c r="AB2871" s="11"/>
      <c r="AC2871" s="11"/>
      <c r="AD2871" s="11"/>
      <c r="AE2871" s="11"/>
      <c r="AF2871" s="11"/>
      <c r="AG2871" s="11"/>
      <c r="AH2871" s="11"/>
      <c r="AI2871" s="11"/>
      <c r="AJ2871" s="11"/>
      <c r="AK2871" s="11"/>
      <c r="AL2871" s="11"/>
      <c r="AM2871" s="11"/>
      <c r="AN2871" s="11"/>
      <c r="AO2871" s="11"/>
      <c r="AP2871" s="11"/>
      <c r="AQ2871" s="11"/>
      <c r="AR2871" s="11"/>
      <c r="AS2871" s="11"/>
      <c r="AT2871" s="11"/>
      <c r="AU2871" s="11"/>
      <c r="AV2871" s="11"/>
      <c r="AW2871" s="11"/>
      <c r="AX2871" s="11"/>
      <c r="AY2871" s="11"/>
    </row>
    <row r="2872" spans="1:51" hidden="1" x14ac:dyDescent="0.2">
      <c r="A2872" s="6"/>
      <c r="E2872" s="2"/>
      <c r="F2872" s="3"/>
      <c r="G2872" s="3"/>
      <c r="P2872" s="8"/>
      <c r="Q2872" s="11"/>
      <c r="R2872" s="11"/>
      <c r="S2872" s="11"/>
      <c r="T2872" s="11"/>
      <c r="U2872" s="11"/>
      <c r="V2872" s="11"/>
      <c r="W2872" s="11"/>
      <c r="X2872" s="11"/>
      <c r="Y2872" s="11"/>
      <c r="Z2872" s="11"/>
      <c r="AA2872" s="11"/>
      <c r="AB2872" s="11"/>
      <c r="AC2872" s="11"/>
      <c r="AD2872" s="11"/>
      <c r="AE2872" s="11"/>
      <c r="AF2872" s="11"/>
      <c r="AG2872" s="11"/>
      <c r="AH2872" s="11"/>
      <c r="AI2872" s="11"/>
      <c r="AJ2872" s="11"/>
      <c r="AK2872" s="11"/>
      <c r="AL2872" s="11"/>
      <c r="AM2872" s="11"/>
      <c r="AN2872" s="11"/>
      <c r="AO2872" s="11"/>
      <c r="AP2872" s="11"/>
      <c r="AQ2872" s="11"/>
      <c r="AR2872" s="11"/>
      <c r="AS2872" s="11"/>
      <c r="AT2872" s="11"/>
      <c r="AU2872" s="11"/>
      <c r="AV2872" s="11"/>
      <c r="AW2872" s="11"/>
      <c r="AX2872" s="11"/>
      <c r="AY2872" s="11"/>
    </row>
    <row r="2873" spans="1:51" hidden="1" x14ac:dyDescent="0.2">
      <c r="A2873" s="6" t="s">
        <v>17</v>
      </c>
      <c r="B2873" t="s">
        <v>35</v>
      </c>
      <c r="C2873" t="s">
        <v>35</v>
      </c>
      <c r="D2873" t="s">
        <v>3552</v>
      </c>
      <c r="E2873" s="2">
        <v>2.17</v>
      </c>
      <c r="F2873" s="3">
        <f>DATE(2025,11,24)</f>
        <v>45985</v>
      </c>
      <c r="G2873" s="3">
        <f>DATE(2025,11,24)</f>
        <v>45985</v>
      </c>
      <c r="H2873">
        <v>3272365201</v>
      </c>
      <c r="I2873" t="s">
        <v>21</v>
      </c>
      <c r="K2873" t="s">
        <v>22</v>
      </c>
      <c r="L2873" t="s">
        <v>23</v>
      </c>
      <c r="M2873" t="s">
        <v>24</v>
      </c>
      <c r="N2873" t="s">
        <v>24</v>
      </c>
      <c r="O2873" t="s">
        <v>25</v>
      </c>
      <c r="P2873" s="8" t="s">
        <v>3553</v>
      </c>
      <c r="Q2873" s="11"/>
      <c r="R2873" s="11"/>
      <c r="S2873" s="11"/>
      <c r="T2873" s="11"/>
      <c r="U2873" s="11"/>
      <c r="V2873" s="11"/>
      <c r="W2873" s="11"/>
      <c r="X2873" s="11"/>
      <c r="Y2873" s="11"/>
      <c r="Z2873" s="11"/>
      <c r="AA2873" s="11"/>
      <c r="AB2873" s="11"/>
      <c r="AC2873" s="11"/>
      <c r="AD2873" s="11"/>
      <c r="AE2873" s="11"/>
      <c r="AF2873" s="11"/>
      <c r="AG2873" s="11"/>
      <c r="AH2873" s="11"/>
      <c r="AI2873" s="11"/>
      <c r="AJ2873" s="11"/>
      <c r="AK2873" s="11"/>
      <c r="AL2873" s="11"/>
      <c r="AM2873" s="11"/>
      <c r="AN2873" s="11"/>
      <c r="AO2873" s="11"/>
      <c r="AP2873" s="11"/>
      <c r="AQ2873" s="11"/>
      <c r="AR2873" s="11"/>
      <c r="AS2873" s="11"/>
      <c r="AT2873" s="11"/>
      <c r="AU2873" s="11"/>
      <c r="AV2873" s="11"/>
      <c r="AW2873" s="11"/>
      <c r="AX2873" s="11"/>
      <c r="AY2873" s="11"/>
    </row>
    <row r="2874" spans="1:51" hidden="1" x14ac:dyDescent="0.2">
      <c r="A2874" s="6" t="s">
        <v>17</v>
      </c>
      <c r="B2874" t="s">
        <v>31</v>
      </c>
      <c r="C2874" t="s">
        <v>32</v>
      </c>
      <c r="D2874" t="s">
        <v>3554</v>
      </c>
      <c r="E2874" s="2">
        <v>51.99</v>
      </c>
      <c r="F2874" s="3">
        <f>DATE(2025,11,25)</f>
        <v>45986</v>
      </c>
      <c r="G2874" s="3">
        <f>DATE(2025,11,25)</f>
        <v>45986</v>
      </c>
      <c r="H2874">
        <v>3281129108</v>
      </c>
      <c r="I2874" t="s">
        <v>21</v>
      </c>
      <c r="K2874" t="s">
        <v>22</v>
      </c>
      <c r="L2874" t="s">
        <v>23</v>
      </c>
      <c r="M2874" t="s">
        <v>24</v>
      </c>
      <c r="N2874" t="s">
        <v>24</v>
      </c>
      <c r="O2874" t="s">
        <v>25</v>
      </c>
      <c r="P2874" s="8" t="s">
        <v>3555</v>
      </c>
      <c r="Q2874" s="11"/>
      <c r="R2874" s="11"/>
      <c r="S2874" s="11"/>
      <c r="T2874" s="11"/>
      <c r="U2874" s="11"/>
      <c r="V2874" s="11"/>
      <c r="W2874" s="11"/>
      <c r="X2874" s="11"/>
      <c r="Y2874" s="11"/>
      <c r="Z2874" s="11"/>
      <c r="AA2874" s="11"/>
      <c r="AB2874" s="11"/>
      <c r="AC2874" s="11"/>
      <c r="AD2874" s="11"/>
      <c r="AE2874" s="11"/>
      <c r="AF2874" s="11"/>
      <c r="AG2874" s="11"/>
      <c r="AH2874" s="11"/>
      <c r="AI2874" s="11"/>
      <c r="AJ2874" s="11"/>
      <c r="AK2874" s="11"/>
      <c r="AL2874" s="11"/>
      <c r="AM2874" s="11"/>
      <c r="AN2874" s="11"/>
      <c r="AO2874" s="11"/>
      <c r="AP2874" s="11"/>
      <c r="AQ2874" s="11"/>
      <c r="AR2874" s="11"/>
      <c r="AS2874" s="11"/>
      <c r="AT2874" s="11"/>
      <c r="AU2874" s="11"/>
      <c r="AV2874" s="11"/>
      <c r="AW2874" s="11"/>
      <c r="AX2874" s="11"/>
      <c r="AY2874" s="11"/>
    </row>
    <row r="2875" spans="1:51" hidden="1" x14ac:dyDescent="0.2">
      <c r="A2875" s="6" t="s">
        <v>17</v>
      </c>
      <c r="B2875" t="s">
        <v>255</v>
      </c>
      <c r="C2875" t="s">
        <v>255</v>
      </c>
      <c r="D2875" t="s">
        <v>3556</v>
      </c>
      <c r="E2875" s="2">
        <v>287.86</v>
      </c>
      <c r="F2875" s="3">
        <f>DATE(2025,11,24)</f>
        <v>45985</v>
      </c>
      <c r="G2875" s="3">
        <f>DATE(2025,11,24)</f>
        <v>45985</v>
      </c>
      <c r="H2875">
        <v>3281129109</v>
      </c>
      <c r="I2875" t="s">
        <v>21</v>
      </c>
      <c r="K2875" t="s">
        <v>22</v>
      </c>
      <c r="L2875" t="s">
        <v>23</v>
      </c>
      <c r="M2875" t="s">
        <v>24</v>
      </c>
      <c r="N2875" t="s">
        <v>24</v>
      </c>
      <c r="O2875" t="s">
        <v>25</v>
      </c>
      <c r="P2875" s="8" t="s">
        <v>3557</v>
      </c>
      <c r="Q2875" s="11"/>
      <c r="R2875" s="11"/>
      <c r="S2875" s="11"/>
      <c r="T2875" s="11"/>
      <c r="U2875" s="11"/>
      <c r="V2875" s="11"/>
      <c r="W2875" s="11"/>
      <c r="X2875" s="11"/>
      <c r="Y2875" s="11"/>
      <c r="Z2875" s="11"/>
      <c r="AA2875" s="11"/>
      <c r="AB2875" s="11"/>
      <c r="AC2875" s="11"/>
      <c r="AD2875" s="11"/>
      <c r="AE2875" s="11"/>
      <c r="AF2875" s="11"/>
      <c r="AG2875" s="11"/>
      <c r="AH2875" s="11"/>
      <c r="AI2875" s="11"/>
      <c r="AJ2875" s="11"/>
      <c r="AK2875" s="11"/>
      <c r="AL2875" s="11"/>
      <c r="AM2875" s="11"/>
      <c r="AN2875" s="11"/>
      <c r="AO2875" s="11"/>
      <c r="AP2875" s="11"/>
      <c r="AQ2875" s="11"/>
      <c r="AR2875" s="11"/>
      <c r="AS2875" s="11"/>
      <c r="AT2875" s="11"/>
      <c r="AU2875" s="11"/>
      <c r="AV2875" s="11"/>
      <c r="AW2875" s="11"/>
      <c r="AX2875" s="11"/>
      <c r="AY2875" s="11"/>
    </row>
    <row r="2876" spans="1:51" hidden="1" x14ac:dyDescent="0.2">
      <c r="A2876" s="6"/>
      <c r="E2876" s="2"/>
      <c r="F2876" s="3"/>
      <c r="G2876" s="3"/>
      <c r="P2876" s="8"/>
      <c r="Q2876" s="11"/>
      <c r="R2876" s="11"/>
      <c r="S2876" s="11"/>
      <c r="T2876" s="11"/>
      <c r="U2876" s="11"/>
      <c r="V2876" s="11"/>
      <c r="W2876" s="11"/>
      <c r="X2876" s="11"/>
      <c r="Y2876" s="11"/>
      <c r="Z2876" s="11"/>
      <c r="AA2876" s="11"/>
      <c r="AB2876" s="11"/>
      <c r="AC2876" s="11"/>
      <c r="AD2876" s="11"/>
      <c r="AE2876" s="11"/>
      <c r="AF2876" s="11"/>
      <c r="AG2876" s="11"/>
      <c r="AH2876" s="11"/>
      <c r="AI2876" s="11"/>
      <c r="AJ2876" s="11"/>
      <c r="AK2876" s="11"/>
      <c r="AL2876" s="11"/>
      <c r="AM2876" s="11"/>
      <c r="AN2876" s="11"/>
      <c r="AO2876" s="11"/>
      <c r="AP2876" s="11"/>
      <c r="AQ2876" s="11"/>
      <c r="AR2876" s="11"/>
      <c r="AS2876" s="11"/>
      <c r="AT2876" s="11"/>
      <c r="AU2876" s="11"/>
      <c r="AV2876" s="11"/>
      <c r="AW2876" s="11"/>
      <c r="AX2876" s="11"/>
      <c r="AY2876" s="11"/>
    </row>
    <row r="2877" spans="1:51" hidden="1" x14ac:dyDescent="0.2">
      <c r="A2877" s="6" t="s">
        <v>17</v>
      </c>
      <c r="B2877" t="s">
        <v>287</v>
      </c>
      <c r="C2877" t="s">
        <v>288</v>
      </c>
      <c r="D2877" t="s">
        <v>3558</v>
      </c>
      <c r="E2877" s="2">
        <v>787</v>
      </c>
      <c r="F2877" s="3">
        <f t="shared" ref="F2877:G2880" si="255">DATE(2025,11,25)</f>
        <v>45986</v>
      </c>
      <c r="G2877" s="3">
        <f t="shared" si="255"/>
        <v>45986</v>
      </c>
      <c r="H2877">
        <v>3281129111</v>
      </c>
      <c r="I2877" t="s">
        <v>21</v>
      </c>
      <c r="K2877" t="s">
        <v>22</v>
      </c>
      <c r="L2877" t="s">
        <v>23</v>
      </c>
      <c r="M2877" t="s">
        <v>24</v>
      </c>
      <c r="N2877" t="s">
        <v>24</v>
      </c>
      <c r="O2877" t="s">
        <v>25</v>
      </c>
      <c r="P2877" s="8" t="s">
        <v>3559</v>
      </c>
      <c r="Q2877" s="11"/>
      <c r="R2877" s="11"/>
      <c r="S2877" s="11"/>
      <c r="T2877" s="11"/>
      <c r="U2877" s="11"/>
      <c r="V2877" s="11"/>
      <c r="W2877" s="11"/>
      <c r="X2877" s="11"/>
      <c r="Y2877" s="11"/>
      <c r="Z2877" s="11"/>
      <c r="AA2877" s="11"/>
      <c r="AB2877" s="11"/>
      <c r="AC2877" s="11"/>
      <c r="AD2877" s="11"/>
      <c r="AE2877" s="11"/>
      <c r="AF2877" s="11"/>
      <c r="AG2877" s="11"/>
      <c r="AH2877" s="11"/>
      <c r="AI2877" s="11"/>
      <c r="AJ2877" s="11"/>
      <c r="AK2877" s="11"/>
      <c r="AL2877" s="11"/>
      <c r="AM2877" s="11"/>
      <c r="AN2877" s="11"/>
      <c r="AO2877" s="11"/>
      <c r="AP2877" s="11"/>
      <c r="AQ2877" s="11"/>
      <c r="AR2877" s="11"/>
      <c r="AS2877" s="11"/>
      <c r="AT2877" s="11"/>
      <c r="AU2877" s="11"/>
      <c r="AV2877" s="11"/>
      <c r="AW2877" s="11"/>
      <c r="AX2877" s="11"/>
      <c r="AY2877" s="11"/>
    </row>
    <row r="2878" spans="1:51" hidden="1" x14ac:dyDescent="0.2">
      <c r="A2878" s="6" t="s">
        <v>17</v>
      </c>
      <c r="B2878" t="s">
        <v>255</v>
      </c>
      <c r="C2878" t="s">
        <v>255</v>
      </c>
      <c r="D2878" t="s">
        <v>3560</v>
      </c>
      <c r="E2878" s="2">
        <v>30541.64</v>
      </c>
      <c r="F2878" s="3">
        <f t="shared" si="255"/>
        <v>45986</v>
      </c>
      <c r="G2878" s="3">
        <f t="shared" si="255"/>
        <v>45986</v>
      </c>
      <c r="H2878">
        <v>3281129112</v>
      </c>
      <c r="I2878" t="s">
        <v>21</v>
      </c>
      <c r="K2878" t="s">
        <v>22</v>
      </c>
      <c r="L2878" t="s">
        <v>23</v>
      </c>
      <c r="M2878" t="s">
        <v>24</v>
      </c>
      <c r="N2878" t="s">
        <v>24</v>
      </c>
      <c r="O2878" t="s">
        <v>25</v>
      </c>
      <c r="P2878" s="8" t="s">
        <v>3561</v>
      </c>
      <c r="Q2878" s="11"/>
      <c r="R2878" s="11"/>
      <c r="S2878" s="11"/>
      <c r="T2878" s="11"/>
      <c r="U2878" s="11"/>
      <c r="V2878" s="11"/>
      <c r="W2878" s="11"/>
      <c r="X2878" s="11"/>
      <c r="Y2878" s="11"/>
      <c r="Z2878" s="11"/>
      <c r="AA2878" s="11"/>
      <c r="AB2878" s="11"/>
      <c r="AC2878" s="11"/>
      <c r="AD2878" s="11"/>
      <c r="AE2878" s="11"/>
      <c r="AF2878" s="11"/>
      <c r="AG2878" s="11"/>
      <c r="AH2878" s="11"/>
      <c r="AI2878" s="11"/>
      <c r="AJ2878" s="11"/>
      <c r="AK2878" s="11"/>
      <c r="AL2878" s="11"/>
      <c r="AM2878" s="11"/>
      <c r="AN2878" s="11"/>
      <c r="AO2878" s="11"/>
      <c r="AP2878" s="11"/>
      <c r="AQ2878" s="11"/>
      <c r="AR2878" s="11"/>
      <c r="AS2878" s="11"/>
      <c r="AT2878" s="11"/>
      <c r="AU2878" s="11"/>
      <c r="AV2878" s="11"/>
      <c r="AW2878" s="11"/>
      <c r="AX2878" s="11"/>
      <c r="AY2878" s="11"/>
    </row>
    <row r="2879" spans="1:51" hidden="1" x14ac:dyDescent="0.2">
      <c r="A2879" s="6"/>
      <c r="E2879" s="2"/>
      <c r="F2879" s="3"/>
      <c r="G2879" s="3"/>
      <c r="P2879" s="8"/>
      <c r="Q2879" s="11"/>
      <c r="R2879" s="11"/>
      <c r="S2879" s="11"/>
      <c r="T2879" s="11"/>
      <c r="U2879" s="11"/>
      <c r="V2879" s="11"/>
      <c r="W2879" s="11"/>
      <c r="X2879" s="11"/>
      <c r="Y2879" s="11"/>
      <c r="Z2879" s="11"/>
      <c r="AA2879" s="11"/>
      <c r="AB2879" s="11"/>
      <c r="AC2879" s="11"/>
      <c r="AD2879" s="11"/>
      <c r="AE2879" s="11"/>
      <c r="AF2879" s="11"/>
      <c r="AG2879" s="11"/>
      <c r="AH2879" s="11"/>
      <c r="AI2879" s="11"/>
      <c r="AJ2879" s="11"/>
      <c r="AK2879" s="11"/>
      <c r="AL2879" s="11"/>
      <c r="AM2879" s="11"/>
      <c r="AN2879" s="11"/>
      <c r="AO2879" s="11"/>
      <c r="AP2879" s="11"/>
      <c r="AQ2879" s="11"/>
      <c r="AR2879" s="11"/>
      <c r="AS2879" s="11"/>
      <c r="AT2879" s="11"/>
      <c r="AU2879" s="11"/>
      <c r="AV2879" s="11"/>
      <c r="AW2879" s="11"/>
      <c r="AX2879" s="11"/>
      <c r="AY2879" s="11"/>
    </row>
    <row r="2880" spans="1:51" hidden="1" x14ac:dyDescent="0.2">
      <c r="A2880" s="6" t="s">
        <v>17</v>
      </c>
      <c r="B2880" t="s">
        <v>31</v>
      </c>
      <c r="C2880" t="s">
        <v>32</v>
      </c>
      <c r="D2880" t="s">
        <v>3562</v>
      </c>
      <c r="E2880" s="2">
        <v>70.3</v>
      </c>
      <c r="F2880" s="3">
        <f t="shared" si="255"/>
        <v>45986</v>
      </c>
      <c r="G2880" s="3">
        <f t="shared" si="255"/>
        <v>45986</v>
      </c>
      <c r="H2880">
        <v>3281129114</v>
      </c>
      <c r="I2880" t="s">
        <v>21</v>
      </c>
      <c r="K2880" t="s">
        <v>22</v>
      </c>
      <c r="L2880" t="s">
        <v>23</v>
      </c>
      <c r="M2880" t="s">
        <v>24</v>
      </c>
      <c r="N2880" t="s">
        <v>24</v>
      </c>
      <c r="O2880" t="s">
        <v>25</v>
      </c>
      <c r="P2880" s="8" t="s">
        <v>3563</v>
      </c>
      <c r="Q2880" s="11"/>
      <c r="R2880" s="11"/>
      <c r="S2880" s="11"/>
      <c r="T2880" s="11"/>
      <c r="U2880" s="11"/>
      <c r="V2880" s="11"/>
      <c r="W2880" s="11"/>
      <c r="X2880" s="11"/>
      <c r="Y2880" s="11"/>
      <c r="Z2880" s="11"/>
      <c r="AA2880" s="11"/>
      <c r="AB2880" s="11"/>
      <c r="AC2880" s="11"/>
      <c r="AD2880" s="11"/>
      <c r="AE2880" s="11"/>
      <c r="AF2880" s="11"/>
      <c r="AG2880" s="11"/>
      <c r="AH2880" s="11"/>
      <c r="AI2880" s="11"/>
      <c r="AJ2880" s="11"/>
      <c r="AK2880" s="11"/>
      <c r="AL2880" s="11"/>
      <c r="AM2880" s="11"/>
      <c r="AN2880" s="11"/>
      <c r="AO2880" s="11"/>
      <c r="AP2880" s="11"/>
      <c r="AQ2880" s="11"/>
      <c r="AR2880" s="11"/>
      <c r="AS2880" s="11"/>
      <c r="AT2880" s="11"/>
      <c r="AU2880" s="11"/>
      <c r="AV2880" s="11"/>
      <c r="AW2880" s="11"/>
      <c r="AX2880" s="11"/>
      <c r="AY2880" s="11"/>
    </row>
    <row r="2881" spans="1:51" hidden="1" x14ac:dyDescent="0.2">
      <c r="A2881" s="6"/>
      <c r="E2881" s="2"/>
      <c r="F2881" s="3"/>
      <c r="G2881" s="3"/>
      <c r="P2881" s="8"/>
      <c r="Q2881" s="11"/>
      <c r="R2881" s="11"/>
      <c r="S2881" s="11"/>
      <c r="T2881" s="11"/>
      <c r="U2881" s="11"/>
      <c r="V2881" s="11"/>
      <c r="W2881" s="11"/>
      <c r="X2881" s="11"/>
      <c r="Y2881" s="11"/>
      <c r="Z2881" s="11"/>
      <c r="AA2881" s="11"/>
      <c r="AB2881" s="11"/>
      <c r="AC2881" s="11"/>
      <c r="AD2881" s="11"/>
      <c r="AE2881" s="11"/>
      <c r="AF2881" s="11"/>
      <c r="AG2881" s="11"/>
      <c r="AH2881" s="11"/>
      <c r="AI2881" s="11"/>
      <c r="AJ2881" s="11"/>
      <c r="AK2881" s="11"/>
      <c r="AL2881" s="11"/>
      <c r="AM2881" s="11"/>
      <c r="AN2881" s="11"/>
      <c r="AO2881" s="11"/>
      <c r="AP2881" s="11"/>
      <c r="AQ2881" s="11"/>
      <c r="AR2881" s="11"/>
      <c r="AS2881" s="11"/>
      <c r="AT2881" s="11"/>
      <c r="AU2881" s="11"/>
      <c r="AV2881" s="11"/>
      <c r="AW2881" s="11"/>
      <c r="AX2881" s="11"/>
      <c r="AY2881" s="11"/>
    </row>
    <row r="2882" spans="1:51" hidden="1" x14ac:dyDescent="0.2">
      <c r="A2882" s="6"/>
      <c r="E2882" s="2"/>
      <c r="F2882" s="3"/>
      <c r="G2882" s="3"/>
      <c r="P2882" s="8"/>
      <c r="Q2882" s="11"/>
      <c r="R2882" s="11"/>
      <c r="S2882" s="11"/>
      <c r="T2882" s="11"/>
      <c r="U2882" s="11"/>
      <c r="V2882" s="11"/>
      <c r="W2882" s="11"/>
      <c r="X2882" s="11"/>
      <c r="Y2882" s="11"/>
      <c r="Z2882" s="11"/>
      <c r="AA2882" s="11"/>
      <c r="AB2882" s="11"/>
      <c r="AC2882" s="11"/>
      <c r="AD2882" s="11"/>
      <c r="AE2882" s="11"/>
      <c r="AF2882" s="11"/>
      <c r="AG2882" s="11"/>
      <c r="AH2882" s="11"/>
      <c r="AI2882" s="11"/>
      <c r="AJ2882" s="11"/>
      <c r="AK2882" s="11"/>
      <c r="AL2882" s="11"/>
      <c r="AM2882" s="11"/>
      <c r="AN2882" s="11"/>
      <c r="AO2882" s="11"/>
      <c r="AP2882" s="11"/>
      <c r="AQ2882" s="11"/>
      <c r="AR2882" s="11"/>
      <c r="AS2882" s="11"/>
      <c r="AT2882" s="11"/>
      <c r="AU2882" s="11"/>
      <c r="AV2882" s="11"/>
      <c r="AW2882" s="11"/>
      <c r="AX2882" s="11"/>
      <c r="AY2882" s="11"/>
    </row>
    <row r="2883" spans="1:51" hidden="1" x14ac:dyDescent="0.2">
      <c r="A2883" s="6" t="s">
        <v>17</v>
      </c>
      <c r="B2883" t="s">
        <v>132</v>
      </c>
      <c r="C2883" t="s">
        <v>133</v>
      </c>
      <c r="D2883" t="s">
        <v>3564</v>
      </c>
      <c r="E2883" s="2">
        <v>21.6</v>
      </c>
      <c r="F2883" s="3">
        <f>DATE(2025,11,24)</f>
        <v>45985</v>
      </c>
      <c r="G2883" s="3">
        <f>DATE(2025,11,24)</f>
        <v>45985</v>
      </c>
      <c r="H2883">
        <v>3281154602</v>
      </c>
      <c r="I2883" t="s">
        <v>192</v>
      </c>
      <c r="K2883" t="s">
        <v>22</v>
      </c>
      <c r="L2883" t="s">
        <v>23</v>
      </c>
      <c r="M2883" t="s">
        <v>24</v>
      </c>
      <c r="N2883" t="s">
        <v>24</v>
      </c>
      <c r="O2883" t="s">
        <v>25</v>
      </c>
      <c r="P2883" s="8" t="s">
        <v>3565</v>
      </c>
      <c r="Q2883" s="11"/>
      <c r="R2883" s="11"/>
      <c r="S2883" s="11"/>
      <c r="T2883" s="11"/>
      <c r="U2883" s="11"/>
      <c r="V2883" s="11"/>
      <c r="W2883" s="11"/>
      <c r="X2883" s="11"/>
      <c r="Y2883" s="11"/>
      <c r="Z2883" s="11"/>
      <c r="AA2883" s="11"/>
      <c r="AB2883" s="11"/>
      <c r="AC2883" s="11"/>
      <c r="AD2883" s="11"/>
      <c r="AE2883" s="11"/>
      <c r="AF2883" s="11"/>
      <c r="AG2883" s="11"/>
      <c r="AH2883" s="11"/>
      <c r="AI2883" s="11"/>
      <c r="AJ2883" s="11"/>
      <c r="AK2883" s="11"/>
      <c r="AL2883" s="11"/>
      <c r="AM2883" s="11"/>
      <c r="AN2883" s="11"/>
      <c r="AO2883" s="11"/>
      <c r="AP2883" s="11"/>
      <c r="AQ2883" s="11"/>
      <c r="AR2883" s="11"/>
      <c r="AS2883" s="11"/>
      <c r="AT2883" s="11"/>
      <c r="AU2883" s="11"/>
      <c r="AV2883" s="11"/>
      <c r="AW2883" s="11"/>
      <c r="AX2883" s="11"/>
      <c r="AY2883" s="11"/>
    </row>
    <row r="2884" spans="1:51" hidden="1" x14ac:dyDescent="0.2">
      <c r="A2884" s="6" t="s">
        <v>17</v>
      </c>
      <c r="B2884" t="s">
        <v>132</v>
      </c>
      <c r="C2884" t="s">
        <v>133</v>
      </c>
      <c r="D2884" t="s">
        <v>3566</v>
      </c>
      <c r="E2884" s="2">
        <v>3.3</v>
      </c>
      <c r="F2884" s="3">
        <f>DATE(2025,11,24)</f>
        <v>45985</v>
      </c>
      <c r="G2884" s="3">
        <f>DATE(2025,11,24)</f>
        <v>45985</v>
      </c>
      <c r="H2884">
        <v>3281154603</v>
      </c>
      <c r="I2884" t="s">
        <v>192</v>
      </c>
      <c r="K2884" t="s">
        <v>22</v>
      </c>
      <c r="L2884" t="s">
        <v>23</v>
      </c>
      <c r="M2884" t="s">
        <v>24</v>
      </c>
      <c r="N2884" t="s">
        <v>24</v>
      </c>
      <c r="O2884" t="s">
        <v>25</v>
      </c>
      <c r="P2884" s="8" t="s">
        <v>3567</v>
      </c>
      <c r="Q2884" s="11"/>
      <c r="R2884" s="11"/>
      <c r="S2884" s="11"/>
      <c r="T2884" s="11"/>
      <c r="U2884" s="11"/>
      <c r="V2884" s="11"/>
      <c r="W2884" s="11"/>
      <c r="X2884" s="11"/>
      <c r="Y2884" s="11"/>
      <c r="Z2884" s="11"/>
      <c r="AA2884" s="11"/>
      <c r="AB2884" s="11"/>
      <c r="AC2884" s="11"/>
      <c r="AD2884" s="11"/>
      <c r="AE2884" s="11"/>
      <c r="AF2884" s="11"/>
      <c r="AG2884" s="11"/>
      <c r="AH2884" s="11"/>
      <c r="AI2884" s="11"/>
      <c r="AJ2884" s="11"/>
      <c r="AK2884" s="11"/>
      <c r="AL2884" s="11"/>
      <c r="AM2884" s="11"/>
      <c r="AN2884" s="11"/>
      <c r="AO2884" s="11"/>
      <c r="AP2884" s="11"/>
      <c r="AQ2884" s="11"/>
      <c r="AR2884" s="11"/>
      <c r="AS2884" s="11"/>
      <c r="AT2884" s="11"/>
      <c r="AU2884" s="11"/>
      <c r="AV2884" s="11"/>
      <c r="AW2884" s="11"/>
      <c r="AX2884" s="11"/>
      <c r="AY2884" s="11"/>
    </row>
    <row r="2885" spans="1:51" hidden="1" x14ac:dyDescent="0.2">
      <c r="A2885" s="6"/>
      <c r="E2885" s="2"/>
      <c r="F2885" s="3"/>
      <c r="G2885" s="3"/>
      <c r="P2885" s="8"/>
      <c r="Q2885" s="11"/>
      <c r="R2885" s="11"/>
      <c r="S2885" s="11"/>
      <c r="T2885" s="11"/>
      <c r="U2885" s="11"/>
      <c r="V2885" s="11"/>
      <c r="W2885" s="11"/>
      <c r="X2885" s="11"/>
      <c r="Y2885" s="11"/>
      <c r="Z2885" s="11"/>
      <c r="AA2885" s="11"/>
      <c r="AB2885" s="11"/>
      <c r="AC2885" s="11"/>
      <c r="AD2885" s="11"/>
      <c r="AE2885" s="11"/>
      <c r="AF2885" s="11"/>
      <c r="AG2885" s="11"/>
      <c r="AH2885" s="11"/>
      <c r="AI2885" s="11"/>
      <c r="AJ2885" s="11"/>
      <c r="AK2885" s="11"/>
      <c r="AL2885" s="11"/>
      <c r="AM2885" s="11"/>
      <c r="AN2885" s="11"/>
      <c r="AO2885" s="11"/>
      <c r="AP2885" s="11"/>
      <c r="AQ2885" s="11"/>
      <c r="AR2885" s="11"/>
      <c r="AS2885" s="11"/>
      <c r="AT2885" s="11"/>
      <c r="AU2885" s="11"/>
      <c r="AV2885" s="11"/>
      <c r="AW2885" s="11"/>
      <c r="AX2885" s="11"/>
      <c r="AY2885" s="11"/>
    </row>
    <row r="2886" spans="1:51" hidden="1" x14ac:dyDescent="0.2">
      <c r="A2886" s="6"/>
      <c r="E2886" s="2"/>
      <c r="F2886" s="3"/>
      <c r="G2886" s="3"/>
      <c r="P2886" s="8"/>
      <c r="Q2886" s="11"/>
      <c r="R2886" s="11"/>
      <c r="S2886" s="11"/>
      <c r="T2886" s="11"/>
      <c r="U2886" s="11"/>
      <c r="V2886" s="11"/>
      <c r="W2886" s="11"/>
      <c r="X2886" s="11"/>
      <c r="Y2886" s="11"/>
      <c r="Z2886" s="11"/>
      <c r="AA2886" s="11"/>
      <c r="AB2886" s="11"/>
      <c r="AC2886" s="11"/>
      <c r="AD2886" s="11"/>
      <c r="AE2886" s="11"/>
      <c r="AF2886" s="11"/>
      <c r="AG2886" s="11"/>
      <c r="AH2886" s="11"/>
      <c r="AI2886" s="11"/>
      <c r="AJ2886" s="11"/>
      <c r="AK2886" s="11"/>
      <c r="AL2886" s="11"/>
      <c r="AM2886" s="11"/>
      <c r="AN2886" s="11"/>
      <c r="AO2886" s="11"/>
      <c r="AP2886" s="11"/>
      <c r="AQ2886" s="11"/>
      <c r="AR2886" s="11"/>
      <c r="AS2886" s="11"/>
      <c r="AT2886" s="11"/>
      <c r="AU2886" s="11"/>
      <c r="AV2886" s="11"/>
      <c r="AW2886" s="11"/>
      <c r="AX2886" s="11"/>
      <c r="AY2886" s="11"/>
    </row>
    <row r="2887" spans="1:51" hidden="1" x14ac:dyDescent="0.2">
      <c r="A2887" s="6" t="s">
        <v>17</v>
      </c>
      <c r="B2887" t="s">
        <v>18</v>
      </c>
      <c r="C2887" t="s">
        <v>19</v>
      </c>
      <c r="D2887" t="s">
        <v>3568</v>
      </c>
      <c r="E2887" s="2">
        <v>96.84</v>
      </c>
      <c r="F2887" s="3">
        <f t="shared" ref="F2887:G2888" si="256">DATE(2025,11,26)</f>
        <v>45987</v>
      </c>
      <c r="G2887" s="3">
        <f t="shared" si="256"/>
        <v>45987</v>
      </c>
      <c r="H2887">
        <v>3293021589</v>
      </c>
      <c r="I2887" t="s">
        <v>21</v>
      </c>
      <c r="K2887" t="s">
        <v>22</v>
      </c>
      <c r="L2887" t="s">
        <v>23</v>
      </c>
      <c r="M2887" t="s">
        <v>24</v>
      </c>
      <c r="N2887" t="s">
        <v>24</v>
      </c>
      <c r="O2887" t="s">
        <v>25</v>
      </c>
      <c r="P2887" s="8" t="s">
        <v>3569</v>
      </c>
      <c r="Q2887" s="11"/>
      <c r="R2887" s="11"/>
      <c r="S2887" s="11"/>
      <c r="T2887" s="11"/>
      <c r="U2887" s="11"/>
      <c r="V2887" s="11"/>
      <c r="W2887" s="11"/>
      <c r="X2887" s="11"/>
      <c r="Y2887" s="11"/>
      <c r="Z2887" s="11"/>
      <c r="AA2887" s="11"/>
      <c r="AB2887" s="11"/>
      <c r="AC2887" s="11"/>
      <c r="AD2887" s="11"/>
      <c r="AE2887" s="11"/>
      <c r="AF2887" s="11"/>
      <c r="AG2887" s="11"/>
      <c r="AH2887" s="11"/>
      <c r="AI2887" s="11"/>
      <c r="AJ2887" s="11"/>
      <c r="AK2887" s="11"/>
      <c r="AL2887" s="11"/>
      <c r="AM2887" s="11"/>
      <c r="AN2887" s="11"/>
      <c r="AO2887" s="11"/>
      <c r="AP2887" s="11"/>
      <c r="AQ2887" s="11"/>
      <c r="AR2887" s="11"/>
      <c r="AS2887" s="11"/>
      <c r="AT2887" s="11"/>
      <c r="AU2887" s="11"/>
      <c r="AV2887" s="11"/>
      <c r="AW2887" s="11"/>
      <c r="AX2887" s="11"/>
      <c r="AY2887" s="11"/>
    </row>
    <row r="2888" spans="1:51" hidden="1" x14ac:dyDescent="0.2">
      <c r="A2888" s="6" t="s">
        <v>17</v>
      </c>
      <c r="B2888" t="s">
        <v>589</v>
      </c>
      <c r="C2888" t="s">
        <v>590</v>
      </c>
      <c r="D2888" t="s">
        <v>3570</v>
      </c>
      <c r="E2888" s="2">
        <v>835.57</v>
      </c>
      <c r="F2888" s="3">
        <f t="shared" si="256"/>
        <v>45987</v>
      </c>
      <c r="G2888" s="3">
        <f t="shared" si="256"/>
        <v>45987</v>
      </c>
      <c r="H2888">
        <v>3293021590</v>
      </c>
      <c r="I2888" t="s">
        <v>21</v>
      </c>
      <c r="K2888" t="s">
        <v>22</v>
      </c>
      <c r="L2888" t="s">
        <v>23</v>
      </c>
      <c r="M2888" t="s">
        <v>24</v>
      </c>
      <c r="N2888" t="s">
        <v>24</v>
      </c>
      <c r="O2888" t="s">
        <v>25</v>
      </c>
      <c r="P2888" s="8" t="s">
        <v>3571</v>
      </c>
      <c r="Q2888" s="11"/>
      <c r="R2888" s="11"/>
      <c r="S2888" s="11"/>
      <c r="T2888" s="11"/>
      <c r="U2888" s="11"/>
      <c r="V2888" s="11"/>
      <c r="W2888" s="11"/>
      <c r="X2888" s="11"/>
      <c r="Y2888" s="11"/>
      <c r="Z2888" s="11"/>
      <c r="AA2888" s="11"/>
      <c r="AB2888" s="11"/>
      <c r="AC2888" s="11"/>
      <c r="AD2888" s="11"/>
      <c r="AE2888" s="11"/>
      <c r="AF2888" s="11"/>
      <c r="AG2888" s="11"/>
      <c r="AH2888" s="11"/>
      <c r="AI2888" s="11"/>
      <c r="AJ2888" s="11"/>
      <c r="AK2888" s="11"/>
      <c r="AL2888" s="11"/>
      <c r="AM2888" s="11"/>
      <c r="AN2888" s="11"/>
      <c r="AO2888" s="11"/>
      <c r="AP2888" s="11"/>
      <c r="AQ2888" s="11"/>
      <c r="AR2888" s="11"/>
      <c r="AS2888" s="11"/>
      <c r="AT2888" s="11"/>
      <c r="AU2888" s="11"/>
      <c r="AV2888" s="11"/>
      <c r="AW2888" s="11"/>
      <c r="AX2888" s="11"/>
      <c r="AY2888" s="11"/>
    </row>
    <row r="2889" spans="1:51" hidden="1" x14ac:dyDescent="0.2">
      <c r="A2889" s="6" t="s">
        <v>17</v>
      </c>
      <c r="B2889" t="s">
        <v>456</v>
      </c>
      <c r="C2889" t="s">
        <v>457</v>
      </c>
      <c r="D2889" t="s">
        <v>3572</v>
      </c>
      <c r="E2889" s="2">
        <v>20</v>
      </c>
      <c r="F2889" s="3">
        <f>DATE(2025,11,27)</f>
        <v>45988</v>
      </c>
      <c r="G2889" s="3">
        <f>DATE(2025,11,27)</f>
        <v>45988</v>
      </c>
      <c r="H2889">
        <v>3293021591</v>
      </c>
      <c r="I2889" t="s">
        <v>21</v>
      </c>
      <c r="K2889" t="s">
        <v>22</v>
      </c>
      <c r="L2889" t="s">
        <v>23</v>
      </c>
      <c r="M2889" t="s">
        <v>24</v>
      </c>
      <c r="N2889" t="s">
        <v>24</v>
      </c>
      <c r="O2889" t="s">
        <v>25</v>
      </c>
      <c r="P2889" s="8" t="s">
        <v>3573</v>
      </c>
      <c r="Q2889" s="11"/>
      <c r="R2889" s="11"/>
      <c r="S2889" s="11"/>
      <c r="T2889" s="11"/>
      <c r="U2889" s="11"/>
      <c r="V2889" s="11"/>
      <c r="W2889" s="11"/>
      <c r="X2889" s="11"/>
      <c r="Y2889" s="11"/>
      <c r="Z2889" s="11"/>
      <c r="AA2889" s="11"/>
      <c r="AB2889" s="11"/>
      <c r="AC2889" s="11"/>
      <c r="AD2889" s="11"/>
      <c r="AE2889" s="11"/>
      <c r="AF2889" s="11"/>
      <c r="AG2889" s="11"/>
      <c r="AH2889" s="11"/>
      <c r="AI2889" s="11"/>
      <c r="AJ2889" s="11"/>
      <c r="AK2889" s="11"/>
      <c r="AL2889" s="11"/>
      <c r="AM2889" s="11"/>
      <c r="AN2889" s="11"/>
      <c r="AO2889" s="11"/>
      <c r="AP2889" s="11"/>
      <c r="AQ2889" s="11"/>
      <c r="AR2889" s="11"/>
      <c r="AS2889" s="11"/>
      <c r="AT2889" s="11"/>
      <c r="AU2889" s="11"/>
      <c r="AV2889" s="11"/>
      <c r="AW2889" s="11"/>
      <c r="AX2889" s="11"/>
      <c r="AY2889" s="11"/>
    </row>
    <row r="2890" spans="1:51" hidden="1" x14ac:dyDescent="0.2">
      <c r="A2890" s="6"/>
      <c r="E2890" s="2"/>
      <c r="F2890" s="3"/>
      <c r="G2890" s="3"/>
      <c r="P2890" s="8"/>
      <c r="Q2890" s="11"/>
      <c r="R2890" s="11"/>
      <c r="S2890" s="11"/>
      <c r="T2890" s="11"/>
      <c r="U2890" s="11"/>
      <c r="V2890" s="11"/>
      <c r="W2890" s="11"/>
      <c r="X2890" s="11"/>
      <c r="Y2890" s="11"/>
      <c r="Z2890" s="11"/>
      <c r="AA2890" s="11"/>
      <c r="AB2890" s="11"/>
      <c r="AC2890" s="11"/>
      <c r="AD2890" s="11"/>
      <c r="AE2890" s="11"/>
      <c r="AF2890" s="11"/>
      <c r="AG2890" s="11"/>
      <c r="AH2890" s="11"/>
      <c r="AI2890" s="11"/>
      <c r="AJ2890" s="11"/>
      <c r="AK2890" s="11"/>
      <c r="AL2890" s="11"/>
      <c r="AM2890" s="11"/>
      <c r="AN2890" s="11"/>
      <c r="AO2890" s="11"/>
      <c r="AP2890" s="11"/>
      <c r="AQ2890" s="11"/>
      <c r="AR2890" s="11"/>
      <c r="AS2890" s="11"/>
      <c r="AT2890" s="11"/>
      <c r="AU2890" s="11"/>
      <c r="AV2890" s="11"/>
      <c r="AW2890" s="11"/>
      <c r="AX2890" s="11"/>
      <c r="AY2890" s="11"/>
    </row>
    <row r="2891" spans="1:51" hidden="1" x14ac:dyDescent="0.2">
      <c r="A2891" s="6" t="s">
        <v>17</v>
      </c>
      <c r="B2891" t="s">
        <v>35</v>
      </c>
      <c r="C2891" t="s">
        <v>35</v>
      </c>
      <c r="D2891" t="s">
        <v>3574</v>
      </c>
      <c r="E2891" s="2">
        <v>11.53</v>
      </c>
      <c r="F2891" s="3">
        <f t="shared" ref="F2891:G2892" si="257">DATE(2025,11,26)</f>
        <v>45987</v>
      </c>
      <c r="G2891" s="3">
        <f t="shared" si="257"/>
        <v>45987</v>
      </c>
      <c r="H2891">
        <v>3293021593</v>
      </c>
      <c r="I2891" t="s">
        <v>21</v>
      </c>
      <c r="K2891" t="s">
        <v>22</v>
      </c>
      <c r="L2891" t="s">
        <v>23</v>
      </c>
      <c r="M2891" t="s">
        <v>24</v>
      </c>
      <c r="N2891" t="s">
        <v>24</v>
      </c>
      <c r="O2891" t="s">
        <v>25</v>
      </c>
      <c r="P2891" s="8" t="s">
        <v>3575</v>
      </c>
      <c r="Q2891" s="11"/>
      <c r="R2891" s="11"/>
      <c r="S2891" s="11"/>
      <c r="T2891" s="11"/>
      <c r="U2891" s="11"/>
      <c r="V2891" s="11"/>
      <c r="W2891" s="11"/>
      <c r="X2891" s="11"/>
      <c r="Y2891" s="11"/>
      <c r="Z2891" s="11"/>
      <c r="AA2891" s="11"/>
      <c r="AB2891" s="11"/>
      <c r="AC2891" s="11"/>
      <c r="AD2891" s="11"/>
      <c r="AE2891" s="11"/>
      <c r="AF2891" s="11"/>
      <c r="AG2891" s="11"/>
      <c r="AH2891" s="11"/>
      <c r="AI2891" s="11"/>
      <c r="AJ2891" s="11"/>
      <c r="AK2891" s="11"/>
      <c r="AL2891" s="11"/>
      <c r="AM2891" s="11"/>
      <c r="AN2891" s="11"/>
      <c r="AO2891" s="11"/>
      <c r="AP2891" s="11"/>
      <c r="AQ2891" s="11"/>
      <c r="AR2891" s="11"/>
      <c r="AS2891" s="11"/>
      <c r="AT2891" s="11"/>
      <c r="AU2891" s="11"/>
      <c r="AV2891" s="11"/>
      <c r="AW2891" s="11"/>
      <c r="AX2891" s="11"/>
      <c r="AY2891" s="11"/>
    </row>
    <row r="2892" spans="1:51" hidden="1" x14ac:dyDescent="0.2">
      <c r="A2892" s="6" t="s">
        <v>17</v>
      </c>
      <c r="B2892" t="s">
        <v>309</v>
      </c>
      <c r="C2892" t="s">
        <v>310</v>
      </c>
      <c r="D2892" t="s">
        <v>3576</v>
      </c>
      <c r="E2892" s="2">
        <v>3462.34</v>
      </c>
      <c r="F2892" s="3">
        <f t="shared" si="257"/>
        <v>45987</v>
      </c>
      <c r="G2892" s="3">
        <f t="shared" si="257"/>
        <v>45987</v>
      </c>
      <c r="H2892">
        <v>3293021594</v>
      </c>
      <c r="I2892" t="s">
        <v>21</v>
      </c>
      <c r="K2892" t="s">
        <v>22</v>
      </c>
      <c r="L2892" t="s">
        <v>23</v>
      </c>
      <c r="M2892" t="s">
        <v>24</v>
      </c>
      <c r="N2892" t="s">
        <v>24</v>
      </c>
      <c r="O2892" t="s">
        <v>25</v>
      </c>
      <c r="P2892" s="8" t="s">
        <v>3577</v>
      </c>
      <c r="Q2892" s="11"/>
      <c r="R2892" s="11"/>
      <c r="S2892" s="11"/>
      <c r="T2892" s="11"/>
      <c r="U2892" s="11"/>
      <c r="V2892" s="11"/>
      <c r="W2892" s="11"/>
      <c r="X2892" s="11"/>
      <c r="Y2892" s="11"/>
      <c r="Z2892" s="11"/>
      <c r="AA2892" s="11"/>
      <c r="AB2892" s="11"/>
      <c r="AC2892" s="11"/>
      <c r="AD2892" s="11"/>
      <c r="AE2892" s="11"/>
      <c r="AF2892" s="11"/>
      <c r="AG2892" s="11"/>
      <c r="AH2892" s="11"/>
      <c r="AI2892" s="11"/>
      <c r="AJ2892" s="11"/>
      <c r="AK2892" s="11"/>
      <c r="AL2892" s="11"/>
      <c r="AM2892" s="11"/>
      <c r="AN2892" s="11"/>
      <c r="AO2892" s="11"/>
      <c r="AP2892" s="11"/>
      <c r="AQ2892" s="11"/>
      <c r="AR2892" s="11"/>
      <c r="AS2892" s="11"/>
      <c r="AT2892" s="11"/>
      <c r="AU2892" s="11"/>
      <c r="AV2892" s="11"/>
      <c r="AW2892" s="11"/>
      <c r="AX2892" s="11"/>
      <c r="AY2892" s="11"/>
    </row>
    <row r="2893" spans="1:51" hidden="1" x14ac:dyDescent="0.2">
      <c r="A2893" s="6"/>
      <c r="E2893" s="2"/>
      <c r="F2893" s="3"/>
      <c r="G2893" s="3"/>
      <c r="P2893" s="8"/>
      <c r="Q2893" s="11"/>
      <c r="R2893" s="11"/>
      <c r="S2893" s="11"/>
      <c r="T2893" s="11"/>
      <c r="U2893" s="11"/>
      <c r="V2893" s="11"/>
      <c r="W2893" s="11"/>
      <c r="X2893" s="11"/>
      <c r="Y2893" s="11"/>
      <c r="Z2893" s="11"/>
      <c r="AA2893" s="11"/>
      <c r="AB2893" s="11"/>
      <c r="AC2893" s="11"/>
      <c r="AD2893" s="11"/>
      <c r="AE2893" s="11"/>
      <c r="AF2893" s="11"/>
      <c r="AG2893" s="11"/>
      <c r="AH2893" s="11"/>
      <c r="AI2893" s="11"/>
      <c r="AJ2893" s="11"/>
      <c r="AK2893" s="11"/>
      <c r="AL2893" s="11"/>
      <c r="AM2893" s="11"/>
      <c r="AN2893" s="11"/>
      <c r="AO2893" s="11"/>
      <c r="AP2893" s="11"/>
      <c r="AQ2893" s="11"/>
      <c r="AR2893" s="11"/>
      <c r="AS2893" s="11"/>
      <c r="AT2893" s="11"/>
      <c r="AU2893" s="11"/>
      <c r="AV2893" s="11"/>
      <c r="AW2893" s="11"/>
      <c r="AX2893" s="11"/>
      <c r="AY2893" s="11"/>
    </row>
    <row r="2894" spans="1:51" hidden="1" x14ac:dyDescent="0.2">
      <c r="A2894" s="6" t="s">
        <v>17</v>
      </c>
      <c r="B2894" t="s">
        <v>35</v>
      </c>
      <c r="C2894" t="s">
        <v>35</v>
      </c>
      <c r="D2894" t="s">
        <v>3578</v>
      </c>
      <c r="E2894" s="2">
        <v>5.62</v>
      </c>
      <c r="F2894" s="3">
        <f t="shared" ref="F2894:G2898" si="258">DATE(2025,11,27)</f>
        <v>45988</v>
      </c>
      <c r="G2894" s="3">
        <f t="shared" si="258"/>
        <v>45988</v>
      </c>
      <c r="H2894">
        <v>3303310677</v>
      </c>
      <c r="I2894" t="s">
        <v>21</v>
      </c>
      <c r="K2894" t="s">
        <v>22</v>
      </c>
      <c r="L2894" t="s">
        <v>23</v>
      </c>
      <c r="M2894" t="s">
        <v>24</v>
      </c>
      <c r="N2894" t="s">
        <v>24</v>
      </c>
      <c r="O2894" t="s">
        <v>25</v>
      </c>
      <c r="P2894" s="8" t="s">
        <v>3579</v>
      </c>
      <c r="Q2894" s="11"/>
      <c r="R2894" s="11"/>
      <c r="S2894" s="11"/>
      <c r="T2894" s="11"/>
      <c r="U2894" s="11"/>
      <c r="V2894" s="11"/>
      <c r="W2894" s="11"/>
      <c r="X2894" s="11"/>
      <c r="Y2894" s="11"/>
      <c r="Z2894" s="11"/>
      <c r="AA2894" s="11"/>
      <c r="AB2894" s="11"/>
      <c r="AC2894" s="11"/>
      <c r="AD2894" s="11"/>
      <c r="AE2894" s="11"/>
      <c r="AF2894" s="11"/>
      <c r="AG2894" s="11"/>
      <c r="AH2894" s="11"/>
      <c r="AI2894" s="11"/>
      <c r="AJ2894" s="11"/>
      <c r="AK2894" s="11"/>
      <c r="AL2894" s="11"/>
      <c r="AM2894" s="11"/>
      <c r="AN2894" s="11"/>
      <c r="AO2894" s="11"/>
      <c r="AP2894" s="11"/>
      <c r="AQ2894" s="11"/>
      <c r="AR2894" s="11"/>
      <c r="AS2894" s="11"/>
      <c r="AT2894" s="11"/>
      <c r="AU2894" s="11"/>
      <c r="AV2894" s="11"/>
      <c r="AW2894" s="11"/>
      <c r="AX2894" s="11"/>
      <c r="AY2894" s="11"/>
    </row>
    <row r="2895" spans="1:51" hidden="1" x14ac:dyDescent="0.2">
      <c r="A2895" s="6"/>
      <c r="E2895" s="2"/>
      <c r="F2895" s="3"/>
      <c r="G2895" s="3"/>
      <c r="P2895" s="8"/>
      <c r="Q2895" s="11"/>
      <c r="R2895" s="11"/>
      <c r="S2895" s="11"/>
      <c r="T2895" s="11"/>
      <c r="U2895" s="11"/>
      <c r="V2895" s="11"/>
      <c r="W2895" s="11"/>
      <c r="X2895" s="11"/>
      <c r="Y2895" s="11"/>
      <c r="Z2895" s="11"/>
      <c r="AA2895" s="11"/>
      <c r="AB2895" s="11"/>
      <c r="AC2895" s="11"/>
      <c r="AD2895" s="11"/>
      <c r="AE2895" s="11"/>
      <c r="AF2895" s="11"/>
      <c r="AG2895" s="11"/>
      <c r="AH2895" s="11"/>
      <c r="AI2895" s="11"/>
      <c r="AJ2895" s="11"/>
      <c r="AK2895" s="11"/>
      <c r="AL2895" s="11"/>
      <c r="AM2895" s="11"/>
      <c r="AN2895" s="11"/>
      <c r="AO2895" s="11"/>
      <c r="AP2895" s="11"/>
      <c r="AQ2895" s="11"/>
      <c r="AR2895" s="11"/>
      <c r="AS2895" s="11"/>
      <c r="AT2895" s="11"/>
      <c r="AU2895" s="11"/>
      <c r="AV2895" s="11"/>
      <c r="AW2895" s="11"/>
      <c r="AX2895" s="11"/>
      <c r="AY2895" s="11"/>
    </row>
    <row r="2896" spans="1:51" hidden="1" x14ac:dyDescent="0.2">
      <c r="A2896" s="6" t="s">
        <v>17</v>
      </c>
      <c r="B2896" t="s">
        <v>287</v>
      </c>
      <c r="C2896" t="s">
        <v>288</v>
      </c>
      <c r="D2896" t="s">
        <v>3580</v>
      </c>
      <c r="E2896" s="2">
        <v>3947</v>
      </c>
      <c r="F2896" s="3">
        <f t="shared" si="258"/>
        <v>45988</v>
      </c>
      <c r="G2896" s="3">
        <f t="shared" si="258"/>
        <v>45988</v>
      </c>
      <c r="H2896">
        <v>3303310679</v>
      </c>
      <c r="I2896" t="s">
        <v>21</v>
      </c>
      <c r="K2896" t="s">
        <v>22</v>
      </c>
      <c r="L2896" t="s">
        <v>23</v>
      </c>
      <c r="M2896" t="s">
        <v>24</v>
      </c>
      <c r="N2896" t="s">
        <v>24</v>
      </c>
      <c r="O2896" t="s">
        <v>25</v>
      </c>
      <c r="P2896" s="8" t="s">
        <v>3581</v>
      </c>
      <c r="Q2896" s="11"/>
      <c r="R2896" s="11"/>
      <c r="S2896" s="11"/>
      <c r="T2896" s="11"/>
      <c r="U2896" s="11"/>
      <c r="V2896" s="11"/>
      <c r="W2896" s="11"/>
      <c r="X2896" s="11"/>
      <c r="Y2896" s="11"/>
      <c r="Z2896" s="11"/>
      <c r="AA2896" s="11"/>
      <c r="AB2896" s="11"/>
      <c r="AC2896" s="11"/>
      <c r="AD2896" s="11"/>
      <c r="AE2896" s="11"/>
      <c r="AF2896" s="11"/>
      <c r="AG2896" s="11"/>
      <c r="AH2896" s="11"/>
      <c r="AI2896" s="11"/>
      <c r="AJ2896" s="11"/>
      <c r="AK2896" s="11"/>
      <c r="AL2896" s="11"/>
      <c r="AM2896" s="11"/>
      <c r="AN2896" s="11"/>
      <c r="AO2896" s="11"/>
      <c r="AP2896" s="11"/>
      <c r="AQ2896" s="11"/>
      <c r="AR2896" s="11"/>
      <c r="AS2896" s="11"/>
      <c r="AT2896" s="11"/>
      <c r="AU2896" s="11"/>
      <c r="AV2896" s="11"/>
      <c r="AW2896" s="11"/>
      <c r="AX2896" s="11"/>
      <c r="AY2896" s="11"/>
    </row>
    <row r="2897" spans="1:51" x14ac:dyDescent="0.2">
      <c r="A2897" s="6" t="s">
        <v>17</v>
      </c>
      <c r="B2897" t="s">
        <v>342</v>
      </c>
      <c r="C2897" t="s">
        <v>342</v>
      </c>
      <c r="D2897" t="s">
        <v>3582</v>
      </c>
      <c r="E2897" s="2">
        <v>122</v>
      </c>
      <c r="F2897" s="3">
        <f t="shared" si="258"/>
        <v>45988</v>
      </c>
      <c r="G2897" s="3">
        <f t="shared" si="258"/>
        <v>45988</v>
      </c>
      <c r="H2897">
        <v>3303328965</v>
      </c>
      <c r="I2897" t="s">
        <v>192</v>
      </c>
      <c r="K2897" t="s">
        <v>22</v>
      </c>
      <c r="L2897" t="s">
        <v>23</v>
      </c>
      <c r="M2897" t="s">
        <v>24</v>
      </c>
      <c r="N2897" t="s">
        <v>24</v>
      </c>
      <c r="O2897" t="s">
        <v>25</v>
      </c>
      <c r="P2897" s="8" t="s">
        <v>3583</v>
      </c>
      <c r="Q2897" s="11"/>
      <c r="R2897" s="11"/>
      <c r="S2897" s="11"/>
      <c r="T2897" s="11"/>
      <c r="U2897" s="11"/>
      <c r="V2897" s="11"/>
      <c r="W2897" s="11"/>
      <c r="X2897" s="11"/>
      <c r="Y2897" s="11"/>
      <c r="Z2897" s="11"/>
      <c r="AA2897" s="11"/>
      <c r="AB2897" s="11"/>
      <c r="AC2897" s="11"/>
      <c r="AD2897" s="11"/>
      <c r="AE2897" s="11"/>
      <c r="AF2897" s="11"/>
      <c r="AG2897" s="11"/>
      <c r="AH2897" s="11"/>
      <c r="AI2897" s="11"/>
      <c r="AJ2897" s="11"/>
      <c r="AK2897" s="11"/>
      <c r="AL2897" s="11"/>
      <c r="AM2897" s="11"/>
      <c r="AN2897" s="11"/>
      <c r="AO2897" s="11"/>
      <c r="AP2897" s="11"/>
      <c r="AQ2897" s="11"/>
      <c r="AR2897" s="11"/>
      <c r="AS2897" s="11"/>
      <c r="AT2897" s="11"/>
      <c r="AU2897" s="11"/>
      <c r="AV2897" s="11"/>
      <c r="AW2897" s="11"/>
      <c r="AX2897" s="11"/>
      <c r="AY2897" s="11"/>
    </row>
    <row r="2898" spans="1:51" hidden="1" x14ac:dyDescent="0.2">
      <c r="A2898" s="6" t="s">
        <v>17</v>
      </c>
      <c r="B2898" t="s">
        <v>132</v>
      </c>
      <c r="C2898" t="s">
        <v>133</v>
      </c>
      <c r="D2898" t="s">
        <v>3584</v>
      </c>
      <c r="E2898" s="2">
        <v>250.32</v>
      </c>
      <c r="F2898" s="3">
        <f t="shared" si="258"/>
        <v>45988</v>
      </c>
      <c r="G2898" s="3">
        <f t="shared" si="258"/>
        <v>45988</v>
      </c>
      <c r="H2898">
        <v>3303328966</v>
      </c>
      <c r="I2898" t="s">
        <v>192</v>
      </c>
      <c r="K2898" t="s">
        <v>22</v>
      </c>
      <c r="L2898" t="s">
        <v>23</v>
      </c>
      <c r="M2898" t="s">
        <v>24</v>
      </c>
      <c r="N2898" t="s">
        <v>24</v>
      </c>
      <c r="O2898" t="s">
        <v>25</v>
      </c>
      <c r="P2898" s="8" t="s">
        <v>3585</v>
      </c>
      <c r="Q2898" s="11"/>
      <c r="R2898" s="11"/>
      <c r="S2898" s="11"/>
      <c r="T2898" s="11"/>
      <c r="U2898" s="11"/>
      <c r="V2898" s="11"/>
      <c r="W2898" s="11"/>
      <c r="X2898" s="11"/>
      <c r="Y2898" s="11"/>
      <c r="Z2898" s="11"/>
      <c r="AA2898" s="11"/>
      <c r="AB2898" s="11"/>
      <c r="AC2898" s="11"/>
      <c r="AD2898" s="11"/>
      <c r="AE2898" s="11"/>
      <c r="AF2898" s="11"/>
      <c r="AG2898" s="11"/>
      <c r="AH2898" s="11"/>
      <c r="AI2898" s="11"/>
      <c r="AJ2898" s="11"/>
      <c r="AK2898" s="11"/>
      <c r="AL2898" s="11"/>
      <c r="AM2898" s="11"/>
      <c r="AN2898" s="11"/>
      <c r="AO2898" s="11"/>
      <c r="AP2898" s="11"/>
      <c r="AQ2898" s="11"/>
      <c r="AR2898" s="11"/>
      <c r="AS2898" s="11"/>
      <c r="AT2898" s="11"/>
      <c r="AU2898" s="11"/>
      <c r="AV2898" s="11"/>
      <c r="AW2898" s="11"/>
      <c r="AX2898" s="11"/>
      <c r="AY2898" s="11"/>
    </row>
    <row r="2899" spans="1:51" hidden="1" x14ac:dyDescent="0.2">
      <c r="A2899" s="6" t="s">
        <v>17</v>
      </c>
      <c r="B2899" t="s">
        <v>35</v>
      </c>
      <c r="C2899" t="s">
        <v>35</v>
      </c>
      <c r="D2899" t="s">
        <v>3586</v>
      </c>
      <c r="E2899" s="2">
        <v>0.27</v>
      </c>
      <c r="F2899" s="3">
        <f>DATE(2025,11,29)</f>
        <v>45990</v>
      </c>
      <c r="G2899" s="3">
        <f>DATE(2025,11,29)</f>
        <v>45990</v>
      </c>
      <c r="H2899">
        <v>3309830318</v>
      </c>
      <c r="I2899" t="s">
        <v>21</v>
      </c>
      <c r="K2899" t="s">
        <v>22</v>
      </c>
      <c r="L2899" t="s">
        <v>23</v>
      </c>
      <c r="M2899" t="s">
        <v>24</v>
      </c>
      <c r="N2899" t="s">
        <v>24</v>
      </c>
      <c r="O2899" t="s">
        <v>25</v>
      </c>
      <c r="P2899" s="8" t="s">
        <v>3587</v>
      </c>
      <c r="Q2899" s="11"/>
      <c r="R2899" s="11"/>
      <c r="S2899" s="11"/>
      <c r="T2899" s="11"/>
      <c r="U2899" s="11"/>
      <c r="V2899" s="11"/>
      <c r="W2899" s="11"/>
      <c r="X2899" s="11"/>
      <c r="Y2899" s="11"/>
      <c r="Z2899" s="11"/>
      <c r="AA2899" s="11"/>
      <c r="AB2899" s="11"/>
      <c r="AC2899" s="11"/>
      <c r="AD2899" s="11"/>
      <c r="AE2899" s="11"/>
      <c r="AF2899" s="11"/>
      <c r="AG2899" s="11"/>
      <c r="AH2899" s="11"/>
      <c r="AI2899" s="11"/>
      <c r="AJ2899" s="11"/>
      <c r="AK2899" s="11"/>
      <c r="AL2899" s="11"/>
      <c r="AM2899" s="11"/>
      <c r="AN2899" s="11"/>
      <c r="AO2899" s="11"/>
      <c r="AP2899" s="11"/>
      <c r="AQ2899" s="11"/>
      <c r="AR2899" s="11"/>
      <c r="AS2899" s="11"/>
      <c r="AT2899" s="11"/>
      <c r="AU2899" s="11"/>
      <c r="AV2899" s="11"/>
      <c r="AW2899" s="11"/>
      <c r="AX2899" s="11"/>
      <c r="AY2899" s="11"/>
    </row>
    <row r="2900" spans="1:51" hidden="1" x14ac:dyDescent="0.2">
      <c r="A2900" s="6" t="s">
        <v>17</v>
      </c>
      <c r="B2900" t="s">
        <v>35</v>
      </c>
      <c r="C2900" t="s">
        <v>35</v>
      </c>
      <c r="D2900" t="s">
        <v>3588</v>
      </c>
      <c r="E2900" s="2">
        <v>2.58</v>
      </c>
      <c r="F2900" s="3">
        <f>DATE(2025,11,28)</f>
        <v>45989</v>
      </c>
      <c r="G2900" s="3">
        <f>DATE(2025,11,28)</f>
        <v>45989</v>
      </c>
      <c r="H2900">
        <v>3309830319</v>
      </c>
      <c r="I2900" t="s">
        <v>21</v>
      </c>
      <c r="K2900" t="s">
        <v>22</v>
      </c>
      <c r="L2900" t="s">
        <v>23</v>
      </c>
      <c r="M2900" t="s">
        <v>24</v>
      </c>
      <c r="N2900" t="s">
        <v>24</v>
      </c>
      <c r="O2900" t="s">
        <v>25</v>
      </c>
      <c r="P2900" s="8" t="s">
        <v>3589</v>
      </c>
      <c r="Q2900" s="11"/>
      <c r="R2900" s="11"/>
      <c r="S2900" s="11"/>
      <c r="T2900" s="11"/>
      <c r="U2900" s="11"/>
      <c r="V2900" s="11"/>
      <c r="W2900" s="11"/>
      <c r="X2900" s="11"/>
      <c r="Y2900" s="11"/>
      <c r="Z2900" s="11"/>
      <c r="AA2900" s="11"/>
      <c r="AB2900" s="11"/>
      <c r="AC2900" s="11"/>
      <c r="AD2900" s="11"/>
      <c r="AE2900" s="11"/>
      <c r="AF2900" s="11"/>
      <c r="AG2900" s="11"/>
      <c r="AH2900" s="11"/>
      <c r="AI2900" s="11"/>
      <c r="AJ2900" s="11"/>
      <c r="AK2900" s="11"/>
      <c r="AL2900" s="11"/>
      <c r="AM2900" s="11"/>
      <c r="AN2900" s="11"/>
      <c r="AO2900" s="11"/>
      <c r="AP2900" s="11"/>
      <c r="AQ2900" s="11"/>
      <c r="AR2900" s="11"/>
      <c r="AS2900" s="11"/>
      <c r="AT2900" s="11"/>
      <c r="AU2900" s="11"/>
      <c r="AV2900" s="11"/>
      <c r="AW2900" s="11"/>
      <c r="AX2900" s="11"/>
      <c r="AY2900" s="11"/>
    </row>
    <row r="2901" spans="1:51" hidden="1" x14ac:dyDescent="0.2">
      <c r="A2901" s="6"/>
      <c r="E2901" s="2"/>
      <c r="F2901" s="3"/>
      <c r="G2901" s="3"/>
      <c r="P2901" s="8"/>
      <c r="Q2901" s="11"/>
      <c r="R2901" s="11"/>
      <c r="S2901" s="11"/>
      <c r="T2901" s="11"/>
      <c r="U2901" s="11"/>
      <c r="V2901" s="11"/>
      <c r="W2901" s="11"/>
      <c r="X2901" s="11"/>
      <c r="Y2901" s="11"/>
      <c r="Z2901" s="11"/>
      <c r="AA2901" s="11"/>
      <c r="AB2901" s="11"/>
      <c r="AC2901" s="11"/>
      <c r="AD2901" s="11"/>
      <c r="AE2901" s="11"/>
      <c r="AF2901" s="11"/>
      <c r="AG2901" s="11"/>
      <c r="AH2901" s="11"/>
      <c r="AI2901" s="11"/>
      <c r="AJ2901" s="11"/>
      <c r="AK2901" s="11"/>
      <c r="AL2901" s="11"/>
      <c r="AM2901" s="11"/>
      <c r="AN2901" s="11"/>
      <c r="AO2901" s="11"/>
      <c r="AP2901" s="11"/>
      <c r="AQ2901" s="11"/>
      <c r="AR2901" s="11"/>
      <c r="AS2901" s="11"/>
      <c r="AT2901" s="11"/>
      <c r="AU2901" s="11"/>
      <c r="AV2901" s="11"/>
      <c r="AW2901" s="11"/>
      <c r="AX2901" s="11"/>
      <c r="AY2901" s="11"/>
    </row>
    <row r="2902" spans="1:51" hidden="1" x14ac:dyDescent="0.2">
      <c r="A2902" s="6" t="s">
        <v>17</v>
      </c>
      <c r="B2902" t="s">
        <v>18</v>
      </c>
      <c r="C2902" t="s">
        <v>19</v>
      </c>
      <c r="D2902" t="s">
        <v>3590</v>
      </c>
      <c r="E2902" s="2">
        <v>0.35</v>
      </c>
      <c r="F2902" s="3">
        <f>DATE(2025,11,29)</f>
        <v>45990</v>
      </c>
      <c r="G2902" s="3">
        <f>DATE(2025,11,29)</f>
        <v>45990</v>
      </c>
      <c r="H2902">
        <v>3309830321</v>
      </c>
      <c r="I2902" t="s">
        <v>21</v>
      </c>
      <c r="K2902" t="s">
        <v>22</v>
      </c>
      <c r="L2902" t="s">
        <v>23</v>
      </c>
      <c r="M2902" t="s">
        <v>24</v>
      </c>
      <c r="N2902" t="s">
        <v>24</v>
      </c>
      <c r="O2902" t="s">
        <v>25</v>
      </c>
      <c r="P2902" s="8" t="s">
        <v>3591</v>
      </c>
      <c r="Q2902" s="11"/>
      <c r="R2902" s="11"/>
      <c r="S2902" s="11"/>
      <c r="T2902" s="11"/>
      <c r="U2902" s="11"/>
      <c r="V2902" s="11"/>
      <c r="W2902" s="11"/>
      <c r="X2902" s="11"/>
      <c r="Y2902" s="11"/>
      <c r="Z2902" s="11"/>
      <c r="AA2902" s="11"/>
      <c r="AB2902" s="11"/>
      <c r="AC2902" s="11"/>
      <c r="AD2902" s="11"/>
      <c r="AE2902" s="11"/>
      <c r="AF2902" s="11"/>
      <c r="AG2902" s="11"/>
      <c r="AH2902" s="11"/>
      <c r="AI2902" s="11"/>
      <c r="AJ2902" s="11"/>
      <c r="AK2902" s="11"/>
      <c r="AL2902" s="11"/>
      <c r="AM2902" s="11"/>
      <c r="AN2902" s="11"/>
      <c r="AO2902" s="11"/>
      <c r="AP2902" s="11"/>
      <c r="AQ2902" s="11"/>
      <c r="AR2902" s="11"/>
      <c r="AS2902" s="11"/>
      <c r="AT2902" s="11"/>
      <c r="AU2902" s="11"/>
      <c r="AV2902" s="11"/>
      <c r="AW2902" s="11"/>
      <c r="AX2902" s="11"/>
      <c r="AY2902" s="11"/>
    </row>
    <row r="2903" spans="1:51" x14ac:dyDescent="0.2">
      <c r="A2903" s="6" t="s">
        <v>17</v>
      </c>
      <c r="B2903" t="s">
        <v>342</v>
      </c>
      <c r="C2903" t="s">
        <v>342</v>
      </c>
      <c r="D2903" t="s">
        <v>359</v>
      </c>
      <c r="E2903" s="2">
        <v>4605.8100000000004</v>
      </c>
      <c r="F2903" s="3">
        <f>DATE(2025,11,28)</f>
        <v>45989</v>
      </c>
      <c r="G2903" s="3">
        <f>DATE(2025,11,28)</f>
        <v>45989</v>
      </c>
      <c r="H2903">
        <v>3309830322</v>
      </c>
      <c r="I2903" t="s">
        <v>21</v>
      </c>
      <c r="K2903" t="s">
        <v>22</v>
      </c>
      <c r="L2903" t="s">
        <v>23</v>
      </c>
      <c r="M2903" t="s">
        <v>24</v>
      </c>
      <c r="N2903" t="s">
        <v>25</v>
      </c>
      <c r="O2903" t="s">
        <v>25</v>
      </c>
      <c r="P2903" s="8" t="s">
        <v>3592</v>
      </c>
      <c r="Q2903" s="11"/>
      <c r="R2903" s="11"/>
      <c r="S2903" s="11"/>
      <c r="T2903" s="11"/>
      <c r="U2903" s="11"/>
      <c r="V2903" s="11"/>
      <c r="W2903" s="11"/>
      <c r="X2903" s="11"/>
      <c r="Y2903" s="11"/>
      <c r="Z2903" s="11"/>
      <c r="AA2903" s="11"/>
      <c r="AB2903" s="11"/>
      <c r="AC2903" s="11"/>
      <c r="AD2903" s="11"/>
      <c r="AE2903" s="11"/>
      <c r="AF2903" s="11"/>
      <c r="AG2903" s="11"/>
      <c r="AH2903" s="11"/>
      <c r="AI2903" s="11"/>
      <c r="AJ2903" s="11"/>
      <c r="AK2903" s="11"/>
      <c r="AL2903" s="11"/>
      <c r="AM2903" s="11"/>
      <c r="AN2903" s="11"/>
      <c r="AO2903" s="11"/>
      <c r="AP2903" s="11"/>
      <c r="AQ2903" s="11"/>
      <c r="AR2903" s="11"/>
      <c r="AS2903" s="11"/>
      <c r="AT2903" s="11"/>
      <c r="AU2903" s="11"/>
      <c r="AV2903" s="11"/>
      <c r="AW2903" s="11"/>
      <c r="AX2903" s="11"/>
      <c r="AY2903" s="11"/>
    </row>
    <row r="2904" spans="1:51" hidden="1" x14ac:dyDescent="0.2">
      <c r="A2904" s="6" t="s">
        <v>17</v>
      </c>
      <c r="B2904" t="s">
        <v>118</v>
      </c>
      <c r="C2904" t="s">
        <v>119</v>
      </c>
      <c r="D2904" t="s">
        <v>3593</v>
      </c>
      <c r="E2904" s="2">
        <v>35.840000000000003</v>
      </c>
      <c r="F2904" s="3">
        <f>DATE(2025,11,28)</f>
        <v>45989</v>
      </c>
      <c r="G2904" s="3">
        <f>DATE(2025,11,28)</f>
        <v>45989</v>
      </c>
      <c r="H2904">
        <v>3309830323</v>
      </c>
      <c r="I2904" t="s">
        <v>21</v>
      </c>
      <c r="K2904" t="s">
        <v>22</v>
      </c>
      <c r="L2904" t="s">
        <v>23</v>
      </c>
      <c r="M2904" t="s">
        <v>24</v>
      </c>
      <c r="N2904" t="s">
        <v>24</v>
      </c>
      <c r="O2904" t="s">
        <v>25</v>
      </c>
      <c r="P2904" s="8" t="s">
        <v>3594</v>
      </c>
      <c r="Q2904" s="11"/>
      <c r="R2904" s="11"/>
      <c r="S2904" s="11"/>
      <c r="T2904" s="11"/>
      <c r="U2904" s="11"/>
      <c r="V2904" s="11"/>
      <c r="W2904" s="11"/>
      <c r="X2904" s="11"/>
      <c r="Y2904" s="11"/>
      <c r="Z2904" s="11"/>
      <c r="AA2904" s="11"/>
      <c r="AB2904" s="11"/>
      <c r="AC2904" s="11"/>
      <c r="AD2904" s="11"/>
      <c r="AE2904" s="11"/>
      <c r="AF2904" s="11"/>
      <c r="AG2904" s="11"/>
      <c r="AH2904" s="11"/>
      <c r="AI2904" s="11"/>
      <c r="AJ2904" s="11"/>
      <c r="AK2904" s="11"/>
      <c r="AL2904" s="11"/>
      <c r="AM2904" s="11"/>
      <c r="AN2904" s="11"/>
      <c r="AO2904" s="11"/>
      <c r="AP2904" s="11"/>
      <c r="AQ2904" s="11"/>
      <c r="AR2904" s="11"/>
      <c r="AS2904" s="11"/>
      <c r="AT2904" s="11"/>
      <c r="AU2904" s="11"/>
      <c r="AV2904" s="11"/>
      <c r="AW2904" s="11"/>
      <c r="AX2904" s="11"/>
      <c r="AY2904" s="11"/>
    </row>
    <row r="2905" spans="1:51" hidden="1" x14ac:dyDescent="0.2">
      <c r="A2905" s="6" t="s">
        <v>17</v>
      </c>
      <c r="B2905" t="s">
        <v>27</v>
      </c>
      <c r="C2905" t="s">
        <v>28</v>
      </c>
      <c r="D2905" t="s">
        <v>3595</v>
      </c>
      <c r="E2905" s="2">
        <v>1313.46</v>
      </c>
      <c r="F2905" s="3">
        <f>DATE(2025,11,29)</f>
        <v>45990</v>
      </c>
      <c r="G2905" s="3">
        <f>DATE(2025,11,29)</f>
        <v>45990</v>
      </c>
      <c r="H2905">
        <v>3309830324</v>
      </c>
      <c r="I2905" t="s">
        <v>21</v>
      </c>
      <c r="K2905" t="s">
        <v>22</v>
      </c>
      <c r="L2905" t="s">
        <v>23</v>
      </c>
      <c r="M2905" t="s">
        <v>24</v>
      </c>
      <c r="N2905" t="s">
        <v>24</v>
      </c>
      <c r="O2905" t="s">
        <v>25</v>
      </c>
      <c r="P2905" s="8" t="s">
        <v>3596</v>
      </c>
      <c r="Q2905" s="11"/>
      <c r="R2905" s="11"/>
      <c r="S2905" s="11"/>
      <c r="T2905" s="11"/>
      <c r="U2905" s="11"/>
      <c r="V2905" s="11"/>
      <c r="W2905" s="11"/>
      <c r="X2905" s="11"/>
      <c r="Y2905" s="11"/>
      <c r="Z2905" s="11"/>
      <c r="AA2905" s="11"/>
      <c r="AB2905" s="11"/>
      <c r="AC2905" s="11"/>
      <c r="AD2905" s="11"/>
      <c r="AE2905" s="11"/>
      <c r="AF2905" s="11"/>
      <c r="AG2905" s="11"/>
      <c r="AH2905" s="11"/>
      <c r="AI2905" s="11"/>
      <c r="AJ2905" s="11"/>
      <c r="AK2905" s="11"/>
      <c r="AL2905" s="11"/>
      <c r="AM2905" s="11"/>
      <c r="AN2905" s="11"/>
      <c r="AO2905" s="11"/>
      <c r="AP2905" s="11"/>
      <c r="AQ2905" s="11"/>
      <c r="AR2905" s="11"/>
      <c r="AS2905" s="11"/>
      <c r="AT2905" s="11"/>
      <c r="AU2905" s="11"/>
      <c r="AV2905" s="11"/>
      <c r="AW2905" s="11"/>
      <c r="AX2905" s="11"/>
      <c r="AY2905" s="11"/>
    </row>
    <row r="2906" spans="1:51" hidden="1" x14ac:dyDescent="0.2">
      <c r="A2906" s="6"/>
      <c r="E2906" s="2"/>
      <c r="F2906" s="3"/>
      <c r="G2906" s="3"/>
      <c r="P2906" s="8"/>
      <c r="Q2906" s="11"/>
      <c r="R2906" s="11"/>
      <c r="S2906" s="11"/>
      <c r="T2906" s="11"/>
      <c r="U2906" s="11"/>
      <c r="V2906" s="11"/>
      <c r="W2906" s="11"/>
      <c r="X2906" s="11"/>
      <c r="Y2906" s="11"/>
      <c r="Z2906" s="11"/>
      <c r="AA2906" s="11"/>
      <c r="AB2906" s="11"/>
      <c r="AC2906" s="11"/>
      <c r="AD2906" s="11"/>
      <c r="AE2906" s="11"/>
      <c r="AF2906" s="11"/>
      <c r="AG2906" s="11"/>
      <c r="AH2906" s="11"/>
      <c r="AI2906" s="11"/>
      <c r="AJ2906" s="11"/>
      <c r="AK2906" s="11"/>
      <c r="AL2906" s="11"/>
      <c r="AM2906" s="11"/>
      <c r="AN2906" s="11"/>
      <c r="AO2906" s="11"/>
      <c r="AP2906" s="11"/>
      <c r="AQ2906" s="11"/>
      <c r="AR2906" s="11"/>
      <c r="AS2906" s="11"/>
      <c r="AT2906" s="11"/>
      <c r="AU2906" s="11"/>
      <c r="AV2906" s="11"/>
      <c r="AW2906" s="11"/>
      <c r="AX2906" s="11"/>
      <c r="AY2906" s="11"/>
    </row>
    <row r="2907" spans="1:51" hidden="1" x14ac:dyDescent="0.2">
      <c r="A2907" s="6" t="s">
        <v>17</v>
      </c>
      <c r="B2907" t="s">
        <v>90</v>
      </c>
      <c r="C2907" t="s">
        <v>91</v>
      </c>
      <c r="D2907" t="s">
        <v>3597</v>
      </c>
      <c r="E2907" s="2">
        <v>850</v>
      </c>
      <c r="F2907" s="3">
        <f t="shared" ref="F2907:G2909" si="259">DATE(2025,11,28)</f>
        <v>45989</v>
      </c>
      <c r="G2907" s="3">
        <f t="shared" si="259"/>
        <v>45989</v>
      </c>
      <c r="H2907">
        <v>3309830326</v>
      </c>
      <c r="I2907" t="s">
        <v>21</v>
      </c>
      <c r="K2907" t="s">
        <v>22</v>
      </c>
      <c r="L2907" t="s">
        <v>23</v>
      </c>
      <c r="M2907" t="s">
        <v>24</v>
      </c>
      <c r="N2907" t="s">
        <v>24</v>
      </c>
      <c r="O2907" t="s">
        <v>25</v>
      </c>
      <c r="P2907" s="8" t="s">
        <v>3598</v>
      </c>
      <c r="Q2907" s="11"/>
      <c r="R2907" s="11"/>
      <c r="S2907" s="11"/>
      <c r="T2907" s="11"/>
      <c r="U2907" s="11"/>
      <c r="V2907" s="11"/>
      <c r="W2907" s="11"/>
      <c r="X2907" s="11"/>
      <c r="Y2907" s="11"/>
      <c r="Z2907" s="11"/>
      <c r="AA2907" s="11"/>
      <c r="AB2907" s="11"/>
      <c r="AC2907" s="11"/>
      <c r="AD2907" s="11"/>
      <c r="AE2907" s="11"/>
      <c r="AF2907" s="11"/>
      <c r="AG2907" s="11"/>
      <c r="AH2907" s="11"/>
      <c r="AI2907" s="11"/>
      <c r="AJ2907" s="11"/>
      <c r="AK2907" s="11"/>
      <c r="AL2907" s="11"/>
      <c r="AM2907" s="11"/>
      <c r="AN2907" s="11"/>
      <c r="AO2907" s="11"/>
      <c r="AP2907" s="11"/>
      <c r="AQ2907" s="11"/>
      <c r="AR2907" s="11"/>
      <c r="AS2907" s="11"/>
      <c r="AT2907" s="11"/>
      <c r="AU2907" s="11"/>
      <c r="AV2907" s="11"/>
      <c r="AW2907" s="11"/>
      <c r="AX2907" s="11"/>
      <c r="AY2907" s="11"/>
    </row>
    <row r="2908" spans="1:51" hidden="1" x14ac:dyDescent="0.2">
      <c r="A2908" s="6"/>
      <c r="E2908" s="2"/>
      <c r="F2908" s="3"/>
      <c r="G2908" s="3"/>
      <c r="P2908" s="8"/>
      <c r="Q2908" s="11"/>
      <c r="R2908" s="11"/>
      <c r="S2908" s="11"/>
      <c r="T2908" s="11"/>
      <c r="U2908" s="11"/>
      <c r="V2908" s="11"/>
      <c r="W2908" s="11"/>
      <c r="X2908" s="11"/>
      <c r="Y2908" s="11"/>
      <c r="Z2908" s="11"/>
      <c r="AA2908" s="11"/>
      <c r="AB2908" s="11"/>
      <c r="AC2908" s="11"/>
      <c r="AD2908" s="11"/>
      <c r="AE2908" s="11"/>
      <c r="AF2908" s="11"/>
      <c r="AG2908" s="11"/>
      <c r="AH2908" s="11"/>
      <c r="AI2908" s="11"/>
      <c r="AJ2908" s="11"/>
      <c r="AK2908" s="11"/>
      <c r="AL2908" s="11"/>
      <c r="AM2908" s="11"/>
      <c r="AN2908" s="11"/>
      <c r="AO2908" s="11"/>
      <c r="AP2908" s="11"/>
      <c r="AQ2908" s="11"/>
      <c r="AR2908" s="11"/>
      <c r="AS2908" s="11"/>
      <c r="AT2908" s="11"/>
      <c r="AU2908" s="11"/>
      <c r="AV2908" s="11"/>
      <c r="AW2908" s="11"/>
      <c r="AX2908" s="11"/>
      <c r="AY2908" s="11"/>
    </row>
    <row r="2909" spans="1:51" hidden="1" x14ac:dyDescent="0.2">
      <c r="A2909" s="6" t="s">
        <v>17</v>
      </c>
      <c r="B2909" t="s">
        <v>132</v>
      </c>
      <c r="C2909" t="s">
        <v>133</v>
      </c>
      <c r="D2909" t="s">
        <v>3599</v>
      </c>
      <c r="E2909" s="2">
        <v>1.7</v>
      </c>
      <c r="F2909" s="3">
        <f t="shared" si="259"/>
        <v>45989</v>
      </c>
      <c r="G2909" s="3">
        <f t="shared" si="259"/>
        <v>45989</v>
      </c>
      <c r="H2909">
        <v>3309834325</v>
      </c>
      <c r="I2909" t="s">
        <v>192</v>
      </c>
      <c r="K2909" t="s">
        <v>22</v>
      </c>
      <c r="L2909" t="s">
        <v>23</v>
      </c>
      <c r="M2909" t="s">
        <v>24</v>
      </c>
      <c r="N2909" t="s">
        <v>24</v>
      </c>
      <c r="O2909" t="s">
        <v>25</v>
      </c>
      <c r="P2909" s="8" t="s">
        <v>3600</v>
      </c>
      <c r="Q2909" s="11"/>
      <c r="R2909" s="11"/>
      <c r="S2909" s="11"/>
      <c r="T2909" s="11"/>
      <c r="U2909" s="11"/>
      <c r="V2909" s="11"/>
      <c r="W2909" s="11"/>
      <c r="X2909" s="11"/>
      <c r="Y2909" s="11"/>
      <c r="Z2909" s="11"/>
      <c r="AA2909" s="11"/>
      <c r="AB2909" s="11"/>
      <c r="AC2909" s="11"/>
      <c r="AD2909" s="11"/>
      <c r="AE2909" s="11"/>
      <c r="AF2909" s="11"/>
      <c r="AG2909" s="11"/>
      <c r="AH2909" s="11"/>
      <c r="AI2909" s="11"/>
      <c r="AJ2909" s="11"/>
      <c r="AK2909" s="11"/>
      <c r="AL2909" s="11"/>
      <c r="AM2909" s="11"/>
      <c r="AN2909" s="11"/>
      <c r="AO2909" s="11"/>
      <c r="AP2909" s="11"/>
      <c r="AQ2909" s="11"/>
      <c r="AR2909" s="11"/>
      <c r="AS2909" s="11"/>
      <c r="AT2909" s="11"/>
      <c r="AU2909" s="11"/>
      <c r="AV2909" s="11"/>
      <c r="AW2909" s="11"/>
      <c r="AX2909" s="11"/>
      <c r="AY2909" s="11"/>
    </row>
    <row r="2910" spans="1:51" hidden="1" x14ac:dyDescent="0.2">
      <c r="A2910" s="6"/>
      <c r="E2910" s="2"/>
      <c r="F2910" s="3"/>
      <c r="G2910" s="3"/>
      <c r="P2910" s="8"/>
      <c r="Q2910" s="11"/>
      <c r="R2910" s="11"/>
      <c r="S2910" s="11"/>
      <c r="T2910" s="11"/>
      <c r="U2910" s="11"/>
      <c r="V2910" s="11"/>
      <c r="W2910" s="11"/>
      <c r="X2910" s="11"/>
      <c r="Y2910" s="11"/>
      <c r="Z2910" s="11"/>
      <c r="AA2910" s="11"/>
      <c r="AB2910" s="11"/>
      <c r="AC2910" s="11"/>
      <c r="AD2910" s="11"/>
      <c r="AE2910" s="11"/>
      <c r="AF2910" s="11"/>
      <c r="AG2910" s="11"/>
      <c r="AH2910" s="11"/>
      <c r="AI2910" s="11"/>
      <c r="AJ2910" s="11"/>
      <c r="AK2910" s="11"/>
      <c r="AL2910" s="11"/>
      <c r="AM2910" s="11"/>
      <c r="AN2910" s="11"/>
      <c r="AO2910" s="11"/>
      <c r="AP2910" s="11"/>
      <c r="AQ2910" s="11"/>
      <c r="AR2910" s="11"/>
      <c r="AS2910" s="11"/>
      <c r="AT2910" s="11"/>
      <c r="AU2910" s="11"/>
      <c r="AV2910" s="11"/>
      <c r="AW2910" s="11"/>
      <c r="AX2910" s="11"/>
      <c r="AY2910" s="11"/>
    </row>
    <row r="2911" spans="1:51" hidden="1" x14ac:dyDescent="0.2">
      <c r="A2911" s="6"/>
      <c r="E2911" s="2"/>
      <c r="F2911" s="3"/>
      <c r="G2911" s="3"/>
      <c r="P2911" s="8"/>
      <c r="Q2911" s="11"/>
      <c r="R2911" s="11"/>
      <c r="S2911" s="11"/>
      <c r="T2911" s="11"/>
      <c r="U2911" s="11"/>
      <c r="V2911" s="11"/>
      <c r="W2911" s="11"/>
      <c r="X2911" s="11"/>
      <c r="Y2911" s="11"/>
      <c r="Z2911" s="11"/>
      <c r="AA2911" s="11"/>
      <c r="AB2911" s="11"/>
      <c r="AC2911" s="11"/>
      <c r="AD2911" s="11"/>
      <c r="AE2911" s="11"/>
      <c r="AF2911" s="11"/>
      <c r="AG2911" s="11"/>
      <c r="AH2911" s="11"/>
      <c r="AI2911" s="11"/>
      <c r="AJ2911" s="11"/>
      <c r="AK2911" s="11"/>
      <c r="AL2911" s="11"/>
      <c r="AM2911" s="11"/>
      <c r="AN2911" s="11"/>
      <c r="AO2911" s="11"/>
      <c r="AP2911" s="11"/>
      <c r="AQ2911" s="11"/>
      <c r="AR2911" s="11"/>
      <c r="AS2911" s="11"/>
      <c r="AT2911" s="11"/>
      <c r="AU2911" s="11"/>
      <c r="AV2911" s="11"/>
      <c r="AW2911" s="11"/>
      <c r="AX2911" s="11"/>
      <c r="AY2911" s="11"/>
    </row>
    <row r="2912" spans="1:51" hidden="1" x14ac:dyDescent="0.2">
      <c r="A2912" s="6"/>
      <c r="E2912" s="2"/>
      <c r="F2912" s="3"/>
      <c r="G2912" s="3"/>
      <c r="P2912" s="8"/>
      <c r="Q2912" s="11"/>
      <c r="R2912" s="11"/>
      <c r="S2912" s="11"/>
      <c r="T2912" s="11"/>
      <c r="U2912" s="11"/>
      <c r="V2912" s="11"/>
      <c r="W2912" s="11"/>
      <c r="X2912" s="11"/>
      <c r="Y2912" s="11"/>
      <c r="Z2912" s="11"/>
      <c r="AA2912" s="11"/>
      <c r="AB2912" s="11"/>
      <c r="AC2912" s="11"/>
      <c r="AD2912" s="11"/>
      <c r="AE2912" s="11"/>
      <c r="AF2912" s="11"/>
      <c r="AG2912" s="11"/>
      <c r="AH2912" s="11"/>
      <c r="AI2912" s="11"/>
      <c r="AJ2912" s="11"/>
      <c r="AK2912" s="11"/>
      <c r="AL2912" s="11"/>
      <c r="AM2912" s="11"/>
      <c r="AN2912" s="11"/>
      <c r="AO2912" s="11"/>
      <c r="AP2912" s="11"/>
      <c r="AQ2912" s="11"/>
      <c r="AR2912" s="11"/>
      <c r="AS2912" s="11"/>
      <c r="AT2912" s="11"/>
      <c r="AU2912" s="11"/>
      <c r="AV2912" s="11"/>
      <c r="AW2912" s="11"/>
      <c r="AX2912" s="11"/>
      <c r="AY2912" s="11"/>
    </row>
    <row r="2913" spans="1:51" hidden="1" x14ac:dyDescent="0.2">
      <c r="A2913" s="6" t="s">
        <v>17</v>
      </c>
      <c r="B2913" t="s">
        <v>35</v>
      </c>
      <c r="C2913" t="s">
        <v>35</v>
      </c>
      <c r="D2913" t="s">
        <v>3601</v>
      </c>
      <c r="E2913" s="2">
        <v>10.92</v>
      </c>
      <c r="F2913" s="3">
        <f t="shared" ref="F2913:G2921" si="260">DATE(2025,12,1)</f>
        <v>45992</v>
      </c>
      <c r="G2913" s="3">
        <f t="shared" si="260"/>
        <v>45992</v>
      </c>
      <c r="H2913">
        <v>3324989861</v>
      </c>
      <c r="I2913" t="s">
        <v>21</v>
      </c>
      <c r="K2913" t="s">
        <v>22</v>
      </c>
      <c r="L2913" t="s">
        <v>23</v>
      </c>
      <c r="M2913" t="s">
        <v>24</v>
      </c>
      <c r="N2913" t="s">
        <v>24</v>
      </c>
      <c r="O2913" t="s">
        <v>25</v>
      </c>
      <c r="P2913" s="8" t="s">
        <v>3602</v>
      </c>
      <c r="Q2913" s="11"/>
      <c r="R2913" s="11"/>
      <c r="S2913" s="11"/>
      <c r="T2913" s="11"/>
      <c r="U2913" s="11"/>
      <c r="V2913" s="11"/>
      <c r="W2913" s="11"/>
      <c r="X2913" s="11"/>
      <c r="Y2913" s="11"/>
      <c r="Z2913" s="11"/>
      <c r="AA2913" s="11"/>
      <c r="AB2913" s="11"/>
      <c r="AC2913" s="11"/>
      <c r="AD2913" s="11"/>
      <c r="AE2913" s="11"/>
      <c r="AF2913" s="11"/>
      <c r="AG2913" s="11"/>
      <c r="AH2913" s="11"/>
      <c r="AI2913" s="11"/>
      <c r="AJ2913" s="11"/>
      <c r="AK2913" s="11"/>
      <c r="AL2913" s="11"/>
      <c r="AM2913" s="11"/>
      <c r="AN2913" s="11"/>
      <c r="AO2913" s="11"/>
      <c r="AP2913" s="11"/>
      <c r="AQ2913" s="11"/>
      <c r="AR2913" s="11"/>
      <c r="AS2913" s="11"/>
      <c r="AT2913" s="11"/>
      <c r="AU2913" s="11"/>
      <c r="AV2913" s="11"/>
      <c r="AW2913" s="11"/>
      <c r="AX2913" s="11"/>
      <c r="AY2913" s="11"/>
    </row>
    <row r="2914" spans="1:51" hidden="1" x14ac:dyDescent="0.2">
      <c r="A2914" s="6" t="s">
        <v>17</v>
      </c>
      <c r="B2914" t="s">
        <v>118</v>
      </c>
      <c r="C2914" t="s">
        <v>119</v>
      </c>
      <c r="D2914" t="s">
        <v>3603</v>
      </c>
      <c r="E2914" s="2">
        <v>457.63</v>
      </c>
      <c r="F2914" s="3">
        <f t="shared" si="260"/>
        <v>45992</v>
      </c>
      <c r="G2914" s="3">
        <f t="shared" si="260"/>
        <v>45992</v>
      </c>
      <c r="H2914">
        <v>3324989862</v>
      </c>
      <c r="I2914" t="s">
        <v>21</v>
      </c>
      <c r="K2914" t="s">
        <v>22</v>
      </c>
      <c r="L2914" t="s">
        <v>23</v>
      </c>
      <c r="M2914" t="s">
        <v>24</v>
      </c>
      <c r="N2914" t="s">
        <v>24</v>
      </c>
      <c r="O2914" t="s">
        <v>25</v>
      </c>
      <c r="P2914" s="8" t="s">
        <v>3604</v>
      </c>
      <c r="Q2914" s="11"/>
      <c r="R2914" s="11"/>
      <c r="S2914" s="11"/>
      <c r="T2914" s="11"/>
      <c r="U2914" s="11"/>
      <c r="V2914" s="11"/>
      <c r="W2914" s="11"/>
      <c r="X2914" s="11"/>
      <c r="Y2914" s="11"/>
      <c r="Z2914" s="11"/>
      <c r="AA2914" s="11"/>
      <c r="AB2914" s="11"/>
      <c r="AC2914" s="11"/>
      <c r="AD2914" s="11"/>
      <c r="AE2914" s="11"/>
      <c r="AF2914" s="11"/>
      <c r="AG2914" s="11"/>
      <c r="AH2914" s="11"/>
      <c r="AI2914" s="11"/>
      <c r="AJ2914" s="11"/>
      <c r="AK2914" s="11"/>
      <c r="AL2914" s="11"/>
      <c r="AM2914" s="11"/>
      <c r="AN2914" s="11"/>
      <c r="AO2914" s="11"/>
      <c r="AP2914" s="11"/>
      <c r="AQ2914" s="11"/>
      <c r="AR2914" s="11"/>
      <c r="AS2914" s="11"/>
      <c r="AT2914" s="11"/>
      <c r="AU2914" s="11"/>
      <c r="AV2914" s="11"/>
      <c r="AW2914" s="11"/>
      <c r="AX2914" s="11"/>
      <c r="AY2914" s="11"/>
    </row>
    <row r="2915" spans="1:51" hidden="1" x14ac:dyDescent="0.2">
      <c r="A2915" s="6" t="s">
        <v>17</v>
      </c>
      <c r="B2915" t="s">
        <v>38</v>
      </c>
      <c r="C2915" t="s">
        <v>39</v>
      </c>
      <c r="D2915" t="s">
        <v>3605</v>
      </c>
      <c r="E2915" s="2">
        <v>847.04</v>
      </c>
      <c r="F2915" s="3">
        <f t="shared" si="260"/>
        <v>45992</v>
      </c>
      <c r="G2915" s="3">
        <f t="shared" si="260"/>
        <v>45992</v>
      </c>
      <c r="H2915">
        <v>3324989863</v>
      </c>
      <c r="I2915" t="s">
        <v>21</v>
      </c>
      <c r="K2915" t="s">
        <v>22</v>
      </c>
      <c r="L2915" t="s">
        <v>23</v>
      </c>
      <c r="M2915" t="s">
        <v>24</v>
      </c>
      <c r="N2915" t="s">
        <v>24</v>
      </c>
      <c r="O2915" t="s">
        <v>25</v>
      </c>
      <c r="P2915" s="8" t="s">
        <v>3606</v>
      </c>
      <c r="Q2915" s="11"/>
      <c r="R2915" s="11"/>
      <c r="S2915" s="11"/>
      <c r="T2915" s="11"/>
      <c r="U2915" s="11"/>
      <c r="V2915" s="11"/>
      <c r="W2915" s="11"/>
      <c r="X2915" s="11"/>
      <c r="Y2915" s="11"/>
      <c r="Z2915" s="11"/>
      <c r="AA2915" s="11"/>
      <c r="AB2915" s="11"/>
      <c r="AC2915" s="11"/>
      <c r="AD2915" s="11"/>
      <c r="AE2915" s="11"/>
      <c r="AF2915" s="11"/>
      <c r="AG2915" s="11"/>
      <c r="AH2915" s="11"/>
      <c r="AI2915" s="11"/>
      <c r="AJ2915" s="11"/>
      <c r="AK2915" s="11"/>
      <c r="AL2915" s="11"/>
      <c r="AM2915" s="11"/>
      <c r="AN2915" s="11"/>
      <c r="AO2915" s="11"/>
      <c r="AP2915" s="11"/>
      <c r="AQ2915" s="11"/>
      <c r="AR2915" s="11"/>
      <c r="AS2915" s="11"/>
      <c r="AT2915" s="11"/>
      <c r="AU2915" s="11"/>
      <c r="AV2915" s="11"/>
      <c r="AW2915" s="11"/>
      <c r="AX2915" s="11"/>
      <c r="AY2915" s="11"/>
    </row>
    <row r="2916" spans="1:51" hidden="1" x14ac:dyDescent="0.2">
      <c r="A2916" s="6"/>
      <c r="E2916" s="2"/>
      <c r="F2916" s="3"/>
      <c r="G2916" s="3"/>
      <c r="P2916" s="8"/>
      <c r="Q2916" s="11"/>
      <c r="R2916" s="11"/>
      <c r="S2916" s="11"/>
      <c r="T2916" s="11"/>
      <c r="U2916" s="11"/>
      <c r="V2916" s="11"/>
      <c r="W2916" s="11"/>
      <c r="X2916" s="11"/>
      <c r="Y2916" s="11"/>
      <c r="Z2916" s="11"/>
      <c r="AA2916" s="11"/>
      <c r="AB2916" s="11"/>
      <c r="AC2916" s="11"/>
      <c r="AD2916" s="11"/>
      <c r="AE2916" s="11"/>
      <c r="AF2916" s="11"/>
      <c r="AG2916" s="11"/>
      <c r="AH2916" s="11"/>
      <c r="AI2916" s="11"/>
      <c r="AJ2916" s="11"/>
      <c r="AK2916" s="11"/>
      <c r="AL2916" s="11"/>
      <c r="AM2916" s="11"/>
      <c r="AN2916" s="11"/>
      <c r="AO2916" s="11"/>
      <c r="AP2916" s="11"/>
      <c r="AQ2916" s="11"/>
      <c r="AR2916" s="11"/>
      <c r="AS2916" s="11"/>
      <c r="AT2916" s="11"/>
      <c r="AU2916" s="11"/>
      <c r="AV2916" s="11"/>
      <c r="AW2916" s="11"/>
      <c r="AX2916" s="11"/>
      <c r="AY2916" s="11"/>
    </row>
    <row r="2917" spans="1:51" hidden="1" x14ac:dyDescent="0.2">
      <c r="A2917" s="6" t="s">
        <v>17</v>
      </c>
      <c r="B2917" t="s">
        <v>35</v>
      </c>
      <c r="C2917" t="s">
        <v>35</v>
      </c>
      <c r="D2917" t="s">
        <v>3607</v>
      </c>
      <c r="E2917" s="2">
        <v>7.98</v>
      </c>
      <c r="F2917" s="3">
        <f t="shared" si="260"/>
        <v>45992</v>
      </c>
      <c r="G2917" s="3">
        <f t="shared" si="260"/>
        <v>45992</v>
      </c>
      <c r="H2917">
        <v>3324989865</v>
      </c>
      <c r="I2917" t="s">
        <v>21</v>
      </c>
      <c r="K2917" t="s">
        <v>22</v>
      </c>
      <c r="L2917" t="s">
        <v>23</v>
      </c>
      <c r="M2917" t="s">
        <v>24</v>
      </c>
      <c r="N2917" t="s">
        <v>24</v>
      </c>
      <c r="O2917" t="s">
        <v>25</v>
      </c>
      <c r="P2917" s="8" t="s">
        <v>3608</v>
      </c>
      <c r="Q2917" s="11"/>
      <c r="R2917" s="11"/>
      <c r="S2917" s="11"/>
      <c r="T2917" s="11"/>
      <c r="U2917" s="11"/>
      <c r="V2917" s="11"/>
      <c r="W2917" s="11"/>
      <c r="X2917" s="11"/>
      <c r="Y2917" s="11"/>
      <c r="Z2917" s="11"/>
      <c r="AA2917" s="11"/>
      <c r="AB2917" s="11"/>
      <c r="AC2917" s="11"/>
      <c r="AD2917" s="11"/>
      <c r="AE2917" s="11"/>
      <c r="AF2917" s="11"/>
      <c r="AG2917" s="11"/>
      <c r="AH2917" s="11"/>
      <c r="AI2917" s="11"/>
      <c r="AJ2917" s="11"/>
      <c r="AK2917" s="11"/>
      <c r="AL2917" s="11"/>
      <c r="AM2917" s="11"/>
      <c r="AN2917" s="11"/>
      <c r="AO2917" s="11"/>
      <c r="AP2917" s="11"/>
      <c r="AQ2917" s="11"/>
      <c r="AR2917" s="11"/>
      <c r="AS2917" s="11"/>
      <c r="AT2917" s="11"/>
      <c r="AU2917" s="11"/>
      <c r="AV2917" s="11"/>
      <c r="AW2917" s="11"/>
      <c r="AX2917" s="11"/>
      <c r="AY2917" s="11"/>
    </row>
    <row r="2918" spans="1:51" hidden="1" x14ac:dyDescent="0.2">
      <c r="A2918" s="6"/>
      <c r="E2918" s="2"/>
      <c r="F2918" s="3"/>
      <c r="G2918" s="3"/>
      <c r="P2918" s="8"/>
      <c r="Q2918" s="11"/>
      <c r="R2918" s="11"/>
      <c r="S2918" s="11"/>
      <c r="T2918" s="11"/>
      <c r="U2918" s="11"/>
      <c r="V2918" s="11"/>
      <c r="W2918" s="11"/>
      <c r="X2918" s="11"/>
      <c r="Y2918" s="11"/>
      <c r="Z2918" s="11"/>
      <c r="AA2918" s="11"/>
      <c r="AB2918" s="11"/>
      <c r="AC2918" s="11"/>
      <c r="AD2918" s="11"/>
      <c r="AE2918" s="11"/>
      <c r="AF2918" s="11"/>
      <c r="AG2918" s="11"/>
      <c r="AH2918" s="11"/>
      <c r="AI2918" s="11"/>
      <c r="AJ2918" s="11"/>
      <c r="AK2918" s="11"/>
      <c r="AL2918" s="11"/>
      <c r="AM2918" s="11"/>
      <c r="AN2918" s="11"/>
      <c r="AO2918" s="11"/>
      <c r="AP2918" s="11"/>
      <c r="AQ2918" s="11"/>
      <c r="AR2918" s="11"/>
      <c r="AS2918" s="11"/>
      <c r="AT2918" s="11"/>
      <c r="AU2918" s="11"/>
      <c r="AV2918" s="11"/>
      <c r="AW2918" s="11"/>
      <c r="AX2918" s="11"/>
      <c r="AY2918" s="11"/>
    </row>
    <row r="2919" spans="1:51" hidden="1" x14ac:dyDescent="0.2">
      <c r="A2919" s="6" t="s">
        <v>17</v>
      </c>
      <c r="B2919" t="s">
        <v>50</v>
      </c>
      <c r="C2919" t="s">
        <v>51</v>
      </c>
      <c r="D2919" t="s">
        <v>3609</v>
      </c>
      <c r="E2919" s="2">
        <v>998.83</v>
      </c>
      <c r="F2919" s="3">
        <f t="shared" si="260"/>
        <v>45992</v>
      </c>
      <c r="G2919" s="3">
        <f t="shared" si="260"/>
        <v>45992</v>
      </c>
      <c r="H2919">
        <v>3324989867</v>
      </c>
      <c r="I2919" t="s">
        <v>21</v>
      </c>
      <c r="K2919" t="s">
        <v>22</v>
      </c>
      <c r="L2919" t="s">
        <v>23</v>
      </c>
      <c r="M2919" t="s">
        <v>24</v>
      </c>
      <c r="N2919" t="s">
        <v>24</v>
      </c>
      <c r="O2919" t="s">
        <v>25</v>
      </c>
      <c r="P2919" s="8" t="s">
        <v>3610</v>
      </c>
      <c r="Q2919" s="11"/>
      <c r="R2919" s="11"/>
      <c r="S2919" s="11"/>
      <c r="T2919" s="11"/>
      <c r="U2919" s="11"/>
      <c r="V2919" s="11"/>
      <c r="W2919" s="11"/>
      <c r="X2919" s="11"/>
      <c r="Y2919" s="11"/>
      <c r="Z2919" s="11"/>
      <c r="AA2919" s="11"/>
      <c r="AB2919" s="11"/>
      <c r="AC2919" s="11"/>
      <c r="AD2919" s="11"/>
      <c r="AE2919" s="11"/>
      <c r="AF2919" s="11"/>
      <c r="AG2919" s="11"/>
      <c r="AH2919" s="11"/>
      <c r="AI2919" s="11"/>
      <c r="AJ2919" s="11"/>
      <c r="AK2919" s="11"/>
      <c r="AL2919" s="11"/>
      <c r="AM2919" s="11"/>
      <c r="AN2919" s="11"/>
      <c r="AO2919" s="11"/>
      <c r="AP2919" s="11"/>
      <c r="AQ2919" s="11"/>
      <c r="AR2919" s="11"/>
      <c r="AS2919" s="11"/>
      <c r="AT2919" s="11"/>
      <c r="AU2919" s="11"/>
      <c r="AV2919" s="11"/>
      <c r="AW2919" s="11"/>
      <c r="AX2919" s="11"/>
      <c r="AY2919" s="11"/>
    </row>
    <row r="2920" spans="1:51" hidden="1" x14ac:dyDescent="0.2">
      <c r="A2920" s="6"/>
      <c r="E2920" s="2"/>
      <c r="F2920" s="3"/>
      <c r="G2920" s="3"/>
      <c r="P2920" s="8"/>
      <c r="Q2920" s="11"/>
      <c r="R2920" s="11"/>
      <c r="S2920" s="11"/>
      <c r="T2920" s="11"/>
      <c r="U2920" s="11"/>
      <c r="V2920" s="11"/>
      <c r="W2920" s="11"/>
      <c r="X2920" s="11"/>
      <c r="Y2920" s="11"/>
      <c r="Z2920" s="11"/>
      <c r="AA2920" s="11"/>
      <c r="AB2920" s="11"/>
      <c r="AC2920" s="11"/>
      <c r="AD2920" s="11"/>
      <c r="AE2920" s="11"/>
      <c r="AF2920" s="11"/>
      <c r="AG2920" s="11"/>
      <c r="AH2920" s="11"/>
      <c r="AI2920" s="11"/>
      <c r="AJ2920" s="11"/>
      <c r="AK2920" s="11"/>
      <c r="AL2920" s="11"/>
      <c r="AM2920" s="11"/>
      <c r="AN2920" s="11"/>
      <c r="AO2920" s="11"/>
      <c r="AP2920" s="11"/>
      <c r="AQ2920" s="11"/>
      <c r="AR2920" s="11"/>
      <c r="AS2920" s="11"/>
      <c r="AT2920" s="11"/>
      <c r="AU2920" s="11"/>
      <c r="AV2920" s="11"/>
      <c r="AW2920" s="11"/>
      <c r="AX2920" s="11"/>
      <c r="AY2920" s="11"/>
    </row>
    <row r="2921" spans="1:51" hidden="1" x14ac:dyDescent="0.2">
      <c r="A2921" s="6" t="s">
        <v>17</v>
      </c>
      <c r="B2921" t="s">
        <v>42</v>
      </c>
      <c r="C2921" t="s">
        <v>43</v>
      </c>
      <c r="D2921" t="s">
        <v>3611</v>
      </c>
      <c r="E2921" s="2">
        <v>102.16</v>
      </c>
      <c r="F2921" s="3">
        <f t="shared" si="260"/>
        <v>45992</v>
      </c>
      <c r="G2921" s="3">
        <f t="shared" si="260"/>
        <v>45992</v>
      </c>
      <c r="H2921">
        <v>3335405684</v>
      </c>
      <c r="I2921" t="s">
        <v>21</v>
      </c>
      <c r="K2921" t="s">
        <v>22</v>
      </c>
      <c r="L2921" t="s">
        <v>23</v>
      </c>
      <c r="M2921" t="s">
        <v>24</v>
      </c>
      <c r="N2921" t="s">
        <v>24</v>
      </c>
      <c r="O2921" t="s">
        <v>25</v>
      </c>
      <c r="P2921" s="8" t="s">
        <v>3612</v>
      </c>
      <c r="Q2921" s="11"/>
      <c r="R2921" s="11"/>
      <c r="S2921" s="11"/>
      <c r="T2921" s="11"/>
      <c r="U2921" s="11"/>
      <c r="V2921" s="11"/>
      <c r="W2921" s="11"/>
      <c r="X2921" s="11"/>
      <c r="Y2921" s="11"/>
      <c r="Z2921" s="11"/>
      <c r="AA2921" s="11"/>
      <c r="AB2921" s="11"/>
      <c r="AC2921" s="11"/>
      <c r="AD2921" s="11"/>
      <c r="AE2921" s="11"/>
      <c r="AF2921" s="11"/>
      <c r="AG2921" s="11"/>
      <c r="AH2921" s="11"/>
      <c r="AI2921" s="11"/>
      <c r="AJ2921" s="11"/>
      <c r="AK2921" s="11"/>
      <c r="AL2921" s="11"/>
      <c r="AM2921" s="11"/>
      <c r="AN2921" s="11"/>
      <c r="AO2921" s="11"/>
      <c r="AP2921" s="11"/>
      <c r="AQ2921" s="11"/>
      <c r="AR2921" s="11"/>
      <c r="AS2921" s="11"/>
      <c r="AT2921" s="11"/>
      <c r="AU2921" s="11"/>
      <c r="AV2921" s="11"/>
      <c r="AW2921" s="11"/>
      <c r="AX2921" s="11"/>
      <c r="AY2921" s="11"/>
    </row>
    <row r="2922" spans="1:51" hidden="1" x14ac:dyDescent="0.2">
      <c r="A2922" s="6" t="s">
        <v>17</v>
      </c>
      <c r="B2922" t="s">
        <v>35</v>
      </c>
      <c r="C2922" t="s">
        <v>35</v>
      </c>
      <c r="D2922" t="s">
        <v>3613</v>
      </c>
      <c r="E2922" s="2">
        <v>7.2</v>
      </c>
      <c r="F2922" s="3">
        <f>DATE(2025,12,2)</f>
        <v>45993</v>
      </c>
      <c r="G2922" s="3">
        <f>DATE(2025,12,2)</f>
        <v>45993</v>
      </c>
      <c r="H2922">
        <v>3335405685</v>
      </c>
      <c r="I2922" t="s">
        <v>21</v>
      </c>
      <c r="K2922" t="s">
        <v>22</v>
      </c>
      <c r="L2922" t="s">
        <v>23</v>
      </c>
      <c r="M2922" t="s">
        <v>24</v>
      </c>
      <c r="N2922" t="s">
        <v>24</v>
      </c>
      <c r="O2922" t="s">
        <v>25</v>
      </c>
      <c r="P2922" s="8" t="s">
        <v>3614</v>
      </c>
      <c r="Q2922" s="11"/>
      <c r="R2922" s="11"/>
      <c r="S2922" s="11"/>
      <c r="T2922" s="11"/>
      <c r="U2922" s="11"/>
      <c r="V2922" s="11"/>
      <c r="W2922" s="11"/>
      <c r="X2922" s="11"/>
      <c r="Y2922" s="11"/>
      <c r="Z2922" s="11"/>
      <c r="AA2922" s="11"/>
      <c r="AB2922" s="11"/>
      <c r="AC2922" s="11"/>
      <c r="AD2922" s="11"/>
      <c r="AE2922" s="11"/>
      <c r="AF2922" s="11"/>
      <c r="AG2922" s="11"/>
      <c r="AH2922" s="11"/>
      <c r="AI2922" s="11"/>
      <c r="AJ2922" s="11"/>
      <c r="AK2922" s="11"/>
      <c r="AL2922" s="11"/>
      <c r="AM2922" s="11"/>
      <c r="AN2922" s="11"/>
      <c r="AO2922" s="11"/>
      <c r="AP2922" s="11"/>
      <c r="AQ2922" s="11"/>
      <c r="AR2922" s="11"/>
      <c r="AS2922" s="11"/>
      <c r="AT2922" s="11"/>
      <c r="AU2922" s="11"/>
      <c r="AV2922" s="11"/>
      <c r="AW2922" s="11"/>
      <c r="AX2922" s="11"/>
      <c r="AY2922" s="11"/>
    </row>
    <row r="2923" spans="1:51" hidden="1" x14ac:dyDescent="0.2">
      <c r="A2923" s="6" t="s">
        <v>17</v>
      </c>
      <c r="B2923" t="s">
        <v>144</v>
      </c>
      <c r="C2923" t="s">
        <v>145</v>
      </c>
      <c r="D2923" t="s">
        <v>3615</v>
      </c>
      <c r="E2923" s="2">
        <v>11972.19</v>
      </c>
      <c r="F2923" s="3">
        <f>DATE(2025,12,1)</f>
        <v>45992</v>
      </c>
      <c r="G2923" s="3">
        <f>DATE(2025,12,1)</f>
        <v>45992</v>
      </c>
      <c r="H2923">
        <v>3335405686</v>
      </c>
      <c r="I2923" t="s">
        <v>21</v>
      </c>
      <c r="K2923" t="s">
        <v>22</v>
      </c>
      <c r="L2923" t="s">
        <v>23</v>
      </c>
      <c r="M2923" t="s">
        <v>24</v>
      </c>
      <c r="N2923" t="s">
        <v>24</v>
      </c>
      <c r="O2923" t="s">
        <v>25</v>
      </c>
      <c r="P2923" s="8" t="s">
        <v>3616</v>
      </c>
      <c r="Q2923" s="11"/>
      <c r="R2923" s="11"/>
      <c r="S2923" s="11"/>
      <c r="T2923" s="11"/>
      <c r="U2923" s="11"/>
      <c r="V2923" s="11"/>
      <c r="W2923" s="11"/>
      <c r="X2923" s="11"/>
      <c r="Y2923" s="11"/>
      <c r="Z2923" s="11"/>
      <c r="AA2923" s="11"/>
      <c r="AB2923" s="11"/>
      <c r="AC2923" s="11"/>
      <c r="AD2923" s="11"/>
      <c r="AE2923" s="11"/>
      <c r="AF2923" s="11"/>
      <c r="AG2923" s="11"/>
      <c r="AH2923" s="11"/>
      <c r="AI2923" s="11"/>
      <c r="AJ2923" s="11"/>
      <c r="AK2923" s="11"/>
      <c r="AL2923" s="11"/>
      <c r="AM2923" s="11"/>
      <c r="AN2923" s="11"/>
      <c r="AO2923" s="11"/>
      <c r="AP2923" s="11"/>
      <c r="AQ2923" s="11"/>
      <c r="AR2923" s="11"/>
      <c r="AS2923" s="11"/>
      <c r="AT2923" s="11"/>
      <c r="AU2923" s="11"/>
      <c r="AV2923" s="11"/>
      <c r="AW2923" s="11"/>
      <c r="AX2923" s="11"/>
      <c r="AY2923" s="11"/>
    </row>
    <row r="2924" spans="1:51" hidden="1" x14ac:dyDescent="0.2">
      <c r="A2924" s="6" t="s">
        <v>17</v>
      </c>
      <c r="B2924" t="s">
        <v>35</v>
      </c>
      <c r="C2924" t="s">
        <v>35</v>
      </c>
      <c r="D2924" t="s">
        <v>3617</v>
      </c>
      <c r="E2924" s="2">
        <v>12.92</v>
      </c>
      <c r="F2924" s="3">
        <f>DATE(2025,12,2)</f>
        <v>45993</v>
      </c>
      <c r="G2924" s="3">
        <f>DATE(2025,12,2)</f>
        <v>45993</v>
      </c>
      <c r="H2924">
        <v>3335405687</v>
      </c>
      <c r="I2924" t="s">
        <v>21</v>
      </c>
      <c r="K2924" t="s">
        <v>22</v>
      </c>
      <c r="L2924" t="s">
        <v>23</v>
      </c>
      <c r="M2924" t="s">
        <v>24</v>
      </c>
      <c r="N2924" t="s">
        <v>24</v>
      </c>
      <c r="O2924" t="s">
        <v>25</v>
      </c>
      <c r="P2924" s="8" t="s">
        <v>3618</v>
      </c>
      <c r="Q2924" s="11"/>
      <c r="R2924" s="11"/>
      <c r="S2924" s="11"/>
      <c r="T2924" s="11"/>
      <c r="U2924" s="11"/>
      <c r="V2924" s="11"/>
      <c r="W2924" s="11"/>
      <c r="X2924" s="11"/>
      <c r="Y2924" s="11"/>
      <c r="Z2924" s="11"/>
      <c r="AA2924" s="11"/>
      <c r="AB2924" s="11"/>
      <c r="AC2924" s="11"/>
      <c r="AD2924" s="11"/>
      <c r="AE2924" s="11"/>
      <c r="AF2924" s="11"/>
      <c r="AG2924" s="11"/>
      <c r="AH2924" s="11"/>
      <c r="AI2924" s="11"/>
      <c r="AJ2924" s="11"/>
      <c r="AK2924" s="11"/>
      <c r="AL2924" s="11"/>
      <c r="AM2924" s="11"/>
      <c r="AN2924" s="11"/>
      <c r="AO2924" s="11"/>
      <c r="AP2924" s="11"/>
      <c r="AQ2924" s="11"/>
      <c r="AR2924" s="11"/>
      <c r="AS2924" s="11"/>
      <c r="AT2924" s="11"/>
      <c r="AU2924" s="11"/>
      <c r="AV2924" s="11"/>
      <c r="AW2924" s="11"/>
      <c r="AX2924" s="11"/>
      <c r="AY2924" s="11"/>
    </row>
    <row r="2925" spans="1:51" hidden="1" x14ac:dyDescent="0.2">
      <c r="A2925" s="6" t="s">
        <v>17</v>
      </c>
      <c r="B2925" t="s">
        <v>27</v>
      </c>
      <c r="C2925" t="s">
        <v>28</v>
      </c>
      <c r="D2925" t="s">
        <v>3619</v>
      </c>
      <c r="E2925" s="2">
        <v>3829.92</v>
      </c>
      <c r="F2925" s="3">
        <f>DATE(2025,12,3)</f>
        <v>45994</v>
      </c>
      <c r="G2925" s="3">
        <f>DATE(2025,12,3)</f>
        <v>45994</v>
      </c>
      <c r="H2925">
        <v>3335405688</v>
      </c>
      <c r="I2925" t="s">
        <v>21</v>
      </c>
      <c r="K2925" t="s">
        <v>22</v>
      </c>
      <c r="L2925" t="s">
        <v>23</v>
      </c>
      <c r="M2925" t="s">
        <v>24</v>
      </c>
      <c r="N2925" t="s">
        <v>24</v>
      </c>
      <c r="O2925" t="s">
        <v>25</v>
      </c>
      <c r="P2925" s="8" t="s">
        <v>3620</v>
      </c>
      <c r="Q2925" s="11"/>
      <c r="R2925" s="11"/>
      <c r="S2925" s="11"/>
      <c r="T2925" s="11"/>
      <c r="U2925" s="11"/>
      <c r="V2925" s="11"/>
      <c r="W2925" s="11"/>
      <c r="X2925" s="11"/>
      <c r="Y2925" s="11"/>
      <c r="Z2925" s="11"/>
      <c r="AA2925" s="11"/>
      <c r="AB2925" s="11"/>
      <c r="AC2925" s="11"/>
      <c r="AD2925" s="11"/>
      <c r="AE2925" s="11"/>
      <c r="AF2925" s="11"/>
      <c r="AG2925" s="11"/>
      <c r="AH2925" s="11"/>
      <c r="AI2925" s="11"/>
      <c r="AJ2925" s="11"/>
      <c r="AK2925" s="11"/>
      <c r="AL2925" s="11"/>
      <c r="AM2925" s="11"/>
      <c r="AN2925" s="11"/>
      <c r="AO2925" s="11"/>
      <c r="AP2925" s="11"/>
      <c r="AQ2925" s="11"/>
      <c r="AR2925" s="11"/>
      <c r="AS2925" s="11"/>
      <c r="AT2925" s="11"/>
      <c r="AU2925" s="11"/>
      <c r="AV2925" s="11"/>
      <c r="AW2925" s="11"/>
      <c r="AX2925" s="11"/>
      <c r="AY2925" s="11"/>
    </row>
    <row r="2926" spans="1:51" hidden="1" x14ac:dyDescent="0.2">
      <c r="A2926" s="6"/>
      <c r="E2926" s="2"/>
      <c r="F2926" s="3"/>
      <c r="G2926" s="3"/>
      <c r="P2926" s="8"/>
      <c r="Q2926" s="11"/>
      <c r="R2926" s="11"/>
      <c r="S2926" s="11"/>
      <c r="T2926" s="11"/>
      <c r="U2926" s="11"/>
      <c r="V2926" s="11"/>
      <c r="W2926" s="11"/>
      <c r="X2926" s="11"/>
      <c r="Y2926" s="11"/>
      <c r="Z2926" s="11"/>
      <c r="AA2926" s="11"/>
      <c r="AB2926" s="11"/>
      <c r="AC2926" s="11"/>
      <c r="AD2926" s="11"/>
      <c r="AE2926" s="11"/>
      <c r="AF2926" s="11"/>
      <c r="AG2926" s="11"/>
      <c r="AH2926" s="11"/>
      <c r="AI2926" s="11"/>
      <c r="AJ2926" s="11"/>
      <c r="AK2926" s="11"/>
      <c r="AL2926" s="11"/>
      <c r="AM2926" s="11"/>
      <c r="AN2926" s="11"/>
      <c r="AO2926" s="11"/>
      <c r="AP2926" s="11"/>
      <c r="AQ2926" s="11"/>
      <c r="AR2926" s="11"/>
      <c r="AS2926" s="11"/>
      <c r="AT2926" s="11"/>
      <c r="AU2926" s="11"/>
      <c r="AV2926" s="11"/>
      <c r="AW2926" s="11"/>
      <c r="AX2926" s="11"/>
      <c r="AY2926" s="11"/>
    </row>
    <row r="2927" spans="1:51" hidden="1" x14ac:dyDescent="0.2">
      <c r="A2927" s="6" t="s">
        <v>17</v>
      </c>
      <c r="B2927" t="s">
        <v>244</v>
      </c>
      <c r="C2927" t="s">
        <v>245</v>
      </c>
      <c r="D2927" t="s">
        <v>3621</v>
      </c>
      <c r="E2927" s="2">
        <v>130</v>
      </c>
      <c r="F2927" s="3">
        <f>DATE(2025,12,1)</f>
        <v>45992</v>
      </c>
      <c r="G2927" s="3">
        <f>DATE(2025,12,1)</f>
        <v>45992</v>
      </c>
      <c r="H2927">
        <v>3335405690</v>
      </c>
      <c r="I2927" t="s">
        <v>21</v>
      </c>
      <c r="K2927" t="s">
        <v>22</v>
      </c>
      <c r="L2927" t="s">
        <v>23</v>
      </c>
      <c r="M2927" t="s">
        <v>24</v>
      </c>
      <c r="N2927" t="s">
        <v>24</v>
      </c>
      <c r="O2927" t="s">
        <v>25</v>
      </c>
      <c r="P2927" s="8" t="s">
        <v>3622</v>
      </c>
      <c r="Q2927" s="11"/>
      <c r="R2927" s="11"/>
      <c r="S2927" s="11"/>
      <c r="T2927" s="11"/>
      <c r="U2927" s="11"/>
      <c r="V2927" s="11"/>
      <c r="W2927" s="11"/>
      <c r="X2927" s="11"/>
      <c r="Y2927" s="11"/>
      <c r="Z2927" s="11"/>
      <c r="AA2927" s="11"/>
      <c r="AB2927" s="11"/>
      <c r="AC2927" s="11"/>
      <c r="AD2927" s="11"/>
      <c r="AE2927" s="11"/>
      <c r="AF2927" s="11"/>
      <c r="AG2927" s="11"/>
      <c r="AH2927" s="11"/>
      <c r="AI2927" s="11"/>
      <c r="AJ2927" s="11"/>
      <c r="AK2927" s="11"/>
      <c r="AL2927" s="11"/>
      <c r="AM2927" s="11"/>
      <c r="AN2927" s="11"/>
      <c r="AO2927" s="11"/>
      <c r="AP2927" s="11"/>
      <c r="AQ2927" s="11"/>
      <c r="AR2927" s="11"/>
      <c r="AS2927" s="11"/>
      <c r="AT2927" s="11"/>
      <c r="AU2927" s="11"/>
      <c r="AV2927" s="11"/>
      <c r="AW2927" s="11"/>
      <c r="AX2927" s="11"/>
      <c r="AY2927" s="11"/>
    </row>
    <row r="2928" spans="1:51" hidden="1" x14ac:dyDescent="0.2">
      <c r="A2928" s="6"/>
      <c r="E2928" s="2"/>
      <c r="F2928" s="3"/>
      <c r="G2928" s="3"/>
      <c r="P2928" s="8"/>
      <c r="Q2928" s="11"/>
      <c r="R2928" s="11"/>
      <c r="S2928" s="11"/>
      <c r="T2928" s="11"/>
      <c r="U2928" s="11"/>
      <c r="V2928" s="11"/>
      <c r="W2928" s="11"/>
      <c r="X2928" s="11"/>
      <c r="Y2928" s="11"/>
      <c r="Z2928" s="11"/>
      <c r="AA2928" s="11"/>
      <c r="AB2928" s="11"/>
      <c r="AC2928" s="11"/>
      <c r="AD2928" s="11"/>
      <c r="AE2928" s="11"/>
      <c r="AF2928" s="11"/>
      <c r="AG2928" s="11"/>
      <c r="AH2928" s="11"/>
      <c r="AI2928" s="11"/>
      <c r="AJ2928" s="11"/>
      <c r="AK2928" s="11"/>
      <c r="AL2928" s="11"/>
      <c r="AM2928" s="11"/>
      <c r="AN2928" s="11"/>
      <c r="AO2928" s="11"/>
      <c r="AP2928" s="11"/>
      <c r="AQ2928" s="11"/>
      <c r="AR2928" s="11"/>
      <c r="AS2928" s="11"/>
      <c r="AT2928" s="11"/>
      <c r="AU2928" s="11"/>
      <c r="AV2928" s="11"/>
      <c r="AW2928" s="11"/>
      <c r="AX2928" s="11"/>
      <c r="AY2928" s="11"/>
    </row>
    <row r="2929" spans="1:51" hidden="1" x14ac:dyDescent="0.2">
      <c r="A2929" s="6"/>
      <c r="E2929" s="2"/>
      <c r="F2929" s="3"/>
      <c r="G2929" s="3"/>
      <c r="P2929" s="8"/>
      <c r="Q2929" s="11"/>
      <c r="R2929" s="11"/>
      <c r="S2929" s="11"/>
      <c r="T2929" s="11"/>
      <c r="U2929" s="11"/>
      <c r="V2929" s="11"/>
      <c r="W2929" s="11"/>
      <c r="X2929" s="11"/>
      <c r="Y2929" s="11"/>
      <c r="Z2929" s="11"/>
      <c r="AA2929" s="11"/>
      <c r="AB2929" s="11"/>
      <c r="AC2929" s="11"/>
      <c r="AD2929" s="11"/>
      <c r="AE2929" s="11"/>
      <c r="AF2929" s="11"/>
      <c r="AG2929" s="11"/>
      <c r="AH2929" s="11"/>
      <c r="AI2929" s="11"/>
      <c r="AJ2929" s="11"/>
      <c r="AK2929" s="11"/>
      <c r="AL2929" s="11"/>
      <c r="AM2929" s="11"/>
      <c r="AN2929" s="11"/>
      <c r="AO2929" s="11"/>
      <c r="AP2929" s="11"/>
      <c r="AQ2929" s="11"/>
      <c r="AR2929" s="11"/>
      <c r="AS2929" s="11"/>
      <c r="AT2929" s="11"/>
      <c r="AU2929" s="11"/>
      <c r="AV2929" s="11"/>
      <c r="AW2929" s="11"/>
      <c r="AX2929" s="11"/>
      <c r="AY2929" s="11"/>
    </row>
    <row r="2930" spans="1:51" hidden="1" x14ac:dyDescent="0.2">
      <c r="A2930" s="6" t="s">
        <v>17</v>
      </c>
      <c r="B2930" t="s">
        <v>35</v>
      </c>
      <c r="C2930" t="s">
        <v>35</v>
      </c>
      <c r="D2930" t="s">
        <v>3623</v>
      </c>
      <c r="E2930" s="2">
        <v>2.08</v>
      </c>
      <c r="F2930" s="3">
        <f>DATE(2025,12,1)</f>
        <v>45992</v>
      </c>
      <c r="G2930" s="3">
        <f>DATE(2025,12,1)</f>
        <v>45992</v>
      </c>
      <c r="H2930">
        <v>3335405693</v>
      </c>
      <c r="I2930" t="s">
        <v>21</v>
      </c>
      <c r="K2930" t="s">
        <v>22</v>
      </c>
      <c r="L2930" t="s">
        <v>23</v>
      </c>
      <c r="M2930" t="s">
        <v>24</v>
      </c>
      <c r="N2930" t="s">
        <v>24</v>
      </c>
      <c r="O2930" t="s">
        <v>25</v>
      </c>
      <c r="P2930" s="8" t="s">
        <v>3624</v>
      </c>
      <c r="Q2930" s="11"/>
      <c r="R2930" s="11"/>
      <c r="S2930" s="11"/>
      <c r="T2930" s="11"/>
      <c r="U2930" s="11"/>
      <c r="V2930" s="11"/>
      <c r="W2930" s="11"/>
      <c r="X2930" s="11"/>
      <c r="Y2930" s="11"/>
      <c r="Z2930" s="11"/>
      <c r="AA2930" s="11"/>
      <c r="AB2930" s="11"/>
      <c r="AC2930" s="11"/>
      <c r="AD2930" s="11"/>
      <c r="AE2930" s="11"/>
      <c r="AF2930" s="11"/>
      <c r="AG2930" s="11"/>
      <c r="AH2930" s="11"/>
      <c r="AI2930" s="11"/>
      <c r="AJ2930" s="11"/>
      <c r="AK2930" s="11"/>
      <c r="AL2930" s="11"/>
      <c r="AM2930" s="11"/>
      <c r="AN2930" s="11"/>
      <c r="AO2930" s="11"/>
      <c r="AP2930" s="11"/>
      <c r="AQ2930" s="11"/>
      <c r="AR2930" s="11"/>
      <c r="AS2930" s="11"/>
      <c r="AT2930" s="11"/>
      <c r="AU2930" s="11"/>
      <c r="AV2930" s="11"/>
      <c r="AW2930" s="11"/>
      <c r="AX2930" s="11"/>
      <c r="AY2930" s="11"/>
    </row>
    <row r="2931" spans="1:51" hidden="1" x14ac:dyDescent="0.2">
      <c r="A2931" s="6" t="s">
        <v>17</v>
      </c>
      <c r="B2931" t="s">
        <v>589</v>
      </c>
      <c r="C2931" t="s">
        <v>590</v>
      </c>
      <c r="D2931" t="s">
        <v>3625</v>
      </c>
      <c r="E2931" s="2">
        <v>120</v>
      </c>
      <c r="F2931" s="3">
        <f t="shared" ref="F2931:G2933" si="261">DATE(2025,12,2)</f>
        <v>45993</v>
      </c>
      <c r="G2931" s="3">
        <f t="shared" si="261"/>
        <v>45993</v>
      </c>
      <c r="H2931">
        <v>3335474499</v>
      </c>
      <c r="I2931" t="s">
        <v>192</v>
      </c>
      <c r="K2931" t="s">
        <v>22</v>
      </c>
      <c r="L2931" t="s">
        <v>23</v>
      </c>
      <c r="M2931" t="s">
        <v>24</v>
      </c>
      <c r="N2931" t="s">
        <v>24</v>
      </c>
      <c r="O2931" t="s">
        <v>25</v>
      </c>
      <c r="P2931" s="8" t="s">
        <v>3626</v>
      </c>
      <c r="Q2931" s="11"/>
      <c r="R2931" s="11"/>
      <c r="S2931" s="11"/>
      <c r="T2931" s="11"/>
      <c r="U2931" s="11"/>
      <c r="V2931" s="11"/>
      <c r="W2931" s="11"/>
      <c r="X2931" s="11"/>
      <c r="Y2931" s="11"/>
      <c r="Z2931" s="11"/>
      <c r="AA2931" s="11"/>
      <c r="AB2931" s="11"/>
      <c r="AC2931" s="11"/>
      <c r="AD2931" s="11"/>
      <c r="AE2931" s="11"/>
      <c r="AF2931" s="11"/>
      <c r="AG2931" s="11"/>
      <c r="AH2931" s="11"/>
      <c r="AI2931" s="11"/>
      <c r="AJ2931" s="11"/>
      <c r="AK2931" s="11"/>
      <c r="AL2931" s="11"/>
      <c r="AM2931" s="11"/>
      <c r="AN2931" s="11"/>
      <c r="AO2931" s="11"/>
      <c r="AP2931" s="11"/>
      <c r="AQ2931" s="11"/>
      <c r="AR2931" s="11"/>
      <c r="AS2931" s="11"/>
      <c r="AT2931" s="11"/>
      <c r="AU2931" s="11"/>
      <c r="AV2931" s="11"/>
      <c r="AW2931" s="11"/>
      <c r="AX2931" s="11"/>
      <c r="AY2931" s="11"/>
    </row>
    <row r="2932" spans="1:51" hidden="1" x14ac:dyDescent="0.2">
      <c r="A2932" s="6" t="s">
        <v>17</v>
      </c>
      <c r="B2932" t="s">
        <v>118</v>
      </c>
      <c r="C2932" t="s">
        <v>119</v>
      </c>
      <c r="D2932" t="s">
        <v>3627</v>
      </c>
      <c r="E2932" s="2">
        <v>33.47</v>
      </c>
      <c r="F2932" s="3">
        <f t="shared" si="261"/>
        <v>45993</v>
      </c>
      <c r="G2932" s="3">
        <f t="shared" si="261"/>
        <v>45993</v>
      </c>
      <c r="H2932">
        <v>3335474500</v>
      </c>
      <c r="I2932" t="s">
        <v>192</v>
      </c>
      <c r="K2932" t="s">
        <v>22</v>
      </c>
      <c r="L2932" t="s">
        <v>23</v>
      </c>
      <c r="M2932" t="s">
        <v>24</v>
      </c>
      <c r="N2932" t="s">
        <v>24</v>
      </c>
      <c r="O2932" t="s">
        <v>25</v>
      </c>
      <c r="P2932" s="8" t="s">
        <v>3628</v>
      </c>
      <c r="Q2932" s="11"/>
      <c r="R2932" s="11"/>
      <c r="S2932" s="11"/>
      <c r="T2932" s="11"/>
      <c r="U2932" s="11"/>
      <c r="V2932" s="11"/>
      <c r="W2932" s="11"/>
      <c r="X2932" s="11"/>
      <c r="Y2932" s="11"/>
      <c r="Z2932" s="11"/>
      <c r="AA2932" s="11"/>
      <c r="AB2932" s="11"/>
      <c r="AC2932" s="11"/>
      <c r="AD2932" s="11"/>
      <c r="AE2932" s="11"/>
      <c r="AF2932" s="11"/>
      <c r="AG2932" s="11"/>
      <c r="AH2932" s="11"/>
      <c r="AI2932" s="11"/>
      <c r="AJ2932" s="11"/>
      <c r="AK2932" s="11"/>
      <c r="AL2932" s="11"/>
      <c r="AM2932" s="11"/>
      <c r="AN2932" s="11"/>
      <c r="AO2932" s="11"/>
      <c r="AP2932" s="11"/>
      <c r="AQ2932" s="11"/>
      <c r="AR2932" s="11"/>
      <c r="AS2932" s="11"/>
      <c r="AT2932" s="11"/>
      <c r="AU2932" s="11"/>
      <c r="AV2932" s="11"/>
      <c r="AW2932" s="11"/>
      <c r="AX2932" s="11"/>
      <c r="AY2932" s="11"/>
    </row>
    <row r="2933" spans="1:51" hidden="1" x14ac:dyDescent="0.2">
      <c r="A2933" s="6" t="s">
        <v>17</v>
      </c>
      <c r="B2933" t="s">
        <v>155</v>
      </c>
      <c r="C2933" t="s">
        <v>156</v>
      </c>
      <c r="D2933" t="s">
        <v>3629</v>
      </c>
      <c r="E2933" s="2">
        <v>190.89</v>
      </c>
      <c r="F2933" s="3">
        <f t="shared" si="261"/>
        <v>45993</v>
      </c>
      <c r="G2933" s="3">
        <f t="shared" si="261"/>
        <v>45993</v>
      </c>
      <c r="H2933">
        <v>3335474501</v>
      </c>
      <c r="I2933" t="s">
        <v>192</v>
      </c>
      <c r="K2933" t="s">
        <v>22</v>
      </c>
      <c r="L2933" t="s">
        <v>23</v>
      </c>
      <c r="M2933" t="s">
        <v>24</v>
      </c>
      <c r="N2933" t="s">
        <v>24</v>
      </c>
      <c r="O2933" t="s">
        <v>25</v>
      </c>
      <c r="P2933" s="8" t="s">
        <v>3630</v>
      </c>
      <c r="Q2933" s="11"/>
      <c r="R2933" s="11"/>
      <c r="S2933" s="11"/>
      <c r="T2933" s="11"/>
      <c r="U2933" s="11"/>
      <c r="V2933" s="11"/>
      <c r="W2933" s="11"/>
      <c r="X2933" s="11"/>
      <c r="Y2933" s="11"/>
      <c r="Z2933" s="11"/>
      <c r="AA2933" s="11"/>
      <c r="AB2933" s="11"/>
      <c r="AC2933" s="11"/>
      <c r="AD2933" s="11"/>
      <c r="AE2933" s="11"/>
      <c r="AF2933" s="11"/>
      <c r="AG2933" s="11"/>
      <c r="AH2933" s="11"/>
      <c r="AI2933" s="11"/>
      <c r="AJ2933" s="11"/>
      <c r="AK2933" s="11"/>
      <c r="AL2933" s="11"/>
      <c r="AM2933" s="11"/>
      <c r="AN2933" s="11"/>
      <c r="AO2933" s="11"/>
      <c r="AP2933" s="11"/>
      <c r="AQ2933" s="11"/>
      <c r="AR2933" s="11"/>
      <c r="AS2933" s="11"/>
      <c r="AT2933" s="11"/>
      <c r="AU2933" s="11"/>
      <c r="AV2933" s="11"/>
      <c r="AW2933" s="11"/>
      <c r="AX2933" s="11"/>
      <c r="AY2933" s="11"/>
    </row>
    <row r="2934" spans="1:51" hidden="1" x14ac:dyDescent="0.2">
      <c r="A2934" s="6"/>
      <c r="E2934" s="2"/>
      <c r="F2934" s="3"/>
      <c r="G2934" s="3"/>
      <c r="P2934" s="8"/>
      <c r="Q2934" s="11"/>
      <c r="R2934" s="11"/>
      <c r="S2934" s="11"/>
      <c r="T2934" s="11"/>
      <c r="U2934" s="11"/>
      <c r="V2934" s="11"/>
      <c r="W2934" s="11"/>
      <c r="X2934" s="11"/>
      <c r="Y2934" s="11"/>
      <c r="Z2934" s="11"/>
      <c r="AA2934" s="11"/>
      <c r="AB2934" s="11"/>
      <c r="AC2934" s="11"/>
      <c r="AD2934" s="11"/>
      <c r="AE2934" s="11"/>
      <c r="AF2934" s="11"/>
      <c r="AG2934" s="11"/>
      <c r="AH2934" s="11"/>
      <c r="AI2934" s="11"/>
      <c r="AJ2934" s="11"/>
      <c r="AK2934" s="11"/>
      <c r="AL2934" s="11"/>
      <c r="AM2934" s="11"/>
      <c r="AN2934" s="11"/>
      <c r="AO2934" s="11"/>
      <c r="AP2934" s="11"/>
      <c r="AQ2934" s="11"/>
      <c r="AR2934" s="11"/>
      <c r="AS2934" s="11"/>
      <c r="AT2934" s="11"/>
      <c r="AU2934" s="11"/>
      <c r="AV2934" s="11"/>
      <c r="AW2934" s="11"/>
      <c r="AX2934" s="11"/>
      <c r="AY2934" s="11"/>
    </row>
    <row r="2935" spans="1:51" hidden="1" x14ac:dyDescent="0.2">
      <c r="A2935" s="6" t="s">
        <v>17</v>
      </c>
      <c r="B2935" t="s">
        <v>35</v>
      </c>
      <c r="C2935" t="s">
        <v>35</v>
      </c>
      <c r="D2935" t="s">
        <v>204</v>
      </c>
      <c r="E2935" s="2">
        <v>12</v>
      </c>
      <c r="F2935" s="3">
        <f>DATE(2025,12,1)</f>
        <v>45992</v>
      </c>
      <c r="G2935" s="3">
        <f>DATE(2025,12,1)</f>
        <v>45992</v>
      </c>
      <c r="H2935">
        <v>3335474503</v>
      </c>
      <c r="I2935" t="s">
        <v>192</v>
      </c>
      <c r="K2935" t="s">
        <v>22</v>
      </c>
      <c r="L2935" t="s">
        <v>23</v>
      </c>
      <c r="M2935" t="s">
        <v>24</v>
      </c>
      <c r="N2935" t="s">
        <v>24</v>
      </c>
      <c r="O2935" t="s">
        <v>25</v>
      </c>
      <c r="P2935" s="8" t="s">
        <v>3631</v>
      </c>
      <c r="Q2935" s="11"/>
      <c r="R2935" s="11"/>
      <c r="S2935" s="11"/>
      <c r="T2935" s="11"/>
      <c r="U2935" s="11"/>
      <c r="V2935" s="11"/>
      <c r="W2935" s="11"/>
      <c r="X2935" s="11"/>
      <c r="Y2935" s="11"/>
      <c r="Z2935" s="11"/>
      <c r="AA2935" s="11"/>
      <c r="AB2935" s="11"/>
      <c r="AC2935" s="11"/>
      <c r="AD2935" s="11"/>
      <c r="AE2935" s="11"/>
      <c r="AF2935" s="11"/>
      <c r="AG2935" s="11"/>
      <c r="AH2935" s="11"/>
      <c r="AI2935" s="11"/>
      <c r="AJ2935" s="11"/>
      <c r="AK2935" s="11"/>
      <c r="AL2935" s="11"/>
      <c r="AM2935" s="11"/>
      <c r="AN2935" s="11"/>
      <c r="AO2935" s="11"/>
      <c r="AP2935" s="11"/>
      <c r="AQ2935" s="11"/>
      <c r="AR2935" s="11"/>
      <c r="AS2935" s="11"/>
      <c r="AT2935" s="11"/>
      <c r="AU2935" s="11"/>
      <c r="AV2935" s="11"/>
      <c r="AW2935" s="11"/>
      <c r="AX2935" s="11"/>
      <c r="AY2935" s="11"/>
    </row>
    <row r="2936" spans="1:51" hidden="1" x14ac:dyDescent="0.2">
      <c r="A2936" s="6" t="s">
        <v>17</v>
      </c>
      <c r="B2936" t="s">
        <v>18</v>
      </c>
      <c r="C2936" t="s">
        <v>19</v>
      </c>
      <c r="D2936" t="s">
        <v>3632</v>
      </c>
      <c r="E2936" s="2">
        <v>0.85</v>
      </c>
      <c r="F2936" s="3">
        <f>DATE(2025,12,2)</f>
        <v>45993</v>
      </c>
      <c r="G2936" s="3">
        <f>DATE(2025,12,2)</f>
        <v>45993</v>
      </c>
      <c r="H2936">
        <v>3335474504</v>
      </c>
      <c r="I2936" t="s">
        <v>192</v>
      </c>
      <c r="K2936" t="s">
        <v>22</v>
      </c>
      <c r="L2936" t="s">
        <v>23</v>
      </c>
      <c r="M2936" t="s">
        <v>24</v>
      </c>
      <c r="N2936" t="s">
        <v>24</v>
      </c>
      <c r="O2936" t="s">
        <v>25</v>
      </c>
      <c r="P2936" s="8" t="s">
        <v>3633</v>
      </c>
      <c r="Q2936" s="11"/>
      <c r="R2936" s="11"/>
      <c r="S2936" s="11"/>
      <c r="T2936" s="11"/>
      <c r="U2936" s="11"/>
      <c r="V2936" s="11"/>
      <c r="W2936" s="11"/>
      <c r="X2936" s="11"/>
      <c r="Y2936" s="11"/>
      <c r="Z2936" s="11"/>
      <c r="AA2936" s="11"/>
      <c r="AB2936" s="11"/>
      <c r="AC2936" s="11"/>
      <c r="AD2936" s="11"/>
      <c r="AE2936" s="11"/>
      <c r="AF2936" s="11"/>
      <c r="AG2936" s="11"/>
      <c r="AH2936" s="11"/>
      <c r="AI2936" s="11"/>
      <c r="AJ2936" s="11"/>
      <c r="AK2936" s="11"/>
      <c r="AL2936" s="11"/>
      <c r="AM2936" s="11"/>
      <c r="AN2936" s="11"/>
      <c r="AO2936" s="11"/>
      <c r="AP2936" s="11"/>
      <c r="AQ2936" s="11"/>
      <c r="AR2936" s="11"/>
      <c r="AS2936" s="11"/>
      <c r="AT2936" s="11"/>
      <c r="AU2936" s="11"/>
      <c r="AV2936" s="11"/>
      <c r="AW2936" s="11"/>
      <c r="AX2936" s="11"/>
      <c r="AY2936" s="11"/>
    </row>
    <row r="2937" spans="1:51" hidden="1" x14ac:dyDescent="0.2">
      <c r="A2937" s="6"/>
      <c r="E2937" s="2"/>
      <c r="F2937" s="3"/>
      <c r="G2937" s="3"/>
      <c r="P2937" s="8"/>
      <c r="Q2937" s="11"/>
      <c r="R2937" s="11"/>
      <c r="S2937" s="11"/>
      <c r="T2937" s="11"/>
      <c r="U2937" s="11"/>
      <c r="V2937" s="11"/>
      <c r="W2937" s="11"/>
      <c r="X2937" s="11"/>
      <c r="Y2937" s="11"/>
      <c r="Z2937" s="11"/>
      <c r="AA2937" s="11"/>
      <c r="AB2937" s="11"/>
      <c r="AC2937" s="11"/>
      <c r="AD2937" s="11"/>
      <c r="AE2937" s="11"/>
      <c r="AF2937" s="11"/>
      <c r="AG2937" s="11"/>
      <c r="AH2937" s="11"/>
      <c r="AI2937" s="11"/>
      <c r="AJ2937" s="11"/>
      <c r="AK2937" s="11"/>
      <c r="AL2937" s="11"/>
      <c r="AM2937" s="11"/>
      <c r="AN2937" s="11"/>
      <c r="AO2937" s="11"/>
      <c r="AP2937" s="11"/>
      <c r="AQ2937" s="11"/>
      <c r="AR2937" s="11"/>
      <c r="AS2937" s="11"/>
      <c r="AT2937" s="11"/>
      <c r="AU2937" s="11"/>
      <c r="AV2937" s="11"/>
      <c r="AW2937" s="11"/>
      <c r="AX2937" s="11"/>
      <c r="AY2937" s="11"/>
    </row>
    <row r="2938" spans="1:51" hidden="1" x14ac:dyDescent="0.2">
      <c r="A2938" s="6" t="s">
        <v>17</v>
      </c>
      <c r="B2938" t="s">
        <v>50</v>
      </c>
      <c r="C2938" t="s">
        <v>51</v>
      </c>
      <c r="D2938" t="s">
        <v>3634</v>
      </c>
      <c r="E2938" s="2">
        <v>898.32</v>
      </c>
      <c r="F2938" s="3">
        <f t="shared" ref="F2938:G2939" si="262">DATE(2025,12,3)</f>
        <v>45994</v>
      </c>
      <c r="G2938" s="3">
        <f t="shared" si="262"/>
        <v>45994</v>
      </c>
      <c r="H2938">
        <v>3347864729</v>
      </c>
      <c r="I2938" t="s">
        <v>21</v>
      </c>
      <c r="K2938" t="s">
        <v>22</v>
      </c>
      <c r="L2938" t="s">
        <v>23</v>
      </c>
      <c r="M2938" t="s">
        <v>24</v>
      </c>
      <c r="N2938" t="s">
        <v>24</v>
      </c>
      <c r="O2938" t="s">
        <v>25</v>
      </c>
      <c r="P2938" s="8" t="s">
        <v>3635</v>
      </c>
      <c r="Q2938" s="11"/>
      <c r="R2938" s="11"/>
      <c r="S2938" s="11"/>
      <c r="T2938" s="11"/>
      <c r="U2938" s="11"/>
      <c r="V2938" s="11"/>
      <c r="W2938" s="11"/>
      <c r="X2938" s="11"/>
      <c r="Y2938" s="11"/>
      <c r="Z2938" s="11"/>
      <c r="AA2938" s="11"/>
      <c r="AB2938" s="11"/>
      <c r="AC2938" s="11"/>
      <c r="AD2938" s="11"/>
      <c r="AE2938" s="11"/>
      <c r="AF2938" s="11"/>
      <c r="AG2938" s="11"/>
      <c r="AH2938" s="11"/>
      <c r="AI2938" s="11"/>
      <c r="AJ2938" s="11"/>
      <c r="AK2938" s="11"/>
      <c r="AL2938" s="11"/>
      <c r="AM2938" s="11"/>
      <c r="AN2938" s="11"/>
      <c r="AO2938" s="11"/>
      <c r="AP2938" s="11"/>
      <c r="AQ2938" s="11"/>
      <c r="AR2938" s="11"/>
      <c r="AS2938" s="11"/>
      <c r="AT2938" s="11"/>
      <c r="AU2938" s="11"/>
      <c r="AV2938" s="11"/>
      <c r="AW2938" s="11"/>
      <c r="AX2938" s="11"/>
      <c r="AY2938" s="11"/>
    </row>
    <row r="2939" spans="1:51" hidden="1" x14ac:dyDescent="0.2">
      <c r="A2939" s="6" t="s">
        <v>17</v>
      </c>
      <c r="B2939" t="s">
        <v>878</v>
      </c>
      <c r="C2939" t="s">
        <v>879</v>
      </c>
      <c r="D2939" t="s">
        <v>3636</v>
      </c>
      <c r="E2939" s="2">
        <v>839.15</v>
      </c>
      <c r="F2939" s="3">
        <f t="shared" si="262"/>
        <v>45994</v>
      </c>
      <c r="G2939" s="3">
        <f t="shared" si="262"/>
        <v>45994</v>
      </c>
      <c r="H2939">
        <v>3347864730</v>
      </c>
      <c r="I2939" t="s">
        <v>21</v>
      </c>
      <c r="K2939" t="s">
        <v>22</v>
      </c>
      <c r="L2939" t="s">
        <v>23</v>
      </c>
      <c r="M2939" t="s">
        <v>24</v>
      </c>
      <c r="N2939" t="s">
        <v>24</v>
      </c>
      <c r="O2939" t="s">
        <v>25</v>
      </c>
      <c r="P2939" s="8" t="s">
        <v>3637</v>
      </c>
      <c r="Q2939" s="11"/>
      <c r="R2939" s="11"/>
      <c r="S2939" s="11"/>
      <c r="T2939" s="11"/>
      <c r="U2939" s="11"/>
      <c r="V2939" s="11"/>
      <c r="W2939" s="11"/>
      <c r="X2939" s="11"/>
      <c r="Y2939" s="11"/>
      <c r="Z2939" s="11"/>
      <c r="AA2939" s="11"/>
      <c r="AB2939" s="11"/>
      <c r="AC2939" s="11"/>
      <c r="AD2939" s="11"/>
      <c r="AE2939" s="11"/>
      <c r="AF2939" s="11"/>
      <c r="AG2939" s="11"/>
      <c r="AH2939" s="11"/>
      <c r="AI2939" s="11"/>
      <c r="AJ2939" s="11"/>
      <c r="AK2939" s="11"/>
      <c r="AL2939" s="11"/>
      <c r="AM2939" s="11"/>
      <c r="AN2939" s="11"/>
      <c r="AO2939" s="11"/>
      <c r="AP2939" s="11"/>
      <c r="AQ2939" s="11"/>
      <c r="AR2939" s="11"/>
      <c r="AS2939" s="11"/>
      <c r="AT2939" s="11"/>
      <c r="AU2939" s="11"/>
      <c r="AV2939" s="11"/>
      <c r="AW2939" s="11"/>
      <c r="AX2939" s="11"/>
      <c r="AY2939" s="11"/>
    </row>
    <row r="2940" spans="1:51" hidden="1" x14ac:dyDescent="0.2">
      <c r="A2940" s="6" t="s">
        <v>17</v>
      </c>
      <c r="B2940" t="s">
        <v>18</v>
      </c>
      <c r="C2940" t="s">
        <v>19</v>
      </c>
      <c r="D2940" t="s">
        <v>3638</v>
      </c>
      <c r="E2940" s="2">
        <v>15.95</v>
      </c>
      <c r="F2940" s="3">
        <f>DATE(2025,12,4)</f>
        <v>45995</v>
      </c>
      <c r="G2940" s="3">
        <f>DATE(2025,12,4)</f>
        <v>45995</v>
      </c>
      <c r="H2940">
        <v>3347864731</v>
      </c>
      <c r="I2940" t="s">
        <v>21</v>
      </c>
      <c r="K2940" t="s">
        <v>22</v>
      </c>
      <c r="L2940" t="s">
        <v>23</v>
      </c>
      <c r="M2940" t="s">
        <v>24</v>
      </c>
      <c r="N2940" t="s">
        <v>24</v>
      </c>
      <c r="O2940" t="s">
        <v>25</v>
      </c>
      <c r="P2940" s="8" t="s">
        <v>3639</v>
      </c>
      <c r="Q2940" s="11"/>
      <c r="R2940" s="11"/>
      <c r="S2940" s="11"/>
      <c r="T2940" s="11"/>
      <c r="U2940" s="11"/>
      <c r="V2940" s="11"/>
      <c r="W2940" s="11"/>
      <c r="X2940" s="11"/>
      <c r="Y2940" s="11"/>
      <c r="Z2940" s="11"/>
      <c r="AA2940" s="11"/>
      <c r="AB2940" s="11"/>
      <c r="AC2940" s="11"/>
      <c r="AD2940" s="11"/>
      <c r="AE2940" s="11"/>
      <c r="AF2940" s="11"/>
      <c r="AG2940" s="11"/>
      <c r="AH2940" s="11"/>
      <c r="AI2940" s="11"/>
      <c r="AJ2940" s="11"/>
      <c r="AK2940" s="11"/>
      <c r="AL2940" s="11"/>
      <c r="AM2940" s="11"/>
      <c r="AN2940" s="11"/>
      <c r="AO2940" s="11"/>
      <c r="AP2940" s="11"/>
      <c r="AQ2940" s="11"/>
      <c r="AR2940" s="11"/>
      <c r="AS2940" s="11"/>
      <c r="AT2940" s="11"/>
      <c r="AU2940" s="11"/>
      <c r="AV2940" s="11"/>
      <c r="AW2940" s="11"/>
      <c r="AX2940" s="11"/>
      <c r="AY2940" s="11"/>
    </row>
    <row r="2941" spans="1:51" hidden="1" x14ac:dyDescent="0.2">
      <c r="A2941" s="6" t="s">
        <v>17</v>
      </c>
      <c r="B2941" t="s">
        <v>46</v>
      </c>
      <c r="C2941" t="s">
        <v>47</v>
      </c>
      <c r="D2941" t="s">
        <v>3640</v>
      </c>
      <c r="E2941" s="2">
        <v>829.45</v>
      </c>
      <c r="F2941" s="3">
        <f t="shared" ref="F2941:G2948" si="263">DATE(2025,12,3)</f>
        <v>45994</v>
      </c>
      <c r="G2941" s="3">
        <f t="shared" si="263"/>
        <v>45994</v>
      </c>
      <c r="H2941">
        <v>3347864732</v>
      </c>
      <c r="I2941" t="s">
        <v>21</v>
      </c>
      <c r="K2941" t="s">
        <v>22</v>
      </c>
      <c r="L2941" t="s">
        <v>23</v>
      </c>
      <c r="M2941" t="s">
        <v>24</v>
      </c>
      <c r="N2941" t="s">
        <v>24</v>
      </c>
      <c r="O2941" t="s">
        <v>25</v>
      </c>
      <c r="P2941" s="8" t="s">
        <v>3641</v>
      </c>
      <c r="Q2941" s="11"/>
      <c r="R2941" s="11"/>
      <c r="S2941" s="11"/>
      <c r="T2941" s="11"/>
      <c r="U2941" s="11"/>
      <c r="V2941" s="11"/>
      <c r="W2941" s="11"/>
      <c r="X2941" s="11"/>
      <c r="Y2941" s="11"/>
      <c r="Z2941" s="11"/>
      <c r="AA2941" s="11"/>
      <c r="AB2941" s="11"/>
      <c r="AC2941" s="11"/>
      <c r="AD2941" s="11"/>
      <c r="AE2941" s="11"/>
      <c r="AF2941" s="11"/>
      <c r="AG2941" s="11"/>
      <c r="AH2941" s="11"/>
      <c r="AI2941" s="11"/>
      <c r="AJ2941" s="11"/>
      <c r="AK2941" s="11"/>
      <c r="AL2941" s="11"/>
      <c r="AM2941" s="11"/>
      <c r="AN2941" s="11"/>
      <c r="AO2941" s="11"/>
      <c r="AP2941" s="11"/>
      <c r="AQ2941" s="11"/>
      <c r="AR2941" s="11"/>
      <c r="AS2941" s="11"/>
      <c r="AT2941" s="11"/>
      <c r="AU2941" s="11"/>
      <c r="AV2941" s="11"/>
      <c r="AW2941" s="11"/>
      <c r="AX2941" s="11"/>
      <c r="AY2941" s="11"/>
    </row>
    <row r="2942" spans="1:51" hidden="1" x14ac:dyDescent="0.2">
      <c r="A2942" s="6" t="s">
        <v>17</v>
      </c>
      <c r="B2942" t="s">
        <v>54</v>
      </c>
      <c r="C2942" t="s">
        <v>55</v>
      </c>
      <c r="D2942" t="s">
        <v>3642</v>
      </c>
      <c r="E2942" s="2">
        <v>595</v>
      </c>
      <c r="F2942" s="3">
        <f t="shared" si="263"/>
        <v>45994</v>
      </c>
      <c r="G2942" s="3">
        <f t="shared" si="263"/>
        <v>45994</v>
      </c>
      <c r="H2942">
        <v>3347864733</v>
      </c>
      <c r="I2942" t="s">
        <v>21</v>
      </c>
      <c r="K2942" t="s">
        <v>22</v>
      </c>
      <c r="L2942" t="s">
        <v>23</v>
      </c>
      <c r="M2942" t="s">
        <v>24</v>
      </c>
      <c r="N2942" t="s">
        <v>24</v>
      </c>
      <c r="O2942" t="s">
        <v>25</v>
      </c>
      <c r="P2942" s="8" t="s">
        <v>3643</v>
      </c>
      <c r="Q2942" s="11"/>
      <c r="R2942" s="11"/>
      <c r="S2942" s="11"/>
      <c r="T2942" s="11"/>
      <c r="U2942" s="11"/>
      <c r="V2942" s="11"/>
      <c r="W2942" s="11"/>
      <c r="X2942" s="11"/>
      <c r="Y2942" s="11"/>
      <c r="Z2942" s="11"/>
      <c r="AA2942" s="11"/>
      <c r="AB2942" s="11"/>
      <c r="AC2942" s="11"/>
      <c r="AD2942" s="11"/>
      <c r="AE2942" s="11"/>
      <c r="AF2942" s="11"/>
      <c r="AG2942" s="11"/>
      <c r="AH2942" s="11"/>
      <c r="AI2942" s="11"/>
      <c r="AJ2942" s="11"/>
      <c r="AK2942" s="11"/>
      <c r="AL2942" s="11"/>
      <c r="AM2942" s="11"/>
      <c r="AN2942" s="11"/>
      <c r="AO2942" s="11"/>
      <c r="AP2942" s="11"/>
      <c r="AQ2942" s="11"/>
      <c r="AR2942" s="11"/>
      <c r="AS2942" s="11"/>
      <c r="AT2942" s="11"/>
      <c r="AU2942" s="11"/>
      <c r="AV2942" s="11"/>
      <c r="AW2942" s="11"/>
      <c r="AX2942" s="11"/>
      <c r="AY2942" s="11"/>
    </row>
    <row r="2943" spans="1:51" hidden="1" x14ac:dyDescent="0.2">
      <c r="A2943" s="6" t="s">
        <v>17</v>
      </c>
      <c r="B2943" t="s">
        <v>90</v>
      </c>
      <c r="C2943" t="s">
        <v>91</v>
      </c>
      <c r="D2943" t="s">
        <v>3644</v>
      </c>
      <c r="E2943" s="2">
        <v>18362.740000000002</v>
      </c>
      <c r="F2943" s="3">
        <f t="shared" si="263"/>
        <v>45994</v>
      </c>
      <c r="G2943" s="3">
        <f t="shared" si="263"/>
        <v>45994</v>
      </c>
      <c r="H2943">
        <v>3347864734</v>
      </c>
      <c r="I2943" t="s">
        <v>21</v>
      </c>
      <c r="K2943" t="s">
        <v>22</v>
      </c>
      <c r="L2943" t="s">
        <v>23</v>
      </c>
      <c r="M2943" t="s">
        <v>24</v>
      </c>
      <c r="N2943" t="s">
        <v>24</v>
      </c>
      <c r="O2943" t="s">
        <v>25</v>
      </c>
      <c r="P2943" s="8" t="s">
        <v>3645</v>
      </c>
      <c r="Q2943" s="11"/>
      <c r="R2943" s="11"/>
      <c r="S2943" s="11"/>
      <c r="T2943" s="11"/>
      <c r="U2943" s="11"/>
      <c r="V2943" s="11"/>
      <c r="W2943" s="11"/>
      <c r="X2943" s="11"/>
      <c r="Y2943" s="11"/>
      <c r="Z2943" s="11"/>
      <c r="AA2943" s="11"/>
      <c r="AB2943" s="11"/>
      <c r="AC2943" s="11"/>
      <c r="AD2943" s="11"/>
      <c r="AE2943" s="11"/>
      <c r="AF2943" s="11"/>
      <c r="AG2943" s="11"/>
      <c r="AH2943" s="11"/>
      <c r="AI2943" s="11"/>
      <c r="AJ2943" s="11"/>
      <c r="AK2943" s="11"/>
      <c r="AL2943" s="11"/>
      <c r="AM2943" s="11"/>
      <c r="AN2943" s="11"/>
      <c r="AO2943" s="11"/>
      <c r="AP2943" s="11"/>
      <c r="AQ2943" s="11"/>
      <c r="AR2943" s="11"/>
      <c r="AS2943" s="11"/>
      <c r="AT2943" s="11"/>
      <c r="AU2943" s="11"/>
      <c r="AV2943" s="11"/>
      <c r="AW2943" s="11"/>
      <c r="AX2943" s="11"/>
      <c r="AY2943" s="11"/>
    </row>
    <row r="2944" spans="1:51" hidden="1" x14ac:dyDescent="0.2">
      <c r="A2944" s="6" t="s">
        <v>17</v>
      </c>
      <c r="B2944" t="s">
        <v>90</v>
      </c>
      <c r="C2944" t="s">
        <v>91</v>
      </c>
      <c r="D2944" t="s">
        <v>3646</v>
      </c>
      <c r="E2944" s="2">
        <v>341.89</v>
      </c>
      <c r="F2944" s="3">
        <f t="shared" si="263"/>
        <v>45994</v>
      </c>
      <c r="G2944" s="3">
        <f t="shared" si="263"/>
        <v>45994</v>
      </c>
      <c r="H2944">
        <v>3347864735</v>
      </c>
      <c r="I2944" t="s">
        <v>21</v>
      </c>
      <c r="K2944" t="s">
        <v>22</v>
      </c>
      <c r="L2944" t="s">
        <v>23</v>
      </c>
      <c r="M2944" t="s">
        <v>24</v>
      </c>
      <c r="N2944" t="s">
        <v>24</v>
      </c>
      <c r="O2944" t="s">
        <v>25</v>
      </c>
      <c r="P2944" s="8" t="s">
        <v>3647</v>
      </c>
      <c r="Q2944" s="11"/>
      <c r="R2944" s="11"/>
      <c r="S2944" s="11"/>
      <c r="T2944" s="11"/>
      <c r="U2944" s="11"/>
      <c r="V2944" s="11"/>
      <c r="W2944" s="11"/>
      <c r="X2944" s="11"/>
      <c r="Y2944" s="11"/>
      <c r="Z2944" s="11"/>
      <c r="AA2944" s="11"/>
      <c r="AB2944" s="11"/>
      <c r="AC2944" s="11"/>
      <c r="AD2944" s="11"/>
      <c r="AE2944" s="11"/>
      <c r="AF2944" s="11"/>
      <c r="AG2944" s="11"/>
      <c r="AH2944" s="11"/>
      <c r="AI2944" s="11"/>
      <c r="AJ2944" s="11"/>
      <c r="AK2944" s="11"/>
      <c r="AL2944" s="11"/>
      <c r="AM2944" s="11"/>
      <c r="AN2944" s="11"/>
      <c r="AO2944" s="11"/>
      <c r="AP2944" s="11"/>
      <c r="AQ2944" s="11"/>
      <c r="AR2944" s="11"/>
      <c r="AS2944" s="11"/>
      <c r="AT2944" s="11"/>
      <c r="AU2944" s="11"/>
      <c r="AV2944" s="11"/>
      <c r="AW2944" s="11"/>
      <c r="AX2944" s="11"/>
      <c r="AY2944" s="11"/>
    </row>
    <row r="2945" spans="1:51" hidden="1" x14ac:dyDescent="0.2">
      <c r="A2945" s="6" t="s">
        <v>17</v>
      </c>
      <c r="B2945" t="s">
        <v>46</v>
      </c>
      <c r="C2945" t="s">
        <v>47</v>
      </c>
      <c r="D2945" t="s">
        <v>3648</v>
      </c>
      <c r="E2945" s="2">
        <v>529.20000000000005</v>
      </c>
      <c r="F2945" s="3">
        <f t="shared" si="263"/>
        <v>45994</v>
      </c>
      <c r="G2945" s="3">
        <f t="shared" si="263"/>
        <v>45994</v>
      </c>
      <c r="H2945">
        <v>3347864736</v>
      </c>
      <c r="I2945" t="s">
        <v>21</v>
      </c>
      <c r="K2945" t="s">
        <v>22</v>
      </c>
      <c r="L2945" t="s">
        <v>23</v>
      </c>
      <c r="M2945" t="s">
        <v>24</v>
      </c>
      <c r="N2945" t="s">
        <v>24</v>
      </c>
      <c r="O2945" t="s">
        <v>25</v>
      </c>
      <c r="P2945" s="8" t="s">
        <v>3649</v>
      </c>
      <c r="Q2945" s="11"/>
      <c r="R2945" s="11"/>
      <c r="S2945" s="11"/>
      <c r="T2945" s="11"/>
      <c r="U2945" s="11"/>
      <c r="V2945" s="11"/>
      <c r="W2945" s="11"/>
      <c r="X2945" s="11"/>
      <c r="Y2945" s="11"/>
      <c r="Z2945" s="11"/>
      <c r="AA2945" s="11"/>
      <c r="AB2945" s="11"/>
      <c r="AC2945" s="11"/>
      <c r="AD2945" s="11"/>
      <c r="AE2945" s="11"/>
      <c r="AF2945" s="11"/>
      <c r="AG2945" s="11"/>
      <c r="AH2945" s="11"/>
      <c r="AI2945" s="11"/>
      <c r="AJ2945" s="11"/>
      <c r="AK2945" s="11"/>
      <c r="AL2945" s="11"/>
      <c r="AM2945" s="11"/>
      <c r="AN2945" s="11"/>
      <c r="AO2945" s="11"/>
      <c r="AP2945" s="11"/>
      <c r="AQ2945" s="11"/>
      <c r="AR2945" s="11"/>
      <c r="AS2945" s="11"/>
      <c r="AT2945" s="11"/>
      <c r="AU2945" s="11"/>
      <c r="AV2945" s="11"/>
      <c r="AW2945" s="11"/>
      <c r="AX2945" s="11"/>
      <c r="AY2945" s="11"/>
    </row>
    <row r="2946" spans="1:51" hidden="1" x14ac:dyDescent="0.2">
      <c r="A2946" s="6" t="s">
        <v>17</v>
      </c>
      <c r="B2946" t="s">
        <v>50</v>
      </c>
      <c r="C2946" t="s">
        <v>51</v>
      </c>
      <c r="D2946" t="s">
        <v>3650</v>
      </c>
      <c r="E2946" s="2">
        <v>3611.5</v>
      </c>
      <c r="F2946" s="3">
        <f t="shared" si="263"/>
        <v>45994</v>
      </c>
      <c r="G2946" s="3">
        <f t="shared" si="263"/>
        <v>45994</v>
      </c>
      <c r="H2946">
        <v>3347864737</v>
      </c>
      <c r="I2946" t="s">
        <v>21</v>
      </c>
      <c r="K2946" t="s">
        <v>22</v>
      </c>
      <c r="L2946" t="s">
        <v>23</v>
      </c>
      <c r="M2946" t="s">
        <v>24</v>
      </c>
      <c r="N2946" t="s">
        <v>24</v>
      </c>
      <c r="O2946" t="s">
        <v>25</v>
      </c>
      <c r="P2946" s="8" t="s">
        <v>3651</v>
      </c>
      <c r="Q2946" s="11"/>
      <c r="R2946" s="11"/>
      <c r="S2946" s="11"/>
      <c r="T2946" s="11"/>
      <c r="U2946" s="11"/>
      <c r="V2946" s="11"/>
      <c r="W2946" s="11"/>
      <c r="X2946" s="11"/>
      <c r="Y2946" s="11"/>
      <c r="Z2946" s="11"/>
      <c r="AA2946" s="11"/>
      <c r="AB2946" s="11"/>
      <c r="AC2946" s="11"/>
      <c r="AD2946" s="11"/>
      <c r="AE2946" s="11"/>
      <c r="AF2946" s="11"/>
      <c r="AG2946" s="11"/>
      <c r="AH2946" s="11"/>
      <c r="AI2946" s="11"/>
      <c r="AJ2946" s="11"/>
      <c r="AK2946" s="11"/>
      <c r="AL2946" s="11"/>
      <c r="AM2946" s="11"/>
      <c r="AN2946" s="11"/>
      <c r="AO2946" s="11"/>
      <c r="AP2946" s="11"/>
      <c r="AQ2946" s="11"/>
      <c r="AR2946" s="11"/>
      <c r="AS2946" s="11"/>
      <c r="AT2946" s="11"/>
      <c r="AU2946" s="11"/>
      <c r="AV2946" s="11"/>
      <c r="AW2946" s="11"/>
      <c r="AX2946" s="11"/>
      <c r="AY2946" s="11"/>
    </row>
    <row r="2947" spans="1:51" hidden="1" x14ac:dyDescent="0.2">
      <c r="A2947" s="6" t="s">
        <v>17</v>
      </c>
      <c r="B2947" t="s">
        <v>46</v>
      </c>
      <c r="C2947" t="s">
        <v>47</v>
      </c>
      <c r="D2947" t="s">
        <v>3652</v>
      </c>
      <c r="E2947" s="2">
        <v>150</v>
      </c>
      <c r="F2947" s="3">
        <f t="shared" si="263"/>
        <v>45994</v>
      </c>
      <c r="G2947" s="3">
        <f t="shared" si="263"/>
        <v>45994</v>
      </c>
      <c r="H2947">
        <v>3347864738</v>
      </c>
      <c r="I2947" t="s">
        <v>21</v>
      </c>
      <c r="K2947" t="s">
        <v>22</v>
      </c>
      <c r="L2947" t="s">
        <v>23</v>
      </c>
      <c r="M2947" t="s">
        <v>24</v>
      </c>
      <c r="N2947" t="s">
        <v>24</v>
      </c>
      <c r="O2947" t="s">
        <v>25</v>
      </c>
      <c r="P2947" s="8" t="s">
        <v>3653</v>
      </c>
      <c r="Q2947" s="11"/>
      <c r="R2947" s="11"/>
      <c r="S2947" s="11"/>
      <c r="T2947" s="11"/>
      <c r="U2947" s="11"/>
      <c r="V2947" s="11"/>
      <c r="W2947" s="11"/>
      <c r="X2947" s="11"/>
      <c r="Y2947" s="11"/>
      <c r="Z2947" s="11"/>
      <c r="AA2947" s="11"/>
      <c r="AB2947" s="11"/>
      <c r="AC2947" s="11"/>
      <c r="AD2947" s="11"/>
      <c r="AE2947" s="11"/>
      <c r="AF2947" s="11"/>
      <c r="AG2947" s="11"/>
      <c r="AH2947" s="11"/>
      <c r="AI2947" s="11"/>
      <c r="AJ2947" s="11"/>
      <c r="AK2947" s="11"/>
      <c r="AL2947" s="11"/>
      <c r="AM2947" s="11"/>
      <c r="AN2947" s="11"/>
      <c r="AO2947" s="11"/>
      <c r="AP2947" s="11"/>
      <c r="AQ2947" s="11"/>
      <c r="AR2947" s="11"/>
      <c r="AS2947" s="11"/>
      <c r="AT2947" s="11"/>
      <c r="AU2947" s="11"/>
      <c r="AV2947" s="11"/>
      <c r="AW2947" s="11"/>
      <c r="AX2947" s="11"/>
      <c r="AY2947" s="11"/>
    </row>
    <row r="2948" spans="1:51" hidden="1" x14ac:dyDescent="0.2">
      <c r="A2948" s="6" t="s">
        <v>17</v>
      </c>
      <c r="B2948" t="s">
        <v>35</v>
      </c>
      <c r="C2948" t="s">
        <v>35</v>
      </c>
      <c r="D2948" t="s">
        <v>3654</v>
      </c>
      <c r="E2948" s="2">
        <v>1.71</v>
      </c>
      <c r="F2948" s="3">
        <f t="shared" si="263"/>
        <v>45994</v>
      </c>
      <c r="G2948" s="3">
        <f t="shared" si="263"/>
        <v>45994</v>
      </c>
      <c r="H2948">
        <v>3347864739</v>
      </c>
      <c r="I2948" t="s">
        <v>21</v>
      </c>
      <c r="K2948" t="s">
        <v>22</v>
      </c>
      <c r="L2948" t="s">
        <v>23</v>
      </c>
      <c r="M2948" t="s">
        <v>24</v>
      </c>
      <c r="N2948" t="s">
        <v>24</v>
      </c>
      <c r="O2948" t="s">
        <v>25</v>
      </c>
      <c r="P2948" s="8" t="s">
        <v>3655</v>
      </c>
      <c r="Q2948" s="11"/>
      <c r="R2948" s="11"/>
      <c r="S2948" s="11"/>
      <c r="T2948" s="11"/>
      <c r="U2948" s="11"/>
      <c r="V2948" s="11"/>
      <c r="W2948" s="11"/>
      <c r="X2948" s="11"/>
      <c r="Y2948" s="11"/>
      <c r="Z2948" s="11"/>
      <c r="AA2948" s="11"/>
      <c r="AB2948" s="11"/>
      <c r="AC2948" s="11"/>
      <c r="AD2948" s="11"/>
      <c r="AE2948" s="11"/>
      <c r="AF2948" s="11"/>
      <c r="AG2948" s="11"/>
      <c r="AH2948" s="11"/>
      <c r="AI2948" s="11"/>
      <c r="AJ2948" s="11"/>
      <c r="AK2948" s="11"/>
      <c r="AL2948" s="11"/>
      <c r="AM2948" s="11"/>
      <c r="AN2948" s="11"/>
      <c r="AO2948" s="11"/>
      <c r="AP2948" s="11"/>
      <c r="AQ2948" s="11"/>
      <c r="AR2948" s="11"/>
      <c r="AS2948" s="11"/>
      <c r="AT2948" s="11"/>
      <c r="AU2948" s="11"/>
      <c r="AV2948" s="11"/>
      <c r="AW2948" s="11"/>
      <c r="AX2948" s="11"/>
      <c r="AY2948" s="11"/>
    </row>
    <row r="2949" spans="1:51" hidden="1" x14ac:dyDescent="0.2">
      <c r="A2949" s="6"/>
      <c r="E2949" s="2"/>
      <c r="F2949" s="3"/>
      <c r="G2949" s="3"/>
      <c r="P2949" s="8"/>
      <c r="Q2949" s="11"/>
      <c r="R2949" s="11"/>
      <c r="S2949" s="11"/>
      <c r="T2949" s="11"/>
      <c r="U2949" s="11"/>
      <c r="V2949" s="11"/>
      <c r="W2949" s="11"/>
      <c r="X2949" s="11"/>
      <c r="Y2949" s="11"/>
      <c r="Z2949" s="11"/>
      <c r="AA2949" s="11"/>
      <c r="AB2949" s="11"/>
      <c r="AC2949" s="11"/>
      <c r="AD2949" s="11"/>
      <c r="AE2949" s="11"/>
      <c r="AF2949" s="11"/>
      <c r="AG2949" s="11"/>
      <c r="AH2949" s="11"/>
      <c r="AI2949" s="11"/>
      <c r="AJ2949" s="11"/>
      <c r="AK2949" s="11"/>
      <c r="AL2949" s="11"/>
      <c r="AM2949" s="11"/>
      <c r="AN2949" s="11"/>
      <c r="AO2949" s="11"/>
      <c r="AP2949" s="11"/>
      <c r="AQ2949" s="11"/>
      <c r="AR2949" s="11"/>
      <c r="AS2949" s="11"/>
      <c r="AT2949" s="11"/>
      <c r="AU2949" s="11"/>
      <c r="AV2949" s="11"/>
      <c r="AW2949" s="11"/>
      <c r="AX2949" s="11"/>
      <c r="AY2949" s="11"/>
    </row>
    <row r="2950" spans="1:51" hidden="1" x14ac:dyDescent="0.2">
      <c r="A2950" s="6"/>
      <c r="E2950" s="2"/>
      <c r="F2950" s="3"/>
      <c r="G2950" s="3"/>
      <c r="P2950" s="8"/>
      <c r="Q2950" s="11"/>
      <c r="R2950" s="11"/>
      <c r="S2950" s="11"/>
      <c r="T2950" s="11"/>
      <c r="U2950" s="11"/>
      <c r="V2950" s="11"/>
      <c r="W2950" s="11"/>
      <c r="X2950" s="11"/>
      <c r="Y2950" s="11"/>
      <c r="Z2950" s="11"/>
      <c r="AA2950" s="11"/>
      <c r="AB2950" s="11"/>
      <c r="AC2950" s="11"/>
      <c r="AD2950" s="11"/>
      <c r="AE2950" s="11"/>
      <c r="AF2950" s="11"/>
      <c r="AG2950" s="11"/>
      <c r="AH2950" s="11"/>
      <c r="AI2950" s="11"/>
      <c r="AJ2950" s="11"/>
      <c r="AK2950" s="11"/>
      <c r="AL2950" s="11"/>
      <c r="AM2950" s="11"/>
      <c r="AN2950" s="11"/>
      <c r="AO2950" s="11"/>
      <c r="AP2950" s="11"/>
      <c r="AQ2950" s="11"/>
      <c r="AR2950" s="11"/>
      <c r="AS2950" s="11"/>
      <c r="AT2950" s="11"/>
      <c r="AU2950" s="11"/>
      <c r="AV2950" s="11"/>
      <c r="AW2950" s="11"/>
      <c r="AX2950" s="11"/>
      <c r="AY2950" s="11"/>
    </row>
    <row r="2951" spans="1:51" hidden="1" x14ac:dyDescent="0.2">
      <c r="A2951" s="6" t="s">
        <v>17</v>
      </c>
      <c r="B2951" t="s">
        <v>42</v>
      </c>
      <c r="C2951" t="s">
        <v>43</v>
      </c>
      <c r="D2951" t="s">
        <v>3656</v>
      </c>
      <c r="E2951" s="2">
        <v>89</v>
      </c>
      <c r="F2951" s="3">
        <f t="shared" ref="F2951:G2956" si="264">DATE(2025,12,3)</f>
        <v>45994</v>
      </c>
      <c r="G2951" s="3">
        <f t="shared" si="264"/>
        <v>45994</v>
      </c>
      <c r="H2951">
        <v>3347864742</v>
      </c>
      <c r="I2951" t="s">
        <v>21</v>
      </c>
      <c r="K2951" t="s">
        <v>22</v>
      </c>
      <c r="L2951" t="s">
        <v>23</v>
      </c>
      <c r="M2951" t="s">
        <v>24</v>
      </c>
      <c r="N2951" t="s">
        <v>24</v>
      </c>
      <c r="O2951" t="s">
        <v>25</v>
      </c>
      <c r="P2951" s="8" t="s">
        <v>3657</v>
      </c>
      <c r="Q2951" s="11"/>
      <c r="R2951" s="11"/>
      <c r="S2951" s="11"/>
      <c r="T2951" s="11"/>
      <c r="U2951" s="11"/>
      <c r="V2951" s="11"/>
      <c r="W2951" s="11"/>
      <c r="X2951" s="11"/>
      <c r="Y2951" s="11"/>
      <c r="Z2951" s="11"/>
      <c r="AA2951" s="11"/>
      <c r="AB2951" s="11"/>
      <c r="AC2951" s="11"/>
      <c r="AD2951" s="11"/>
      <c r="AE2951" s="11"/>
      <c r="AF2951" s="11"/>
      <c r="AG2951" s="11"/>
      <c r="AH2951" s="11"/>
      <c r="AI2951" s="11"/>
      <c r="AJ2951" s="11"/>
      <c r="AK2951" s="11"/>
      <c r="AL2951" s="11"/>
      <c r="AM2951" s="11"/>
      <c r="AN2951" s="11"/>
      <c r="AO2951" s="11"/>
      <c r="AP2951" s="11"/>
      <c r="AQ2951" s="11"/>
      <c r="AR2951" s="11"/>
      <c r="AS2951" s="11"/>
      <c r="AT2951" s="11"/>
      <c r="AU2951" s="11"/>
      <c r="AV2951" s="11"/>
      <c r="AW2951" s="11"/>
      <c r="AX2951" s="11"/>
      <c r="AY2951" s="11"/>
    </row>
    <row r="2952" spans="1:51" hidden="1" x14ac:dyDescent="0.2">
      <c r="A2952" s="6" t="s">
        <v>17</v>
      </c>
      <c r="B2952" t="s">
        <v>60</v>
      </c>
      <c r="C2952" t="s">
        <v>61</v>
      </c>
      <c r="D2952" t="s">
        <v>3658</v>
      </c>
      <c r="E2952" s="2">
        <v>17.260000000000002</v>
      </c>
      <c r="F2952" s="3">
        <f t="shared" si="264"/>
        <v>45994</v>
      </c>
      <c r="G2952" s="3">
        <f t="shared" si="264"/>
        <v>45994</v>
      </c>
      <c r="H2952">
        <v>3347906628</v>
      </c>
      <c r="I2952" t="s">
        <v>192</v>
      </c>
      <c r="K2952" t="s">
        <v>22</v>
      </c>
      <c r="L2952" t="s">
        <v>23</v>
      </c>
      <c r="M2952" t="s">
        <v>24</v>
      </c>
      <c r="N2952" t="s">
        <v>24</v>
      </c>
      <c r="O2952" t="s">
        <v>25</v>
      </c>
      <c r="P2952" s="8" t="s">
        <v>3659</v>
      </c>
      <c r="Q2952" s="11"/>
      <c r="R2952" s="11"/>
      <c r="S2952" s="11"/>
      <c r="T2952" s="11"/>
      <c r="U2952" s="11"/>
      <c r="V2952" s="11"/>
      <c r="W2952" s="11"/>
      <c r="X2952" s="11"/>
      <c r="Y2952" s="11"/>
      <c r="Z2952" s="11"/>
      <c r="AA2952" s="11"/>
      <c r="AB2952" s="11"/>
      <c r="AC2952" s="11"/>
      <c r="AD2952" s="11"/>
      <c r="AE2952" s="11"/>
      <c r="AF2952" s="11"/>
      <c r="AG2952" s="11"/>
      <c r="AH2952" s="11"/>
      <c r="AI2952" s="11"/>
      <c r="AJ2952" s="11"/>
      <c r="AK2952" s="11"/>
      <c r="AL2952" s="11"/>
      <c r="AM2952" s="11"/>
      <c r="AN2952" s="11"/>
      <c r="AO2952" s="11"/>
      <c r="AP2952" s="11"/>
      <c r="AQ2952" s="11"/>
      <c r="AR2952" s="11"/>
      <c r="AS2952" s="11"/>
      <c r="AT2952" s="11"/>
      <c r="AU2952" s="11"/>
      <c r="AV2952" s="11"/>
      <c r="AW2952" s="11"/>
      <c r="AX2952" s="11"/>
      <c r="AY2952" s="11"/>
    </row>
    <row r="2953" spans="1:51" hidden="1" x14ac:dyDescent="0.2">
      <c r="A2953" s="6" t="s">
        <v>17</v>
      </c>
      <c r="B2953" t="s">
        <v>244</v>
      </c>
      <c r="C2953" t="s">
        <v>245</v>
      </c>
      <c r="D2953" t="s">
        <v>3660</v>
      </c>
      <c r="E2953" s="2">
        <v>18.600000000000001</v>
      </c>
      <c r="F2953" s="3">
        <f t="shared" si="264"/>
        <v>45994</v>
      </c>
      <c r="G2953" s="3">
        <f t="shared" si="264"/>
        <v>45994</v>
      </c>
      <c r="H2953">
        <v>3347906629</v>
      </c>
      <c r="I2953" t="s">
        <v>192</v>
      </c>
      <c r="K2953" t="s">
        <v>22</v>
      </c>
      <c r="L2953" t="s">
        <v>23</v>
      </c>
      <c r="M2953" t="s">
        <v>24</v>
      </c>
      <c r="N2953" t="s">
        <v>24</v>
      </c>
      <c r="O2953" t="s">
        <v>25</v>
      </c>
      <c r="P2953" s="8" t="s">
        <v>3661</v>
      </c>
      <c r="Q2953" s="11"/>
      <c r="R2953" s="11"/>
      <c r="S2953" s="11"/>
      <c r="T2953" s="11"/>
      <c r="U2953" s="11"/>
      <c r="V2953" s="11"/>
      <c r="W2953" s="11"/>
      <c r="X2953" s="11"/>
      <c r="Y2953" s="11"/>
      <c r="Z2953" s="11"/>
      <c r="AA2953" s="11"/>
      <c r="AB2953" s="11"/>
      <c r="AC2953" s="11"/>
      <c r="AD2953" s="11"/>
      <c r="AE2953" s="11"/>
      <c r="AF2953" s="11"/>
      <c r="AG2953" s="11"/>
      <c r="AH2953" s="11"/>
      <c r="AI2953" s="11"/>
      <c r="AJ2953" s="11"/>
      <c r="AK2953" s="11"/>
      <c r="AL2953" s="11"/>
      <c r="AM2953" s="11"/>
      <c r="AN2953" s="11"/>
      <c r="AO2953" s="11"/>
      <c r="AP2953" s="11"/>
      <c r="AQ2953" s="11"/>
      <c r="AR2953" s="11"/>
      <c r="AS2953" s="11"/>
      <c r="AT2953" s="11"/>
      <c r="AU2953" s="11"/>
      <c r="AV2953" s="11"/>
      <c r="AW2953" s="11"/>
      <c r="AX2953" s="11"/>
      <c r="AY2953" s="11"/>
    </row>
    <row r="2954" spans="1:51" hidden="1" x14ac:dyDescent="0.2">
      <c r="A2954" s="6"/>
      <c r="E2954" s="2"/>
      <c r="F2954" s="3"/>
      <c r="G2954" s="3"/>
      <c r="P2954" s="8"/>
      <c r="Q2954" s="11"/>
      <c r="R2954" s="11"/>
      <c r="S2954" s="11"/>
      <c r="T2954" s="11"/>
      <c r="U2954" s="11"/>
      <c r="V2954" s="11"/>
      <c r="W2954" s="11"/>
      <c r="X2954" s="11"/>
      <c r="Y2954" s="11"/>
      <c r="Z2954" s="11"/>
      <c r="AA2954" s="11"/>
      <c r="AB2954" s="11"/>
      <c r="AC2954" s="11"/>
      <c r="AD2954" s="11"/>
      <c r="AE2954" s="11"/>
      <c r="AF2954" s="11"/>
      <c r="AG2954" s="11"/>
      <c r="AH2954" s="11"/>
      <c r="AI2954" s="11"/>
      <c r="AJ2954" s="11"/>
      <c r="AK2954" s="11"/>
      <c r="AL2954" s="11"/>
      <c r="AM2954" s="11"/>
      <c r="AN2954" s="11"/>
      <c r="AO2954" s="11"/>
      <c r="AP2954" s="11"/>
      <c r="AQ2954" s="11"/>
      <c r="AR2954" s="11"/>
      <c r="AS2954" s="11"/>
      <c r="AT2954" s="11"/>
      <c r="AU2954" s="11"/>
      <c r="AV2954" s="11"/>
      <c r="AW2954" s="11"/>
      <c r="AX2954" s="11"/>
      <c r="AY2954" s="11"/>
    </row>
    <row r="2955" spans="1:51" hidden="1" x14ac:dyDescent="0.2">
      <c r="A2955" s="6"/>
      <c r="E2955" s="2"/>
      <c r="F2955" s="3"/>
      <c r="G2955" s="3"/>
      <c r="P2955" s="8"/>
      <c r="Q2955" s="11"/>
      <c r="R2955" s="11"/>
      <c r="S2955" s="11"/>
      <c r="T2955" s="11"/>
      <c r="U2955" s="11"/>
      <c r="V2955" s="11"/>
      <c r="W2955" s="11"/>
      <c r="X2955" s="11"/>
      <c r="Y2955" s="11"/>
      <c r="Z2955" s="11"/>
      <c r="AA2955" s="11"/>
      <c r="AB2955" s="11"/>
      <c r="AC2955" s="11"/>
      <c r="AD2955" s="11"/>
      <c r="AE2955" s="11"/>
      <c r="AF2955" s="11"/>
      <c r="AG2955" s="11"/>
      <c r="AH2955" s="11"/>
      <c r="AI2955" s="11"/>
      <c r="AJ2955" s="11"/>
      <c r="AK2955" s="11"/>
      <c r="AL2955" s="11"/>
      <c r="AM2955" s="11"/>
      <c r="AN2955" s="11"/>
      <c r="AO2955" s="11"/>
      <c r="AP2955" s="11"/>
      <c r="AQ2955" s="11"/>
      <c r="AR2955" s="11"/>
      <c r="AS2955" s="11"/>
      <c r="AT2955" s="11"/>
      <c r="AU2955" s="11"/>
      <c r="AV2955" s="11"/>
      <c r="AW2955" s="11"/>
      <c r="AX2955" s="11"/>
      <c r="AY2955" s="11"/>
    </row>
    <row r="2956" spans="1:51" hidden="1" x14ac:dyDescent="0.2">
      <c r="A2956" s="6" t="s">
        <v>17</v>
      </c>
      <c r="B2956" t="s">
        <v>456</v>
      </c>
      <c r="C2956" t="s">
        <v>457</v>
      </c>
      <c r="D2956" t="s">
        <v>3662</v>
      </c>
      <c r="E2956" s="2">
        <v>0.87</v>
      </c>
      <c r="F2956" s="3">
        <f t="shared" si="264"/>
        <v>45994</v>
      </c>
      <c r="G2956" s="3">
        <f t="shared" si="264"/>
        <v>45994</v>
      </c>
      <c r="H2956">
        <v>3347906632</v>
      </c>
      <c r="I2956" t="s">
        <v>192</v>
      </c>
      <c r="K2956" t="s">
        <v>22</v>
      </c>
      <c r="L2956" t="s">
        <v>23</v>
      </c>
      <c r="M2956" t="s">
        <v>24</v>
      </c>
      <c r="N2956" t="s">
        <v>24</v>
      </c>
      <c r="O2956" t="s">
        <v>25</v>
      </c>
      <c r="P2956" s="8" t="s">
        <v>3663</v>
      </c>
      <c r="Q2956" s="11"/>
      <c r="R2956" s="11"/>
      <c r="S2956" s="11"/>
      <c r="T2956" s="11"/>
      <c r="U2956" s="11"/>
      <c r="V2956" s="11"/>
      <c r="W2956" s="11"/>
      <c r="X2956" s="11"/>
      <c r="Y2956" s="11"/>
      <c r="Z2956" s="11"/>
      <c r="AA2956" s="11"/>
      <c r="AB2956" s="11"/>
      <c r="AC2956" s="11"/>
      <c r="AD2956" s="11"/>
      <c r="AE2956" s="11"/>
      <c r="AF2956" s="11"/>
      <c r="AG2956" s="11"/>
      <c r="AH2956" s="11"/>
      <c r="AI2956" s="11"/>
      <c r="AJ2956" s="11"/>
      <c r="AK2956" s="11"/>
      <c r="AL2956" s="11"/>
      <c r="AM2956" s="11"/>
      <c r="AN2956" s="11"/>
      <c r="AO2956" s="11"/>
      <c r="AP2956" s="11"/>
      <c r="AQ2956" s="11"/>
      <c r="AR2956" s="11"/>
      <c r="AS2956" s="11"/>
      <c r="AT2956" s="11"/>
      <c r="AU2956" s="11"/>
      <c r="AV2956" s="11"/>
      <c r="AW2956" s="11"/>
      <c r="AX2956" s="11"/>
      <c r="AY2956" s="11"/>
    </row>
    <row r="2957" spans="1:51" hidden="1" x14ac:dyDescent="0.2">
      <c r="A2957" s="6"/>
      <c r="E2957" s="2"/>
      <c r="F2957" s="3"/>
      <c r="G2957" s="3"/>
      <c r="P2957" s="8"/>
      <c r="Q2957" s="11"/>
      <c r="R2957" s="11"/>
      <c r="S2957" s="11"/>
      <c r="T2957" s="11"/>
      <c r="U2957" s="11"/>
      <c r="V2957" s="11"/>
      <c r="W2957" s="11"/>
      <c r="X2957" s="11"/>
      <c r="Y2957" s="11"/>
      <c r="Z2957" s="11"/>
      <c r="AA2957" s="11"/>
      <c r="AB2957" s="11"/>
      <c r="AC2957" s="11"/>
      <c r="AD2957" s="11"/>
      <c r="AE2957" s="11"/>
      <c r="AF2957" s="11"/>
      <c r="AG2957" s="11"/>
      <c r="AH2957" s="11"/>
      <c r="AI2957" s="11"/>
      <c r="AJ2957" s="11"/>
      <c r="AK2957" s="11"/>
      <c r="AL2957" s="11"/>
      <c r="AM2957" s="11"/>
      <c r="AN2957" s="11"/>
      <c r="AO2957" s="11"/>
      <c r="AP2957" s="11"/>
      <c r="AQ2957" s="11"/>
      <c r="AR2957" s="11"/>
      <c r="AS2957" s="11"/>
      <c r="AT2957" s="11"/>
      <c r="AU2957" s="11"/>
      <c r="AV2957" s="11"/>
      <c r="AW2957" s="11"/>
      <c r="AX2957" s="11"/>
      <c r="AY2957" s="11"/>
    </row>
    <row r="2958" spans="1:51" hidden="1" x14ac:dyDescent="0.2">
      <c r="A2958" s="6" t="s">
        <v>17</v>
      </c>
      <c r="B2958" t="s">
        <v>60</v>
      </c>
      <c r="C2958" t="s">
        <v>61</v>
      </c>
      <c r="D2958" t="s">
        <v>3664</v>
      </c>
      <c r="E2958" s="2">
        <v>872.56</v>
      </c>
      <c r="F2958" s="3">
        <f t="shared" ref="F2958:G2961" si="265">DATE(2025,12,4)</f>
        <v>45995</v>
      </c>
      <c r="G2958" s="3">
        <f t="shared" si="265"/>
        <v>45995</v>
      </c>
      <c r="H2958">
        <v>3357072377</v>
      </c>
      <c r="I2958" t="s">
        <v>21</v>
      </c>
      <c r="K2958" t="s">
        <v>22</v>
      </c>
      <c r="L2958" t="s">
        <v>23</v>
      </c>
      <c r="M2958" t="s">
        <v>24</v>
      </c>
      <c r="N2958" t="s">
        <v>24</v>
      </c>
      <c r="O2958" t="s">
        <v>25</v>
      </c>
      <c r="P2958" s="8" t="s">
        <v>3665</v>
      </c>
      <c r="Q2958" s="11"/>
      <c r="R2958" s="11"/>
      <c r="S2958" s="11"/>
      <c r="T2958" s="11"/>
      <c r="U2958" s="11"/>
      <c r="V2958" s="11"/>
      <c r="W2958" s="11"/>
      <c r="X2958" s="11"/>
      <c r="Y2958" s="11"/>
      <c r="Z2958" s="11"/>
      <c r="AA2958" s="11"/>
      <c r="AB2958" s="11"/>
      <c r="AC2958" s="11"/>
      <c r="AD2958" s="11"/>
      <c r="AE2958" s="11"/>
      <c r="AF2958" s="11"/>
      <c r="AG2958" s="11"/>
      <c r="AH2958" s="11"/>
      <c r="AI2958" s="11"/>
      <c r="AJ2958" s="11"/>
      <c r="AK2958" s="11"/>
      <c r="AL2958" s="11"/>
      <c r="AM2958" s="11"/>
      <c r="AN2958" s="11"/>
      <c r="AO2958" s="11"/>
      <c r="AP2958" s="11"/>
      <c r="AQ2958" s="11"/>
      <c r="AR2958" s="11"/>
      <c r="AS2958" s="11"/>
      <c r="AT2958" s="11"/>
      <c r="AU2958" s="11"/>
      <c r="AV2958" s="11"/>
      <c r="AW2958" s="11"/>
      <c r="AX2958" s="11"/>
      <c r="AY2958" s="11"/>
    </row>
    <row r="2959" spans="1:51" hidden="1" x14ac:dyDescent="0.2">
      <c r="A2959" s="6"/>
      <c r="E2959" s="2"/>
      <c r="F2959" s="3"/>
      <c r="G2959" s="3"/>
      <c r="P2959" s="8"/>
      <c r="Q2959" s="11"/>
      <c r="R2959" s="11"/>
      <c r="S2959" s="11"/>
      <c r="T2959" s="11"/>
      <c r="U2959" s="11"/>
      <c r="V2959" s="11"/>
      <c r="W2959" s="11"/>
      <c r="X2959" s="11"/>
      <c r="Y2959" s="11"/>
      <c r="Z2959" s="11"/>
      <c r="AA2959" s="11"/>
      <c r="AB2959" s="11"/>
      <c r="AC2959" s="11"/>
      <c r="AD2959" s="11"/>
      <c r="AE2959" s="11"/>
      <c r="AF2959" s="11"/>
      <c r="AG2959" s="11"/>
      <c r="AH2959" s="11"/>
      <c r="AI2959" s="11"/>
      <c r="AJ2959" s="11"/>
      <c r="AK2959" s="11"/>
      <c r="AL2959" s="11"/>
      <c r="AM2959" s="11"/>
      <c r="AN2959" s="11"/>
      <c r="AO2959" s="11"/>
      <c r="AP2959" s="11"/>
      <c r="AQ2959" s="11"/>
      <c r="AR2959" s="11"/>
      <c r="AS2959" s="11"/>
      <c r="AT2959" s="11"/>
      <c r="AU2959" s="11"/>
      <c r="AV2959" s="11"/>
      <c r="AW2959" s="11"/>
      <c r="AX2959" s="11"/>
      <c r="AY2959" s="11"/>
    </row>
    <row r="2960" spans="1:51" hidden="1" x14ac:dyDescent="0.2">
      <c r="A2960" s="6"/>
      <c r="E2960" s="2"/>
      <c r="F2960" s="3"/>
      <c r="G2960" s="3"/>
      <c r="P2960" s="8"/>
      <c r="Q2960" s="11"/>
      <c r="R2960" s="11"/>
      <c r="S2960" s="11"/>
      <c r="T2960" s="11"/>
      <c r="U2960" s="11"/>
      <c r="V2960" s="11"/>
      <c r="W2960" s="11"/>
      <c r="X2960" s="11"/>
      <c r="Y2960" s="11"/>
      <c r="Z2960" s="11"/>
      <c r="AA2960" s="11"/>
      <c r="AB2960" s="11"/>
      <c r="AC2960" s="11"/>
      <c r="AD2960" s="11"/>
      <c r="AE2960" s="11"/>
      <c r="AF2960" s="11"/>
      <c r="AG2960" s="11"/>
      <c r="AH2960" s="11"/>
      <c r="AI2960" s="11"/>
      <c r="AJ2960" s="11"/>
      <c r="AK2960" s="11"/>
      <c r="AL2960" s="11"/>
      <c r="AM2960" s="11"/>
      <c r="AN2960" s="11"/>
      <c r="AO2960" s="11"/>
      <c r="AP2960" s="11"/>
      <c r="AQ2960" s="11"/>
      <c r="AR2960" s="11"/>
      <c r="AS2960" s="11"/>
      <c r="AT2960" s="11"/>
      <c r="AU2960" s="11"/>
      <c r="AV2960" s="11"/>
      <c r="AW2960" s="11"/>
      <c r="AX2960" s="11"/>
      <c r="AY2960" s="11"/>
    </row>
    <row r="2961" spans="1:51" hidden="1" x14ac:dyDescent="0.2">
      <c r="A2961" s="6" t="s">
        <v>17</v>
      </c>
      <c r="B2961" t="s">
        <v>35</v>
      </c>
      <c r="C2961" t="s">
        <v>35</v>
      </c>
      <c r="D2961" t="s">
        <v>3666</v>
      </c>
      <c r="E2961" s="2">
        <v>1.24</v>
      </c>
      <c r="F2961" s="3">
        <f t="shared" si="265"/>
        <v>45995</v>
      </c>
      <c r="G2961" s="3">
        <f t="shared" si="265"/>
        <v>45995</v>
      </c>
      <c r="H2961">
        <v>3357072380</v>
      </c>
      <c r="I2961" t="s">
        <v>21</v>
      </c>
      <c r="K2961" t="s">
        <v>22</v>
      </c>
      <c r="L2961" t="s">
        <v>23</v>
      </c>
      <c r="M2961" t="s">
        <v>24</v>
      </c>
      <c r="N2961" t="s">
        <v>24</v>
      </c>
      <c r="O2961" t="s">
        <v>25</v>
      </c>
      <c r="P2961" s="8" t="s">
        <v>3667</v>
      </c>
      <c r="Q2961" s="11"/>
      <c r="R2961" s="11"/>
      <c r="S2961" s="11"/>
      <c r="T2961" s="11"/>
      <c r="U2961" s="11"/>
      <c r="V2961" s="11"/>
      <c r="W2961" s="11"/>
      <c r="X2961" s="11"/>
      <c r="Y2961" s="11"/>
      <c r="Z2961" s="11"/>
      <c r="AA2961" s="11"/>
      <c r="AB2961" s="11"/>
      <c r="AC2961" s="11"/>
      <c r="AD2961" s="11"/>
      <c r="AE2961" s="11"/>
      <c r="AF2961" s="11"/>
      <c r="AG2961" s="11"/>
      <c r="AH2961" s="11"/>
      <c r="AI2961" s="11"/>
      <c r="AJ2961" s="11"/>
      <c r="AK2961" s="11"/>
      <c r="AL2961" s="11"/>
      <c r="AM2961" s="11"/>
      <c r="AN2961" s="11"/>
      <c r="AO2961" s="11"/>
      <c r="AP2961" s="11"/>
      <c r="AQ2961" s="11"/>
      <c r="AR2961" s="11"/>
      <c r="AS2961" s="11"/>
      <c r="AT2961" s="11"/>
      <c r="AU2961" s="11"/>
      <c r="AV2961" s="11"/>
      <c r="AW2961" s="11"/>
      <c r="AX2961" s="11"/>
      <c r="AY2961" s="11"/>
    </row>
    <row r="2962" spans="1:51" hidden="1" x14ac:dyDescent="0.2">
      <c r="A2962" s="6"/>
      <c r="E2962" s="2"/>
      <c r="F2962" s="3"/>
      <c r="G2962" s="3"/>
      <c r="P2962" s="8"/>
      <c r="Q2962" s="11"/>
      <c r="R2962" s="11"/>
      <c r="S2962" s="11"/>
      <c r="T2962" s="11"/>
      <c r="U2962" s="11"/>
      <c r="V2962" s="11"/>
      <c r="W2962" s="11"/>
      <c r="X2962" s="11"/>
      <c r="Y2962" s="11"/>
      <c r="Z2962" s="11"/>
      <c r="AA2962" s="11"/>
      <c r="AB2962" s="11"/>
      <c r="AC2962" s="11"/>
      <c r="AD2962" s="11"/>
      <c r="AE2962" s="11"/>
      <c r="AF2962" s="11"/>
      <c r="AG2962" s="11"/>
      <c r="AH2962" s="11"/>
      <c r="AI2962" s="11"/>
      <c r="AJ2962" s="11"/>
      <c r="AK2962" s="11"/>
      <c r="AL2962" s="11"/>
      <c r="AM2962" s="11"/>
      <c r="AN2962" s="11"/>
      <c r="AO2962" s="11"/>
      <c r="AP2962" s="11"/>
      <c r="AQ2962" s="11"/>
      <c r="AR2962" s="11"/>
      <c r="AS2962" s="11"/>
      <c r="AT2962" s="11"/>
      <c r="AU2962" s="11"/>
      <c r="AV2962" s="11"/>
      <c r="AW2962" s="11"/>
      <c r="AX2962" s="11"/>
      <c r="AY2962" s="11"/>
    </row>
    <row r="2963" spans="1:51" hidden="1" x14ac:dyDescent="0.2">
      <c r="A2963" s="6"/>
      <c r="E2963" s="2"/>
      <c r="F2963" s="3"/>
      <c r="G2963" s="3"/>
      <c r="P2963" s="8"/>
      <c r="Q2963" s="11"/>
      <c r="R2963" s="11"/>
      <c r="S2963" s="11"/>
      <c r="T2963" s="11"/>
      <c r="U2963" s="11"/>
      <c r="V2963" s="11"/>
      <c r="W2963" s="11"/>
      <c r="X2963" s="11"/>
      <c r="Y2963" s="11"/>
      <c r="Z2963" s="11"/>
      <c r="AA2963" s="11"/>
      <c r="AB2963" s="11"/>
      <c r="AC2963" s="11"/>
      <c r="AD2963" s="11"/>
      <c r="AE2963" s="11"/>
      <c r="AF2963" s="11"/>
      <c r="AG2963" s="11"/>
      <c r="AH2963" s="11"/>
      <c r="AI2963" s="11"/>
      <c r="AJ2963" s="11"/>
      <c r="AK2963" s="11"/>
      <c r="AL2963" s="11"/>
      <c r="AM2963" s="11"/>
      <c r="AN2963" s="11"/>
      <c r="AO2963" s="11"/>
      <c r="AP2963" s="11"/>
      <c r="AQ2963" s="11"/>
      <c r="AR2963" s="11"/>
      <c r="AS2963" s="11"/>
      <c r="AT2963" s="11"/>
      <c r="AU2963" s="11"/>
      <c r="AV2963" s="11"/>
      <c r="AW2963" s="11"/>
      <c r="AX2963" s="11"/>
      <c r="AY2963" s="11"/>
    </row>
    <row r="2964" spans="1:51" hidden="1" x14ac:dyDescent="0.2">
      <c r="A2964" s="6" t="s">
        <v>17</v>
      </c>
      <c r="B2964" t="s">
        <v>198</v>
      </c>
      <c r="C2964" t="s">
        <v>199</v>
      </c>
      <c r="D2964" t="s">
        <v>3668</v>
      </c>
      <c r="E2964" s="2">
        <v>207.25</v>
      </c>
      <c r="F2964" s="3">
        <f>DATE(2025,12,5)</f>
        <v>45996</v>
      </c>
      <c r="G2964" s="3">
        <f>DATE(2025,12,5)</f>
        <v>45996</v>
      </c>
      <c r="H2964">
        <v>3357107358</v>
      </c>
      <c r="I2964" t="s">
        <v>192</v>
      </c>
      <c r="K2964" t="s">
        <v>22</v>
      </c>
      <c r="L2964" t="s">
        <v>23</v>
      </c>
      <c r="M2964" t="s">
        <v>24</v>
      </c>
      <c r="N2964" t="s">
        <v>24</v>
      </c>
      <c r="O2964" t="s">
        <v>25</v>
      </c>
      <c r="P2964" s="8" t="s">
        <v>3669</v>
      </c>
      <c r="Q2964" s="11"/>
      <c r="R2964" s="11"/>
      <c r="S2964" s="11"/>
      <c r="T2964" s="11"/>
      <c r="U2964" s="11"/>
      <c r="V2964" s="11"/>
      <c r="W2964" s="11"/>
      <c r="X2964" s="11"/>
      <c r="Y2964" s="11"/>
      <c r="Z2964" s="11"/>
      <c r="AA2964" s="11"/>
      <c r="AB2964" s="11"/>
      <c r="AC2964" s="11"/>
      <c r="AD2964" s="11"/>
      <c r="AE2964" s="11"/>
      <c r="AF2964" s="11"/>
      <c r="AG2964" s="11"/>
      <c r="AH2964" s="11"/>
      <c r="AI2964" s="11"/>
      <c r="AJ2964" s="11"/>
      <c r="AK2964" s="11"/>
      <c r="AL2964" s="11"/>
      <c r="AM2964" s="11"/>
      <c r="AN2964" s="11"/>
      <c r="AO2964" s="11"/>
      <c r="AP2964" s="11"/>
      <c r="AQ2964" s="11"/>
      <c r="AR2964" s="11"/>
      <c r="AS2964" s="11"/>
      <c r="AT2964" s="11"/>
      <c r="AU2964" s="11"/>
      <c r="AV2964" s="11"/>
      <c r="AW2964" s="11"/>
      <c r="AX2964" s="11"/>
      <c r="AY2964" s="11"/>
    </row>
    <row r="2965" spans="1:51" hidden="1" x14ac:dyDescent="0.2">
      <c r="A2965" s="6" t="s">
        <v>17</v>
      </c>
      <c r="B2965" t="s">
        <v>198</v>
      </c>
      <c r="C2965" t="s">
        <v>199</v>
      </c>
      <c r="D2965" t="s">
        <v>3670</v>
      </c>
      <c r="E2965" s="2">
        <v>3645.61</v>
      </c>
      <c r="F2965" s="3">
        <f>DATE(2025,12,5)</f>
        <v>45996</v>
      </c>
      <c r="G2965" s="3">
        <f>DATE(2025,12,5)</f>
        <v>45996</v>
      </c>
      <c r="H2965">
        <v>3357107359</v>
      </c>
      <c r="I2965" t="s">
        <v>192</v>
      </c>
      <c r="K2965" t="s">
        <v>22</v>
      </c>
      <c r="L2965" t="s">
        <v>23</v>
      </c>
      <c r="M2965" t="s">
        <v>24</v>
      </c>
      <c r="N2965" t="s">
        <v>24</v>
      </c>
      <c r="O2965" t="s">
        <v>25</v>
      </c>
      <c r="P2965" s="8" t="s">
        <v>3671</v>
      </c>
      <c r="Q2965" s="11"/>
      <c r="R2965" s="11"/>
      <c r="S2965" s="11"/>
      <c r="T2965" s="11"/>
      <c r="U2965" s="11"/>
      <c r="V2965" s="11"/>
      <c r="W2965" s="11"/>
      <c r="X2965" s="11"/>
      <c r="Y2965" s="11"/>
      <c r="Z2965" s="11"/>
      <c r="AA2965" s="11"/>
      <c r="AB2965" s="11"/>
      <c r="AC2965" s="11"/>
      <c r="AD2965" s="11"/>
      <c r="AE2965" s="11"/>
      <c r="AF2965" s="11"/>
      <c r="AG2965" s="11"/>
      <c r="AH2965" s="11"/>
      <c r="AI2965" s="11"/>
      <c r="AJ2965" s="11"/>
      <c r="AK2965" s="11"/>
      <c r="AL2965" s="11"/>
      <c r="AM2965" s="11"/>
      <c r="AN2965" s="11"/>
      <c r="AO2965" s="11"/>
      <c r="AP2965" s="11"/>
      <c r="AQ2965" s="11"/>
      <c r="AR2965" s="11"/>
      <c r="AS2965" s="11"/>
      <c r="AT2965" s="11"/>
      <c r="AU2965" s="11"/>
      <c r="AV2965" s="11"/>
      <c r="AW2965" s="11"/>
      <c r="AX2965" s="11"/>
      <c r="AY2965" s="11"/>
    </row>
    <row r="2966" spans="1:51" hidden="1" x14ac:dyDescent="0.2">
      <c r="A2966" s="6" t="s">
        <v>17</v>
      </c>
      <c r="B2966" t="s">
        <v>42</v>
      </c>
      <c r="C2966" t="s">
        <v>43</v>
      </c>
      <c r="D2966" t="s">
        <v>3672</v>
      </c>
      <c r="E2966" s="2">
        <v>269.83</v>
      </c>
      <c r="F2966" s="3">
        <f>DATE(2025,12,4)</f>
        <v>45995</v>
      </c>
      <c r="G2966" s="3">
        <f>DATE(2025,12,4)</f>
        <v>45995</v>
      </c>
      <c r="H2966">
        <v>3357107360</v>
      </c>
      <c r="I2966" t="s">
        <v>192</v>
      </c>
      <c r="K2966" t="s">
        <v>22</v>
      </c>
      <c r="L2966" t="s">
        <v>23</v>
      </c>
      <c r="M2966" t="s">
        <v>24</v>
      </c>
      <c r="N2966" t="s">
        <v>24</v>
      </c>
      <c r="O2966" t="s">
        <v>25</v>
      </c>
      <c r="P2966" s="8" t="s">
        <v>3673</v>
      </c>
      <c r="Q2966" s="11"/>
      <c r="R2966" s="11"/>
      <c r="S2966" s="11"/>
      <c r="T2966" s="11"/>
      <c r="U2966" s="11"/>
      <c r="V2966" s="11"/>
      <c r="W2966" s="11"/>
      <c r="X2966" s="11"/>
      <c r="Y2966" s="11"/>
      <c r="Z2966" s="11"/>
      <c r="AA2966" s="11"/>
      <c r="AB2966" s="11"/>
      <c r="AC2966" s="11"/>
      <c r="AD2966" s="11"/>
      <c r="AE2966" s="11"/>
      <c r="AF2966" s="11"/>
      <c r="AG2966" s="11"/>
      <c r="AH2966" s="11"/>
      <c r="AI2966" s="11"/>
      <c r="AJ2966" s="11"/>
      <c r="AK2966" s="11"/>
      <c r="AL2966" s="11"/>
      <c r="AM2966" s="11"/>
      <c r="AN2966" s="11"/>
      <c r="AO2966" s="11"/>
      <c r="AP2966" s="11"/>
      <c r="AQ2966" s="11"/>
      <c r="AR2966" s="11"/>
      <c r="AS2966" s="11"/>
      <c r="AT2966" s="11"/>
      <c r="AU2966" s="11"/>
      <c r="AV2966" s="11"/>
      <c r="AW2966" s="11"/>
      <c r="AX2966" s="11"/>
      <c r="AY2966" s="11"/>
    </row>
    <row r="2967" spans="1:51" hidden="1" x14ac:dyDescent="0.2">
      <c r="A2967" s="6" t="s">
        <v>17</v>
      </c>
      <c r="B2967" t="s">
        <v>50</v>
      </c>
      <c r="C2967" t="s">
        <v>51</v>
      </c>
      <c r="D2967" t="s">
        <v>3674</v>
      </c>
      <c r="E2967" s="2">
        <v>205.2</v>
      </c>
      <c r="F2967" s="3">
        <f t="shared" ref="F2967:G2970" si="266">DATE(2025,12,5)</f>
        <v>45996</v>
      </c>
      <c r="G2967" s="3">
        <f t="shared" si="266"/>
        <v>45996</v>
      </c>
      <c r="H2967">
        <v>3362835549</v>
      </c>
      <c r="I2967" t="s">
        <v>21</v>
      </c>
      <c r="K2967" t="s">
        <v>22</v>
      </c>
      <c r="L2967" t="s">
        <v>23</v>
      </c>
      <c r="M2967" t="s">
        <v>24</v>
      </c>
      <c r="N2967" t="s">
        <v>24</v>
      </c>
      <c r="O2967" t="s">
        <v>25</v>
      </c>
      <c r="P2967" s="8" t="s">
        <v>3675</v>
      </c>
      <c r="Q2967" s="11"/>
      <c r="R2967" s="11"/>
      <c r="S2967" s="11"/>
      <c r="T2967" s="11"/>
      <c r="U2967" s="11"/>
      <c r="V2967" s="11"/>
      <c r="W2967" s="11"/>
      <c r="X2967" s="11"/>
      <c r="Y2967" s="11"/>
      <c r="Z2967" s="11"/>
      <c r="AA2967" s="11"/>
      <c r="AB2967" s="11"/>
      <c r="AC2967" s="11"/>
      <c r="AD2967" s="11"/>
      <c r="AE2967" s="11"/>
      <c r="AF2967" s="11"/>
      <c r="AG2967" s="11"/>
      <c r="AH2967" s="11"/>
      <c r="AI2967" s="11"/>
      <c r="AJ2967" s="11"/>
      <c r="AK2967" s="11"/>
      <c r="AL2967" s="11"/>
      <c r="AM2967" s="11"/>
      <c r="AN2967" s="11"/>
      <c r="AO2967" s="11"/>
      <c r="AP2967" s="11"/>
      <c r="AQ2967" s="11"/>
      <c r="AR2967" s="11"/>
      <c r="AS2967" s="11"/>
      <c r="AT2967" s="11"/>
      <c r="AU2967" s="11"/>
      <c r="AV2967" s="11"/>
      <c r="AW2967" s="11"/>
      <c r="AX2967" s="11"/>
      <c r="AY2967" s="11"/>
    </row>
    <row r="2968" spans="1:51" hidden="1" x14ac:dyDescent="0.2">
      <c r="A2968" s="6" t="s">
        <v>17</v>
      </c>
      <c r="B2968" t="s">
        <v>84</v>
      </c>
      <c r="C2968" t="s">
        <v>85</v>
      </c>
      <c r="D2968" t="s">
        <v>3676</v>
      </c>
      <c r="E2968" s="2">
        <v>766.1</v>
      </c>
      <c r="F2968" s="3">
        <f t="shared" si="266"/>
        <v>45996</v>
      </c>
      <c r="G2968" s="3">
        <f t="shared" si="266"/>
        <v>45996</v>
      </c>
      <c r="H2968">
        <v>3362835592</v>
      </c>
      <c r="I2968" t="s">
        <v>21</v>
      </c>
      <c r="K2968" t="s">
        <v>22</v>
      </c>
      <c r="L2968" t="s">
        <v>23</v>
      </c>
      <c r="M2968" t="s">
        <v>24</v>
      </c>
      <c r="N2968" t="s">
        <v>24</v>
      </c>
      <c r="O2968" t="s">
        <v>25</v>
      </c>
      <c r="P2968" s="8" t="s">
        <v>3677</v>
      </c>
      <c r="Q2968" s="11"/>
      <c r="R2968" s="11"/>
      <c r="S2968" s="11"/>
      <c r="T2968" s="11"/>
      <c r="U2968" s="11"/>
      <c r="V2968" s="11"/>
      <c r="W2968" s="11"/>
      <c r="X2968" s="11"/>
      <c r="Y2968" s="11"/>
      <c r="Z2968" s="11"/>
      <c r="AA2968" s="11"/>
      <c r="AB2968" s="11"/>
      <c r="AC2968" s="11"/>
      <c r="AD2968" s="11"/>
      <c r="AE2968" s="11"/>
      <c r="AF2968" s="11"/>
      <c r="AG2968" s="11"/>
      <c r="AH2968" s="11"/>
      <c r="AI2968" s="11"/>
      <c r="AJ2968" s="11"/>
      <c r="AK2968" s="11"/>
      <c r="AL2968" s="11"/>
      <c r="AM2968" s="11"/>
      <c r="AN2968" s="11"/>
      <c r="AO2968" s="11"/>
      <c r="AP2968" s="11"/>
      <c r="AQ2968" s="11"/>
      <c r="AR2968" s="11"/>
      <c r="AS2968" s="11"/>
      <c r="AT2968" s="11"/>
      <c r="AU2968" s="11"/>
      <c r="AV2968" s="11"/>
      <c r="AW2968" s="11"/>
      <c r="AX2968" s="11"/>
      <c r="AY2968" s="11"/>
    </row>
    <row r="2969" spans="1:51" hidden="1" x14ac:dyDescent="0.2">
      <c r="A2969" s="6" t="s">
        <v>17</v>
      </c>
      <c r="B2969" t="s">
        <v>84</v>
      </c>
      <c r="C2969" t="s">
        <v>85</v>
      </c>
      <c r="D2969" t="s">
        <v>3678</v>
      </c>
      <c r="E2969" s="2">
        <v>1079.1099999999999</v>
      </c>
      <c r="F2969" s="3">
        <f t="shared" si="266"/>
        <v>45996</v>
      </c>
      <c r="G2969" s="3">
        <f t="shared" si="266"/>
        <v>45996</v>
      </c>
      <c r="H2969">
        <v>3362835593</v>
      </c>
      <c r="I2969" t="s">
        <v>21</v>
      </c>
      <c r="K2969" t="s">
        <v>22</v>
      </c>
      <c r="L2969" t="s">
        <v>23</v>
      </c>
      <c r="M2969" t="s">
        <v>24</v>
      </c>
      <c r="N2969" t="s">
        <v>24</v>
      </c>
      <c r="O2969" t="s">
        <v>25</v>
      </c>
      <c r="P2969" s="8" t="s">
        <v>3679</v>
      </c>
      <c r="Q2969" s="11"/>
      <c r="R2969" s="11"/>
      <c r="S2969" s="11"/>
      <c r="T2969" s="11"/>
      <c r="U2969" s="11"/>
      <c r="V2969" s="11"/>
      <c r="W2969" s="11"/>
      <c r="X2969" s="11"/>
      <c r="Y2969" s="11"/>
      <c r="Z2969" s="11"/>
      <c r="AA2969" s="11"/>
      <c r="AB2969" s="11"/>
      <c r="AC2969" s="11"/>
      <c r="AD2969" s="11"/>
      <c r="AE2969" s="11"/>
      <c r="AF2969" s="11"/>
      <c r="AG2969" s="11"/>
      <c r="AH2969" s="11"/>
      <c r="AI2969" s="11"/>
      <c r="AJ2969" s="11"/>
      <c r="AK2969" s="11"/>
      <c r="AL2969" s="11"/>
      <c r="AM2969" s="11"/>
      <c r="AN2969" s="11"/>
      <c r="AO2969" s="11"/>
      <c r="AP2969" s="11"/>
      <c r="AQ2969" s="11"/>
      <c r="AR2969" s="11"/>
      <c r="AS2969" s="11"/>
      <c r="AT2969" s="11"/>
      <c r="AU2969" s="11"/>
      <c r="AV2969" s="11"/>
      <c r="AW2969" s="11"/>
      <c r="AX2969" s="11"/>
      <c r="AY2969" s="11"/>
    </row>
    <row r="2970" spans="1:51" hidden="1" x14ac:dyDescent="0.2">
      <c r="A2970" s="6" t="s">
        <v>17</v>
      </c>
      <c r="B2970" t="s">
        <v>35</v>
      </c>
      <c r="C2970" t="s">
        <v>35</v>
      </c>
      <c r="D2970" t="s">
        <v>3680</v>
      </c>
      <c r="E2970" s="2">
        <v>0.54</v>
      </c>
      <c r="F2970" s="3">
        <f t="shared" si="266"/>
        <v>45996</v>
      </c>
      <c r="G2970" s="3">
        <f t="shared" si="266"/>
        <v>45996</v>
      </c>
      <c r="H2970">
        <v>3362835594</v>
      </c>
      <c r="I2970" t="s">
        <v>21</v>
      </c>
      <c r="K2970" t="s">
        <v>22</v>
      </c>
      <c r="L2970" t="s">
        <v>23</v>
      </c>
      <c r="M2970" t="s">
        <v>24</v>
      </c>
      <c r="N2970" t="s">
        <v>24</v>
      </c>
      <c r="O2970" t="s">
        <v>25</v>
      </c>
      <c r="P2970" s="8" t="s">
        <v>3681</v>
      </c>
      <c r="Q2970" s="11"/>
      <c r="R2970" s="11"/>
      <c r="S2970" s="11"/>
      <c r="T2970" s="11"/>
      <c r="U2970" s="11"/>
      <c r="V2970" s="11"/>
      <c r="W2970" s="11"/>
      <c r="X2970" s="11"/>
      <c r="Y2970" s="11"/>
      <c r="Z2970" s="11"/>
      <c r="AA2970" s="11"/>
      <c r="AB2970" s="11"/>
      <c r="AC2970" s="11"/>
      <c r="AD2970" s="11"/>
      <c r="AE2970" s="11"/>
      <c r="AF2970" s="11"/>
      <c r="AG2970" s="11"/>
      <c r="AH2970" s="11"/>
      <c r="AI2970" s="11"/>
      <c r="AJ2970" s="11"/>
      <c r="AK2970" s="11"/>
      <c r="AL2970" s="11"/>
      <c r="AM2970" s="11"/>
      <c r="AN2970" s="11"/>
      <c r="AO2970" s="11"/>
      <c r="AP2970" s="11"/>
      <c r="AQ2970" s="11"/>
      <c r="AR2970" s="11"/>
      <c r="AS2970" s="11"/>
      <c r="AT2970" s="11"/>
      <c r="AU2970" s="11"/>
      <c r="AV2970" s="11"/>
      <c r="AW2970" s="11"/>
      <c r="AX2970" s="11"/>
      <c r="AY2970" s="11"/>
    </row>
    <row r="2971" spans="1:51" hidden="1" x14ac:dyDescent="0.2">
      <c r="A2971" s="6"/>
      <c r="E2971" s="2"/>
      <c r="F2971" s="3"/>
      <c r="G2971" s="3"/>
      <c r="P2971" s="8"/>
      <c r="Q2971" s="11"/>
      <c r="R2971" s="11"/>
      <c r="S2971" s="11"/>
      <c r="T2971" s="11"/>
      <c r="U2971" s="11"/>
      <c r="V2971" s="11"/>
      <c r="W2971" s="11"/>
      <c r="X2971" s="11"/>
      <c r="Y2971" s="11"/>
      <c r="Z2971" s="11"/>
      <c r="AA2971" s="11"/>
      <c r="AB2971" s="11"/>
      <c r="AC2971" s="11"/>
      <c r="AD2971" s="11"/>
      <c r="AE2971" s="11"/>
      <c r="AF2971" s="11"/>
      <c r="AG2971" s="11"/>
      <c r="AH2971" s="11"/>
      <c r="AI2971" s="11"/>
      <c r="AJ2971" s="11"/>
      <c r="AK2971" s="11"/>
      <c r="AL2971" s="11"/>
      <c r="AM2971" s="11"/>
      <c r="AN2971" s="11"/>
      <c r="AO2971" s="11"/>
      <c r="AP2971" s="11"/>
      <c r="AQ2971" s="11"/>
      <c r="AR2971" s="11"/>
      <c r="AS2971" s="11"/>
      <c r="AT2971" s="11"/>
      <c r="AU2971" s="11"/>
      <c r="AV2971" s="11"/>
      <c r="AW2971" s="11"/>
      <c r="AX2971" s="11"/>
      <c r="AY2971" s="11"/>
    </row>
    <row r="2972" spans="1:51" hidden="1" x14ac:dyDescent="0.2">
      <c r="A2972" s="6" t="s">
        <v>17</v>
      </c>
      <c r="B2972" t="s">
        <v>35</v>
      </c>
      <c r="C2972" t="s">
        <v>35</v>
      </c>
      <c r="D2972" t="s">
        <v>3682</v>
      </c>
      <c r="E2972" s="2">
        <v>5.01</v>
      </c>
      <c r="F2972" s="3">
        <f t="shared" ref="F2972:G2976" si="267">DATE(2025,12,8)</f>
        <v>45999</v>
      </c>
      <c r="G2972" s="3">
        <f t="shared" si="267"/>
        <v>45999</v>
      </c>
      <c r="H2972">
        <v>3374306029</v>
      </c>
      <c r="I2972" t="s">
        <v>21</v>
      </c>
      <c r="K2972" t="s">
        <v>22</v>
      </c>
      <c r="L2972" t="s">
        <v>23</v>
      </c>
      <c r="M2972" t="s">
        <v>24</v>
      </c>
      <c r="N2972" t="s">
        <v>24</v>
      </c>
      <c r="O2972" t="s">
        <v>25</v>
      </c>
      <c r="P2972" s="8" t="s">
        <v>3683</v>
      </c>
      <c r="Q2972" s="11"/>
      <c r="R2972" s="11"/>
      <c r="S2972" s="11"/>
      <c r="T2972" s="11"/>
      <c r="U2972" s="11"/>
      <c r="V2972" s="11"/>
      <c r="W2972" s="11"/>
      <c r="X2972" s="11"/>
      <c r="Y2972" s="11"/>
      <c r="Z2972" s="11"/>
      <c r="AA2972" s="11"/>
      <c r="AB2972" s="11"/>
      <c r="AC2972" s="11"/>
      <c r="AD2972" s="11"/>
      <c r="AE2972" s="11"/>
      <c r="AF2972" s="11"/>
      <c r="AG2972" s="11"/>
      <c r="AH2972" s="11"/>
      <c r="AI2972" s="11"/>
      <c r="AJ2972" s="11"/>
      <c r="AK2972" s="11"/>
      <c r="AL2972" s="11"/>
      <c r="AM2972" s="11"/>
      <c r="AN2972" s="11"/>
      <c r="AO2972" s="11"/>
      <c r="AP2972" s="11"/>
      <c r="AQ2972" s="11"/>
      <c r="AR2972" s="11"/>
      <c r="AS2972" s="11"/>
      <c r="AT2972" s="11"/>
      <c r="AU2972" s="11"/>
      <c r="AV2972" s="11"/>
      <c r="AW2972" s="11"/>
      <c r="AX2972" s="11"/>
      <c r="AY2972" s="11"/>
    </row>
    <row r="2973" spans="1:51" hidden="1" x14ac:dyDescent="0.2">
      <c r="A2973" s="6"/>
      <c r="E2973" s="2"/>
      <c r="F2973" s="3"/>
      <c r="G2973" s="3"/>
      <c r="P2973" s="8"/>
      <c r="Q2973" s="11"/>
      <c r="R2973" s="11"/>
      <c r="S2973" s="11"/>
      <c r="T2973" s="11"/>
      <c r="U2973" s="11"/>
      <c r="V2973" s="11"/>
      <c r="W2973" s="11"/>
      <c r="X2973" s="11"/>
      <c r="Y2973" s="11"/>
      <c r="Z2973" s="11"/>
      <c r="AA2973" s="11"/>
      <c r="AB2973" s="11"/>
      <c r="AC2973" s="11"/>
      <c r="AD2973" s="11"/>
      <c r="AE2973" s="11"/>
      <c r="AF2973" s="11"/>
      <c r="AG2973" s="11"/>
      <c r="AH2973" s="11"/>
      <c r="AI2973" s="11"/>
      <c r="AJ2973" s="11"/>
      <c r="AK2973" s="11"/>
      <c r="AL2973" s="11"/>
      <c r="AM2973" s="11"/>
      <c r="AN2973" s="11"/>
      <c r="AO2973" s="11"/>
      <c r="AP2973" s="11"/>
      <c r="AQ2973" s="11"/>
      <c r="AR2973" s="11"/>
      <c r="AS2973" s="11"/>
      <c r="AT2973" s="11"/>
      <c r="AU2973" s="11"/>
      <c r="AV2973" s="11"/>
      <c r="AW2973" s="11"/>
      <c r="AX2973" s="11"/>
      <c r="AY2973" s="11"/>
    </row>
    <row r="2974" spans="1:51" hidden="1" x14ac:dyDescent="0.2">
      <c r="A2974" s="6" t="s">
        <v>17</v>
      </c>
      <c r="B2974" t="s">
        <v>42</v>
      </c>
      <c r="C2974" t="s">
        <v>43</v>
      </c>
      <c r="D2974" t="s">
        <v>44</v>
      </c>
      <c r="E2974" s="2">
        <v>500</v>
      </c>
      <c r="F2974" s="3">
        <f t="shared" si="267"/>
        <v>45999</v>
      </c>
      <c r="G2974" s="3">
        <f t="shared" si="267"/>
        <v>45999</v>
      </c>
      <c r="H2974">
        <v>3374306032</v>
      </c>
      <c r="I2974" t="s">
        <v>21</v>
      </c>
      <c r="K2974" t="s">
        <v>22</v>
      </c>
      <c r="L2974" t="s">
        <v>23</v>
      </c>
      <c r="M2974" t="s">
        <v>24</v>
      </c>
      <c r="N2974" t="s">
        <v>24</v>
      </c>
      <c r="O2974" t="s">
        <v>25</v>
      </c>
      <c r="P2974" s="8" t="s">
        <v>3684</v>
      </c>
      <c r="Q2974" s="11"/>
      <c r="R2974" s="11"/>
      <c r="S2974" s="11"/>
      <c r="T2974" s="11"/>
      <c r="U2974" s="11"/>
      <c r="V2974" s="11"/>
      <c r="W2974" s="11"/>
      <c r="X2974" s="11"/>
      <c r="Y2974" s="11"/>
      <c r="Z2974" s="11"/>
      <c r="AA2974" s="11"/>
      <c r="AB2974" s="11"/>
      <c r="AC2974" s="11"/>
      <c r="AD2974" s="11"/>
      <c r="AE2974" s="11"/>
      <c r="AF2974" s="11"/>
      <c r="AG2974" s="11"/>
      <c r="AH2974" s="11"/>
      <c r="AI2974" s="11"/>
      <c r="AJ2974" s="11"/>
      <c r="AK2974" s="11"/>
      <c r="AL2974" s="11"/>
      <c r="AM2974" s="11"/>
      <c r="AN2974" s="11"/>
      <c r="AO2974" s="11"/>
      <c r="AP2974" s="11"/>
      <c r="AQ2974" s="11"/>
      <c r="AR2974" s="11"/>
      <c r="AS2974" s="11"/>
      <c r="AT2974" s="11"/>
      <c r="AU2974" s="11"/>
      <c r="AV2974" s="11"/>
      <c r="AW2974" s="11"/>
      <c r="AX2974" s="11"/>
      <c r="AY2974" s="11"/>
    </row>
    <row r="2975" spans="1:51" hidden="1" x14ac:dyDescent="0.2">
      <c r="A2975" s="6"/>
      <c r="E2975" s="2"/>
      <c r="F2975" s="3"/>
      <c r="G2975" s="3"/>
      <c r="P2975" s="8"/>
      <c r="Q2975" s="11"/>
      <c r="R2975" s="11"/>
      <c r="S2975" s="11"/>
      <c r="T2975" s="11"/>
      <c r="U2975" s="11"/>
      <c r="V2975" s="11"/>
      <c r="W2975" s="11"/>
      <c r="X2975" s="11"/>
      <c r="Y2975" s="11"/>
      <c r="Z2975" s="11"/>
      <c r="AA2975" s="11"/>
      <c r="AB2975" s="11"/>
      <c r="AC2975" s="11"/>
      <c r="AD2975" s="11"/>
      <c r="AE2975" s="11"/>
      <c r="AF2975" s="11"/>
      <c r="AG2975" s="11"/>
      <c r="AH2975" s="11"/>
      <c r="AI2975" s="11"/>
      <c r="AJ2975" s="11"/>
      <c r="AK2975" s="11"/>
      <c r="AL2975" s="11"/>
      <c r="AM2975" s="11"/>
      <c r="AN2975" s="11"/>
      <c r="AO2975" s="11"/>
      <c r="AP2975" s="11"/>
      <c r="AQ2975" s="11"/>
      <c r="AR2975" s="11"/>
      <c r="AS2975" s="11"/>
      <c r="AT2975" s="11"/>
      <c r="AU2975" s="11"/>
      <c r="AV2975" s="11"/>
      <c r="AW2975" s="11"/>
      <c r="AX2975" s="11"/>
      <c r="AY2975" s="11"/>
    </row>
    <row r="2976" spans="1:51" hidden="1" x14ac:dyDescent="0.2">
      <c r="A2976" s="6" t="s">
        <v>17</v>
      </c>
      <c r="B2976" t="s">
        <v>35</v>
      </c>
      <c r="C2976" t="s">
        <v>35</v>
      </c>
      <c r="D2976" t="s">
        <v>3685</v>
      </c>
      <c r="E2976" s="2">
        <v>8.27</v>
      </c>
      <c r="F2976" s="3">
        <f t="shared" si="267"/>
        <v>45999</v>
      </c>
      <c r="G2976" s="3">
        <f t="shared" si="267"/>
        <v>45999</v>
      </c>
      <c r="H2976">
        <v>3374306034</v>
      </c>
      <c r="I2976" t="s">
        <v>21</v>
      </c>
      <c r="K2976" t="s">
        <v>22</v>
      </c>
      <c r="L2976" t="s">
        <v>23</v>
      </c>
      <c r="M2976" t="s">
        <v>24</v>
      </c>
      <c r="N2976" t="s">
        <v>24</v>
      </c>
      <c r="O2976" t="s">
        <v>25</v>
      </c>
      <c r="P2976" s="8" t="s">
        <v>3686</v>
      </c>
      <c r="Q2976" s="11"/>
      <c r="R2976" s="11"/>
      <c r="S2976" s="11"/>
      <c r="T2976" s="11"/>
      <c r="U2976" s="11"/>
      <c r="V2976" s="11"/>
      <c r="W2976" s="11"/>
      <c r="X2976" s="11"/>
      <c r="Y2976" s="11"/>
      <c r="Z2976" s="11"/>
      <c r="AA2976" s="11"/>
      <c r="AB2976" s="11"/>
      <c r="AC2976" s="11"/>
      <c r="AD2976" s="11"/>
      <c r="AE2976" s="11"/>
      <c r="AF2976" s="11"/>
      <c r="AG2976" s="11"/>
      <c r="AH2976" s="11"/>
      <c r="AI2976" s="11"/>
      <c r="AJ2976" s="11"/>
      <c r="AK2976" s="11"/>
      <c r="AL2976" s="11"/>
      <c r="AM2976" s="11"/>
      <c r="AN2976" s="11"/>
      <c r="AO2976" s="11"/>
      <c r="AP2976" s="11"/>
      <c r="AQ2976" s="11"/>
      <c r="AR2976" s="11"/>
      <c r="AS2976" s="11"/>
      <c r="AT2976" s="11"/>
      <c r="AU2976" s="11"/>
      <c r="AV2976" s="11"/>
      <c r="AW2976" s="11"/>
      <c r="AX2976" s="11"/>
      <c r="AY2976" s="11"/>
    </row>
    <row r="2977" spans="1:51" hidden="1" x14ac:dyDescent="0.2">
      <c r="A2977" s="6" t="s">
        <v>17</v>
      </c>
      <c r="B2977" t="s">
        <v>27</v>
      </c>
      <c r="C2977" t="s">
        <v>28</v>
      </c>
      <c r="D2977" t="s">
        <v>3687</v>
      </c>
      <c r="E2977" s="2">
        <v>1156.0999999999999</v>
      </c>
      <c r="F2977" s="3">
        <f>DATE(2025,12,9)</f>
        <v>46000</v>
      </c>
      <c r="G2977" s="3">
        <f>DATE(2025,12,9)</f>
        <v>46000</v>
      </c>
      <c r="H2977">
        <v>3383323322</v>
      </c>
      <c r="I2977" t="s">
        <v>21</v>
      </c>
      <c r="K2977" t="s">
        <v>22</v>
      </c>
      <c r="L2977" t="s">
        <v>23</v>
      </c>
      <c r="M2977" t="s">
        <v>24</v>
      </c>
      <c r="N2977" t="s">
        <v>24</v>
      </c>
      <c r="O2977" t="s">
        <v>25</v>
      </c>
      <c r="P2977" s="8" t="s">
        <v>3688</v>
      </c>
      <c r="Q2977" s="11"/>
      <c r="R2977" s="11"/>
      <c r="S2977" s="11"/>
      <c r="T2977" s="11"/>
      <c r="U2977" s="11"/>
      <c r="V2977" s="11"/>
      <c r="W2977" s="11"/>
      <c r="X2977" s="11"/>
      <c r="Y2977" s="11"/>
      <c r="Z2977" s="11"/>
      <c r="AA2977" s="11"/>
      <c r="AB2977" s="11"/>
      <c r="AC2977" s="11"/>
      <c r="AD2977" s="11"/>
      <c r="AE2977" s="11"/>
      <c r="AF2977" s="11"/>
      <c r="AG2977" s="11"/>
      <c r="AH2977" s="11"/>
      <c r="AI2977" s="11"/>
      <c r="AJ2977" s="11"/>
      <c r="AK2977" s="11"/>
      <c r="AL2977" s="11"/>
      <c r="AM2977" s="11"/>
      <c r="AN2977" s="11"/>
      <c r="AO2977" s="11"/>
      <c r="AP2977" s="11"/>
      <c r="AQ2977" s="11"/>
      <c r="AR2977" s="11"/>
      <c r="AS2977" s="11"/>
      <c r="AT2977" s="11"/>
      <c r="AU2977" s="11"/>
      <c r="AV2977" s="11"/>
      <c r="AW2977" s="11"/>
      <c r="AX2977" s="11"/>
      <c r="AY2977" s="11"/>
    </row>
    <row r="2978" spans="1:51" hidden="1" x14ac:dyDescent="0.2">
      <c r="A2978" s="6" t="s">
        <v>17</v>
      </c>
      <c r="B2978" t="s">
        <v>35</v>
      </c>
      <c r="C2978" t="s">
        <v>35</v>
      </c>
      <c r="D2978" t="s">
        <v>3689</v>
      </c>
      <c r="E2978" s="2">
        <v>3.25</v>
      </c>
      <c r="F2978" s="3">
        <f t="shared" ref="F2978:G2980" si="268">DATE(2025,12,8)</f>
        <v>45999</v>
      </c>
      <c r="G2978" s="3">
        <f t="shared" si="268"/>
        <v>45999</v>
      </c>
      <c r="H2978">
        <v>3383323323</v>
      </c>
      <c r="I2978" t="s">
        <v>21</v>
      </c>
      <c r="K2978" t="s">
        <v>22</v>
      </c>
      <c r="L2978" t="s">
        <v>23</v>
      </c>
      <c r="M2978" t="s">
        <v>24</v>
      </c>
      <c r="N2978" t="s">
        <v>24</v>
      </c>
      <c r="O2978" t="s">
        <v>25</v>
      </c>
      <c r="P2978" s="8" t="s">
        <v>3690</v>
      </c>
      <c r="Q2978" s="11"/>
      <c r="R2978" s="11"/>
      <c r="S2978" s="11"/>
      <c r="T2978" s="11"/>
      <c r="U2978" s="11"/>
      <c r="V2978" s="11"/>
      <c r="W2978" s="11"/>
      <c r="X2978" s="11"/>
      <c r="Y2978" s="11"/>
      <c r="Z2978" s="11"/>
      <c r="AA2978" s="11"/>
      <c r="AB2978" s="11"/>
      <c r="AC2978" s="11"/>
      <c r="AD2978" s="11"/>
      <c r="AE2978" s="11"/>
      <c r="AF2978" s="11"/>
      <c r="AG2978" s="11"/>
      <c r="AH2978" s="11"/>
      <c r="AI2978" s="11"/>
      <c r="AJ2978" s="11"/>
      <c r="AK2978" s="11"/>
      <c r="AL2978" s="11"/>
      <c r="AM2978" s="11"/>
      <c r="AN2978" s="11"/>
      <c r="AO2978" s="11"/>
      <c r="AP2978" s="11"/>
      <c r="AQ2978" s="11"/>
      <c r="AR2978" s="11"/>
      <c r="AS2978" s="11"/>
      <c r="AT2978" s="11"/>
      <c r="AU2978" s="11"/>
      <c r="AV2978" s="11"/>
      <c r="AW2978" s="11"/>
      <c r="AX2978" s="11"/>
      <c r="AY2978" s="11"/>
    </row>
    <row r="2979" spans="1:51" hidden="1" x14ac:dyDescent="0.2">
      <c r="A2979" s="6"/>
      <c r="E2979" s="2"/>
      <c r="F2979" s="3"/>
      <c r="G2979" s="3"/>
      <c r="P2979" s="8"/>
      <c r="Q2979" s="11"/>
      <c r="R2979" s="11"/>
      <c r="S2979" s="11"/>
      <c r="T2979" s="11"/>
      <c r="U2979" s="11"/>
      <c r="V2979" s="11"/>
      <c r="W2979" s="11"/>
      <c r="X2979" s="11"/>
      <c r="Y2979" s="11"/>
      <c r="Z2979" s="11"/>
      <c r="AA2979" s="11"/>
      <c r="AB2979" s="11"/>
      <c r="AC2979" s="11"/>
      <c r="AD2979" s="11"/>
      <c r="AE2979" s="11"/>
      <c r="AF2979" s="11"/>
      <c r="AG2979" s="11"/>
      <c r="AH2979" s="11"/>
      <c r="AI2979" s="11"/>
      <c r="AJ2979" s="11"/>
      <c r="AK2979" s="11"/>
      <c r="AL2979" s="11"/>
      <c r="AM2979" s="11"/>
      <c r="AN2979" s="11"/>
      <c r="AO2979" s="11"/>
      <c r="AP2979" s="11"/>
      <c r="AQ2979" s="11"/>
      <c r="AR2979" s="11"/>
      <c r="AS2979" s="11"/>
      <c r="AT2979" s="11"/>
      <c r="AU2979" s="11"/>
      <c r="AV2979" s="11"/>
      <c r="AW2979" s="11"/>
      <c r="AX2979" s="11"/>
      <c r="AY2979" s="11"/>
    </row>
    <row r="2980" spans="1:51" hidden="1" x14ac:dyDescent="0.2">
      <c r="A2980" s="6" t="s">
        <v>17</v>
      </c>
      <c r="B2980" t="s">
        <v>50</v>
      </c>
      <c r="C2980" t="s">
        <v>51</v>
      </c>
      <c r="D2980" t="s">
        <v>3691</v>
      </c>
      <c r="E2980" s="2">
        <v>307.48</v>
      </c>
      <c r="F2980" s="3">
        <f t="shared" si="268"/>
        <v>45999</v>
      </c>
      <c r="G2980" s="3">
        <f t="shared" si="268"/>
        <v>45999</v>
      </c>
      <c r="H2980">
        <v>3383323325</v>
      </c>
      <c r="I2980" t="s">
        <v>21</v>
      </c>
      <c r="K2980" t="s">
        <v>22</v>
      </c>
      <c r="L2980" t="s">
        <v>23</v>
      </c>
      <c r="M2980" t="s">
        <v>24</v>
      </c>
      <c r="N2980" t="s">
        <v>24</v>
      </c>
      <c r="O2980" t="s">
        <v>25</v>
      </c>
      <c r="P2980" s="8" t="s">
        <v>3692</v>
      </c>
      <c r="Q2980" s="11"/>
      <c r="R2980" s="11"/>
      <c r="S2980" s="11"/>
      <c r="T2980" s="11"/>
      <c r="U2980" s="11"/>
      <c r="V2980" s="11"/>
      <c r="W2980" s="11"/>
      <c r="X2980" s="11"/>
      <c r="Y2980" s="11"/>
      <c r="Z2980" s="11"/>
      <c r="AA2980" s="11"/>
      <c r="AB2980" s="11"/>
      <c r="AC2980" s="11"/>
      <c r="AD2980" s="11"/>
      <c r="AE2980" s="11"/>
      <c r="AF2980" s="11"/>
      <c r="AG2980" s="11"/>
      <c r="AH2980" s="11"/>
      <c r="AI2980" s="11"/>
      <c r="AJ2980" s="11"/>
      <c r="AK2980" s="11"/>
      <c r="AL2980" s="11"/>
      <c r="AM2980" s="11"/>
      <c r="AN2980" s="11"/>
      <c r="AO2980" s="11"/>
      <c r="AP2980" s="11"/>
      <c r="AQ2980" s="11"/>
      <c r="AR2980" s="11"/>
      <c r="AS2980" s="11"/>
      <c r="AT2980" s="11"/>
      <c r="AU2980" s="11"/>
      <c r="AV2980" s="11"/>
      <c r="AW2980" s="11"/>
      <c r="AX2980" s="11"/>
      <c r="AY2980" s="11"/>
    </row>
    <row r="2981" spans="1:51" hidden="1" x14ac:dyDescent="0.2">
      <c r="A2981" s="6" t="s">
        <v>17</v>
      </c>
      <c r="B2981" t="s">
        <v>27</v>
      </c>
      <c r="C2981" t="s">
        <v>28</v>
      </c>
      <c r="D2981" t="s">
        <v>3693</v>
      </c>
      <c r="E2981" s="2">
        <v>871.08</v>
      </c>
      <c r="F2981" s="3">
        <f>DATE(2025,12,9)</f>
        <v>46000</v>
      </c>
      <c r="G2981" s="3">
        <f>DATE(2025,12,9)</f>
        <v>46000</v>
      </c>
      <c r="H2981">
        <v>3383323326</v>
      </c>
      <c r="I2981" t="s">
        <v>21</v>
      </c>
      <c r="K2981" t="s">
        <v>22</v>
      </c>
      <c r="L2981" t="s">
        <v>23</v>
      </c>
      <c r="M2981" t="s">
        <v>24</v>
      </c>
      <c r="N2981" t="s">
        <v>24</v>
      </c>
      <c r="O2981" t="s">
        <v>25</v>
      </c>
      <c r="P2981" s="8" t="s">
        <v>3694</v>
      </c>
      <c r="Q2981" s="11"/>
      <c r="R2981" s="11"/>
      <c r="S2981" s="11"/>
      <c r="T2981" s="11"/>
      <c r="U2981" s="11"/>
      <c r="V2981" s="11"/>
      <c r="W2981" s="11"/>
      <c r="X2981" s="11"/>
      <c r="Y2981" s="11"/>
      <c r="Z2981" s="11"/>
      <c r="AA2981" s="11"/>
      <c r="AB2981" s="11"/>
      <c r="AC2981" s="11"/>
      <c r="AD2981" s="11"/>
      <c r="AE2981" s="11"/>
      <c r="AF2981" s="11"/>
      <c r="AG2981" s="11"/>
      <c r="AH2981" s="11"/>
      <c r="AI2981" s="11"/>
      <c r="AJ2981" s="11"/>
      <c r="AK2981" s="11"/>
      <c r="AL2981" s="11"/>
      <c r="AM2981" s="11"/>
      <c r="AN2981" s="11"/>
      <c r="AO2981" s="11"/>
      <c r="AP2981" s="11"/>
      <c r="AQ2981" s="11"/>
      <c r="AR2981" s="11"/>
      <c r="AS2981" s="11"/>
      <c r="AT2981" s="11"/>
      <c r="AU2981" s="11"/>
      <c r="AV2981" s="11"/>
      <c r="AW2981" s="11"/>
      <c r="AX2981" s="11"/>
      <c r="AY2981" s="11"/>
    </row>
    <row r="2982" spans="1:51" hidden="1" x14ac:dyDescent="0.2">
      <c r="A2982" s="6"/>
      <c r="E2982" s="2"/>
      <c r="F2982" s="3"/>
      <c r="G2982" s="3"/>
      <c r="P2982" s="8"/>
      <c r="Q2982" s="11"/>
      <c r="R2982" s="11"/>
      <c r="S2982" s="11"/>
      <c r="T2982" s="11"/>
      <c r="U2982" s="11"/>
      <c r="V2982" s="11"/>
      <c r="W2982" s="11"/>
      <c r="X2982" s="11"/>
      <c r="Y2982" s="11"/>
      <c r="Z2982" s="11"/>
      <c r="AA2982" s="11"/>
      <c r="AB2982" s="11"/>
      <c r="AC2982" s="11"/>
      <c r="AD2982" s="11"/>
      <c r="AE2982" s="11"/>
      <c r="AF2982" s="11"/>
      <c r="AG2982" s="11"/>
      <c r="AH2982" s="11"/>
      <c r="AI2982" s="11"/>
      <c r="AJ2982" s="11"/>
      <c r="AK2982" s="11"/>
      <c r="AL2982" s="11"/>
      <c r="AM2982" s="11"/>
      <c r="AN2982" s="11"/>
      <c r="AO2982" s="11"/>
      <c r="AP2982" s="11"/>
      <c r="AQ2982" s="11"/>
      <c r="AR2982" s="11"/>
      <c r="AS2982" s="11"/>
      <c r="AT2982" s="11"/>
      <c r="AU2982" s="11"/>
      <c r="AV2982" s="11"/>
      <c r="AW2982" s="11"/>
      <c r="AX2982" s="11"/>
      <c r="AY2982" s="11"/>
    </row>
    <row r="2983" spans="1:51" hidden="1" x14ac:dyDescent="0.2">
      <c r="A2983" s="6" t="s">
        <v>17</v>
      </c>
      <c r="B2983" t="s">
        <v>244</v>
      </c>
      <c r="C2983" t="s">
        <v>245</v>
      </c>
      <c r="D2983" t="s">
        <v>3695</v>
      </c>
      <c r="E2983" s="2">
        <v>840</v>
      </c>
      <c r="F2983" s="3">
        <f>DATE(2025,12,10)</f>
        <v>46001</v>
      </c>
      <c r="G2983" s="3">
        <f>DATE(2025,12,10)</f>
        <v>46001</v>
      </c>
      <c r="H2983">
        <v>3383323328</v>
      </c>
      <c r="I2983" t="s">
        <v>21</v>
      </c>
      <c r="K2983" t="s">
        <v>22</v>
      </c>
      <c r="L2983" t="s">
        <v>23</v>
      </c>
      <c r="M2983" t="s">
        <v>24</v>
      </c>
      <c r="N2983" t="s">
        <v>24</v>
      </c>
      <c r="O2983" t="s">
        <v>25</v>
      </c>
      <c r="P2983" s="8" t="s">
        <v>3696</v>
      </c>
      <c r="Q2983" s="11"/>
      <c r="R2983" s="11"/>
      <c r="S2983" s="11"/>
      <c r="T2983" s="11"/>
      <c r="U2983" s="11"/>
      <c r="V2983" s="11"/>
      <c r="W2983" s="11"/>
      <c r="X2983" s="11"/>
      <c r="Y2983" s="11"/>
      <c r="Z2983" s="11"/>
      <c r="AA2983" s="11"/>
      <c r="AB2983" s="11"/>
      <c r="AC2983" s="11"/>
      <c r="AD2983" s="11"/>
      <c r="AE2983" s="11"/>
      <c r="AF2983" s="11"/>
      <c r="AG2983" s="11"/>
      <c r="AH2983" s="11"/>
      <c r="AI2983" s="11"/>
      <c r="AJ2983" s="11"/>
      <c r="AK2983" s="11"/>
      <c r="AL2983" s="11"/>
      <c r="AM2983" s="11"/>
      <c r="AN2983" s="11"/>
      <c r="AO2983" s="11"/>
      <c r="AP2983" s="11"/>
      <c r="AQ2983" s="11"/>
      <c r="AR2983" s="11"/>
      <c r="AS2983" s="11"/>
      <c r="AT2983" s="11"/>
      <c r="AU2983" s="11"/>
      <c r="AV2983" s="11"/>
      <c r="AW2983" s="11"/>
      <c r="AX2983" s="11"/>
      <c r="AY2983" s="11"/>
    </row>
    <row r="2984" spans="1:51" hidden="1" x14ac:dyDescent="0.2">
      <c r="A2984" s="6" t="s">
        <v>17</v>
      </c>
      <c r="B2984" t="s">
        <v>244</v>
      </c>
      <c r="C2984" t="s">
        <v>245</v>
      </c>
      <c r="D2984" t="s">
        <v>3697</v>
      </c>
      <c r="E2984" s="2">
        <v>840</v>
      </c>
      <c r="F2984" s="3">
        <f>DATE(2025,12,10)</f>
        <v>46001</v>
      </c>
      <c r="G2984" s="3">
        <f>DATE(2025,12,10)</f>
        <v>46001</v>
      </c>
      <c r="H2984">
        <v>3383323329</v>
      </c>
      <c r="I2984" t="s">
        <v>21</v>
      </c>
      <c r="K2984" t="s">
        <v>22</v>
      </c>
      <c r="L2984" t="s">
        <v>23</v>
      </c>
      <c r="M2984" t="s">
        <v>24</v>
      </c>
      <c r="N2984" t="s">
        <v>24</v>
      </c>
      <c r="O2984" t="s">
        <v>25</v>
      </c>
      <c r="P2984" s="8" t="s">
        <v>3698</v>
      </c>
      <c r="Q2984" s="11"/>
      <c r="R2984" s="11"/>
      <c r="S2984" s="11"/>
      <c r="T2984" s="11"/>
      <c r="U2984" s="11"/>
      <c r="V2984" s="11"/>
      <c r="W2984" s="11"/>
      <c r="X2984" s="11"/>
      <c r="Y2984" s="11"/>
      <c r="Z2984" s="11"/>
      <c r="AA2984" s="11"/>
      <c r="AB2984" s="11"/>
      <c r="AC2984" s="11"/>
      <c r="AD2984" s="11"/>
      <c r="AE2984" s="11"/>
      <c r="AF2984" s="11"/>
      <c r="AG2984" s="11"/>
      <c r="AH2984" s="11"/>
      <c r="AI2984" s="11"/>
      <c r="AJ2984" s="11"/>
      <c r="AK2984" s="11"/>
      <c r="AL2984" s="11"/>
      <c r="AM2984" s="11"/>
      <c r="AN2984" s="11"/>
      <c r="AO2984" s="11"/>
      <c r="AP2984" s="11"/>
      <c r="AQ2984" s="11"/>
      <c r="AR2984" s="11"/>
      <c r="AS2984" s="11"/>
      <c r="AT2984" s="11"/>
      <c r="AU2984" s="11"/>
      <c r="AV2984" s="11"/>
      <c r="AW2984" s="11"/>
      <c r="AX2984" s="11"/>
      <c r="AY2984" s="11"/>
    </row>
    <row r="2985" spans="1:51" hidden="1" x14ac:dyDescent="0.2">
      <c r="A2985" s="6" t="s">
        <v>17</v>
      </c>
      <c r="B2985" t="s">
        <v>18</v>
      </c>
      <c r="C2985" t="s">
        <v>19</v>
      </c>
      <c r="D2985" t="s">
        <v>3699</v>
      </c>
      <c r="E2985" s="2">
        <v>28.14</v>
      </c>
      <c r="F2985" s="3">
        <f>DATE(2025,12,8)</f>
        <v>45999</v>
      </c>
      <c r="G2985" s="3">
        <f>DATE(2025,12,8)</f>
        <v>45999</v>
      </c>
      <c r="H2985">
        <v>3383323330</v>
      </c>
      <c r="I2985" t="s">
        <v>21</v>
      </c>
      <c r="K2985" t="s">
        <v>22</v>
      </c>
      <c r="L2985" t="s">
        <v>23</v>
      </c>
      <c r="M2985" t="s">
        <v>24</v>
      </c>
      <c r="N2985" t="s">
        <v>24</v>
      </c>
      <c r="O2985" t="s">
        <v>25</v>
      </c>
      <c r="P2985" s="8" t="s">
        <v>3700</v>
      </c>
      <c r="Q2985" s="11"/>
      <c r="R2985" s="11"/>
      <c r="S2985" s="11"/>
      <c r="T2985" s="11"/>
      <c r="U2985" s="11"/>
      <c r="V2985" s="11"/>
      <c r="W2985" s="11"/>
      <c r="X2985" s="11"/>
      <c r="Y2985" s="11"/>
      <c r="Z2985" s="11"/>
      <c r="AA2985" s="11"/>
      <c r="AB2985" s="11"/>
      <c r="AC2985" s="11"/>
      <c r="AD2985" s="11"/>
      <c r="AE2985" s="11"/>
      <c r="AF2985" s="11"/>
      <c r="AG2985" s="11"/>
      <c r="AH2985" s="11"/>
      <c r="AI2985" s="11"/>
      <c r="AJ2985" s="11"/>
      <c r="AK2985" s="11"/>
      <c r="AL2985" s="11"/>
      <c r="AM2985" s="11"/>
      <c r="AN2985" s="11"/>
      <c r="AO2985" s="11"/>
      <c r="AP2985" s="11"/>
      <c r="AQ2985" s="11"/>
      <c r="AR2985" s="11"/>
      <c r="AS2985" s="11"/>
      <c r="AT2985" s="11"/>
      <c r="AU2985" s="11"/>
      <c r="AV2985" s="11"/>
      <c r="AW2985" s="11"/>
      <c r="AX2985" s="11"/>
      <c r="AY2985" s="11"/>
    </row>
    <row r="2986" spans="1:51" hidden="1" x14ac:dyDescent="0.2">
      <c r="A2986" s="6" t="s">
        <v>17</v>
      </c>
      <c r="B2986" t="s">
        <v>155</v>
      </c>
      <c r="C2986" t="s">
        <v>156</v>
      </c>
      <c r="D2986" t="s">
        <v>3701</v>
      </c>
      <c r="E2986" s="2">
        <v>13223.54</v>
      </c>
      <c r="F2986" s="3">
        <f>DATE(2025,12,10)</f>
        <v>46001</v>
      </c>
      <c r="G2986" s="3">
        <f>DATE(2025,12,10)</f>
        <v>46001</v>
      </c>
      <c r="H2986">
        <v>3383323331</v>
      </c>
      <c r="I2986" t="s">
        <v>21</v>
      </c>
      <c r="K2986" t="s">
        <v>22</v>
      </c>
      <c r="L2986" t="s">
        <v>23</v>
      </c>
      <c r="M2986" t="s">
        <v>24</v>
      </c>
      <c r="N2986" t="s">
        <v>24</v>
      </c>
      <c r="O2986" t="s">
        <v>25</v>
      </c>
      <c r="P2986" s="8" t="s">
        <v>3702</v>
      </c>
      <c r="Q2986" s="11"/>
      <c r="R2986" s="11"/>
      <c r="S2986" s="11"/>
      <c r="T2986" s="11"/>
      <c r="U2986" s="11"/>
      <c r="V2986" s="11"/>
      <c r="W2986" s="11"/>
      <c r="X2986" s="11"/>
      <c r="Y2986" s="11"/>
      <c r="Z2986" s="11"/>
      <c r="AA2986" s="11"/>
      <c r="AB2986" s="11"/>
      <c r="AC2986" s="11"/>
      <c r="AD2986" s="11"/>
      <c r="AE2986" s="11"/>
      <c r="AF2986" s="11"/>
      <c r="AG2986" s="11"/>
      <c r="AH2986" s="11"/>
      <c r="AI2986" s="11"/>
      <c r="AJ2986" s="11"/>
      <c r="AK2986" s="11"/>
      <c r="AL2986" s="11"/>
      <c r="AM2986" s="11"/>
      <c r="AN2986" s="11"/>
      <c r="AO2986" s="11"/>
      <c r="AP2986" s="11"/>
      <c r="AQ2986" s="11"/>
      <c r="AR2986" s="11"/>
      <c r="AS2986" s="11"/>
      <c r="AT2986" s="11"/>
      <c r="AU2986" s="11"/>
      <c r="AV2986" s="11"/>
      <c r="AW2986" s="11"/>
      <c r="AX2986" s="11"/>
      <c r="AY2986" s="11"/>
    </row>
    <row r="2987" spans="1:51" hidden="1" x14ac:dyDescent="0.2">
      <c r="A2987" s="6" t="s">
        <v>17</v>
      </c>
      <c r="B2987" t="s">
        <v>90</v>
      </c>
      <c r="C2987" t="s">
        <v>91</v>
      </c>
      <c r="D2987" t="s">
        <v>3703</v>
      </c>
      <c r="E2987" s="2">
        <v>900</v>
      </c>
      <c r="F2987" s="3">
        <f t="shared" ref="F2987:G2987" si="269">DATE(2025,12,9)</f>
        <v>46000</v>
      </c>
      <c r="G2987" s="3">
        <f t="shared" si="269"/>
        <v>46000</v>
      </c>
      <c r="H2987">
        <v>3383323332</v>
      </c>
      <c r="I2987" t="s">
        <v>21</v>
      </c>
      <c r="K2987" t="s">
        <v>22</v>
      </c>
      <c r="L2987" t="s">
        <v>23</v>
      </c>
      <c r="M2987" t="s">
        <v>24</v>
      </c>
      <c r="N2987" t="s">
        <v>24</v>
      </c>
      <c r="O2987" t="s">
        <v>25</v>
      </c>
      <c r="P2987" s="8" t="s">
        <v>3704</v>
      </c>
      <c r="Q2987" s="11"/>
      <c r="R2987" s="11"/>
      <c r="S2987" s="11"/>
      <c r="T2987" s="11"/>
      <c r="U2987" s="11"/>
      <c r="V2987" s="11"/>
      <c r="W2987" s="11"/>
      <c r="X2987" s="11"/>
      <c r="Y2987" s="11"/>
      <c r="Z2987" s="11"/>
      <c r="AA2987" s="11"/>
      <c r="AB2987" s="11"/>
      <c r="AC2987" s="11"/>
      <c r="AD2987" s="11"/>
      <c r="AE2987" s="11"/>
      <c r="AF2987" s="11"/>
      <c r="AG2987" s="11"/>
      <c r="AH2987" s="11"/>
      <c r="AI2987" s="11"/>
      <c r="AJ2987" s="11"/>
      <c r="AK2987" s="11"/>
      <c r="AL2987" s="11"/>
      <c r="AM2987" s="11"/>
      <c r="AN2987" s="11"/>
      <c r="AO2987" s="11"/>
      <c r="AP2987" s="11"/>
      <c r="AQ2987" s="11"/>
      <c r="AR2987" s="11"/>
      <c r="AS2987" s="11"/>
      <c r="AT2987" s="11"/>
      <c r="AU2987" s="11"/>
      <c r="AV2987" s="11"/>
      <c r="AW2987" s="11"/>
      <c r="AX2987" s="11"/>
      <c r="AY2987" s="11"/>
    </row>
    <row r="2988" spans="1:51" hidden="1" x14ac:dyDescent="0.2">
      <c r="A2988" s="6"/>
      <c r="E2988" s="2"/>
      <c r="F2988" s="3"/>
      <c r="G2988" s="3"/>
      <c r="P2988" s="8"/>
      <c r="Q2988" s="11"/>
      <c r="R2988" s="11"/>
      <c r="S2988" s="11"/>
      <c r="T2988" s="11"/>
      <c r="U2988" s="11"/>
      <c r="V2988" s="11"/>
      <c r="W2988" s="11"/>
      <c r="X2988" s="11"/>
      <c r="Y2988" s="11"/>
      <c r="Z2988" s="11"/>
      <c r="AA2988" s="11"/>
      <c r="AB2988" s="11"/>
      <c r="AC2988" s="11"/>
      <c r="AD2988" s="11"/>
      <c r="AE2988" s="11"/>
      <c r="AF2988" s="11"/>
      <c r="AG2988" s="11"/>
      <c r="AH2988" s="11"/>
      <c r="AI2988" s="11"/>
      <c r="AJ2988" s="11"/>
      <c r="AK2988" s="11"/>
      <c r="AL2988" s="11"/>
      <c r="AM2988" s="11"/>
      <c r="AN2988" s="11"/>
      <c r="AO2988" s="11"/>
      <c r="AP2988" s="11"/>
      <c r="AQ2988" s="11"/>
      <c r="AR2988" s="11"/>
      <c r="AS2988" s="11"/>
      <c r="AT2988" s="11"/>
      <c r="AU2988" s="11"/>
      <c r="AV2988" s="11"/>
      <c r="AW2988" s="11"/>
      <c r="AX2988" s="11"/>
      <c r="AY2988" s="11"/>
    </row>
    <row r="2989" spans="1:51" hidden="1" x14ac:dyDescent="0.2">
      <c r="A2989" s="6"/>
      <c r="E2989" s="2"/>
      <c r="F2989" s="3"/>
      <c r="G2989" s="3"/>
      <c r="P2989" s="8"/>
      <c r="Q2989" s="11"/>
      <c r="R2989" s="11"/>
      <c r="S2989" s="11"/>
      <c r="T2989" s="11"/>
      <c r="U2989" s="11"/>
      <c r="V2989" s="11"/>
      <c r="W2989" s="11"/>
      <c r="X2989" s="11"/>
      <c r="Y2989" s="11"/>
      <c r="Z2989" s="11"/>
      <c r="AA2989" s="11"/>
      <c r="AB2989" s="11"/>
      <c r="AC2989" s="11"/>
      <c r="AD2989" s="11"/>
      <c r="AE2989" s="11"/>
      <c r="AF2989" s="11"/>
      <c r="AG2989" s="11"/>
      <c r="AH2989" s="11"/>
      <c r="AI2989" s="11"/>
      <c r="AJ2989" s="11"/>
      <c r="AK2989" s="11"/>
      <c r="AL2989" s="11"/>
      <c r="AM2989" s="11"/>
      <c r="AN2989" s="11"/>
      <c r="AO2989" s="11"/>
      <c r="AP2989" s="11"/>
      <c r="AQ2989" s="11"/>
      <c r="AR2989" s="11"/>
      <c r="AS2989" s="11"/>
      <c r="AT2989" s="11"/>
      <c r="AU2989" s="11"/>
      <c r="AV2989" s="11"/>
      <c r="AW2989" s="11"/>
      <c r="AX2989" s="11"/>
      <c r="AY2989" s="11"/>
    </row>
    <row r="2990" spans="1:51" hidden="1" x14ac:dyDescent="0.2">
      <c r="A2990" s="6"/>
      <c r="E2990" s="2"/>
      <c r="F2990" s="3"/>
      <c r="G2990" s="3"/>
      <c r="P2990" s="8"/>
      <c r="Q2990" s="11"/>
      <c r="R2990" s="11"/>
      <c r="S2990" s="11"/>
      <c r="T2990" s="11"/>
      <c r="U2990" s="11"/>
      <c r="V2990" s="11"/>
      <c r="W2990" s="11"/>
      <c r="X2990" s="11"/>
      <c r="Y2990" s="11"/>
      <c r="Z2990" s="11"/>
      <c r="AA2990" s="11"/>
      <c r="AB2990" s="11"/>
      <c r="AC2990" s="11"/>
      <c r="AD2990" s="11"/>
      <c r="AE2990" s="11"/>
      <c r="AF2990" s="11"/>
      <c r="AG2990" s="11"/>
      <c r="AH2990" s="11"/>
      <c r="AI2990" s="11"/>
      <c r="AJ2990" s="11"/>
      <c r="AK2990" s="11"/>
      <c r="AL2990" s="11"/>
      <c r="AM2990" s="11"/>
      <c r="AN2990" s="11"/>
      <c r="AO2990" s="11"/>
      <c r="AP2990" s="11"/>
      <c r="AQ2990" s="11"/>
      <c r="AR2990" s="11"/>
      <c r="AS2990" s="11"/>
      <c r="AT2990" s="11"/>
      <c r="AU2990" s="11"/>
      <c r="AV2990" s="11"/>
      <c r="AW2990" s="11"/>
      <c r="AX2990" s="11"/>
      <c r="AY2990" s="11"/>
    </row>
    <row r="2991" spans="1:51" hidden="1" x14ac:dyDescent="0.2">
      <c r="A2991" s="6"/>
      <c r="E2991" s="2"/>
      <c r="F2991" s="3"/>
      <c r="G2991" s="3"/>
      <c r="P2991" s="8"/>
      <c r="Q2991" s="11"/>
      <c r="R2991" s="11"/>
      <c r="S2991" s="11"/>
      <c r="T2991" s="11"/>
      <c r="U2991" s="11"/>
      <c r="V2991" s="11"/>
      <c r="W2991" s="11"/>
      <c r="X2991" s="11"/>
      <c r="Y2991" s="11"/>
      <c r="Z2991" s="11"/>
      <c r="AA2991" s="11"/>
      <c r="AB2991" s="11"/>
      <c r="AC2991" s="11"/>
      <c r="AD2991" s="11"/>
      <c r="AE2991" s="11"/>
      <c r="AF2991" s="11"/>
      <c r="AG2991" s="11"/>
      <c r="AH2991" s="11"/>
      <c r="AI2991" s="11"/>
      <c r="AJ2991" s="11"/>
      <c r="AK2991" s="11"/>
      <c r="AL2991" s="11"/>
      <c r="AM2991" s="11"/>
      <c r="AN2991" s="11"/>
      <c r="AO2991" s="11"/>
      <c r="AP2991" s="11"/>
      <c r="AQ2991" s="11"/>
      <c r="AR2991" s="11"/>
      <c r="AS2991" s="11"/>
      <c r="AT2991" s="11"/>
      <c r="AU2991" s="11"/>
      <c r="AV2991" s="11"/>
      <c r="AW2991" s="11"/>
      <c r="AX2991" s="11"/>
      <c r="AY2991" s="11"/>
    </row>
    <row r="2992" spans="1:51" hidden="1" x14ac:dyDescent="0.2">
      <c r="A2992" s="6" t="s">
        <v>17</v>
      </c>
      <c r="B2992" t="s">
        <v>399</v>
      </c>
      <c r="C2992" t="s">
        <v>400</v>
      </c>
      <c r="D2992" t="s">
        <v>3705</v>
      </c>
      <c r="E2992" s="2">
        <v>5.4</v>
      </c>
      <c r="F2992" s="3">
        <f>DATE(2025,12,9)</f>
        <v>46000</v>
      </c>
      <c r="G2992" s="3">
        <f>DATE(2025,12,9)</f>
        <v>46000</v>
      </c>
      <c r="H2992">
        <v>3383389503</v>
      </c>
      <c r="I2992" t="s">
        <v>192</v>
      </c>
      <c r="K2992" t="s">
        <v>22</v>
      </c>
      <c r="L2992" t="s">
        <v>23</v>
      </c>
      <c r="M2992" t="s">
        <v>24</v>
      </c>
      <c r="N2992" t="s">
        <v>24</v>
      </c>
      <c r="O2992" t="s">
        <v>25</v>
      </c>
      <c r="P2992" s="8" t="s">
        <v>3706</v>
      </c>
      <c r="Q2992" s="11"/>
      <c r="R2992" s="11"/>
      <c r="S2992" s="11"/>
      <c r="T2992" s="11"/>
      <c r="U2992" s="11"/>
      <c r="V2992" s="11"/>
      <c r="W2992" s="11"/>
      <c r="X2992" s="11"/>
      <c r="Y2992" s="11"/>
      <c r="Z2992" s="11"/>
      <c r="AA2992" s="11"/>
      <c r="AB2992" s="11"/>
      <c r="AC2992" s="11"/>
      <c r="AD2992" s="11"/>
      <c r="AE2992" s="11"/>
      <c r="AF2992" s="11"/>
      <c r="AG2992" s="11"/>
      <c r="AH2992" s="11"/>
      <c r="AI2992" s="11"/>
      <c r="AJ2992" s="11"/>
      <c r="AK2992" s="11"/>
      <c r="AL2992" s="11"/>
      <c r="AM2992" s="11"/>
      <c r="AN2992" s="11"/>
      <c r="AO2992" s="11"/>
      <c r="AP2992" s="11"/>
      <c r="AQ2992" s="11"/>
      <c r="AR2992" s="11"/>
      <c r="AS2992" s="11"/>
      <c r="AT2992" s="11"/>
      <c r="AU2992" s="11"/>
      <c r="AV2992" s="11"/>
      <c r="AW2992" s="11"/>
      <c r="AX2992" s="11"/>
      <c r="AY2992" s="11"/>
    </row>
    <row r="2993" spans="1:51" hidden="1" x14ac:dyDescent="0.2">
      <c r="A2993" s="6" t="s">
        <v>17</v>
      </c>
      <c r="B2993" t="s">
        <v>18</v>
      </c>
      <c r="C2993" t="s">
        <v>19</v>
      </c>
      <c r="D2993" t="s">
        <v>3707</v>
      </c>
      <c r="E2993" s="2">
        <v>2.93</v>
      </c>
      <c r="F2993" s="3">
        <f>DATE(2025,12,8)</f>
        <v>45999</v>
      </c>
      <c r="G2993" s="3">
        <f>DATE(2025,12,8)</f>
        <v>45999</v>
      </c>
      <c r="H2993">
        <v>3383389504</v>
      </c>
      <c r="I2993" t="s">
        <v>192</v>
      </c>
      <c r="K2993" t="s">
        <v>22</v>
      </c>
      <c r="L2993" t="s">
        <v>23</v>
      </c>
      <c r="M2993" t="s">
        <v>24</v>
      </c>
      <c r="N2993" t="s">
        <v>24</v>
      </c>
      <c r="O2993" t="s">
        <v>25</v>
      </c>
      <c r="P2993" s="8" t="s">
        <v>3708</v>
      </c>
      <c r="Q2993" s="11"/>
      <c r="R2993" s="11"/>
      <c r="S2993" s="11"/>
      <c r="T2993" s="11"/>
      <c r="U2993" s="11"/>
      <c r="V2993" s="11"/>
      <c r="W2993" s="11"/>
      <c r="X2993" s="11"/>
      <c r="Y2993" s="11"/>
      <c r="Z2993" s="11"/>
      <c r="AA2993" s="11"/>
      <c r="AB2993" s="11"/>
      <c r="AC2993" s="11"/>
      <c r="AD2993" s="11"/>
      <c r="AE2993" s="11"/>
      <c r="AF2993" s="11"/>
      <c r="AG2993" s="11"/>
      <c r="AH2993" s="11"/>
      <c r="AI2993" s="11"/>
      <c r="AJ2993" s="11"/>
      <c r="AK2993" s="11"/>
      <c r="AL2993" s="11"/>
      <c r="AM2993" s="11"/>
      <c r="AN2993" s="11"/>
      <c r="AO2993" s="11"/>
      <c r="AP2993" s="11"/>
      <c r="AQ2993" s="11"/>
      <c r="AR2993" s="11"/>
      <c r="AS2993" s="11"/>
      <c r="AT2993" s="11"/>
      <c r="AU2993" s="11"/>
      <c r="AV2993" s="11"/>
      <c r="AW2993" s="11"/>
      <c r="AX2993" s="11"/>
      <c r="AY2993" s="11"/>
    </row>
    <row r="2994" spans="1:51" hidden="1" x14ac:dyDescent="0.2">
      <c r="A2994" s="6" t="s">
        <v>17</v>
      </c>
      <c r="B2994" t="s">
        <v>31</v>
      </c>
      <c r="C2994" t="s">
        <v>32</v>
      </c>
      <c r="D2994" t="s">
        <v>3709</v>
      </c>
      <c r="E2994" s="2">
        <v>285.72000000000003</v>
      </c>
      <c r="F2994" s="3">
        <f>DATE(2025,12,10)</f>
        <v>46001</v>
      </c>
      <c r="G2994" s="3">
        <f>DATE(2025,12,10)</f>
        <v>46001</v>
      </c>
      <c r="H2994">
        <v>3395001573</v>
      </c>
      <c r="I2994" t="s">
        <v>21</v>
      </c>
      <c r="K2994" t="s">
        <v>22</v>
      </c>
      <c r="L2994" t="s">
        <v>23</v>
      </c>
      <c r="M2994" t="s">
        <v>24</v>
      </c>
      <c r="N2994" t="s">
        <v>24</v>
      </c>
      <c r="O2994" t="s">
        <v>25</v>
      </c>
      <c r="P2994" s="8" t="s">
        <v>3710</v>
      </c>
      <c r="Q2994" s="11"/>
      <c r="R2994" s="11"/>
      <c r="S2994" s="11"/>
      <c r="T2994" s="11"/>
      <c r="U2994" s="11"/>
      <c r="V2994" s="11"/>
      <c r="W2994" s="11"/>
      <c r="X2994" s="11"/>
      <c r="Y2994" s="11"/>
      <c r="Z2994" s="11"/>
      <c r="AA2994" s="11"/>
      <c r="AB2994" s="11"/>
      <c r="AC2994" s="11"/>
      <c r="AD2994" s="11"/>
      <c r="AE2994" s="11"/>
      <c r="AF2994" s="11"/>
      <c r="AG2994" s="11"/>
      <c r="AH2994" s="11"/>
      <c r="AI2994" s="11"/>
      <c r="AJ2994" s="11"/>
      <c r="AK2994" s="11"/>
      <c r="AL2994" s="11"/>
      <c r="AM2994" s="11"/>
      <c r="AN2994" s="11"/>
      <c r="AO2994" s="11"/>
      <c r="AP2994" s="11"/>
      <c r="AQ2994" s="11"/>
      <c r="AR2994" s="11"/>
      <c r="AS2994" s="11"/>
      <c r="AT2994" s="11"/>
      <c r="AU2994" s="11"/>
      <c r="AV2994" s="11"/>
      <c r="AW2994" s="11"/>
      <c r="AX2994" s="11"/>
      <c r="AY2994" s="11"/>
    </row>
    <row r="2995" spans="1:51" hidden="1" x14ac:dyDescent="0.2">
      <c r="A2995" s="6" t="s">
        <v>17</v>
      </c>
      <c r="B2995" t="s">
        <v>118</v>
      </c>
      <c r="C2995" t="s">
        <v>119</v>
      </c>
      <c r="D2995" t="s">
        <v>3711</v>
      </c>
      <c r="E2995" s="2">
        <v>36</v>
      </c>
      <c r="F2995" s="3">
        <f>DATE(2025,12,11)</f>
        <v>46002</v>
      </c>
      <c r="G2995" s="3">
        <f>DATE(2025,12,11)</f>
        <v>46002</v>
      </c>
      <c r="H2995">
        <v>3395001574</v>
      </c>
      <c r="I2995" t="s">
        <v>21</v>
      </c>
      <c r="K2995" t="s">
        <v>22</v>
      </c>
      <c r="L2995" t="s">
        <v>23</v>
      </c>
      <c r="M2995" t="s">
        <v>24</v>
      </c>
      <c r="N2995" t="s">
        <v>24</v>
      </c>
      <c r="O2995" t="s">
        <v>25</v>
      </c>
      <c r="P2995" s="8" t="s">
        <v>3712</v>
      </c>
      <c r="Q2995" s="11"/>
      <c r="R2995" s="11"/>
      <c r="S2995" s="11"/>
      <c r="T2995" s="11"/>
      <c r="U2995" s="11"/>
      <c r="V2995" s="11"/>
      <c r="W2995" s="11"/>
      <c r="X2995" s="11"/>
      <c r="Y2995" s="11"/>
      <c r="Z2995" s="11"/>
      <c r="AA2995" s="11"/>
      <c r="AB2995" s="11"/>
      <c r="AC2995" s="11"/>
      <c r="AD2995" s="11"/>
      <c r="AE2995" s="11"/>
      <c r="AF2995" s="11"/>
      <c r="AG2995" s="11"/>
      <c r="AH2995" s="11"/>
      <c r="AI2995" s="11"/>
      <c r="AJ2995" s="11"/>
      <c r="AK2995" s="11"/>
      <c r="AL2995" s="11"/>
      <c r="AM2995" s="11"/>
      <c r="AN2995" s="11"/>
      <c r="AO2995" s="11"/>
      <c r="AP2995" s="11"/>
      <c r="AQ2995" s="11"/>
      <c r="AR2995" s="11"/>
      <c r="AS2995" s="11"/>
      <c r="AT2995" s="11"/>
      <c r="AU2995" s="11"/>
      <c r="AV2995" s="11"/>
      <c r="AW2995" s="11"/>
      <c r="AX2995" s="11"/>
      <c r="AY2995" s="11"/>
    </row>
    <row r="2996" spans="1:51" hidden="1" x14ac:dyDescent="0.2">
      <c r="A2996" s="6" t="s">
        <v>17</v>
      </c>
      <c r="B2996" t="s">
        <v>42</v>
      </c>
      <c r="C2996" t="s">
        <v>43</v>
      </c>
      <c r="D2996" t="s">
        <v>3713</v>
      </c>
      <c r="E2996" s="2">
        <v>143.30000000000001</v>
      </c>
      <c r="F2996" s="3">
        <f>DATE(2025,12,10)</f>
        <v>46001</v>
      </c>
      <c r="G2996" s="3">
        <f>DATE(2025,12,10)</f>
        <v>46001</v>
      </c>
      <c r="H2996">
        <v>3395001575</v>
      </c>
      <c r="I2996" t="s">
        <v>21</v>
      </c>
      <c r="K2996" t="s">
        <v>22</v>
      </c>
      <c r="L2996" t="s">
        <v>23</v>
      </c>
      <c r="M2996" t="s">
        <v>24</v>
      </c>
      <c r="N2996" t="s">
        <v>24</v>
      </c>
      <c r="O2996" t="s">
        <v>25</v>
      </c>
      <c r="P2996" s="8" t="s">
        <v>3714</v>
      </c>
      <c r="Q2996" s="11"/>
      <c r="R2996" s="11"/>
      <c r="S2996" s="11"/>
      <c r="T2996" s="11"/>
      <c r="U2996" s="11"/>
      <c r="V2996" s="11"/>
      <c r="W2996" s="11"/>
      <c r="X2996" s="11"/>
      <c r="Y2996" s="11"/>
      <c r="Z2996" s="11"/>
      <c r="AA2996" s="11"/>
      <c r="AB2996" s="11"/>
      <c r="AC2996" s="11"/>
      <c r="AD2996" s="11"/>
      <c r="AE2996" s="11"/>
      <c r="AF2996" s="11"/>
      <c r="AG2996" s="11"/>
      <c r="AH2996" s="11"/>
      <c r="AI2996" s="11"/>
      <c r="AJ2996" s="11"/>
      <c r="AK2996" s="11"/>
      <c r="AL2996" s="11"/>
      <c r="AM2996" s="11"/>
      <c r="AN2996" s="11"/>
      <c r="AO2996" s="11"/>
      <c r="AP2996" s="11"/>
      <c r="AQ2996" s="11"/>
      <c r="AR2996" s="11"/>
      <c r="AS2996" s="11"/>
      <c r="AT2996" s="11"/>
      <c r="AU2996" s="11"/>
      <c r="AV2996" s="11"/>
      <c r="AW2996" s="11"/>
      <c r="AX2996" s="11"/>
      <c r="AY2996" s="11"/>
    </row>
    <row r="2997" spans="1:51" hidden="1" x14ac:dyDescent="0.2">
      <c r="A2997" s="6" t="s">
        <v>17</v>
      </c>
      <c r="B2997" t="s">
        <v>35</v>
      </c>
      <c r="C2997" t="s">
        <v>35</v>
      </c>
      <c r="D2997" t="s">
        <v>3715</v>
      </c>
      <c r="E2997" s="2">
        <v>30.98</v>
      </c>
      <c r="F2997" s="3">
        <f>DATE(2025,12,10)</f>
        <v>46001</v>
      </c>
      <c r="G2997" s="3">
        <f>DATE(2025,12,10)</f>
        <v>46001</v>
      </c>
      <c r="H2997">
        <v>3395113926</v>
      </c>
      <c r="I2997" t="s">
        <v>192</v>
      </c>
      <c r="K2997" t="s">
        <v>22</v>
      </c>
      <c r="L2997" t="s">
        <v>23</v>
      </c>
      <c r="M2997" t="s">
        <v>24</v>
      </c>
      <c r="N2997" t="s">
        <v>24</v>
      </c>
      <c r="O2997" t="s">
        <v>25</v>
      </c>
      <c r="P2997" s="8" t="s">
        <v>3716</v>
      </c>
      <c r="Q2997" s="11"/>
      <c r="R2997" s="11"/>
      <c r="S2997" s="11"/>
      <c r="T2997" s="11"/>
      <c r="U2997" s="11"/>
      <c r="V2997" s="11"/>
      <c r="W2997" s="11"/>
      <c r="X2997" s="11"/>
      <c r="Y2997" s="11"/>
      <c r="Z2997" s="11"/>
      <c r="AA2997" s="11"/>
      <c r="AB2997" s="11"/>
      <c r="AC2997" s="11"/>
      <c r="AD2997" s="11"/>
      <c r="AE2997" s="11"/>
      <c r="AF2997" s="11"/>
      <c r="AG2997" s="11"/>
      <c r="AH2997" s="11"/>
      <c r="AI2997" s="11"/>
      <c r="AJ2997" s="11"/>
      <c r="AK2997" s="11"/>
      <c r="AL2997" s="11"/>
      <c r="AM2997" s="11"/>
      <c r="AN2997" s="11"/>
      <c r="AO2997" s="11"/>
      <c r="AP2997" s="11"/>
      <c r="AQ2997" s="11"/>
      <c r="AR2997" s="11"/>
      <c r="AS2997" s="11"/>
      <c r="AT2997" s="11"/>
      <c r="AU2997" s="11"/>
      <c r="AV2997" s="11"/>
      <c r="AW2997" s="11"/>
      <c r="AX2997" s="11"/>
      <c r="AY2997" s="11"/>
    </row>
    <row r="2998" spans="1:51" hidden="1" x14ac:dyDescent="0.2">
      <c r="A2998" s="6" t="s">
        <v>17</v>
      </c>
      <c r="B2998" t="s">
        <v>46</v>
      </c>
      <c r="C2998" t="s">
        <v>47</v>
      </c>
      <c r="D2998" t="s">
        <v>3717</v>
      </c>
      <c r="E2998" s="2">
        <v>8.9600000000000009</v>
      </c>
      <c r="F2998" s="3">
        <f t="shared" ref="F2998:G3001" si="270">DATE(2025,12,11)</f>
        <v>46002</v>
      </c>
      <c r="G2998" s="3">
        <f t="shared" si="270"/>
        <v>46002</v>
      </c>
      <c r="H2998">
        <v>3404435549</v>
      </c>
      <c r="I2998" t="s">
        <v>21</v>
      </c>
      <c r="K2998" t="s">
        <v>22</v>
      </c>
      <c r="L2998" t="s">
        <v>23</v>
      </c>
      <c r="M2998" t="s">
        <v>24</v>
      </c>
      <c r="N2998" t="s">
        <v>24</v>
      </c>
      <c r="O2998" t="s">
        <v>25</v>
      </c>
      <c r="P2998" s="8" t="s">
        <v>3718</v>
      </c>
      <c r="Q2998" s="11"/>
      <c r="R2998" s="11"/>
      <c r="S2998" s="11"/>
      <c r="T2998" s="11"/>
      <c r="U2998" s="11"/>
      <c r="V2998" s="11"/>
      <c r="W2998" s="11"/>
      <c r="X2998" s="11"/>
      <c r="Y2998" s="11"/>
      <c r="Z2998" s="11"/>
      <c r="AA2998" s="11"/>
      <c r="AB2998" s="11"/>
      <c r="AC2998" s="11"/>
      <c r="AD2998" s="11"/>
      <c r="AE2998" s="11"/>
      <c r="AF2998" s="11"/>
      <c r="AG2998" s="11"/>
      <c r="AH2998" s="11"/>
      <c r="AI2998" s="11"/>
      <c r="AJ2998" s="11"/>
      <c r="AK2998" s="11"/>
      <c r="AL2998" s="11"/>
      <c r="AM2998" s="11"/>
      <c r="AN2998" s="11"/>
      <c r="AO2998" s="11"/>
      <c r="AP2998" s="11"/>
      <c r="AQ2998" s="11"/>
      <c r="AR2998" s="11"/>
      <c r="AS2998" s="11"/>
      <c r="AT2998" s="11"/>
      <c r="AU2998" s="11"/>
      <c r="AV2998" s="11"/>
      <c r="AW2998" s="11"/>
      <c r="AX2998" s="11"/>
      <c r="AY2998" s="11"/>
    </row>
    <row r="2999" spans="1:51" hidden="1" x14ac:dyDescent="0.2">
      <c r="A2999" s="6"/>
      <c r="E2999" s="2"/>
      <c r="F2999" s="3"/>
      <c r="G2999" s="3"/>
      <c r="P2999" s="8"/>
      <c r="Q2999" s="11"/>
      <c r="R2999" s="11"/>
      <c r="S2999" s="11"/>
      <c r="T2999" s="11"/>
      <c r="U2999" s="11"/>
      <c r="V2999" s="11"/>
      <c r="W2999" s="11"/>
      <c r="X2999" s="11"/>
      <c r="Y2999" s="11"/>
      <c r="Z2999" s="11"/>
      <c r="AA2999" s="11"/>
      <c r="AB2999" s="11"/>
      <c r="AC2999" s="11"/>
      <c r="AD2999" s="11"/>
      <c r="AE2999" s="11"/>
      <c r="AF2999" s="11"/>
      <c r="AG2999" s="11"/>
      <c r="AH2999" s="11"/>
      <c r="AI2999" s="11"/>
      <c r="AJ2999" s="11"/>
      <c r="AK2999" s="11"/>
      <c r="AL2999" s="11"/>
      <c r="AM2999" s="11"/>
      <c r="AN2999" s="11"/>
      <c r="AO2999" s="11"/>
      <c r="AP2999" s="11"/>
      <c r="AQ2999" s="11"/>
      <c r="AR2999" s="11"/>
      <c r="AS2999" s="11"/>
      <c r="AT2999" s="11"/>
      <c r="AU2999" s="11"/>
      <c r="AV2999" s="11"/>
      <c r="AW2999" s="11"/>
      <c r="AX2999" s="11"/>
      <c r="AY2999" s="11"/>
    </row>
    <row r="3000" spans="1:51" hidden="1" x14ac:dyDescent="0.2">
      <c r="A3000" s="6" t="s">
        <v>17</v>
      </c>
      <c r="B3000" t="s">
        <v>35</v>
      </c>
      <c r="C3000" t="s">
        <v>35</v>
      </c>
      <c r="D3000" t="s">
        <v>3719</v>
      </c>
      <c r="E3000" s="2">
        <v>0.99</v>
      </c>
      <c r="F3000" s="3">
        <f t="shared" si="270"/>
        <v>46002</v>
      </c>
      <c r="G3000" s="3">
        <f t="shared" si="270"/>
        <v>46002</v>
      </c>
      <c r="H3000">
        <v>3404435551</v>
      </c>
      <c r="I3000" t="s">
        <v>21</v>
      </c>
      <c r="K3000" t="s">
        <v>22</v>
      </c>
      <c r="L3000" t="s">
        <v>23</v>
      </c>
      <c r="M3000" t="s">
        <v>24</v>
      </c>
      <c r="N3000" t="s">
        <v>24</v>
      </c>
      <c r="O3000" t="s">
        <v>25</v>
      </c>
      <c r="P3000" s="8" t="s">
        <v>3720</v>
      </c>
      <c r="Q3000" s="11"/>
      <c r="R3000" s="11"/>
      <c r="S3000" s="11"/>
      <c r="T3000" s="11"/>
      <c r="U3000" s="11"/>
      <c r="V3000" s="11"/>
      <c r="W3000" s="11"/>
      <c r="X3000" s="11"/>
      <c r="Y3000" s="11"/>
      <c r="Z3000" s="11"/>
      <c r="AA3000" s="11"/>
      <c r="AB3000" s="11"/>
      <c r="AC3000" s="11"/>
      <c r="AD3000" s="11"/>
      <c r="AE3000" s="11"/>
      <c r="AF3000" s="11"/>
      <c r="AG3000" s="11"/>
      <c r="AH3000" s="11"/>
      <c r="AI3000" s="11"/>
      <c r="AJ3000" s="11"/>
      <c r="AK3000" s="11"/>
      <c r="AL3000" s="11"/>
      <c r="AM3000" s="11"/>
      <c r="AN3000" s="11"/>
      <c r="AO3000" s="11"/>
      <c r="AP3000" s="11"/>
      <c r="AQ3000" s="11"/>
      <c r="AR3000" s="11"/>
      <c r="AS3000" s="11"/>
      <c r="AT3000" s="11"/>
      <c r="AU3000" s="11"/>
      <c r="AV3000" s="11"/>
      <c r="AW3000" s="11"/>
      <c r="AX3000" s="11"/>
      <c r="AY3000" s="11"/>
    </row>
    <row r="3001" spans="1:51" hidden="1" x14ac:dyDescent="0.2">
      <c r="A3001" s="6" t="s">
        <v>17</v>
      </c>
      <c r="B3001" t="s">
        <v>118</v>
      </c>
      <c r="C3001" t="s">
        <v>119</v>
      </c>
      <c r="D3001" t="s">
        <v>3721</v>
      </c>
      <c r="E3001" s="2">
        <v>278.77</v>
      </c>
      <c r="F3001" s="3">
        <f t="shared" si="270"/>
        <v>46002</v>
      </c>
      <c r="G3001" s="3">
        <f t="shared" si="270"/>
        <v>46002</v>
      </c>
      <c r="H3001">
        <v>3404479197</v>
      </c>
      <c r="I3001" t="s">
        <v>192</v>
      </c>
      <c r="K3001" t="s">
        <v>22</v>
      </c>
      <c r="L3001" t="s">
        <v>23</v>
      </c>
      <c r="M3001" t="s">
        <v>24</v>
      </c>
      <c r="N3001" t="s">
        <v>24</v>
      </c>
      <c r="O3001" t="s">
        <v>25</v>
      </c>
      <c r="P3001" s="8" t="s">
        <v>3722</v>
      </c>
      <c r="Q3001" s="11"/>
      <c r="R3001" s="11"/>
      <c r="S3001" s="11"/>
      <c r="T3001" s="11"/>
      <c r="U3001" s="11"/>
      <c r="V3001" s="11"/>
      <c r="W3001" s="11"/>
      <c r="X3001" s="11"/>
      <c r="Y3001" s="11"/>
      <c r="Z3001" s="11"/>
      <c r="AA3001" s="11"/>
      <c r="AB3001" s="11"/>
      <c r="AC3001" s="11"/>
      <c r="AD3001" s="11"/>
      <c r="AE3001" s="11"/>
      <c r="AF3001" s="11"/>
      <c r="AG3001" s="11"/>
      <c r="AH3001" s="11"/>
      <c r="AI3001" s="11"/>
      <c r="AJ3001" s="11"/>
      <c r="AK3001" s="11"/>
      <c r="AL3001" s="11"/>
      <c r="AM3001" s="11"/>
      <c r="AN3001" s="11"/>
      <c r="AO3001" s="11"/>
      <c r="AP3001" s="11"/>
      <c r="AQ3001" s="11"/>
      <c r="AR3001" s="11"/>
      <c r="AS3001" s="11"/>
      <c r="AT3001" s="11"/>
      <c r="AU3001" s="11"/>
      <c r="AV3001" s="11"/>
      <c r="AW3001" s="11"/>
      <c r="AX3001" s="11"/>
      <c r="AY3001" s="11"/>
    </row>
    <row r="3002" spans="1:51" hidden="1" x14ac:dyDescent="0.2">
      <c r="A3002" s="6" t="s">
        <v>17</v>
      </c>
      <c r="B3002" t="s">
        <v>31</v>
      </c>
      <c r="C3002" t="s">
        <v>32</v>
      </c>
      <c r="D3002" t="s">
        <v>3723</v>
      </c>
      <c r="E3002" s="2">
        <v>129.19999999999999</v>
      </c>
      <c r="F3002" s="3">
        <f t="shared" ref="F3002:G3006" si="271">DATE(2025,12,12)</f>
        <v>46003</v>
      </c>
      <c r="G3002" s="3">
        <f t="shared" si="271"/>
        <v>46003</v>
      </c>
      <c r="H3002">
        <v>3410962250</v>
      </c>
      <c r="I3002" t="s">
        <v>21</v>
      </c>
      <c r="K3002" t="s">
        <v>22</v>
      </c>
      <c r="L3002" t="s">
        <v>23</v>
      </c>
      <c r="M3002" t="s">
        <v>24</v>
      </c>
      <c r="N3002" t="s">
        <v>24</v>
      </c>
      <c r="O3002" t="s">
        <v>25</v>
      </c>
      <c r="P3002" s="8" t="s">
        <v>3724</v>
      </c>
      <c r="Q3002" s="11"/>
      <c r="R3002" s="11"/>
      <c r="S3002" s="11"/>
      <c r="T3002" s="11"/>
      <c r="U3002" s="11"/>
      <c r="V3002" s="11"/>
      <c r="W3002" s="11"/>
      <c r="X3002" s="11"/>
      <c r="Y3002" s="11"/>
      <c r="Z3002" s="11"/>
      <c r="AA3002" s="11"/>
      <c r="AB3002" s="11"/>
      <c r="AC3002" s="11"/>
      <c r="AD3002" s="11"/>
      <c r="AE3002" s="11"/>
      <c r="AF3002" s="11"/>
      <c r="AG3002" s="11"/>
      <c r="AH3002" s="11"/>
      <c r="AI3002" s="11"/>
      <c r="AJ3002" s="11"/>
      <c r="AK3002" s="11"/>
      <c r="AL3002" s="11"/>
      <c r="AM3002" s="11"/>
      <c r="AN3002" s="11"/>
      <c r="AO3002" s="11"/>
      <c r="AP3002" s="11"/>
      <c r="AQ3002" s="11"/>
      <c r="AR3002" s="11"/>
      <c r="AS3002" s="11"/>
      <c r="AT3002" s="11"/>
      <c r="AU3002" s="11"/>
      <c r="AV3002" s="11"/>
      <c r="AW3002" s="11"/>
      <c r="AX3002" s="11"/>
      <c r="AY3002" s="11"/>
    </row>
    <row r="3003" spans="1:51" hidden="1" x14ac:dyDescent="0.2">
      <c r="A3003" s="6" t="s">
        <v>17</v>
      </c>
      <c r="B3003" t="s">
        <v>84</v>
      </c>
      <c r="C3003" t="s">
        <v>85</v>
      </c>
      <c r="D3003" t="s">
        <v>3725</v>
      </c>
      <c r="E3003" s="2">
        <v>58</v>
      </c>
      <c r="F3003" s="3">
        <f t="shared" si="271"/>
        <v>46003</v>
      </c>
      <c r="G3003" s="3">
        <f t="shared" si="271"/>
        <v>46003</v>
      </c>
      <c r="H3003">
        <v>3410962283</v>
      </c>
      <c r="I3003" t="s">
        <v>21</v>
      </c>
      <c r="K3003" t="s">
        <v>22</v>
      </c>
      <c r="L3003" t="s">
        <v>23</v>
      </c>
      <c r="M3003" t="s">
        <v>24</v>
      </c>
      <c r="N3003" t="s">
        <v>24</v>
      </c>
      <c r="O3003" t="s">
        <v>25</v>
      </c>
      <c r="P3003" s="8" t="s">
        <v>3726</v>
      </c>
      <c r="Q3003" s="11"/>
      <c r="R3003" s="11"/>
      <c r="S3003" s="11"/>
      <c r="T3003" s="11"/>
      <c r="U3003" s="11"/>
      <c r="V3003" s="11"/>
      <c r="W3003" s="11"/>
      <c r="X3003" s="11"/>
      <c r="Y3003" s="11"/>
      <c r="Z3003" s="11"/>
      <c r="AA3003" s="11"/>
      <c r="AB3003" s="11"/>
      <c r="AC3003" s="11"/>
      <c r="AD3003" s="11"/>
      <c r="AE3003" s="11"/>
      <c r="AF3003" s="11"/>
      <c r="AG3003" s="11"/>
      <c r="AH3003" s="11"/>
      <c r="AI3003" s="11"/>
      <c r="AJ3003" s="11"/>
      <c r="AK3003" s="11"/>
      <c r="AL3003" s="11"/>
      <c r="AM3003" s="11"/>
      <c r="AN3003" s="11"/>
      <c r="AO3003" s="11"/>
      <c r="AP3003" s="11"/>
      <c r="AQ3003" s="11"/>
      <c r="AR3003" s="11"/>
      <c r="AS3003" s="11"/>
      <c r="AT3003" s="11"/>
      <c r="AU3003" s="11"/>
      <c r="AV3003" s="11"/>
      <c r="AW3003" s="11"/>
      <c r="AX3003" s="11"/>
      <c r="AY3003" s="11"/>
    </row>
    <row r="3004" spans="1:51" hidden="1" x14ac:dyDescent="0.2">
      <c r="A3004" s="6" t="s">
        <v>17</v>
      </c>
      <c r="B3004" t="s">
        <v>118</v>
      </c>
      <c r="C3004" t="s">
        <v>119</v>
      </c>
      <c r="D3004" t="s">
        <v>3727</v>
      </c>
      <c r="E3004" s="2">
        <v>23.73</v>
      </c>
      <c r="F3004" s="3">
        <f t="shared" si="271"/>
        <v>46003</v>
      </c>
      <c r="G3004" s="3">
        <f t="shared" si="271"/>
        <v>46003</v>
      </c>
      <c r="H3004">
        <v>3410966438</v>
      </c>
      <c r="I3004" t="s">
        <v>192</v>
      </c>
      <c r="K3004" t="s">
        <v>22</v>
      </c>
      <c r="L3004" t="s">
        <v>23</v>
      </c>
      <c r="M3004" t="s">
        <v>24</v>
      </c>
      <c r="N3004" t="s">
        <v>24</v>
      </c>
      <c r="O3004" t="s">
        <v>25</v>
      </c>
      <c r="P3004" s="8" t="s">
        <v>3728</v>
      </c>
      <c r="Q3004" s="11"/>
      <c r="R3004" s="11"/>
      <c r="S3004" s="11"/>
      <c r="T3004" s="11"/>
      <c r="U3004" s="11"/>
      <c r="V3004" s="11"/>
      <c r="W3004" s="11"/>
      <c r="X3004" s="11"/>
      <c r="Y3004" s="11"/>
      <c r="Z3004" s="11"/>
      <c r="AA3004" s="11"/>
      <c r="AB3004" s="11"/>
      <c r="AC3004" s="11"/>
      <c r="AD3004" s="11"/>
      <c r="AE3004" s="11"/>
      <c r="AF3004" s="11"/>
      <c r="AG3004" s="11"/>
      <c r="AH3004" s="11"/>
      <c r="AI3004" s="11"/>
      <c r="AJ3004" s="11"/>
      <c r="AK3004" s="11"/>
      <c r="AL3004" s="11"/>
      <c r="AM3004" s="11"/>
      <c r="AN3004" s="11"/>
      <c r="AO3004" s="11"/>
      <c r="AP3004" s="11"/>
      <c r="AQ3004" s="11"/>
      <c r="AR3004" s="11"/>
      <c r="AS3004" s="11"/>
      <c r="AT3004" s="11"/>
      <c r="AU3004" s="11"/>
      <c r="AV3004" s="11"/>
      <c r="AW3004" s="11"/>
      <c r="AX3004" s="11"/>
      <c r="AY3004" s="11"/>
    </row>
    <row r="3005" spans="1:51" hidden="1" x14ac:dyDescent="0.2">
      <c r="A3005" s="6" t="s">
        <v>17</v>
      </c>
      <c r="B3005" t="s">
        <v>38</v>
      </c>
      <c r="C3005" t="s">
        <v>39</v>
      </c>
      <c r="D3005" t="s">
        <v>3729</v>
      </c>
      <c r="E3005" s="2">
        <v>2.99</v>
      </c>
      <c r="F3005" s="3">
        <f t="shared" si="271"/>
        <v>46003</v>
      </c>
      <c r="G3005" s="3">
        <f t="shared" si="271"/>
        <v>46003</v>
      </c>
      <c r="H3005">
        <v>3410966439</v>
      </c>
      <c r="I3005" t="s">
        <v>192</v>
      </c>
      <c r="K3005" t="s">
        <v>22</v>
      </c>
      <c r="L3005" t="s">
        <v>23</v>
      </c>
      <c r="M3005" t="s">
        <v>24</v>
      </c>
      <c r="N3005" t="s">
        <v>24</v>
      </c>
      <c r="O3005" t="s">
        <v>25</v>
      </c>
      <c r="P3005" s="8" t="s">
        <v>3730</v>
      </c>
      <c r="Q3005" s="11"/>
      <c r="R3005" s="11"/>
      <c r="S3005" s="11"/>
      <c r="T3005" s="11"/>
      <c r="U3005" s="11"/>
      <c r="V3005" s="11"/>
      <c r="W3005" s="11"/>
      <c r="X3005" s="11"/>
      <c r="Y3005" s="11"/>
      <c r="Z3005" s="11"/>
      <c r="AA3005" s="11"/>
      <c r="AB3005" s="11"/>
      <c r="AC3005" s="11"/>
      <c r="AD3005" s="11"/>
      <c r="AE3005" s="11"/>
      <c r="AF3005" s="11"/>
      <c r="AG3005" s="11"/>
      <c r="AH3005" s="11"/>
      <c r="AI3005" s="11"/>
      <c r="AJ3005" s="11"/>
      <c r="AK3005" s="11"/>
      <c r="AL3005" s="11"/>
      <c r="AM3005" s="11"/>
      <c r="AN3005" s="11"/>
      <c r="AO3005" s="11"/>
      <c r="AP3005" s="11"/>
      <c r="AQ3005" s="11"/>
      <c r="AR3005" s="11"/>
      <c r="AS3005" s="11"/>
      <c r="AT3005" s="11"/>
      <c r="AU3005" s="11"/>
      <c r="AV3005" s="11"/>
      <c r="AW3005" s="11"/>
      <c r="AX3005" s="11"/>
      <c r="AY3005" s="11"/>
    </row>
    <row r="3006" spans="1:51" hidden="1" x14ac:dyDescent="0.2">
      <c r="A3006" s="6" t="s">
        <v>17</v>
      </c>
      <c r="B3006" t="s">
        <v>244</v>
      </c>
      <c r="C3006" t="s">
        <v>245</v>
      </c>
      <c r="D3006" t="s">
        <v>3731</v>
      </c>
      <c r="E3006" s="2">
        <v>6.44</v>
      </c>
      <c r="F3006" s="3">
        <f t="shared" si="271"/>
        <v>46003</v>
      </c>
      <c r="G3006" s="3">
        <f t="shared" si="271"/>
        <v>46003</v>
      </c>
      <c r="H3006">
        <v>3410966440</v>
      </c>
      <c r="I3006" t="s">
        <v>192</v>
      </c>
      <c r="K3006" t="s">
        <v>22</v>
      </c>
      <c r="L3006" t="s">
        <v>23</v>
      </c>
      <c r="M3006" t="s">
        <v>24</v>
      </c>
      <c r="N3006" t="s">
        <v>24</v>
      </c>
      <c r="O3006" t="s">
        <v>25</v>
      </c>
      <c r="P3006" s="8" t="s">
        <v>3732</v>
      </c>
      <c r="Q3006" s="11"/>
      <c r="R3006" s="11"/>
      <c r="S3006" s="11"/>
      <c r="T3006" s="11"/>
      <c r="U3006" s="11"/>
      <c r="V3006" s="11"/>
      <c r="W3006" s="11"/>
      <c r="X3006" s="11"/>
      <c r="Y3006" s="11"/>
      <c r="Z3006" s="11"/>
      <c r="AA3006" s="11"/>
      <c r="AB3006" s="11"/>
      <c r="AC3006" s="11"/>
      <c r="AD3006" s="11"/>
      <c r="AE3006" s="11"/>
      <c r="AF3006" s="11"/>
      <c r="AG3006" s="11"/>
      <c r="AH3006" s="11"/>
      <c r="AI3006" s="11"/>
      <c r="AJ3006" s="11"/>
      <c r="AK3006" s="11"/>
      <c r="AL3006" s="11"/>
      <c r="AM3006" s="11"/>
      <c r="AN3006" s="11"/>
      <c r="AO3006" s="11"/>
      <c r="AP3006" s="11"/>
      <c r="AQ3006" s="11"/>
      <c r="AR3006" s="11"/>
      <c r="AS3006" s="11"/>
      <c r="AT3006" s="11"/>
      <c r="AU3006" s="11"/>
      <c r="AV3006" s="11"/>
      <c r="AW3006" s="11"/>
      <c r="AX3006" s="11"/>
      <c r="AY3006" s="11"/>
    </row>
    <row r="3007" spans="1:51" x14ac:dyDescent="0.2">
      <c r="A3007" s="7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10"/>
      <c r="Q3007" s="11"/>
      <c r="R3007" s="11"/>
      <c r="S3007" s="11"/>
      <c r="T3007" s="11"/>
      <c r="U3007" s="11"/>
      <c r="V3007" s="11"/>
      <c r="W3007" s="11"/>
      <c r="X3007" s="11"/>
      <c r="Y3007" s="11"/>
      <c r="Z3007" s="11"/>
      <c r="AA3007" s="11"/>
      <c r="AB3007" s="11"/>
      <c r="AC3007" s="11"/>
      <c r="AD3007" s="11"/>
      <c r="AE3007" s="11"/>
      <c r="AF3007" s="11"/>
      <c r="AG3007" s="11"/>
      <c r="AH3007" s="11"/>
      <c r="AI3007" s="11"/>
      <c r="AJ3007" s="11"/>
      <c r="AK3007" s="11"/>
      <c r="AL3007" s="11"/>
      <c r="AM3007" s="11"/>
      <c r="AN3007" s="11"/>
      <c r="AO3007" s="11"/>
      <c r="AP3007" s="11"/>
      <c r="AQ3007" s="11"/>
      <c r="AR3007" s="11"/>
      <c r="AS3007" s="11"/>
      <c r="AT3007" s="11"/>
      <c r="AU3007" s="11"/>
      <c r="AV3007" s="11"/>
      <c r="AW3007" s="11"/>
      <c r="AX3007" s="11"/>
      <c r="AY3007" s="11"/>
    </row>
    <row r="3008" spans="1:51" x14ac:dyDescent="0.2">
      <c r="A3008" s="11"/>
      <c r="B3008" s="11"/>
      <c r="C3008" s="11"/>
      <c r="D3008" s="11"/>
      <c r="E3008" s="11"/>
      <c r="F3008" s="11"/>
      <c r="G3008" s="11"/>
      <c r="H3008" s="11"/>
      <c r="I3008" s="11"/>
      <c r="J3008" s="11"/>
      <c r="K3008" s="11"/>
      <c r="L3008" s="11"/>
      <c r="M3008" s="11"/>
      <c r="N3008" s="11"/>
      <c r="O3008" s="11"/>
      <c r="P3008" s="11"/>
      <c r="Q3008" s="11"/>
      <c r="R3008" s="11"/>
      <c r="S3008" s="11"/>
      <c r="T3008" s="11"/>
      <c r="U3008" s="11"/>
      <c r="V3008" s="11"/>
      <c r="W3008" s="11"/>
      <c r="X3008" s="11"/>
      <c r="Y3008" s="11"/>
      <c r="Z3008" s="11"/>
      <c r="AA3008" s="11"/>
      <c r="AB3008" s="11"/>
      <c r="AC3008" s="11"/>
      <c r="AD3008" s="11"/>
      <c r="AE3008" s="11"/>
      <c r="AF3008" s="11"/>
      <c r="AG3008" s="11"/>
      <c r="AH3008" s="11"/>
      <c r="AI3008" s="11"/>
      <c r="AJ3008" s="11"/>
      <c r="AK3008" s="11"/>
      <c r="AL3008" s="11"/>
      <c r="AM3008" s="11"/>
      <c r="AN3008" s="11"/>
      <c r="AO3008" s="11"/>
      <c r="AP3008" s="11"/>
      <c r="AQ3008" s="11"/>
      <c r="AR3008" s="11"/>
      <c r="AS3008" s="11"/>
      <c r="AT3008" s="11"/>
      <c r="AU3008" s="11"/>
      <c r="AV3008" s="11"/>
      <c r="AW3008" s="11"/>
      <c r="AX3008" s="11"/>
      <c r="AY3008" s="11"/>
    </row>
    <row r="3009" spans="1:51" x14ac:dyDescent="0.2">
      <c r="A3009" s="11"/>
      <c r="B3009" s="11"/>
      <c r="C3009" s="11"/>
      <c r="D3009" s="11"/>
      <c r="E3009" s="11"/>
      <c r="F3009" s="11"/>
      <c r="G3009" s="11"/>
      <c r="H3009" s="11"/>
      <c r="I3009" s="11"/>
      <c r="J3009" s="11"/>
      <c r="K3009" s="11"/>
      <c r="L3009" s="11"/>
      <c r="M3009" s="11"/>
      <c r="N3009" s="11"/>
      <c r="O3009" s="11"/>
      <c r="P3009" s="11"/>
      <c r="Q3009" s="11"/>
      <c r="R3009" s="11"/>
      <c r="S3009" s="11"/>
      <c r="T3009" s="11"/>
      <c r="U3009" s="11"/>
      <c r="V3009" s="11"/>
      <c r="W3009" s="11"/>
      <c r="X3009" s="11"/>
      <c r="Y3009" s="11"/>
      <c r="Z3009" s="11"/>
      <c r="AA3009" s="11"/>
      <c r="AB3009" s="11"/>
      <c r="AC3009" s="11"/>
      <c r="AD3009" s="11"/>
      <c r="AE3009" s="11"/>
      <c r="AF3009" s="11"/>
      <c r="AG3009" s="11"/>
      <c r="AH3009" s="11"/>
      <c r="AI3009" s="11"/>
      <c r="AJ3009" s="11"/>
      <c r="AK3009" s="11"/>
      <c r="AL3009" s="11"/>
      <c r="AM3009" s="11"/>
      <c r="AN3009" s="11"/>
      <c r="AO3009" s="11"/>
      <c r="AP3009" s="11"/>
      <c r="AQ3009" s="11"/>
      <c r="AR3009" s="11"/>
      <c r="AS3009" s="11"/>
      <c r="AT3009" s="11"/>
      <c r="AU3009" s="11"/>
      <c r="AV3009" s="11"/>
      <c r="AW3009" s="11"/>
      <c r="AX3009" s="11"/>
      <c r="AY3009" s="11"/>
    </row>
    <row r="3010" spans="1:51" x14ac:dyDescent="0.2">
      <c r="A3010" s="11"/>
      <c r="B3010" s="11"/>
      <c r="C3010" s="11"/>
      <c r="D3010" s="11"/>
      <c r="E3010" s="11"/>
      <c r="F3010" s="11"/>
      <c r="G3010" s="11"/>
      <c r="H3010" s="11"/>
      <c r="I3010" s="11"/>
      <c r="J3010" s="11"/>
      <c r="K3010" s="11"/>
      <c r="L3010" s="11"/>
      <c r="M3010" s="11"/>
      <c r="N3010" s="11"/>
      <c r="O3010" s="11"/>
      <c r="P3010" s="11"/>
      <c r="Q3010" s="11"/>
      <c r="R3010" s="11"/>
      <c r="S3010" s="11"/>
      <c r="T3010" s="11"/>
      <c r="U3010" s="11"/>
      <c r="V3010" s="11"/>
      <c r="W3010" s="11"/>
      <c r="X3010" s="11"/>
      <c r="Y3010" s="11"/>
      <c r="Z3010" s="11"/>
      <c r="AA3010" s="11"/>
      <c r="AB3010" s="11"/>
      <c r="AC3010" s="11"/>
      <c r="AD3010" s="11"/>
      <c r="AE3010" s="11"/>
      <c r="AF3010" s="11"/>
      <c r="AG3010" s="11"/>
      <c r="AH3010" s="11"/>
      <c r="AI3010" s="11"/>
      <c r="AJ3010" s="11"/>
      <c r="AK3010" s="11"/>
      <c r="AL3010" s="11"/>
      <c r="AM3010" s="11"/>
      <c r="AN3010" s="11"/>
      <c r="AO3010" s="11"/>
      <c r="AP3010" s="11"/>
      <c r="AQ3010" s="11"/>
      <c r="AR3010" s="11"/>
      <c r="AS3010" s="11"/>
      <c r="AT3010" s="11"/>
      <c r="AU3010" s="11"/>
      <c r="AV3010" s="11"/>
      <c r="AW3010" s="11"/>
      <c r="AX3010" s="11"/>
      <c r="AY3010" s="11"/>
    </row>
    <row r="3011" spans="1:51" x14ac:dyDescent="0.2">
      <c r="A3011" s="11"/>
      <c r="B3011" s="11"/>
      <c r="C3011" s="11"/>
      <c r="D3011" s="11"/>
      <c r="E3011" s="11"/>
      <c r="F3011" s="11"/>
      <c r="G3011" s="11"/>
      <c r="H3011" s="11"/>
      <c r="I3011" s="11"/>
      <c r="J3011" s="11"/>
      <c r="K3011" s="11"/>
      <c r="L3011" s="11"/>
      <c r="M3011" s="11"/>
      <c r="N3011" s="11"/>
      <c r="O3011" s="11"/>
      <c r="P3011" s="11"/>
      <c r="Q3011" s="11"/>
      <c r="R3011" s="11"/>
      <c r="S3011" s="11"/>
      <c r="T3011" s="11"/>
      <c r="U3011" s="11"/>
      <c r="V3011" s="11"/>
      <c r="W3011" s="11"/>
      <c r="X3011" s="11"/>
      <c r="Y3011" s="11"/>
      <c r="Z3011" s="11"/>
      <c r="AA3011" s="11"/>
      <c r="AB3011" s="11"/>
      <c r="AC3011" s="11"/>
      <c r="AD3011" s="11"/>
      <c r="AE3011" s="11"/>
      <c r="AF3011" s="11"/>
      <c r="AG3011" s="11"/>
      <c r="AH3011" s="11"/>
      <c r="AI3011" s="11"/>
      <c r="AJ3011" s="11"/>
      <c r="AK3011" s="11"/>
      <c r="AL3011" s="11"/>
      <c r="AM3011" s="11"/>
      <c r="AN3011" s="11"/>
      <c r="AO3011" s="11"/>
      <c r="AP3011" s="11"/>
      <c r="AQ3011" s="11"/>
      <c r="AR3011" s="11"/>
      <c r="AS3011" s="11"/>
      <c r="AT3011" s="11"/>
      <c r="AU3011" s="11"/>
      <c r="AV3011" s="11"/>
      <c r="AW3011" s="11"/>
      <c r="AX3011" s="11"/>
      <c r="AY3011" s="11"/>
    </row>
    <row r="3012" spans="1:51" x14ac:dyDescent="0.2">
      <c r="A3012" s="11"/>
      <c r="B3012" s="11"/>
      <c r="C3012" s="11"/>
      <c r="D3012" s="11"/>
      <c r="E3012" s="11"/>
      <c r="F3012" s="11"/>
      <c r="G3012" s="11"/>
      <c r="H3012" s="11"/>
      <c r="I3012" s="11"/>
      <c r="J3012" s="11"/>
      <c r="K3012" s="11"/>
      <c r="L3012" s="11"/>
      <c r="M3012" s="11"/>
      <c r="N3012" s="11"/>
      <c r="O3012" s="11"/>
      <c r="P3012" s="11"/>
      <c r="Q3012" s="11"/>
      <c r="R3012" s="11"/>
      <c r="S3012" s="11"/>
      <c r="T3012" s="11"/>
      <c r="U3012" s="11"/>
      <c r="V3012" s="11"/>
      <c r="W3012" s="11"/>
      <c r="X3012" s="11"/>
      <c r="Y3012" s="11"/>
      <c r="Z3012" s="11"/>
      <c r="AA3012" s="11"/>
      <c r="AB3012" s="11"/>
      <c r="AC3012" s="11"/>
      <c r="AD3012" s="11"/>
      <c r="AE3012" s="11"/>
      <c r="AF3012" s="11"/>
      <c r="AG3012" s="11"/>
      <c r="AH3012" s="11"/>
      <c r="AI3012" s="11"/>
      <c r="AJ3012" s="11"/>
      <c r="AK3012" s="11"/>
      <c r="AL3012" s="11"/>
      <c r="AM3012" s="11"/>
      <c r="AN3012" s="11"/>
      <c r="AO3012" s="11"/>
      <c r="AP3012" s="11"/>
      <c r="AQ3012" s="11"/>
      <c r="AR3012" s="11"/>
      <c r="AS3012" s="11"/>
      <c r="AT3012" s="11"/>
      <c r="AU3012" s="11"/>
      <c r="AV3012" s="11"/>
      <c r="AW3012" s="11"/>
      <c r="AX3012" s="11"/>
      <c r="AY3012" s="11"/>
    </row>
    <row r="3013" spans="1:51" x14ac:dyDescent="0.2">
      <c r="A3013" s="11"/>
      <c r="B3013" s="11"/>
      <c r="C3013" s="11"/>
      <c r="D3013" s="11"/>
      <c r="E3013" s="11"/>
      <c r="F3013" s="11"/>
      <c r="G3013" s="11"/>
      <c r="H3013" s="11"/>
      <c r="I3013" s="11"/>
      <c r="J3013" s="11"/>
      <c r="K3013" s="11"/>
      <c r="L3013" s="11"/>
      <c r="M3013" s="11"/>
      <c r="N3013" s="11"/>
      <c r="O3013" s="11"/>
      <c r="P3013" s="11"/>
      <c r="Q3013" s="11"/>
      <c r="R3013" s="11"/>
      <c r="S3013" s="11"/>
      <c r="T3013" s="11"/>
      <c r="U3013" s="11"/>
      <c r="V3013" s="11"/>
      <c r="W3013" s="11"/>
      <c r="X3013" s="11"/>
      <c r="Y3013" s="11"/>
      <c r="Z3013" s="11"/>
      <c r="AA3013" s="11"/>
      <c r="AB3013" s="11"/>
      <c r="AC3013" s="11"/>
      <c r="AD3013" s="11"/>
      <c r="AE3013" s="11"/>
      <c r="AF3013" s="11"/>
      <c r="AG3013" s="11"/>
      <c r="AH3013" s="11"/>
      <c r="AI3013" s="11"/>
      <c r="AJ3013" s="11"/>
      <c r="AK3013" s="11"/>
      <c r="AL3013" s="11"/>
      <c r="AM3013" s="11"/>
      <c r="AN3013" s="11"/>
      <c r="AO3013" s="11"/>
      <c r="AP3013" s="11"/>
      <c r="AQ3013" s="11"/>
      <c r="AR3013" s="11"/>
      <c r="AS3013" s="11"/>
      <c r="AT3013" s="11"/>
      <c r="AU3013" s="11"/>
      <c r="AV3013" s="11"/>
      <c r="AW3013" s="11"/>
      <c r="AX3013" s="11"/>
      <c r="AY3013" s="11"/>
    </row>
    <row r="3014" spans="1:51" x14ac:dyDescent="0.2">
      <c r="A3014" s="11"/>
      <c r="B3014" s="11"/>
      <c r="C3014" s="11"/>
      <c r="D3014" s="11"/>
      <c r="E3014" s="11"/>
      <c r="F3014" s="11"/>
      <c r="G3014" s="11"/>
      <c r="H3014" s="11"/>
      <c r="I3014" s="11"/>
      <c r="J3014" s="11"/>
      <c r="K3014" s="11"/>
      <c r="L3014" s="11"/>
      <c r="M3014" s="11"/>
      <c r="N3014" s="11"/>
      <c r="O3014" s="11"/>
      <c r="P3014" s="11"/>
      <c r="Q3014" s="11"/>
      <c r="R3014" s="11"/>
      <c r="S3014" s="11"/>
      <c r="T3014" s="11"/>
      <c r="U3014" s="11"/>
      <c r="V3014" s="11"/>
      <c r="W3014" s="11"/>
      <c r="X3014" s="11"/>
      <c r="Y3014" s="11"/>
      <c r="Z3014" s="11"/>
      <c r="AA3014" s="11"/>
      <c r="AB3014" s="11"/>
      <c r="AC3014" s="11"/>
      <c r="AD3014" s="11"/>
      <c r="AE3014" s="11"/>
      <c r="AF3014" s="11"/>
      <c r="AG3014" s="11"/>
      <c r="AH3014" s="11"/>
      <c r="AI3014" s="11"/>
      <c r="AJ3014" s="11"/>
      <c r="AK3014" s="11"/>
      <c r="AL3014" s="11"/>
      <c r="AM3014" s="11"/>
      <c r="AN3014" s="11"/>
      <c r="AO3014" s="11"/>
      <c r="AP3014" s="11"/>
      <c r="AQ3014" s="11"/>
      <c r="AR3014" s="11"/>
      <c r="AS3014" s="11"/>
      <c r="AT3014" s="11"/>
      <c r="AU3014" s="11"/>
      <c r="AV3014" s="11"/>
      <c r="AW3014" s="11"/>
      <c r="AX3014" s="11"/>
      <c r="AY3014" s="11"/>
    </row>
    <row r="3015" spans="1:51" x14ac:dyDescent="0.2">
      <c r="A3015" s="11"/>
      <c r="B3015" s="11"/>
      <c r="C3015" s="11"/>
      <c r="D3015" s="11"/>
      <c r="E3015" s="11"/>
      <c r="F3015" s="11"/>
      <c r="G3015" s="11"/>
      <c r="H3015" s="11"/>
      <c r="I3015" s="11"/>
      <c r="J3015" s="11"/>
      <c r="K3015" s="11"/>
      <c r="L3015" s="11"/>
      <c r="M3015" s="11"/>
      <c r="N3015" s="11"/>
      <c r="O3015" s="11"/>
      <c r="P3015" s="11"/>
      <c r="Q3015" s="11"/>
      <c r="R3015" s="11"/>
      <c r="S3015" s="11"/>
      <c r="T3015" s="11"/>
      <c r="U3015" s="11"/>
      <c r="V3015" s="11"/>
      <c r="W3015" s="11"/>
      <c r="X3015" s="11"/>
      <c r="Y3015" s="11"/>
      <c r="Z3015" s="11"/>
      <c r="AA3015" s="11"/>
      <c r="AB3015" s="11"/>
      <c r="AC3015" s="11"/>
      <c r="AD3015" s="11"/>
      <c r="AE3015" s="11"/>
      <c r="AF3015" s="11"/>
      <c r="AG3015" s="11"/>
      <c r="AH3015" s="11"/>
      <c r="AI3015" s="11"/>
      <c r="AJ3015" s="11"/>
      <c r="AK3015" s="11"/>
      <c r="AL3015" s="11"/>
      <c r="AM3015" s="11"/>
      <c r="AN3015" s="11"/>
      <c r="AO3015" s="11"/>
      <c r="AP3015" s="11"/>
      <c r="AQ3015" s="11"/>
      <c r="AR3015" s="11"/>
      <c r="AS3015" s="11"/>
      <c r="AT3015" s="11"/>
      <c r="AU3015" s="11"/>
      <c r="AV3015" s="11"/>
      <c r="AW3015" s="11"/>
      <c r="AX3015" s="11"/>
      <c r="AY3015" s="11"/>
    </row>
    <row r="3016" spans="1:51" x14ac:dyDescent="0.2">
      <c r="A3016" s="11"/>
      <c r="B3016" s="11"/>
      <c r="C3016" s="11"/>
      <c r="D3016" s="11"/>
      <c r="E3016" s="11"/>
      <c r="F3016" s="11"/>
      <c r="G3016" s="11"/>
      <c r="H3016" s="11"/>
      <c r="I3016" s="11"/>
      <c r="J3016" s="11"/>
      <c r="K3016" s="11"/>
      <c r="L3016" s="11"/>
      <c r="M3016" s="11"/>
      <c r="N3016" s="11"/>
      <c r="O3016" s="11"/>
      <c r="P3016" s="11"/>
      <c r="Q3016" s="11"/>
      <c r="R3016" s="11"/>
      <c r="S3016" s="11"/>
      <c r="T3016" s="11"/>
      <c r="U3016" s="11"/>
      <c r="V3016" s="11"/>
      <c r="W3016" s="11"/>
      <c r="X3016" s="11"/>
      <c r="Y3016" s="11"/>
      <c r="Z3016" s="11"/>
      <c r="AA3016" s="11"/>
      <c r="AB3016" s="11"/>
      <c r="AC3016" s="11"/>
      <c r="AD3016" s="11"/>
      <c r="AE3016" s="11"/>
      <c r="AF3016" s="11"/>
      <c r="AG3016" s="11"/>
      <c r="AH3016" s="11"/>
      <c r="AI3016" s="11"/>
      <c r="AJ3016" s="11"/>
      <c r="AK3016" s="11"/>
      <c r="AL3016" s="11"/>
      <c r="AM3016" s="11"/>
      <c r="AN3016" s="11"/>
      <c r="AO3016" s="11"/>
      <c r="AP3016" s="11"/>
      <c r="AQ3016" s="11"/>
      <c r="AR3016" s="11"/>
      <c r="AS3016" s="11"/>
      <c r="AT3016" s="11"/>
      <c r="AU3016" s="11"/>
      <c r="AV3016" s="11"/>
      <c r="AW3016" s="11"/>
      <c r="AX3016" s="11"/>
      <c r="AY3016" s="11"/>
    </row>
    <row r="3017" spans="1:51" x14ac:dyDescent="0.2">
      <c r="A3017" s="11"/>
      <c r="B3017" s="11"/>
      <c r="C3017" s="11"/>
      <c r="D3017" s="11"/>
      <c r="E3017" s="11"/>
      <c r="F3017" s="11"/>
      <c r="G3017" s="11"/>
      <c r="H3017" s="11"/>
      <c r="I3017" s="11"/>
      <c r="J3017" s="11"/>
      <c r="K3017" s="11"/>
      <c r="L3017" s="11"/>
      <c r="M3017" s="11"/>
      <c r="N3017" s="11"/>
      <c r="O3017" s="11"/>
      <c r="P3017" s="11"/>
      <c r="Q3017" s="11"/>
      <c r="R3017" s="11"/>
      <c r="S3017" s="11"/>
      <c r="T3017" s="11"/>
      <c r="U3017" s="11"/>
      <c r="V3017" s="11"/>
      <c r="W3017" s="11"/>
      <c r="X3017" s="11"/>
      <c r="Y3017" s="11"/>
      <c r="Z3017" s="11"/>
      <c r="AA3017" s="11"/>
      <c r="AB3017" s="11"/>
      <c r="AC3017" s="11"/>
      <c r="AD3017" s="11"/>
      <c r="AE3017" s="11"/>
      <c r="AF3017" s="11"/>
      <c r="AG3017" s="11"/>
      <c r="AH3017" s="11"/>
      <c r="AI3017" s="11"/>
      <c r="AJ3017" s="11"/>
      <c r="AK3017" s="11"/>
      <c r="AL3017" s="11"/>
      <c r="AM3017" s="11"/>
      <c r="AN3017" s="11"/>
      <c r="AO3017" s="11"/>
      <c r="AP3017" s="11"/>
      <c r="AQ3017" s="11"/>
      <c r="AR3017" s="11"/>
      <c r="AS3017" s="11"/>
      <c r="AT3017" s="11"/>
      <c r="AU3017" s="11"/>
      <c r="AV3017" s="11"/>
      <c r="AW3017" s="11"/>
      <c r="AX3017" s="11"/>
      <c r="AY3017" s="11"/>
    </row>
    <row r="3018" spans="1:51" x14ac:dyDescent="0.2">
      <c r="A3018" s="11"/>
      <c r="B3018" s="11"/>
      <c r="C3018" s="11"/>
      <c r="D3018" s="11"/>
      <c r="E3018" s="11"/>
      <c r="F3018" s="11"/>
      <c r="G3018" s="11"/>
      <c r="H3018" s="11"/>
      <c r="I3018" s="11"/>
      <c r="J3018" s="11"/>
      <c r="K3018" s="11"/>
      <c r="L3018" s="11"/>
      <c r="M3018" s="11"/>
      <c r="N3018" s="11"/>
      <c r="O3018" s="11"/>
      <c r="P3018" s="11"/>
      <c r="Q3018" s="11"/>
      <c r="R3018" s="11"/>
      <c r="S3018" s="11"/>
      <c r="T3018" s="11"/>
      <c r="U3018" s="11"/>
      <c r="V3018" s="11"/>
      <c r="W3018" s="11"/>
      <c r="X3018" s="11"/>
      <c r="Y3018" s="11"/>
      <c r="Z3018" s="11"/>
      <c r="AA3018" s="11"/>
      <c r="AB3018" s="11"/>
      <c r="AC3018" s="11"/>
      <c r="AD3018" s="11"/>
      <c r="AE3018" s="11"/>
      <c r="AF3018" s="11"/>
      <c r="AG3018" s="11"/>
      <c r="AH3018" s="11"/>
      <c r="AI3018" s="11"/>
      <c r="AJ3018" s="11"/>
      <c r="AK3018" s="11"/>
      <c r="AL3018" s="11"/>
      <c r="AM3018" s="11"/>
      <c r="AN3018" s="11"/>
      <c r="AO3018" s="11"/>
      <c r="AP3018" s="11"/>
      <c r="AQ3018" s="11"/>
      <c r="AR3018" s="11"/>
      <c r="AS3018" s="11"/>
      <c r="AT3018" s="11"/>
      <c r="AU3018" s="11"/>
      <c r="AV3018" s="11"/>
      <c r="AW3018" s="11"/>
      <c r="AX3018" s="11"/>
      <c r="AY3018" s="11"/>
    </row>
    <row r="3019" spans="1:51" x14ac:dyDescent="0.2">
      <c r="A3019" s="11"/>
      <c r="B3019" s="11"/>
      <c r="C3019" s="11"/>
      <c r="D3019" s="11"/>
      <c r="E3019" s="11"/>
      <c r="F3019" s="11"/>
      <c r="G3019" s="11"/>
      <c r="H3019" s="11"/>
      <c r="I3019" s="11"/>
      <c r="J3019" s="11"/>
      <c r="K3019" s="11"/>
      <c r="L3019" s="11"/>
      <c r="M3019" s="11"/>
      <c r="N3019" s="11"/>
      <c r="O3019" s="11"/>
      <c r="P3019" s="11"/>
      <c r="Q3019" s="11"/>
      <c r="R3019" s="11"/>
      <c r="S3019" s="11"/>
      <c r="T3019" s="11"/>
      <c r="U3019" s="11"/>
      <c r="V3019" s="11"/>
      <c r="W3019" s="11"/>
      <c r="X3019" s="11"/>
      <c r="Y3019" s="11"/>
      <c r="Z3019" s="11"/>
      <c r="AA3019" s="11"/>
      <c r="AB3019" s="11"/>
      <c r="AC3019" s="11"/>
      <c r="AD3019" s="11"/>
      <c r="AE3019" s="11"/>
      <c r="AF3019" s="11"/>
      <c r="AG3019" s="11"/>
      <c r="AH3019" s="11"/>
      <c r="AI3019" s="11"/>
      <c r="AJ3019" s="11"/>
      <c r="AK3019" s="11"/>
      <c r="AL3019" s="11"/>
      <c r="AM3019" s="11"/>
      <c r="AN3019" s="11"/>
      <c r="AO3019" s="11"/>
      <c r="AP3019" s="11"/>
      <c r="AQ3019" s="11"/>
      <c r="AR3019" s="11"/>
      <c r="AS3019" s="11"/>
      <c r="AT3019" s="11"/>
      <c r="AU3019" s="11"/>
      <c r="AV3019" s="11"/>
      <c r="AW3019" s="11"/>
      <c r="AX3019" s="11"/>
      <c r="AY3019" s="11"/>
    </row>
    <row r="3020" spans="1:51" x14ac:dyDescent="0.2">
      <c r="A3020" s="11"/>
      <c r="B3020" s="11"/>
      <c r="C3020" s="11"/>
      <c r="D3020" s="11"/>
      <c r="E3020" s="11"/>
      <c r="F3020" s="11"/>
      <c r="G3020" s="11"/>
      <c r="H3020" s="11"/>
      <c r="I3020" s="11"/>
      <c r="J3020" s="11"/>
      <c r="K3020" s="11"/>
      <c r="L3020" s="11"/>
      <c r="M3020" s="11"/>
      <c r="N3020" s="11"/>
      <c r="O3020" s="11"/>
      <c r="P3020" s="11"/>
      <c r="Q3020" s="11"/>
      <c r="R3020" s="11"/>
      <c r="S3020" s="11"/>
      <c r="T3020" s="11"/>
      <c r="U3020" s="11"/>
      <c r="V3020" s="11"/>
      <c r="W3020" s="11"/>
      <c r="X3020" s="11"/>
      <c r="Y3020" s="11"/>
      <c r="Z3020" s="11"/>
      <c r="AA3020" s="11"/>
      <c r="AB3020" s="11"/>
      <c r="AC3020" s="11"/>
      <c r="AD3020" s="11"/>
      <c r="AE3020" s="11"/>
      <c r="AF3020" s="11"/>
      <c r="AG3020" s="11"/>
      <c r="AH3020" s="11"/>
      <c r="AI3020" s="11"/>
      <c r="AJ3020" s="11"/>
      <c r="AK3020" s="11"/>
      <c r="AL3020" s="11"/>
      <c r="AM3020" s="11"/>
      <c r="AN3020" s="11"/>
      <c r="AO3020" s="11"/>
      <c r="AP3020" s="11"/>
      <c r="AQ3020" s="11"/>
      <c r="AR3020" s="11"/>
      <c r="AS3020" s="11"/>
      <c r="AT3020" s="11"/>
      <c r="AU3020" s="11"/>
      <c r="AV3020" s="11"/>
      <c r="AW3020" s="11"/>
      <c r="AX3020" s="11"/>
      <c r="AY3020" s="11"/>
    </row>
    <row r="3021" spans="1:51" x14ac:dyDescent="0.2">
      <c r="A3021" s="11"/>
      <c r="B3021" s="11"/>
      <c r="C3021" s="11"/>
      <c r="D3021" s="11"/>
      <c r="E3021" s="11"/>
      <c r="F3021" s="11"/>
      <c r="G3021" s="11"/>
      <c r="H3021" s="11"/>
      <c r="I3021" s="11"/>
      <c r="J3021" s="11"/>
      <c r="K3021" s="11"/>
      <c r="L3021" s="11"/>
      <c r="M3021" s="11"/>
      <c r="N3021" s="11"/>
      <c r="O3021" s="11"/>
      <c r="P3021" s="11"/>
      <c r="Q3021" s="11"/>
      <c r="R3021" s="11"/>
      <c r="S3021" s="11"/>
      <c r="T3021" s="11"/>
      <c r="U3021" s="11"/>
      <c r="V3021" s="11"/>
      <c r="W3021" s="11"/>
      <c r="X3021" s="11"/>
      <c r="Y3021" s="11"/>
      <c r="Z3021" s="11"/>
      <c r="AA3021" s="11"/>
      <c r="AB3021" s="11"/>
      <c r="AC3021" s="11"/>
      <c r="AD3021" s="11"/>
      <c r="AE3021" s="11"/>
      <c r="AF3021" s="11"/>
      <c r="AG3021" s="11"/>
      <c r="AH3021" s="11"/>
      <c r="AI3021" s="11"/>
      <c r="AJ3021" s="11"/>
      <c r="AK3021" s="11"/>
      <c r="AL3021" s="11"/>
      <c r="AM3021" s="11"/>
      <c r="AN3021" s="11"/>
      <c r="AO3021" s="11"/>
      <c r="AP3021" s="11"/>
      <c r="AQ3021" s="11"/>
      <c r="AR3021" s="11"/>
      <c r="AS3021" s="11"/>
      <c r="AT3021" s="11"/>
      <c r="AU3021" s="11"/>
      <c r="AV3021" s="11"/>
      <c r="AW3021" s="11"/>
      <c r="AX3021" s="11"/>
      <c r="AY3021" s="11"/>
    </row>
    <row r="3022" spans="1:51" x14ac:dyDescent="0.2">
      <c r="A3022" s="11"/>
      <c r="B3022" s="11"/>
      <c r="C3022" s="11"/>
      <c r="D3022" s="11"/>
      <c r="E3022" s="11"/>
      <c r="F3022" s="11"/>
      <c r="G3022" s="11"/>
      <c r="H3022" s="11"/>
      <c r="I3022" s="11"/>
      <c r="J3022" s="11"/>
      <c r="K3022" s="11"/>
      <c r="L3022" s="11"/>
      <c r="M3022" s="11"/>
      <c r="N3022" s="11"/>
      <c r="O3022" s="11"/>
      <c r="P3022" s="11"/>
      <c r="Q3022" s="11"/>
      <c r="R3022" s="11"/>
      <c r="S3022" s="11"/>
      <c r="T3022" s="11"/>
      <c r="U3022" s="11"/>
      <c r="V3022" s="11"/>
      <c r="W3022" s="11"/>
      <c r="X3022" s="11"/>
      <c r="Y3022" s="11"/>
      <c r="Z3022" s="11"/>
      <c r="AA3022" s="11"/>
      <c r="AB3022" s="11"/>
      <c r="AC3022" s="11"/>
      <c r="AD3022" s="11"/>
      <c r="AE3022" s="11"/>
      <c r="AF3022" s="11"/>
      <c r="AG3022" s="11"/>
      <c r="AH3022" s="11"/>
      <c r="AI3022" s="11"/>
      <c r="AJ3022" s="11"/>
      <c r="AK3022" s="11"/>
      <c r="AL3022" s="11"/>
      <c r="AM3022" s="11"/>
      <c r="AN3022" s="11"/>
      <c r="AO3022" s="11"/>
      <c r="AP3022" s="11"/>
      <c r="AQ3022" s="11"/>
      <c r="AR3022" s="11"/>
      <c r="AS3022" s="11"/>
      <c r="AT3022" s="11"/>
      <c r="AU3022" s="11"/>
      <c r="AV3022" s="11"/>
      <c r="AW3022" s="11"/>
      <c r="AX3022" s="11"/>
      <c r="AY3022" s="11"/>
    </row>
    <row r="3023" spans="1:51" x14ac:dyDescent="0.2">
      <c r="A3023" s="11"/>
      <c r="B3023" s="11"/>
      <c r="C3023" s="11"/>
      <c r="D3023" s="11"/>
      <c r="E3023" s="11"/>
      <c r="F3023" s="11"/>
      <c r="G3023" s="11"/>
      <c r="H3023" s="11"/>
      <c r="I3023" s="11"/>
      <c r="J3023" s="11"/>
      <c r="K3023" s="11"/>
      <c r="L3023" s="11"/>
      <c r="M3023" s="11"/>
      <c r="N3023" s="11"/>
      <c r="O3023" s="11"/>
      <c r="P3023" s="11"/>
      <c r="Q3023" s="11"/>
      <c r="R3023" s="11"/>
      <c r="S3023" s="11"/>
      <c r="T3023" s="11"/>
      <c r="U3023" s="11"/>
      <c r="V3023" s="11"/>
      <c r="W3023" s="11"/>
      <c r="X3023" s="11"/>
      <c r="Y3023" s="11"/>
      <c r="Z3023" s="11"/>
      <c r="AA3023" s="11"/>
      <c r="AB3023" s="11"/>
      <c r="AC3023" s="11"/>
      <c r="AD3023" s="11"/>
      <c r="AE3023" s="11"/>
      <c r="AF3023" s="11"/>
      <c r="AG3023" s="11"/>
      <c r="AH3023" s="11"/>
      <c r="AI3023" s="11"/>
      <c r="AJ3023" s="11"/>
      <c r="AK3023" s="11"/>
      <c r="AL3023" s="11"/>
      <c r="AM3023" s="11"/>
      <c r="AN3023" s="11"/>
      <c r="AO3023" s="11"/>
      <c r="AP3023" s="11"/>
      <c r="AQ3023" s="11"/>
      <c r="AR3023" s="11"/>
      <c r="AS3023" s="11"/>
      <c r="AT3023" s="11"/>
      <c r="AU3023" s="11"/>
      <c r="AV3023" s="11"/>
      <c r="AW3023" s="11"/>
      <c r="AX3023" s="11"/>
      <c r="AY3023" s="11"/>
    </row>
    <row r="3024" spans="1:51" x14ac:dyDescent="0.2">
      <c r="A3024" s="11"/>
      <c r="B3024" s="11"/>
      <c r="C3024" s="11"/>
      <c r="D3024" s="11"/>
      <c r="E3024" s="11"/>
      <c r="F3024" s="11"/>
      <c r="G3024" s="11"/>
      <c r="H3024" s="11"/>
      <c r="I3024" s="11"/>
      <c r="J3024" s="11"/>
      <c r="K3024" s="11"/>
      <c r="L3024" s="11"/>
      <c r="M3024" s="11"/>
      <c r="N3024" s="11"/>
      <c r="O3024" s="11"/>
      <c r="P3024" s="11"/>
      <c r="Q3024" s="11"/>
      <c r="R3024" s="11"/>
      <c r="S3024" s="11"/>
      <c r="T3024" s="11"/>
      <c r="U3024" s="11"/>
      <c r="V3024" s="11"/>
      <c r="W3024" s="11"/>
      <c r="X3024" s="11"/>
      <c r="Y3024" s="11"/>
      <c r="Z3024" s="11"/>
      <c r="AA3024" s="11"/>
      <c r="AB3024" s="11"/>
      <c r="AC3024" s="11"/>
      <c r="AD3024" s="11"/>
      <c r="AE3024" s="11"/>
      <c r="AF3024" s="11"/>
      <c r="AG3024" s="11"/>
      <c r="AH3024" s="11"/>
      <c r="AI3024" s="11"/>
      <c r="AJ3024" s="11"/>
      <c r="AK3024" s="11"/>
      <c r="AL3024" s="11"/>
      <c r="AM3024" s="11"/>
      <c r="AN3024" s="11"/>
      <c r="AO3024" s="11"/>
      <c r="AP3024" s="11"/>
      <c r="AQ3024" s="11"/>
      <c r="AR3024" s="11"/>
      <c r="AS3024" s="11"/>
      <c r="AT3024" s="11"/>
      <c r="AU3024" s="11"/>
      <c r="AV3024" s="11"/>
      <c r="AW3024" s="11"/>
      <c r="AX3024" s="11"/>
      <c r="AY3024" s="11"/>
    </row>
    <row r="3025" spans="1:51" x14ac:dyDescent="0.2">
      <c r="A3025" s="11"/>
      <c r="B3025" s="11"/>
      <c r="C3025" s="11"/>
      <c r="D3025" s="11"/>
      <c r="E3025" s="11"/>
      <c r="F3025" s="11"/>
      <c r="G3025" s="11"/>
      <c r="H3025" s="11"/>
      <c r="I3025" s="11"/>
      <c r="J3025" s="11"/>
      <c r="K3025" s="11"/>
      <c r="L3025" s="11"/>
      <c r="M3025" s="11"/>
      <c r="N3025" s="11"/>
      <c r="O3025" s="11"/>
      <c r="P3025" s="11"/>
      <c r="Q3025" s="11"/>
      <c r="R3025" s="11"/>
      <c r="S3025" s="11"/>
      <c r="T3025" s="11"/>
      <c r="U3025" s="11"/>
      <c r="V3025" s="11"/>
      <c r="W3025" s="11"/>
      <c r="X3025" s="11"/>
      <c r="Y3025" s="11"/>
      <c r="Z3025" s="11"/>
      <c r="AA3025" s="11"/>
      <c r="AB3025" s="11"/>
      <c r="AC3025" s="11"/>
      <c r="AD3025" s="11"/>
      <c r="AE3025" s="11"/>
      <c r="AF3025" s="11"/>
      <c r="AG3025" s="11"/>
      <c r="AH3025" s="11"/>
      <c r="AI3025" s="11"/>
      <c r="AJ3025" s="11"/>
      <c r="AK3025" s="11"/>
      <c r="AL3025" s="11"/>
      <c r="AM3025" s="11"/>
      <c r="AN3025" s="11"/>
      <c r="AO3025" s="11"/>
      <c r="AP3025" s="11"/>
      <c r="AQ3025" s="11"/>
      <c r="AR3025" s="11"/>
      <c r="AS3025" s="11"/>
      <c r="AT3025" s="11"/>
      <c r="AU3025" s="11"/>
      <c r="AV3025" s="11"/>
      <c r="AW3025" s="11"/>
      <c r="AX3025" s="11"/>
      <c r="AY3025" s="11"/>
    </row>
    <row r="3026" spans="1:51" x14ac:dyDescent="0.2">
      <c r="A3026" s="11"/>
      <c r="B3026" s="11"/>
      <c r="C3026" s="11"/>
      <c r="D3026" s="11"/>
      <c r="E3026" s="11"/>
      <c r="F3026" s="11"/>
      <c r="G3026" s="11"/>
      <c r="H3026" s="11"/>
      <c r="I3026" s="11"/>
      <c r="J3026" s="11"/>
      <c r="K3026" s="11"/>
      <c r="L3026" s="11"/>
      <c r="M3026" s="11"/>
      <c r="N3026" s="11"/>
      <c r="O3026" s="11"/>
      <c r="P3026" s="11"/>
      <c r="Q3026" s="11"/>
      <c r="R3026" s="11"/>
      <c r="S3026" s="11"/>
      <c r="T3026" s="11"/>
      <c r="U3026" s="11"/>
      <c r="V3026" s="11"/>
      <c r="W3026" s="11"/>
      <c r="X3026" s="11"/>
      <c r="Y3026" s="11"/>
      <c r="Z3026" s="11"/>
      <c r="AA3026" s="11"/>
      <c r="AB3026" s="11"/>
      <c r="AC3026" s="11"/>
      <c r="AD3026" s="11"/>
      <c r="AE3026" s="11"/>
      <c r="AF3026" s="11"/>
      <c r="AG3026" s="11"/>
      <c r="AH3026" s="11"/>
      <c r="AI3026" s="11"/>
      <c r="AJ3026" s="11"/>
      <c r="AK3026" s="11"/>
      <c r="AL3026" s="11"/>
      <c r="AM3026" s="11"/>
      <c r="AN3026" s="11"/>
      <c r="AO3026" s="11"/>
      <c r="AP3026" s="11"/>
      <c r="AQ3026" s="11"/>
      <c r="AR3026" s="11"/>
      <c r="AS3026" s="11"/>
      <c r="AT3026" s="11"/>
      <c r="AU3026" s="11"/>
      <c r="AV3026" s="11"/>
      <c r="AW3026" s="11"/>
      <c r="AX3026" s="11"/>
      <c r="AY3026" s="11"/>
    </row>
    <row r="3027" spans="1:51" x14ac:dyDescent="0.2">
      <c r="A3027" s="11"/>
      <c r="B3027" s="11"/>
      <c r="C3027" s="11"/>
      <c r="D3027" s="11"/>
      <c r="E3027" s="11"/>
      <c r="F3027" s="11"/>
      <c r="G3027" s="11"/>
      <c r="H3027" s="11"/>
      <c r="I3027" s="11"/>
      <c r="J3027" s="11"/>
      <c r="K3027" s="11"/>
      <c r="L3027" s="11"/>
      <c r="M3027" s="11"/>
      <c r="N3027" s="11"/>
      <c r="O3027" s="11"/>
      <c r="P3027" s="11"/>
      <c r="Q3027" s="11"/>
      <c r="R3027" s="11"/>
      <c r="S3027" s="11"/>
      <c r="T3027" s="11"/>
      <c r="U3027" s="11"/>
      <c r="V3027" s="11"/>
      <c r="W3027" s="11"/>
      <c r="X3027" s="11"/>
      <c r="Y3027" s="11"/>
      <c r="Z3027" s="11"/>
      <c r="AA3027" s="11"/>
      <c r="AB3027" s="11"/>
      <c r="AC3027" s="11"/>
      <c r="AD3027" s="11"/>
      <c r="AE3027" s="11"/>
      <c r="AF3027" s="11"/>
      <c r="AG3027" s="11"/>
      <c r="AH3027" s="11"/>
      <c r="AI3027" s="11"/>
      <c r="AJ3027" s="11"/>
      <c r="AK3027" s="11"/>
      <c r="AL3027" s="11"/>
      <c r="AM3027" s="11"/>
      <c r="AN3027" s="11"/>
      <c r="AO3027" s="11"/>
      <c r="AP3027" s="11"/>
      <c r="AQ3027" s="11"/>
      <c r="AR3027" s="11"/>
      <c r="AS3027" s="11"/>
      <c r="AT3027" s="11"/>
      <c r="AU3027" s="11"/>
      <c r="AV3027" s="11"/>
      <c r="AW3027" s="11"/>
      <c r="AX3027" s="11"/>
      <c r="AY3027" s="11"/>
    </row>
    <row r="3028" spans="1:51" x14ac:dyDescent="0.2">
      <c r="A3028" s="11"/>
      <c r="B3028" s="11"/>
      <c r="C3028" s="11"/>
      <c r="D3028" s="11"/>
      <c r="E3028" s="11"/>
      <c r="F3028" s="11"/>
      <c r="G3028" s="11"/>
      <c r="H3028" s="11"/>
      <c r="I3028" s="11"/>
      <c r="J3028" s="11"/>
      <c r="K3028" s="11"/>
      <c r="L3028" s="11"/>
      <c r="M3028" s="11"/>
      <c r="N3028" s="11"/>
      <c r="O3028" s="11"/>
      <c r="P3028" s="11"/>
      <c r="Q3028" s="11"/>
      <c r="R3028" s="11"/>
      <c r="S3028" s="11"/>
      <c r="T3028" s="11"/>
      <c r="U3028" s="11"/>
      <c r="V3028" s="11"/>
      <c r="W3028" s="11"/>
      <c r="X3028" s="11"/>
      <c r="Y3028" s="11"/>
      <c r="Z3028" s="11"/>
      <c r="AA3028" s="11"/>
      <c r="AB3028" s="11"/>
      <c r="AC3028" s="11"/>
      <c r="AD3028" s="11"/>
      <c r="AE3028" s="11"/>
      <c r="AF3028" s="11"/>
      <c r="AG3028" s="11"/>
      <c r="AH3028" s="11"/>
      <c r="AI3028" s="11"/>
      <c r="AJ3028" s="11"/>
      <c r="AK3028" s="11"/>
      <c r="AL3028" s="11"/>
      <c r="AM3028" s="11"/>
      <c r="AN3028" s="11"/>
      <c r="AO3028" s="11"/>
      <c r="AP3028" s="11"/>
      <c r="AQ3028" s="11"/>
      <c r="AR3028" s="11"/>
      <c r="AS3028" s="11"/>
      <c r="AT3028" s="11"/>
      <c r="AU3028" s="11"/>
      <c r="AV3028" s="11"/>
      <c r="AW3028" s="11"/>
      <c r="AX3028" s="11"/>
      <c r="AY3028" s="11"/>
    </row>
    <row r="3029" spans="1:51" x14ac:dyDescent="0.2">
      <c r="A3029" s="11"/>
      <c r="B3029" s="11"/>
      <c r="C3029" s="11"/>
      <c r="D3029" s="11"/>
      <c r="E3029" s="11"/>
      <c r="F3029" s="11"/>
      <c r="G3029" s="11"/>
      <c r="H3029" s="11"/>
      <c r="I3029" s="11"/>
      <c r="J3029" s="11"/>
      <c r="K3029" s="11"/>
      <c r="L3029" s="11"/>
      <c r="M3029" s="11"/>
      <c r="N3029" s="11"/>
      <c r="O3029" s="11"/>
      <c r="P3029" s="11"/>
      <c r="Q3029" s="11"/>
      <c r="R3029" s="11"/>
      <c r="S3029" s="11"/>
      <c r="T3029" s="11"/>
      <c r="U3029" s="11"/>
      <c r="V3029" s="11"/>
      <c r="W3029" s="11"/>
      <c r="X3029" s="11"/>
      <c r="Y3029" s="11"/>
      <c r="Z3029" s="11"/>
      <c r="AA3029" s="11"/>
      <c r="AB3029" s="11"/>
      <c r="AC3029" s="11"/>
      <c r="AD3029" s="11"/>
      <c r="AE3029" s="11"/>
      <c r="AF3029" s="11"/>
      <c r="AG3029" s="11"/>
      <c r="AH3029" s="11"/>
      <c r="AI3029" s="11"/>
      <c r="AJ3029" s="11"/>
      <c r="AK3029" s="11"/>
      <c r="AL3029" s="11"/>
      <c r="AM3029" s="11"/>
      <c r="AN3029" s="11"/>
      <c r="AO3029" s="11"/>
      <c r="AP3029" s="11"/>
      <c r="AQ3029" s="11"/>
      <c r="AR3029" s="11"/>
      <c r="AS3029" s="11"/>
      <c r="AT3029" s="11"/>
      <c r="AU3029" s="11"/>
      <c r="AV3029" s="11"/>
      <c r="AW3029" s="11"/>
      <c r="AX3029" s="11"/>
      <c r="AY3029" s="11"/>
    </row>
    <row r="3030" spans="1:51" x14ac:dyDescent="0.2">
      <c r="A3030" s="11"/>
      <c r="B3030" s="11"/>
      <c r="C3030" s="11"/>
      <c r="D3030" s="11"/>
      <c r="E3030" s="11"/>
      <c r="F3030" s="11"/>
      <c r="G3030" s="11"/>
      <c r="H3030" s="11"/>
      <c r="I3030" s="11"/>
      <c r="J3030" s="11"/>
      <c r="K3030" s="11"/>
      <c r="L3030" s="11"/>
      <c r="M3030" s="11"/>
      <c r="N3030" s="11"/>
      <c r="O3030" s="11"/>
      <c r="P3030" s="11"/>
      <c r="Q3030" s="11"/>
      <c r="R3030" s="11"/>
      <c r="S3030" s="11"/>
      <c r="T3030" s="11"/>
      <c r="U3030" s="11"/>
      <c r="V3030" s="11"/>
      <c r="W3030" s="11"/>
      <c r="X3030" s="11"/>
      <c r="Y3030" s="11"/>
      <c r="Z3030" s="11"/>
      <c r="AA3030" s="11"/>
      <c r="AB3030" s="11"/>
      <c r="AC3030" s="11"/>
      <c r="AD3030" s="11"/>
      <c r="AE3030" s="11"/>
      <c r="AF3030" s="11"/>
      <c r="AG3030" s="11"/>
      <c r="AH3030" s="11"/>
      <c r="AI3030" s="11"/>
      <c r="AJ3030" s="11"/>
      <c r="AK3030" s="11"/>
      <c r="AL3030" s="11"/>
      <c r="AM3030" s="11"/>
      <c r="AN3030" s="11"/>
      <c r="AO3030" s="11"/>
      <c r="AP3030" s="11"/>
      <c r="AQ3030" s="11"/>
      <c r="AR3030" s="11"/>
      <c r="AS3030" s="11"/>
      <c r="AT3030" s="11"/>
      <c r="AU3030" s="11"/>
      <c r="AV3030" s="11"/>
      <c r="AW3030" s="11"/>
      <c r="AX3030" s="11"/>
      <c r="AY3030" s="11"/>
    </row>
    <row r="3031" spans="1:51" x14ac:dyDescent="0.2">
      <c r="A3031" s="11"/>
      <c r="B3031" s="11"/>
      <c r="C3031" s="11"/>
      <c r="D3031" s="11"/>
      <c r="E3031" s="11"/>
      <c r="F3031" s="11"/>
      <c r="G3031" s="11"/>
      <c r="H3031" s="11"/>
      <c r="I3031" s="11"/>
      <c r="J3031" s="11"/>
      <c r="K3031" s="11"/>
      <c r="L3031" s="11"/>
      <c r="M3031" s="11"/>
      <c r="N3031" s="11"/>
      <c r="O3031" s="11"/>
      <c r="P3031" s="11"/>
      <c r="Q3031" s="11"/>
      <c r="R3031" s="11"/>
      <c r="S3031" s="11"/>
      <c r="T3031" s="11"/>
      <c r="U3031" s="11"/>
      <c r="V3031" s="11"/>
      <c r="W3031" s="11"/>
      <c r="X3031" s="11"/>
      <c r="Y3031" s="11"/>
      <c r="Z3031" s="11"/>
      <c r="AA3031" s="11"/>
      <c r="AB3031" s="11"/>
      <c r="AC3031" s="11"/>
      <c r="AD3031" s="11"/>
      <c r="AE3031" s="11"/>
      <c r="AF3031" s="11"/>
      <c r="AG3031" s="11"/>
      <c r="AH3031" s="11"/>
      <c r="AI3031" s="11"/>
      <c r="AJ3031" s="11"/>
      <c r="AK3031" s="11"/>
      <c r="AL3031" s="11"/>
      <c r="AM3031" s="11"/>
      <c r="AN3031" s="11"/>
      <c r="AO3031" s="11"/>
      <c r="AP3031" s="11"/>
      <c r="AQ3031" s="11"/>
      <c r="AR3031" s="11"/>
      <c r="AS3031" s="11"/>
      <c r="AT3031" s="11"/>
      <c r="AU3031" s="11"/>
      <c r="AV3031" s="11"/>
      <c r="AW3031" s="11"/>
      <c r="AX3031" s="11"/>
      <c r="AY3031" s="11"/>
    </row>
    <row r="3032" spans="1:51" x14ac:dyDescent="0.2">
      <c r="A3032" s="11"/>
      <c r="B3032" s="11"/>
      <c r="C3032" s="11"/>
      <c r="D3032" s="11"/>
      <c r="E3032" s="11"/>
      <c r="F3032" s="11"/>
      <c r="G3032" s="11"/>
      <c r="H3032" s="11"/>
      <c r="I3032" s="11"/>
      <c r="J3032" s="11"/>
      <c r="K3032" s="11"/>
      <c r="L3032" s="11"/>
      <c r="M3032" s="11"/>
      <c r="N3032" s="11"/>
      <c r="O3032" s="11"/>
      <c r="P3032" s="11"/>
      <c r="Q3032" s="11"/>
      <c r="R3032" s="11"/>
      <c r="S3032" s="11"/>
      <c r="T3032" s="11"/>
      <c r="U3032" s="11"/>
      <c r="V3032" s="11"/>
      <c r="W3032" s="11"/>
      <c r="X3032" s="11"/>
      <c r="Y3032" s="11"/>
      <c r="Z3032" s="11"/>
      <c r="AA3032" s="11"/>
      <c r="AB3032" s="11"/>
      <c r="AC3032" s="11"/>
      <c r="AD3032" s="11"/>
      <c r="AE3032" s="11"/>
      <c r="AF3032" s="11"/>
      <c r="AG3032" s="11"/>
      <c r="AH3032" s="11"/>
      <c r="AI3032" s="11"/>
      <c r="AJ3032" s="11"/>
      <c r="AK3032" s="11"/>
      <c r="AL3032" s="11"/>
      <c r="AM3032" s="11"/>
      <c r="AN3032" s="11"/>
      <c r="AO3032" s="11"/>
      <c r="AP3032" s="11"/>
      <c r="AQ3032" s="11"/>
      <c r="AR3032" s="11"/>
      <c r="AS3032" s="11"/>
      <c r="AT3032" s="11"/>
      <c r="AU3032" s="11"/>
      <c r="AV3032" s="11"/>
      <c r="AW3032" s="11"/>
      <c r="AX3032" s="11"/>
      <c r="AY3032" s="11"/>
    </row>
    <row r="3033" spans="1:51" x14ac:dyDescent="0.2">
      <c r="A3033" s="11"/>
      <c r="B3033" s="11"/>
      <c r="C3033" s="11"/>
      <c r="D3033" s="11"/>
      <c r="E3033" s="11"/>
      <c r="F3033" s="11"/>
      <c r="G3033" s="11"/>
      <c r="H3033" s="11"/>
      <c r="I3033" s="11"/>
      <c r="J3033" s="11"/>
      <c r="K3033" s="11"/>
      <c r="L3033" s="11"/>
      <c r="M3033" s="11"/>
      <c r="N3033" s="11"/>
      <c r="O3033" s="11"/>
      <c r="P3033" s="11"/>
      <c r="Q3033" s="11"/>
      <c r="R3033" s="11"/>
      <c r="S3033" s="11"/>
      <c r="T3033" s="11"/>
      <c r="U3033" s="11"/>
      <c r="V3033" s="11"/>
      <c r="W3033" s="11"/>
      <c r="X3033" s="11"/>
      <c r="Y3033" s="11"/>
      <c r="Z3033" s="11"/>
      <c r="AA3033" s="11"/>
      <c r="AB3033" s="11"/>
      <c r="AC3033" s="11"/>
      <c r="AD3033" s="11"/>
      <c r="AE3033" s="11"/>
      <c r="AF3033" s="11"/>
      <c r="AG3033" s="11"/>
      <c r="AH3033" s="11"/>
      <c r="AI3033" s="11"/>
      <c r="AJ3033" s="11"/>
      <c r="AK3033" s="11"/>
      <c r="AL3033" s="11"/>
      <c r="AM3033" s="11"/>
      <c r="AN3033" s="11"/>
      <c r="AO3033" s="11"/>
      <c r="AP3033" s="11"/>
      <c r="AQ3033" s="11"/>
      <c r="AR3033" s="11"/>
      <c r="AS3033" s="11"/>
      <c r="AT3033" s="11"/>
      <c r="AU3033" s="11"/>
      <c r="AV3033" s="11"/>
      <c r="AW3033" s="11"/>
      <c r="AX3033" s="11"/>
      <c r="AY3033" s="11"/>
    </row>
    <row r="3034" spans="1:51" x14ac:dyDescent="0.2">
      <c r="A3034" s="11"/>
      <c r="B3034" s="11"/>
      <c r="C3034" s="11"/>
      <c r="D3034" s="11"/>
      <c r="E3034" s="11"/>
      <c r="F3034" s="11"/>
      <c r="G3034" s="11"/>
      <c r="H3034" s="11"/>
      <c r="I3034" s="11"/>
      <c r="J3034" s="11"/>
      <c r="K3034" s="11"/>
      <c r="L3034" s="11"/>
      <c r="M3034" s="11"/>
      <c r="N3034" s="11"/>
      <c r="O3034" s="11"/>
      <c r="P3034" s="11"/>
      <c r="Q3034" s="11"/>
      <c r="R3034" s="11"/>
      <c r="S3034" s="11"/>
      <c r="T3034" s="11"/>
      <c r="U3034" s="11"/>
      <c r="V3034" s="11"/>
      <c r="W3034" s="11"/>
      <c r="X3034" s="11"/>
      <c r="Y3034" s="11"/>
      <c r="Z3034" s="11"/>
      <c r="AA3034" s="11"/>
      <c r="AB3034" s="11"/>
      <c r="AC3034" s="11"/>
      <c r="AD3034" s="11"/>
      <c r="AE3034" s="11"/>
      <c r="AF3034" s="11"/>
      <c r="AG3034" s="11"/>
      <c r="AH3034" s="11"/>
      <c r="AI3034" s="11"/>
      <c r="AJ3034" s="11"/>
      <c r="AK3034" s="11"/>
      <c r="AL3034" s="11"/>
      <c r="AM3034" s="11"/>
      <c r="AN3034" s="11"/>
      <c r="AO3034" s="11"/>
      <c r="AP3034" s="11"/>
      <c r="AQ3034" s="11"/>
      <c r="AR3034" s="11"/>
      <c r="AS3034" s="11"/>
      <c r="AT3034" s="11"/>
      <c r="AU3034" s="11"/>
      <c r="AV3034" s="11"/>
      <c r="AW3034" s="11"/>
      <c r="AX3034" s="11"/>
      <c r="AY3034" s="11"/>
    </row>
    <row r="3035" spans="1:51" x14ac:dyDescent="0.2">
      <c r="A3035" s="11"/>
      <c r="B3035" s="11"/>
      <c r="C3035" s="11"/>
      <c r="D3035" s="11"/>
      <c r="E3035" s="11"/>
      <c r="F3035" s="11"/>
      <c r="G3035" s="11"/>
      <c r="H3035" s="11"/>
      <c r="I3035" s="11"/>
      <c r="J3035" s="11"/>
      <c r="K3035" s="11"/>
      <c r="L3035" s="11"/>
      <c r="M3035" s="11"/>
      <c r="N3035" s="11"/>
      <c r="O3035" s="11"/>
      <c r="P3035" s="11"/>
      <c r="Q3035" s="11"/>
      <c r="R3035" s="11"/>
      <c r="S3035" s="11"/>
      <c r="T3035" s="11"/>
      <c r="U3035" s="11"/>
      <c r="V3035" s="11"/>
      <c r="W3035" s="11"/>
      <c r="X3035" s="11"/>
      <c r="Y3035" s="11"/>
      <c r="Z3035" s="11"/>
      <c r="AA3035" s="11"/>
      <c r="AB3035" s="11"/>
      <c r="AC3035" s="11"/>
      <c r="AD3035" s="11"/>
      <c r="AE3035" s="11"/>
      <c r="AF3035" s="11"/>
      <c r="AG3035" s="11"/>
      <c r="AH3035" s="11"/>
      <c r="AI3035" s="11"/>
      <c r="AJ3035" s="11"/>
      <c r="AK3035" s="11"/>
      <c r="AL3035" s="11"/>
      <c r="AM3035" s="11"/>
      <c r="AN3035" s="11"/>
      <c r="AO3035" s="11"/>
      <c r="AP3035" s="11"/>
      <c r="AQ3035" s="11"/>
      <c r="AR3035" s="11"/>
      <c r="AS3035" s="11"/>
      <c r="AT3035" s="11"/>
      <c r="AU3035" s="11"/>
      <c r="AV3035" s="11"/>
      <c r="AW3035" s="11"/>
      <c r="AX3035" s="11"/>
      <c r="AY3035" s="11"/>
    </row>
    <row r="3036" spans="1:51" x14ac:dyDescent="0.2">
      <c r="A3036" s="11"/>
      <c r="B3036" s="11"/>
      <c r="C3036" s="11"/>
      <c r="D3036" s="11"/>
      <c r="E3036" s="11"/>
      <c r="F3036" s="11"/>
      <c r="G3036" s="11"/>
      <c r="H3036" s="11"/>
      <c r="I3036" s="11"/>
      <c r="J3036" s="11"/>
      <c r="K3036" s="11"/>
      <c r="L3036" s="11"/>
      <c r="M3036" s="11"/>
      <c r="N3036" s="11"/>
      <c r="O3036" s="11"/>
      <c r="P3036" s="11"/>
      <c r="Q3036" s="11"/>
      <c r="R3036" s="11"/>
      <c r="S3036" s="11"/>
      <c r="T3036" s="11"/>
      <c r="U3036" s="11"/>
      <c r="V3036" s="11"/>
      <c r="W3036" s="11"/>
      <c r="X3036" s="11"/>
      <c r="Y3036" s="11"/>
      <c r="Z3036" s="11"/>
      <c r="AA3036" s="11"/>
      <c r="AB3036" s="11"/>
      <c r="AC3036" s="11"/>
      <c r="AD3036" s="11"/>
      <c r="AE3036" s="11"/>
      <c r="AF3036" s="11"/>
      <c r="AG3036" s="11"/>
      <c r="AH3036" s="11"/>
      <c r="AI3036" s="11"/>
      <c r="AJ3036" s="11"/>
      <c r="AK3036" s="11"/>
      <c r="AL3036" s="11"/>
      <c r="AM3036" s="11"/>
      <c r="AN3036" s="11"/>
      <c r="AO3036" s="11"/>
      <c r="AP3036" s="11"/>
      <c r="AQ3036" s="11"/>
      <c r="AR3036" s="11"/>
      <c r="AS3036" s="11"/>
      <c r="AT3036" s="11"/>
      <c r="AU3036" s="11"/>
      <c r="AV3036" s="11"/>
      <c r="AW3036" s="11"/>
      <c r="AX3036" s="11"/>
      <c r="AY3036" s="11"/>
    </row>
    <row r="3037" spans="1:51" x14ac:dyDescent="0.2">
      <c r="A3037" s="11"/>
      <c r="B3037" s="11"/>
      <c r="C3037" s="11"/>
      <c r="D3037" s="11"/>
      <c r="E3037" s="11"/>
      <c r="F3037" s="11"/>
      <c r="G3037" s="11"/>
      <c r="H3037" s="11"/>
      <c r="I3037" s="11"/>
      <c r="J3037" s="11"/>
      <c r="K3037" s="11"/>
      <c r="L3037" s="11"/>
      <c r="M3037" s="11"/>
      <c r="N3037" s="11"/>
      <c r="O3037" s="11"/>
      <c r="P3037" s="11"/>
      <c r="Q3037" s="11"/>
      <c r="R3037" s="11"/>
      <c r="S3037" s="11"/>
      <c r="T3037" s="11"/>
      <c r="U3037" s="11"/>
      <c r="V3037" s="11"/>
      <c r="W3037" s="11"/>
      <c r="X3037" s="11"/>
      <c r="Y3037" s="11"/>
      <c r="Z3037" s="11"/>
      <c r="AA3037" s="11"/>
      <c r="AB3037" s="11"/>
      <c r="AC3037" s="11"/>
      <c r="AD3037" s="11"/>
      <c r="AE3037" s="11"/>
      <c r="AF3037" s="11"/>
      <c r="AG3037" s="11"/>
      <c r="AH3037" s="11"/>
      <c r="AI3037" s="11"/>
      <c r="AJ3037" s="11"/>
      <c r="AK3037" s="11"/>
      <c r="AL3037" s="11"/>
      <c r="AM3037" s="11"/>
      <c r="AN3037" s="11"/>
      <c r="AO3037" s="11"/>
      <c r="AP3037" s="11"/>
      <c r="AQ3037" s="11"/>
      <c r="AR3037" s="11"/>
      <c r="AS3037" s="11"/>
      <c r="AT3037" s="11"/>
      <c r="AU3037" s="11"/>
      <c r="AV3037" s="11"/>
      <c r="AW3037" s="11"/>
      <c r="AX3037" s="11"/>
      <c r="AY3037" s="11"/>
    </row>
    <row r="3038" spans="1:51" x14ac:dyDescent="0.2">
      <c r="A3038" s="11"/>
      <c r="B3038" s="11"/>
      <c r="C3038" s="11"/>
      <c r="D3038" s="11"/>
      <c r="E3038" s="11"/>
      <c r="F3038" s="11"/>
      <c r="G3038" s="11"/>
      <c r="H3038" s="11"/>
      <c r="I3038" s="11"/>
      <c r="J3038" s="11"/>
      <c r="K3038" s="11"/>
      <c r="L3038" s="11"/>
      <c r="M3038" s="11"/>
      <c r="N3038" s="11"/>
      <c r="O3038" s="11"/>
      <c r="P3038" s="11"/>
      <c r="Q3038" s="11"/>
      <c r="R3038" s="11"/>
      <c r="S3038" s="11"/>
      <c r="T3038" s="11"/>
      <c r="U3038" s="11"/>
      <c r="V3038" s="11"/>
      <c r="W3038" s="11"/>
      <c r="X3038" s="11"/>
      <c r="Y3038" s="11"/>
      <c r="Z3038" s="11"/>
      <c r="AA3038" s="11"/>
      <c r="AB3038" s="11"/>
      <c r="AC3038" s="11"/>
      <c r="AD3038" s="11"/>
      <c r="AE3038" s="11"/>
      <c r="AF3038" s="11"/>
      <c r="AG3038" s="11"/>
      <c r="AH3038" s="11"/>
      <c r="AI3038" s="11"/>
      <c r="AJ3038" s="11"/>
      <c r="AK3038" s="11"/>
      <c r="AL3038" s="11"/>
      <c r="AM3038" s="11"/>
      <c r="AN3038" s="11"/>
      <c r="AO3038" s="11"/>
      <c r="AP3038" s="11"/>
      <c r="AQ3038" s="11"/>
      <c r="AR3038" s="11"/>
      <c r="AS3038" s="11"/>
      <c r="AT3038" s="11"/>
      <c r="AU3038" s="11"/>
      <c r="AV3038" s="11"/>
      <c r="AW3038" s="11"/>
      <c r="AX3038" s="11"/>
      <c r="AY3038" s="11"/>
    </row>
    <row r="3039" spans="1:51" x14ac:dyDescent="0.2">
      <c r="A3039" s="11"/>
      <c r="B3039" s="11"/>
      <c r="C3039" s="11"/>
      <c r="D3039" s="11"/>
      <c r="E3039" s="11"/>
      <c r="F3039" s="11"/>
      <c r="G3039" s="11"/>
      <c r="H3039" s="11"/>
      <c r="I3039" s="11"/>
      <c r="J3039" s="11"/>
      <c r="K3039" s="11"/>
      <c r="L3039" s="11"/>
      <c r="M3039" s="11"/>
      <c r="N3039" s="11"/>
      <c r="O3039" s="11"/>
      <c r="P3039" s="11"/>
      <c r="Q3039" s="11"/>
      <c r="R3039" s="11"/>
      <c r="S3039" s="11"/>
      <c r="T3039" s="11"/>
      <c r="U3039" s="11"/>
      <c r="V3039" s="11"/>
      <c r="W3039" s="11"/>
      <c r="X3039" s="11"/>
      <c r="Y3039" s="11"/>
      <c r="Z3039" s="11"/>
      <c r="AA3039" s="11"/>
      <c r="AB3039" s="11"/>
      <c r="AC3039" s="11"/>
      <c r="AD3039" s="11"/>
      <c r="AE3039" s="11"/>
      <c r="AF3039" s="11"/>
      <c r="AG3039" s="11"/>
      <c r="AH3039" s="11"/>
      <c r="AI3039" s="11"/>
      <c r="AJ3039" s="11"/>
      <c r="AK3039" s="11"/>
      <c r="AL3039" s="11"/>
      <c r="AM3039" s="11"/>
      <c r="AN3039" s="11"/>
      <c r="AO3039" s="11"/>
      <c r="AP3039" s="11"/>
      <c r="AQ3039" s="11"/>
      <c r="AR3039" s="11"/>
      <c r="AS3039" s="11"/>
      <c r="AT3039" s="11"/>
      <c r="AU3039" s="11"/>
      <c r="AV3039" s="11"/>
      <c r="AW3039" s="11"/>
      <c r="AX3039" s="11"/>
      <c r="AY3039" s="11"/>
    </row>
    <row r="3040" spans="1:51" x14ac:dyDescent="0.2">
      <c r="A3040" s="11"/>
      <c r="B3040" s="11"/>
      <c r="C3040" s="11"/>
      <c r="D3040" s="11"/>
      <c r="E3040" s="11"/>
      <c r="F3040" s="11"/>
      <c r="G3040" s="11"/>
      <c r="H3040" s="11"/>
      <c r="I3040" s="11"/>
      <c r="J3040" s="11"/>
      <c r="K3040" s="11"/>
      <c r="L3040" s="11"/>
      <c r="M3040" s="11"/>
      <c r="N3040" s="11"/>
      <c r="O3040" s="11"/>
      <c r="P3040" s="11"/>
      <c r="Q3040" s="11"/>
      <c r="R3040" s="11"/>
      <c r="S3040" s="11"/>
      <c r="T3040" s="11"/>
      <c r="U3040" s="11"/>
      <c r="V3040" s="11"/>
      <c r="W3040" s="11"/>
      <c r="X3040" s="11"/>
      <c r="Y3040" s="11"/>
      <c r="Z3040" s="11"/>
      <c r="AA3040" s="11"/>
      <c r="AB3040" s="11"/>
      <c r="AC3040" s="11"/>
      <c r="AD3040" s="11"/>
      <c r="AE3040" s="11"/>
      <c r="AF3040" s="11"/>
      <c r="AG3040" s="11"/>
      <c r="AH3040" s="11"/>
      <c r="AI3040" s="11"/>
      <c r="AJ3040" s="11"/>
      <c r="AK3040" s="11"/>
      <c r="AL3040" s="11"/>
      <c r="AM3040" s="11"/>
      <c r="AN3040" s="11"/>
      <c r="AO3040" s="11"/>
      <c r="AP3040" s="11"/>
      <c r="AQ3040" s="11"/>
      <c r="AR3040" s="11"/>
      <c r="AS3040" s="11"/>
      <c r="AT3040" s="11"/>
      <c r="AU3040" s="11"/>
      <c r="AV3040" s="11"/>
      <c r="AW3040" s="11"/>
      <c r="AX3040" s="11"/>
      <c r="AY3040" s="11"/>
    </row>
    <row r="3041" spans="1:51" x14ac:dyDescent="0.2">
      <c r="A3041" s="11"/>
      <c r="B3041" s="11"/>
      <c r="C3041" s="11"/>
      <c r="D3041" s="11"/>
      <c r="E3041" s="11"/>
      <c r="F3041" s="11"/>
      <c r="G3041" s="11"/>
      <c r="H3041" s="11"/>
      <c r="I3041" s="11"/>
      <c r="J3041" s="11"/>
      <c r="K3041" s="11"/>
      <c r="L3041" s="11"/>
      <c r="M3041" s="11"/>
      <c r="N3041" s="11"/>
      <c r="O3041" s="11"/>
      <c r="P3041" s="11"/>
      <c r="Q3041" s="11"/>
      <c r="R3041" s="11"/>
      <c r="S3041" s="11"/>
      <c r="T3041" s="11"/>
      <c r="U3041" s="11"/>
      <c r="V3041" s="11"/>
      <c r="W3041" s="11"/>
      <c r="X3041" s="11"/>
      <c r="Y3041" s="11"/>
      <c r="Z3041" s="11"/>
      <c r="AA3041" s="11"/>
      <c r="AB3041" s="11"/>
      <c r="AC3041" s="11"/>
      <c r="AD3041" s="11"/>
      <c r="AE3041" s="11"/>
      <c r="AF3041" s="11"/>
      <c r="AG3041" s="11"/>
      <c r="AH3041" s="11"/>
      <c r="AI3041" s="11"/>
      <c r="AJ3041" s="11"/>
      <c r="AK3041" s="11"/>
      <c r="AL3041" s="11"/>
      <c r="AM3041" s="11"/>
      <c r="AN3041" s="11"/>
      <c r="AO3041" s="11"/>
      <c r="AP3041" s="11"/>
      <c r="AQ3041" s="11"/>
      <c r="AR3041" s="11"/>
      <c r="AS3041" s="11"/>
      <c r="AT3041" s="11"/>
      <c r="AU3041" s="11"/>
      <c r="AV3041" s="11"/>
      <c r="AW3041" s="11"/>
      <c r="AX3041" s="11"/>
      <c r="AY3041" s="11"/>
    </row>
    <row r="3042" spans="1:51" x14ac:dyDescent="0.2">
      <c r="A3042" s="11"/>
      <c r="B3042" s="11"/>
      <c r="C3042" s="11"/>
      <c r="D3042" s="11"/>
      <c r="E3042" s="11"/>
      <c r="F3042" s="11"/>
      <c r="G3042" s="11"/>
      <c r="H3042" s="11"/>
      <c r="I3042" s="11"/>
      <c r="J3042" s="11"/>
      <c r="K3042" s="11"/>
      <c r="L3042" s="11"/>
      <c r="M3042" s="11"/>
      <c r="N3042" s="11"/>
      <c r="O3042" s="11"/>
      <c r="P3042" s="11"/>
      <c r="Q3042" s="11"/>
      <c r="R3042" s="11"/>
      <c r="S3042" s="11"/>
      <c r="T3042" s="11"/>
      <c r="U3042" s="11"/>
      <c r="V3042" s="11"/>
      <c r="W3042" s="11"/>
      <c r="X3042" s="11"/>
      <c r="Y3042" s="11"/>
      <c r="Z3042" s="11"/>
      <c r="AA3042" s="11"/>
      <c r="AB3042" s="11"/>
      <c r="AC3042" s="11"/>
      <c r="AD3042" s="11"/>
      <c r="AE3042" s="11"/>
      <c r="AF3042" s="11"/>
      <c r="AG3042" s="11"/>
      <c r="AH3042" s="11"/>
      <c r="AI3042" s="11"/>
      <c r="AJ3042" s="11"/>
      <c r="AK3042" s="11"/>
      <c r="AL3042" s="11"/>
      <c r="AM3042" s="11"/>
      <c r="AN3042" s="11"/>
      <c r="AO3042" s="11"/>
      <c r="AP3042" s="11"/>
      <c r="AQ3042" s="11"/>
      <c r="AR3042" s="11"/>
      <c r="AS3042" s="11"/>
      <c r="AT3042" s="11"/>
      <c r="AU3042" s="11"/>
      <c r="AV3042" s="11"/>
      <c r="AW3042" s="11"/>
      <c r="AX3042" s="11"/>
      <c r="AY3042" s="11"/>
    </row>
    <row r="3043" spans="1:51" x14ac:dyDescent="0.2">
      <c r="A3043" s="11"/>
      <c r="B3043" s="11"/>
      <c r="C3043" s="11"/>
      <c r="D3043" s="11"/>
      <c r="E3043" s="11"/>
      <c r="F3043" s="11"/>
      <c r="G3043" s="11"/>
      <c r="H3043" s="11"/>
      <c r="I3043" s="11"/>
      <c r="J3043" s="11"/>
      <c r="K3043" s="11"/>
      <c r="L3043" s="11"/>
      <c r="M3043" s="11"/>
      <c r="N3043" s="11"/>
      <c r="O3043" s="11"/>
      <c r="P3043" s="11"/>
      <c r="Q3043" s="11"/>
      <c r="R3043" s="11"/>
      <c r="S3043" s="11"/>
      <c r="T3043" s="11"/>
      <c r="U3043" s="11"/>
      <c r="V3043" s="11"/>
      <c r="W3043" s="11"/>
      <c r="X3043" s="11"/>
      <c r="Y3043" s="11"/>
      <c r="Z3043" s="11"/>
      <c r="AA3043" s="11"/>
      <c r="AB3043" s="11"/>
      <c r="AC3043" s="11"/>
      <c r="AD3043" s="11"/>
      <c r="AE3043" s="11"/>
      <c r="AF3043" s="11"/>
      <c r="AG3043" s="11"/>
      <c r="AH3043" s="11"/>
      <c r="AI3043" s="11"/>
      <c r="AJ3043" s="11"/>
      <c r="AK3043" s="11"/>
      <c r="AL3043" s="11"/>
      <c r="AM3043" s="11"/>
      <c r="AN3043" s="11"/>
      <c r="AO3043" s="11"/>
      <c r="AP3043" s="11"/>
      <c r="AQ3043" s="11"/>
      <c r="AR3043" s="11"/>
      <c r="AS3043" s="11"/>
      <c r="AT3043" s="11"/>
      <c r="AU3043" s="11"/>
      <c r="AV3043" s="11"/>
      <c r="AW3043" s="11"/>
      <c r="AX3043" s="11"/>
      <c r="AY3043" s="11"/>
    </row>
    <row r="3044" spans="1:51" x14ac:dyDescent="0.2">
      <c r="A3044" s="11"/>
      <c r="B3044" s="11"/>
      <c r="C3044" s="11"/>
      <c r="D3044" s="11"/>
      <c r="E3044" s="11"/>
      <c r="F3044" s="11"/>
      <c r="G3044" s="11"/>
      <c r="H3044" s="11"/>
      <c r="I3044" s="11"/>
      <c r="J3044" s="11"/>
      <c r="K3044" s="11"/>
      <c r="L3044" s="11"/>
      <c r="M3044" s="11"/>
      <c r="N3044" s="11"/>
      <c r="O3044" s="11"/>
      <c r="P3044" s="11"/>
      <c r="Q3044" s="11"/>
      <c r="R3044" s="11"/>
      <c r="S3044" s="11"/>
      <c r="T3044" s="11"/>
      <c r="U3044" s="11"/>
      <c r="V3044" s="11"/>
      <c r="W3044" s="11"/>
      <c r="X3044" s="11"/>
      <c r="Y3044" s="11"/>
      <c r="Z3044" s="11"/>
      <c r="AA3044" s="11"/>
      <c r="AB3044" s="11"/>
      <c r="AC3044" s="11"/>
      <c r="AD3044" s="11"/>
      <c r="AE3044" s="11"/>
      <c r="AF3044" s="11"/>
      <c r="AG3044" s="11"/>
      <c r="AH3044" s="11"/>
      <c r="AI3044" s="11"/>
      <c r="AJ3044" s="11"/>
      <c r="AK3044" s="11"/>
      <c r="AL3044" s="11"/>
      <c r="AM3044" s="11"/>
      <c r="AN3044" s="11"/>
      <c r="AO3044" s="11"/>
      <c r="AP3044" s="11"/>
      <c r="AQ3044" s="11"/>
      <c r="AR3044" s="11"/>
      <c r="AS3044" s="11"/>
      <c r="AT3044" s="11"/>
      <c r="AU3044" s="11"/>
      <c r="AV3044" s="11"/>
      <c r="AW3044" s="11"/>
      <c r="AX3044" s="11"/>
      <c r="AY3044" s="11"/>
    </row>
    <row r="3045" spans="1:51" x14ac:dyDescent="0.2">
      <c r="A3045" s="11"/>
      <c r="B3045" s="11"/>
      <c r="C3045" s="11"/>
      <c r="D3045" s="11"/>
      <c r="E3045" s="11"/>
      <c r="F3045" s="11"/>
      <c r="G3045" s="11"/>
      <c r="H3045" s="11"/>
      <c r="I3045" s="11"/>
      <c r="J3045" s="11"/>
      <c r="K3045" s="11"/>
      <c r="L3045" s="11"/>
      <c r="M3045" s="11"/>
      <c r="N3045" s="11"/>
      <c r="O3045" s="11"/>
      <c r="P3045" s="11"/>
      <c r="Q3045" s="11"/>
      <c r="R3045" s="11"/>
      <c r="S3045" s="11"/>
      <c r="T3045" s="11"/>
      <c r="U3045" s="11"/>
      <c r="V3045" s="11"/>
      <c r="W3045" s="11"/>
      <c r="X3045" s="11"/>
      <c r="Y3045" s="11"/>
      <c r="Z3045" s="11"/>
      <c r="AA3045" s="11"/>
      <c r="AB3045" s="11"/>
      <c r="AC3045" s="11"/>
      <c r="AD3045" s="11"/>
      <c r="AE3045" s="11"/>
      <c r="AF3045" s="11"/>
      <c r="AG3045" s="11"/>
      <c r="AH3045" s="11"/>
      <c r="AI3045" s="11"/>
      <c r="AJ3045" s="11"/>
      <c r="AK3045" s="11"/>
      <c r="AL3045" s="11"/>
      <c r="AM3045" s="11"/>
      <c r="AN3045" s="11"/>
      <c r="AO3045" s="11"/>
      <c r="AP3045" s="11"/>
      <c r="AQ3045" s="11"/>
      <c r="AR3045" s="11"/>
      <c r="AS3045" s="11"/>
      <c r="AT3045" s="11"/>
      <c r="AU3045" s="11"/>
      <c r="AV3045" s="11"/>
      <c r="AW3045" s="11"/>
      <c r="AX3045" s="11"/>
      <c r="AY3045" s="11"/>
    </row>
    <row r="3046" spans="1:51" x14ac:dyDescent="0.2">
      <c r="A3046" s="11"/>
      <c r="B3046" s="11"/>
      <c r="C3046" s="11"/>
      <c r="D3046" s="11"/>
      <c r="E3046" s="11"/>
      <c r="F3046" s="11"/>
      <c r="G3046" s="11"/>
      <c r="H3046" s="11"/>
      <c r="I3046" s="11"/>
      <c r="J3046" s="11"/>
      <c r="K3046" s="11"/>
      <c r="L3046" s="11"/>
      <c r="M3046" s="11"/>
      <c r="N3046" s="11"/>
      <c r="O3046" s="11"/>
      <c r="P3046" s="11"/>
      <c r="Q3046" s="11"/>
      <c r="R3046" s="11"/>
      <c r="S3046" s="11"/>
      <c r="T3046" s="11"/>
      <c r="U3046" s="11"/>
      <c r="V3046" s="11"/>
      <c r="W3046" s="11"/>
      <c r="X3046" s="11"/>
      <c r="Y3046" s="11"/>
      <c r="Z3046" s="11"/>
      <c r="AA3046" s="11"/>
      <c r="AB3046" s="11"/>
      <c r="AC3046" s="11"/>
      <c r="AD3046" s="11"/>
      <c r="AE3046" s="11"/>
      <c r="AF3046" s="11"/>
      <c r="AG3046" s="11"/>
      <c r="AH3046" s="11"/>
      <c r="AI3046" s="11"/>
      <c r="AJ3046" s="11"/>
      <c r="AK3046" s="11"/>
      <c r="AL3046" s="11"/>
      <c r="AM3046" s="11"/>
      <c r="AN3046" s="11"/>
      <c r="AO3046" s="11"/>
      <c r="AP3046" s="11"/>
      <c r="AQ3046" s="11"/>
      <c r="AR3046" s="11"/>
      <c r="AS3046" s="11"/>
      <c r="AT3046" s="11"/>
      <c r="AU3046" s="11"/>
      <c r="AV3046" s="11"/>
      <c r="AW3046" s="11"/>
      <c r="AX3046" s="11"/>
      <c r="AY3046" s="11"/>
    </row>
    <row r="3047" spans="1:51" x14ac:dyDescent="0.2">
      <c r="A3047" s="11"/>
      <c r="B3047" s="11"/>
      <c r="C3047" s="11"/>
      <c r="D3047" s="11"/>
      <c r="E3047" s="11"/>
      <c r="F3047" s="11"/>
      <c r="G3047" s="11"/>
      <c r="H3047" s="11"/>
      <c r="I3047" s="11"/>
      <c r="J3047" s="11"/>
      <c r="K3047" s="11"/>
      <c r="L3047" s="11"/>
      <c r="M3047" s="11"/>
      <c r="N3047" s="11"/>
      <c r="O3047" s="11"/>
      <c r="P3047" s="11"/>
      <c r="Q3047" s="11"/>
      <c r="R3047" s="11"/>
      <c r="S3047" s="11"/>
      <c r="T3047" s="11"/>
      <c r="U3047" s="11"/>
      <c r="V3047" s="11"/>
      <c r="W3047" s="11"/>
      <c r="X3047" s="11"/>
      <c r="Y3047" s="11"/>
      <c r="Z3047" s="11"/>
      <c r="AA3047" s="11"/>
      <c r="AB3047" s="11"/>
      <c r="AC3047" s="11"/>
      <c r="AD3047" s="11"/>
      <c r="AE3047" s="11"/>
      <c r="AF3047" s="11"/>
      <c r="AG3047" s="11"/>
      <c r="AH3047" s="11"/>
      <c r="AI3047" s="11"/>
      <c r="AJ3047" s="11"/>
      <c r="AK3047" s="11"/>
      <c r="AL3047" s="11"/>
      <c r="AM3047" s="11"/>
      <c r="AN3047" s="11"/>
      <c r="AO3047" s="11"/>
      <c r="AP3047" s="11"/>
      <c r="AQ3047" s="11"/>
      <c r="AR3047" s="11"/>
      <c r="AS3047" s="11"/>
      <c r="AT3047" s="11"/>
      <c r="AU3047" s="11"/>
      <c r="AV3047" s="11"/>
      <c r="AW3047" s="11"/>
      <c r="AX3047" s="11"/>
      <c r="AY3047" s="11"/>
    </row>
    <row r="3048" spans="1:51" x14ac:dyDescent="0.2">
      <c r="A3048" s="11"/>
      <c r="B3048" s="11"/>
      <c r="C3048" s="11"/>
      <c r="D3048" s="11"/>
      <c r="E3048" s="11"/>
      <c r="F3048" s="11"/>
      <c r="G3048" s="11"/>
      <c r="H3048" s="11"/>
      <c r="I3048" s="11"/>
      <c r="J3048" s="11"/>
      <c r="K3048" s="11"/>
      <c r="L3048" s="11"/>
      <c r="M3048" s="11"/>
      <c r="N3048" s="11"/>
      <c r="O3048" s="11"/>
      <c r="P3048" s="11"/>
      <c r="Q3048" s="11"/>
      <c r="R3048" s="11"/>
      <c r="S3048" s="11"/>
      <c r="T3048" s="11"/>
      <c r="U3048" s="11"/>
      <c r="V3048" s="11"/>
      <c r="W3048" s="11"/>
      <c r="X3048" s="11"/>
      <c r="Y3048" s="11"/>
      <c r="Z3048" s="11"/>
      <c r="AA3048" s="11"/>
      <c r="AB3048" s="11"/>
      <c r="AC3048" s="11"/>
      <c r="AD3048" s="11"/>
      <c r="AE3048" s="11"/>
      <c r="AF3048" s="11"/>
      <c r="AG3048" s="11"/>
      <c r="AH3048" s="11"/>
      <c r="AI3048" s="11"/>
      <c r="AJ3048" s="11"/>
      <c r="AK3048" s="11"/>
      <c r="AL3048" s="11"/>
      <c r="AM3048" s="11"/>
      <c r="AN3048" s="11"/>
      <c r="AO3048" s="11"/>
      <c r="AP3048" s="11"/>
      <c r="AQ3048" s="11"/>
      <c r="AR3048" s="11"/>
      <c r="AS3048" s="11"/>
      <c r="AT3048" s="11"/>
      <c r="AU3048" s="11"/>
      <c r="AV3048" s="11"/>
      <c r="AW3048" s="11"/>
      <c r="AX3048" s="11"/>
      <c r="AY3048" s="11"/>
    </row>
    <row r="3049" spans="1:51" x14ac:dyDescent="0.2">
      <c r="A3049" s="11"/>
      <c r="B3049" s="11"/>
      <c r="C3049" s="11"/>
      <c r="D3049" s="11"/>
      <c r="E3049" s="11"/>
      <c r="F3049" s="11"/>
      <c r="G3049" s="11"/>
      <c r="H3049" s="11"/>
      <c r="I3049" s="11"/>
      <c r="J3049" s="11"/>
      <c r="K3049" s="11"/>
      <c r="L3049" s="11"/>
      <c r="M3049" s="11"/>
      <c r="N3049" s="11"/>
      <c r="O3049" s="11"/>
      <c r="P3049" s="11"/>
      <c r="Q3049" s="11"/>
      <c r="R3049" s="11"/>
      <c r="S3049" s="11"/>
      <c r="T3049" s="11"/>
      <c r="U3049" s="11"/>
      <c r="V3049" s="11"/>
      <c r="W3049" s="11"/>
      <c r="X3049" s="11"/>
      <c r="Y3049" s="11"/>
      <c r="Z3049" s="11"/>
      <c r="AA3049" s="11"/>
      <c r="AB3049" s="11"/>
      <c r="AC3049" s="11"/>
      <c r="AD3049" s="11"/>
      <c r="AE3049" s="11"/>
      <c r="AF3049" s="11"/>
      <c r="AG3049" s="11"/>
      <c r="AH3049" s="11"/>
      <c r="AI3049" s="11"/>
      <c r="AJ3049" s="11"/>
      <c r="AK3049" s="11"/>
      <c r="AL3049" s="11"/>
      <c r="AM3049" s="11"/>
      <c r="AN3049" s="11"/>
      <c r="AO3049" s="11"/>
      <c r="AP3049" s="11"/>
      <c r="AQ3049" s="11"/>
      <c r="AR3049" s="11"/>
      <c r="AS3049" s="11"/>
      <c r="AT3049" s="11"/>
      <c r="AU3049" s="11"/>
      <c r="AV3049" s="11"/>
      <c r="AW3049" s="11"/>
      <c r="AX3049" s="11"/>
      <c r="AY3049" s="11"/>
    </row>
    <row r="3050" spans="1:51" x14ac:dyDescent="0.2">
      <c r="A3050" s="11"/>
      <c r="B3050" s="11"/>
      <c r="C3050" s="11"/>
      <c r="D3050" s="11"/>
      <c r="E3050" s="11"/>
      <c r="F3050" s="11"/>
      <c r="G3050" s="11"/>
      <c r="H3050" s="11"/>
      <c r="I3050" s="11"/>
      <c r="J3050" s="11"/>
      <c r="K3050" s="11"/>
      <c r="L3050" s="11"/>
      <c r="M3050" s="11"/>
      <c r="N3050" s="11"/>
      <c r="O3050" s="11"/>
      <c r="P3050" s="11"/>
      <c r="Q3050" s="11"/>
      <c r="R3050" s="11"/>
      <c r="S3050" s="11"/>
      <c r="T3050" s="11"/>
      <c r="U3050" s="11"/>
      <c r="V3050" s="11"/>
      <c r="W3050" s="11"/>
      <c r="X3050" s="11"/>
      <c r="Y3050" s="11"/>
      <c r="Z3050" s="11"/>
      <c r="AA3050" s="11"/>
      <c r="AB3050" s="11"/>
      <c r="AC3050" s="11"/>
      <c r="AD3050" s="11"/>
      <c r="AE3050" s="11"/>
      <c r="AF3050" s="11"/>
      <c r="AG3050" s="11"/>
      <c r="AH3050" s="11"/>
      <c r="AI3050" s="11"/>
      <c r="AJ3050" s="11"/>
      <c r="AK3050" s="11"/>
      <c r="AL3050" s="11"/>
      <c r="AM3050" s="11"/>
      <c r="AN3050" s="11"/>
      <c r="AO3050" s="11"/>
      <c r="AP3050" s="11"/>
      <c r="AQ3050" s="11"/>
      <c r="AR3050" s="11"/>
      <c r="AS3050" s="11"/>
      <c r="AT3050" s="11"/>
      <c r="AU3050" s="11"/>
      <c r="AV3050" s="11"/>
      <c r="AW3050" s="11"/>
      <c r="AX3050" s="11"/>
      <c r="AY3050" s="11"/>
    </row>
    <row r="3051" spans="1:51" x14ac:dyDescent="0.2">
      <c r="A3051" s="11"/>
      <c r="B3051" s="11"/>
      <c r="C3051" s="11"/>
      <c r="D3051" s="11"/>
      <c r="E3051" s="11"/>
      <c r="F3051" s="11"/>
      <c r="G3051" s="11"/>
      <c r="H3051" s="11"/>
      <c r="I3051" s="11"/>
      <c r="J3051" s="11"/>
      <c r="K3051" s="11"/>
      <c r="L3051" s="11"/>
      <c r="M3051" s="11"/>
      <c r="N3051" s="11"/>
      <c r="O3051" s="11"/>
      <c r="P3051" s="11"/>
      <c r="Q3051" s="11"/>
      <c r="R3051" s="11"/>
      <c r="S3051" s="11"/>
      <c r="T3051" s="11"/>
      <c r="U3051" s="11"/>
      <c r="V3051" s="11"/>
      <c r="W3051" s="11"/>
      <c r="X3051" s="11"/>
      <c r="Y3051" s="11"/>
      <c r="Z3051" s="11"/>
      <c r="AA3051" s="11"/>
      <c r="AB3051" s="11"/>
      <c r="AC3051" s="11"/>
      <c r="AD3051" s="11"/>
      <c r="AE3051" s="11"/>
      <c r="AF3051" s="11"/>
      <c r="AG3051" s="11"/>
      <c r="AH3051" s="11"/>
      <c r="AI3051" s="11"/>
      <c r="AJ3051" s="11"/>
      <c r="AK3051" s="11"/>
      <c r="AL3051" s="11"/>
      <c r="AM3051" s="11"/>
      <c r="AN3051" s="11"/>
      <c r="AO3051" s="11"/>
      <c r="AP3051" s="11"/>
      <c r="AQ3051" s="11"/>
      <c r="AR3051" s="11"/>
      <c r="AS3051" s="11"/>
      <c r="AT3051" s="11"/>
      <c r="AU3051" s="11"/>
      <c r="AV3051" s="11"/>
      <c r="AW3051" s="11"/>
      <c r="AX3051" s="11"/>
      <c r="AY3051" s="11"/>
    </row>
    <row r="3052" spans="1:51" x14ac:dyDescent="0.2">
      <c r="A3052" s="11"/>
      <c r="B3052" s="11"/>
      <c r="C3052" s="11"/>
      <c r="D3052" s="11"/>
      <c r="E3052" s="11"/>
      <c r="F3052" s="11"/>
      <c r="G3052" s="11"/>
      <c r="H3052" s="11"/>
      <c r="I3052" s="11"/>
      <c r="J3052" s="11"/>
      <c r="K3052" s="11"/>
      <c r="L3052" s="11"/>
      <c r="M3052" s="11"/>
      <c r="N3052" s="11"/>
      <c r="O3052" s="11"/>
      <c r="P3052" s="11"/>
      <c r="Q3052" s="11"/>
      <c r="R3052" s="11"/>
      <c r="S3052" s="11"/>
      <c r="T3052" s="11"/>
      <c r="U3052" s="11"/>
      <c r="V3052" s="11"/>
      <c r="W3052" s="11"/>
      <c r="X3052" s="11"/>
      <c r="Y3052" s="11"/>
      <c r="Z3052" s="11"/>
      <c r="AA3052" s="11"/>
      <c r="AB3052" s="11"/>
      <c r="AC3052" s="11"/>
      <c r="AD3052" s="11"/>
      <c r="AE3052" s="11"/>
      <c r="AF3052" s="11"/>
      <c r="AG3052" s="11"/>
      <c r="AH3052" s="11"/>
      <c r="AI3052" s="11"/>
      <c r="AJ3052" s="11"/>
      <c r="AK3052" s="11"/>
      <c r="AL3052" s="11"/>
      <c r="AM3052" s="11"/>
      <c r="AN3052" s="11"/>
      <c r="AO3052" s="11"/>
      <c r="AP3052" s="11"/>
      <c r="AQ3052" s="11"/>
      <c r="AR3052" s="11"/>
      <c r="AS3052" s="11"/>
      <c r="AT3052" s="11"/>
      <c r="AU3052" s="11"/>
      <c r="AV3052" s="11"/>
      <c r="AW3052" s="11"/>
      <c r="AX3052" s="11"/>
      <c r="AY3052" s="11"/>
    </row>
    <row r="3053" spans="1:51" x14ac:dyDescent="0.2">
      <c r="A3053" s="11"/>
      <c r="B3053" s="11"/>
      <c r="C3053" s="11"/>
      <c r="D3053" s="11"/>
      <c r="E3053" s="11"/>
      <c r="F3053" s="11"/>
      <c r="G3053" s="11"/>
      <c r="H3053" s="11"/>
      <c r="I3053" s="11"/>
      <c r="J3053" s="11"/>
      <c r="K3053" s="11"/>
      <c r="L3053" s="11"/>
      <c r="M3053" s="11"/>
      <c r="N3053" s="11"/>
      <c r="O3053" s="11"/>
      <c r="P3053" s="11"/>
      <c r="Q3053" s="11"/>
      <c r="R3053" s="11"/>
      <c r="S3053" s="11"/>
      <c r="T3053" s="11"/>
      <c r="U3053" s="11"/>
      <c r="V3053" s="11"/>
      <c r="W3053" s="11"/>
      <c r="X3053" s="11"/>
      <c r="Y3053" s="11"/>
      <c r="Z3053" s="11"/>
      <c r="AA3053" s="11"/>
      <c r="AB3053" s="11"/>
      <c r="AC3053" s="11"/>
      <c r="AD3053" s="11"/>
      <c r="AE3053" s="11"/>
      <c r="AF3053" s="11"/>
      <c r="AG3053" s="11"/>
      <c r="AH3053" s="11"/>
      <c r="AI3053" s="11"/>
      <c r="AJ3053" s="11"/>
      <c r="AK3053" s="11"/>
      <c r="AL3053" s="11"/>
      <c r="AM3053" s="11"/>
      <c r="AN3053" s="11"/>
      <c r="AO3053" s="11"/>
      <c r="AP3053" s="11"/>
      <c r="AQ3053" s="11"/>
      <c r="AR3053" s="11"/>
      <c r="AS3053" s="11"/>
      <c r="AT3053" s="11"/>
      <c r="AU3053" s="11"/>
      <c r="AV3053" s="11"/>
      <c r="AW3053" s="11"/>
      <c r="AX3053" s="11"/>
      <c r="AY3053" s="11"/>
    </row>
    <row r="3054" spans="1:51" x14ac:dyDescent="0.2">
      <c r="A3054" s="11"/>
      <c r="B3054" s="11"/>
      <c r="C3054" s="11"/>
      <c r="D3054" s="11"/>
      <c r="E3054" s="11"/>
      <c r="F3054" s="11"/>
      <c r="G3054" s="11"/>
      <c r="H3054" s="11"/>
      <c r="I3054" s="11"/>
      <c r="J3054" s="11"/>
      <c r="K3054" s="11"/>
      <c r="L3054" s="11"/>
      <c r="M3054" s="11"/>
      <c r="N3054" s="11"/>
      <c r="O3054" s="11"/>
      <c r="P3054" s="11"/>
      <c r="Q3054" s="11"/>
      <c r="R3054" s="11"/>
      <c r="S3054" s="11"/>
      <c r="T3054" s="11"/>
      <c r="U3054" s="11"/>
      <c r="V3054" s="11"/>
      <c r="W3054" s="11"/>
      <c r="X3054" s="11"/>
      <c r="Y3054" s="11"/>
      <c r="Z3054" s="11"/>
      <c r="AA3054" s="11"/>
      <c r="AB3054" s="11"/>
      <c r="AC3054" s="11"/>
      <c r="AD3054" s="11"/>
      <c r="AE3054" s="11"/>
      <c r="AF3054" s="11"/>
      <c r="AG3054" s="11"/>
      <c r="AH3054" s="11"/>
      <c r="AI3054" s="11"/>
      <c r="AJ3054" s="11"/>
      <c r="AK3054" s="11"/>
      <c r="AL3054" s="11"/>
      <c r="AM3054" s="11"/>
      <c r="AN3054" s="11"/>
      <c r="AO3054" s="11"/>
      <c r="AP3054" s="11"/>
      <c r="AQ3054" s="11"/>
      <c r="AR3054" s="11"/>
      <c r="AS3054" s="11"/>
      <c r="AT3054" s="11"/>
      <c r="AU3054" s="11"/>
      <c r="AV3054" s="11"/>
      <c r="AW3054" s="11"/>
      <c r="AX3054" s="11"/>
      <c r="AY3054" s="11"/>
    </row>
    <row r="3055" spans="1:51" x14ac:dyDescent="0.2">
      <c r="A3055" s="11"/>
      <c r="B3055" s="11"/>
      <c r="C3055" s="11"/>
      <c r="D3055" s="11"/>
      <c r="E3055" s="11"/>
      <c r="F3055" s="11"/>
      <c r="G3055" s="11"/>
      <c r="H3055" s="11"/>
      <c r="I3055" s="11"/>
      <c r="J3055" s="11"/>
      <c r="K3055" s="11"/>
      <c r="L3055" s="11"/>
      <c r="M3055" s="11"/>
      <c r="N3055" s="11"/>
      <c r="O3055" s="11"/>
      <c r="P3055" s="11"/>
      <c r="Q3055" s="11"/>
      <c r="R3055" s="11"/>
      <c r="S3055" s="11"/>
      <c r="T3055" s="11"/>
      <c r="U3055" s="11"/>
      <c r="V3055" s="11"/>
      <c r="W3055" s="11"/>
      <c r="X3055" s="11"/>
      <c r="Y3055" s="11"/>
      <c r="Z3055" s="11"/>
      <c r="AA3055" s="11"/>
      <c r="AB3055" s="11"/>
      <c r="AC3055" s="11"/>
      <c r="AD3055" s="11"/>
      <c r="AE3055" s="11"/>
      <c r="AF3055" s="11"/>
      <c r="AG3055" s="11"/>
      <c r="AH3055" s="11"/>
      <c r="AI3055" s="11"/>
      <c r="AJ3055" s="11"/>
      <c r="AK3055" s="11"/>
      <c r="AL3055" s="11"/>
      <c r="AM3055" s="11"/>
      <c r="AN3055" s="11"/>
      <c r="AO3055" s="11"/>
      <c r="AP3055" s="11"/>
      <c r="AQ3055" s="11"/>
      <c r="AR3055" s="11"/>
      <c r="AS3055" s="11"/>
      <c r="AT3055" s="11"/>
      <c r="AU3055" s="11"/>
      <c r="AV3055" s="11"/>
      <c r="AW3055" s="11"/>
      <c r="AX3055" s="11"/>
      <c r="AY3055" s="11"/>
    </row>
    <row r="3056" spans="1:51" x14ac:dyDescent="0.2">
      <c r="A3056" s="11"/>
      <c r="B3056" s="11"/>
      <c r="C3056" s="11"/>
      <c r="D3056" s="11"/>
      <c r="E3056" s="11"/>
      <c r="F3056" s="11"/>
      <c r="G3056" s="11"/>
      <c r="H3056" s="11"/>
      <c r="I3056" s="11"/>
      <c r="J3056" s="11"/>
      <c r="K3056" s="11"/>
      <c r="L3056" s="11"/>
      <c r="M3056" s="11"/>
      <c r="N3056" s="11"/>
      <c r="O3056" s="11"/>
      <c r="P3056" s="11"/>
      <c r="Q3056" s="11"/>
      <c r="R3056" s="11"/>
      <c r="S3056" s="11"/>
      <c r="T3056" s="11"/>
      <c r="U3056" s="11"/>
      <c r="V3056" s="11"/>
      <c r="W3056" s="11"/>
      <c r="X3056" s="11"/>
      <c r="Y3056" s="11"/>
      <c r="Z3056" s="11"/>
      <c r="AA3056" s="11"/>
      <c r="AB3056" s="11"/>
      <c r="AC3056" s="11"/>
      <c r="AD3056" s="11"/>
      <c r="AE3056" s="11"/>
      <c r="AF3056" s="11"/>
      <c r="AG3056" s="11"/>
      <c r="AH3056" s="11"/>
      <c r="AI3056" s="11"/>
      <c r="AJ3056" s="11"/>
      <c r="AK3056" s="11"/>
      <c r="AL3056" s="11"/>
      <c r="AM3056" s="11"/>
      <c r="AN3056" s="11"/>
      <c r="AO3056" s="11"/>
      <c r="AP3056" s="11"/>
      <c r="AQ3056" s="11"/>
      <c r="AR3056" s="11"/>
      <c r="AS3056" s="11"/>
      <c r="AT3056" s="11"/>
      <c r="AU3056" s="11"/>
      <c r="AV3056" s="11"/>
      <c r="AW3056" s="11"/>
      <c r="AX3056" s="11"/>
      <c r="AY3056" s="11"/>
    </row>
    <row r="3057" spans="1:51" x14ac:dyDescent="0.2">
      <c r="A3057" s="11"/>
      <c r="B3057" s="11"/>
      <c r="C3057" s="11"/>
      <c r="D3057" s="11"/>
      <c r="E3057" s="11"/>
      <c r="F3057" s="11"/>
      <c r="G3057" s="11"/>
      <c r="H3057" s="11"/>
      <c r="I3057" s="11"/>
      <c r="J3057" s="11"/>
      <c r="K3057" s="11"/>
      <c r="L3057" s="11"/>
      <c r="M3057" s="11"/>
      <c r="N3057" s="11"/>
      <c r="O3057" s="11"/>
      <c r="P3057" s="11"/>
      <c r="Q3057" s="11"/>
      <c r="R3057" s="11"/>
      <c r="S3057" s="11"/>
      <c r="T3057" s="11"/>
      <c r="U3057" s="11"/>
      <c r="V3057" s="11"/>
      <c r="W3057" s="11"/>
      <c r="X3057" s="11"/>
      <c r="Y3057" s="11"/>
      <c r="Z3057" s="11"/>
      <c r="AA3057" s="11"/>
      <c r="AB3057" s="11"/>
      <c r="AC3057" s="11"/>
      <c r="AD3057" s="11"/>
      <c r="AE3057" s="11"/>
      <c r="AF3057" s="11"/>
      <c r="AG3057" s="11"/>
      <c r="AH3057" s="11"/>
      <c r="AI3057" s="11"/>
      <c r="AJ3057" s="11"/>
      <c r="AK3057" s="11"/>
      <c r="AL3057" s="11"/>
      <c r="AM3057" s="11"/>
      <c r="AN3057" s="11"/>
      <c r="AO3057" s="11"/>
      <c r="AP3057" s="11"/>
      <c r="AQ3057" s="11"/>
      <c r="AR3057" s="11"/>
      <c r="AS3057" s="11"/>
      <c r="AT3057" s="11"/>
      <c r="AU3057" s="11"/>
      <c r="AV3057" s="11"/>
      <c r="AW3057" s="11"/>
      <c r="AX3057" s="11"/>
      <c r="AY3057" s="11"/>
    </row>
  </sheetData>
  <mergeCells count="3">
    <mergeCell ref="A2:P2"/>
    <mergeCell ref="A3:P3"/>
    <mergeCell ref="A1:P1"/>
  </mergeCells>
  <pageMargins left="0.7" right="0.7" top="0.75" bottom="0.75" header="0.3" footer="0.3"/>
  <pageSetup paperSize="9" fitToHeight="0"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Payées</vt:lpstr>
      <vt:lpstr>Payées!Zone_d_impression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loic caminale</cp:lastModifiedBy>
  <dcterms:modified xsi:type="dcterms:W3CDTF">2026-01-08T18:53:10Z</dcterms:modified>
</cp:coreProperties>
</file>